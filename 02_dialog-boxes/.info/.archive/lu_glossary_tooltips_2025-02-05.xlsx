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13_ncr:1_{71B5D48E-D115-4631-B8C3-C01564091747}" xr6:coauthVersionLast="47" xr6:coauthVersionMax="47" xr10:uidLastSave="{00000000-0000-0000-0000-000000000000}"/>
  <bookViews>
    <workbookView xWindow="-28920" yWindow="1080" windowWidth="29040" windowHeight="15720" tabRatio="848" activeTab="13" xr2:uid="{32826B30-023B-4127-ABE9-C7B486FB36E7}"/>
  </bookViews>
  <sheets>
    <sheet name="FIX" sheetId="68" r:id="rId1"/>
    <sheet name="ADD" sheetId="55" r:id="rId2"/>
    <sheet name="ISSUES" sheetId="63" r:id="rId3"/>
    <sheet name="glossary" sheetId="3" r:id="rId4"/>
    <sheet name="LINKED_TOOL" sheetId="77" r:id="rId5"/>
    <sheet name="add_extra_yaml" sheetId="60" r:id="rId6"/>
    <sheet name="q_sub_links" sheetId="72" r:id="rId7"/>
    <sheet name="q_lu_info_pages" sheetId="73" r:id="rId8"/>
    <sheet name="lu_question_option" sheetId="70" r:id="rId9"/>
    <sheet name="nametitle_modappl" sheetId="49" r:id="rId10"/>
    <sheet name="find_replace" sheetId="57" r:id="rId11"/>
    <sheet name="find_key" sheetId="67" r:id="rId12"/>
    <sheet name="find_replace_single" sheetId="58" r:id="rId13"/>
    <sheet name="references" sheetId="69" r:id="rId14"/>
    <sheet name="OTHER" sheetId="76" r:id="rId15"/>
    <sheet name="q_lu_prog_level_TOC" sheetId="71" r:id="rId16"/>
    <sheet name="q_approach" sheetId="75" r:id="rId17"/>
    <sheet name="q_notes" sheetId="74" r:id="rId18"/>
    <sheet name="kemp_et_al_2022" sheetId="38" r:id="rId19"/>
  </sheets>
  <definedNames>
    <definedName name="_xlnm._FilterDatabase" localSheetId="1" hidden="1">ADD!$A$1:$I$10</definedName>
    <definedName name="_xlnm._FilterDatabase" localSheetId="11" hidden="1">find_key!$A$1:$C$45</definedName>
    <definedName name="_xlnm._FilterDatabase" localSheetId="10" hidden="1">find_replace!$A$1:$R$495</definedName>
    <definedName name="_xlnm._FilterDatabase" localSheetId="12" hidden="1">find_replace_single!$A$1:$H$47</definedName>
    <definedName name="_xlnm._FilterDatabase" localSheetId="3" hidden="1">glossary!$A$1:$Z$233</definedName>
    <definedName name="_xlnm._FilterDatabase" localSheetId="2" hidden="1">ISSUES!$A$1:$E$1</definedName>
    <definedName name="_xlnm._FilterDatabase" localSheetId="18" hidden="1">kemp_et_al_2022!$A$1:$F$41</definedName>
    <definedName name="_xlnm._FilterDatabase" localSheetId="8" hidden="1">lu_question_option!$A$1:$H$115</definedName>
    <definedName name="_xlnm._FilterDatabase" localSheetId="9" hidden="1">nametitle_modappl!$A$1:$I$29</definedName>
    <definedName name="_xlnm._FilterDatabase" localSheetId="16" hidden="1">q_approach!$A$1:$I$54</definedName>
    <definedName name="_xlnm._FilterDatabase" localSheetId="7" hidden="1">q_lu_info_pages!$A$1:$L$80</definedName>
    <definedName name="_xlnm._FilterDatabase" localSheetId="15" hidden="1">q_lu_prog_level_TOC!$A$1:$D$8</definedName>
    <definedName name="_xlnm._FilterDatabase" localSheetId="17" hidden="1">q_notes!$A$1:$B$54</definedName>
    <definedName name="_xlnm._FilterDatabase" localSheetId="13" hidden="1">references!$A$1:$T$502</definedName>
    <definedName name="access_method" localSheetId="3">glossary!#REF!</definedName>
    <definedName name="access_method" localSheetId="9">nametitle_modappl!#REF!</definedName>
    <definedName name="age_class_adult" localSheetId="3">glossary!$E$18</definedName>
    <definedName name="age_class_adult" localSheetId="9">nametitle_modappl!#REF!</definedName>
    <definedName name="age_class_juvenile" localSheetId="3">glossary!$E$41</definedName>
    <definedName name="age_class_juvenile" localSheetId="9">nametitle_modappl!#REF!</definedName>
    <definedName name="age_class_subadult_yearling" localSheetId="3">glossary!$E$64</definedName>
    <definedName name="age_class_subadult_yearling" localSheetId="9">nametitle_modappl!#REF!</definedName>
    <definedName name="age_class_subadult_youngofyear" localSheetId="3">glossary!$E$65</definedName>
    <definedName name="age_class_subadult_youngofyear" localSheetId="9">nametitle_modappl!#REF!</definedName>
    <definedName name="analyst" localSheetId="3">glossary!$E$20</definedName>
    <definedName name="analyst" localSheetId="9">nametitle_modappl!#REF!</definedName>
    <definedName name="animal_id" localSheetId="3">glossary!#REF!</definedName>
    <definedName name="animal_id" localSheetId="9">nametitle_modappl!#REF!</definedName>
    <definedName name="baitlure_audible_lure" localSheetId="3">glossary!$E$75</definedName>
    <definedName name="baitlure_audible_lure" localSheetId="9">nametitle_modappl!#REF!</definedName>
    <definedName name="baitlure_bait_lure_type" localSheetId="3">glossary!$E$21</definedName>
    <definedName name="baitlure_bait_lure_type" localSheetId="9">nametitle_modappl!#REF!</definedName>
    <definedName name="baitlure_lure" localSheetId="3">glossary!#REF!</definedName>
    <definedName name="baitlure_lure" localSheetId="9">nametitle_modappl!#REF!</definedName>
    <definedName name="baitlure_scent_lure" localSheetId="3">glossary!$E$117</definedName>
    <definedName name="baitlure_scent_lure" localSheetId="9">nametitle_modappl!#REF!</definedName>
    <definedName name="baitlure_visual_lure" localSheetId="3">glossary!$E$148</definedName>
    <definedName name="baitlure_visual_lure" localSheetId="9">nametitle_modappl!#REF!</definedName>
    <definedName name="batteries_replaced" localSheetId="3">glossary!#REF!</definedName>
    <definedName name="batteries_replaced" localSheetId="9">nametitle_modappl!#REF!</definedName>
    <definedName name="behaviour" localSheetId="3">glossary!#REF!</definedName>
    <definedName name="behaviour" localSheetId="9">nametitle_modappl!#REF!</definedName>
    <definedName name="camera_active_on_arrival" localSheetId="3">glossary!#REF!</definedName>
    <definedName name="camera_active_on_arrival" localSheetId="9">nametitle_modappl!#REF!</definedName>
    <definedName name="camera_active_on_departure" localSheetId="3">glossary!#REF!</definedName>
    <definedName name="camera_active_on_departure" localSheetId="9">nametitle_modappl!#REF!</definedName>
    <definedName name="camera_angle" localSheetId="3">glossary!$E$78</definedName>
    <definedName name="camera_angle" localSheetId="9">nametitle_modappl!#REF!</definedName>
    <definedName name="camera_attachment" localSheetId="3">glossary!#REF!</definedName>
    <definedName name="camera_attachment" localSheetId="9">nametitle_modappl!#REF!</definedName>
    <definedName name="camera_damaged" localSheetId="3">glossary!#REF!</definedName>
    <definedName name="camera_damaged" localSheetId="9">nametitle_modappl!#REF!</definedName>
    <definedName name="camera_days_per_camera_location" localSheetId="3">glossary!$E$79</definedName>
    <definedName name="camera_days_per_camera_location" localSheetId="9">nametitle_modappl!#REF!</definedName>
    <definedName name="camera_direction" localSheetId="3">glossary!#REF!</definedName>
    <definedName name="camera_direction" localSheetId="9">nametitle_modappl!#REF!</definedName>
    <definedName name="camera_height" localSheetId="3">glossary!$E$22</definedName>
    <definedName name="camera_height" localSheetId="9">nametitle_modappl!#REF!</definedName>
    <definedName name="camera_id" localSheetId="3">glossary!$E$23</definedName>
    <definedName name="camera_id" localSheetId="9">nametitle_modappl!#REF!</definedName>
    <definedName name="camera_location_characteristics" localSheetId="3">glossary!#REF!</definedName>
    <definedName name="camera_location_characteristics" localSheetId="9">nametitle_modappl!#REF!</definedName>
    <definedName name="camera_location_comments" localSheetId="3">glossary!#REF!</definedName>
    <definedName name="camera_location_comments" localSheetId="9">nametitle_modappl!#REF!</definedName>
    <definedName name="camera_location_name" localSheetId="3">glossary!$E$24</definedName>
    <definedName name="camera_location_name" localSheetId="9">nametitle_modappl!#REF!</definedName>
    <definedName name="camera_make" localSheetId="3">glossary!$E$25</definedName>
    <definedName name="camera_make" localSheetId="9">nametitle_modappl!#REF!</definedName>
    <definedName name="camera_model" localSheetId="3">glossary!$E$26</definedName>
    <definedName name="camera_model" localSheetId="9">nametitle_modappl!#REF!</definedName>
    <definedName name="camera_serial_number" localSheetId="3">glossary!$E$27</definedName>
    <definedName name="camera_serial_number" localSheetId="9">nametitle_modappl!#REF!</definedName>
    <definedName name="camera_spacing" localSheetId="3">glossary!$E$81</definedName>
    <definedName name="camera_spacing" localSheetId="9">nametitle_modappl!#REF!</definedName>
    <definedName name="crew" localSheetId="3">glossary!$E$86</definedName>
    <definedName name="crew" localSheetId="9">nametitle_modappl!#REF!</definedName>
    <definedName name="cumulative_det_probability" localSheetId="3">glossary!$E$87</definedName>
    <definedName name="cumulative_det_probability" localSheetId="9">nametitle_modappl!#REF!</definedName>
    <definedName name="density" localSheetId="3">glossary!$E$88</definedName>
    <definedName name="density" localSheetId="9">nametitle_modappl!#REF!</definedName>
    <definedName name="deployment_area_photo_number" localSheetId="3">glossary!#REF!</definedName>
    <definedName name="deployment_area_photo_number" localSheetId="9">nametitle_modappl!#REF!</definedName>
    <definedName name="deployment_area_photos_taken" localSheetId="3">glossary!#REF!</definedName>
    <definedName name="deployment_area_photos_taken" localSheetId="9">nametitle_modappl!#REF!</definedName>
    <definedName name="deployment_comments" localSheetId="3">glossary!#REF!</definedName>
    <definedName name="deployment_comments" localSheetId="9">nametitle_modappl!#REF!</definedName>
    <definedName name="deployment_crew" localSheetId="3">glossary!$E$28</definedName>
    <definedName name="deployment_crew" localSheetId="9">nametitle_modappl!#REF!</definedName>
    <definedName name="deployment_end_date_time" localSheetId="3">glossary!$E$29</definedName>
    <definedName name="deployment_end_date_time" localSheetId="9">nametitle_modappl!#REF!</definedName>
    <definedName name="deployment_image_count" localSheetId="3">glossary!#REF!</definedName>
    <definedName name="deployment_image_count" localSheetId="9">nametitle_modappl!#REF!</definedName>
    <definedName name="deployment_metadata" localSheetId="3">glossary!$E$91</definedName>
    <definedName name="deployment_metadata" localSheetId="9">nametitle_modappl!#REF!</definedName>
    <definedName name="deployment_name" localSheetId="3">glossary!$E$30</definedName>
    <definedName name="deployment_name" localSheetId="9">nametitle_modappl!#REF!</definedName>
    <definedName name="deployment_start_date_time" localSheetId="3">glossary!$E$31</definedName>
    <definedName name="deployment_start_date_time" localSheetId="9">nametitle_modappl!#REF!</definedName>
    <definedName name="deployment_visit" localSheetId="3">glossary!$E$92</definedName>
    <definedName name="deployment_visit" localSheetId="9">nametitle_modappl!#REF!</definedName>
    <definedName name="detection_distance" localSheetId="3">glossary!$E$94</definedName>
    <definedName name="detection_distance" localSheetId="9">nametitle_modappl!#REF!</definedName>
    <definedName name="detection_event" localSheetId="3">glossary!$E$93</definedName>
    <definedName name="detection_event" localSheetId="9">nametitle_modappl!#REF!</definedName>
    <definedName name="detection_probability" localSheetId="3">glossary!$E$95</definedName>
    <definedName name="detection_probability" localSheetId="9">nametitle_modappl!#REF!</definedName>
    <definedName name="detection_rate" localSheetId="3">glossary!$E$96</definedName>
    <definedName name="detection_rate" localSheetId="9">nametitle_modappl!#REF!</definedName>
    <definedName name="detection_zone" localSheetId="3">glossary!$E$97</definedName>
    <definedName name="detection_zone" localSheetId="9">nametitle_modappl!#REF!</definedName>
    <definedName name="easting_camera_location" localSheetId="3">glossary!$E$32</definedName>
    <definedName name="easting_camera_location" localSheetId="9">nametitle_modappl!#REF!</definedName>
    <definedName name="effective_detection_distance" localSheetId="3">glossary!#REF!</definedName>
    <definedName name="effective_detection_distance" localSheetId="9">nametitle_modappl!#REF!</definedName>
    <definedName name="event_type" localSheetId="3">glossary!$E$33</definedName>
    <definedName name="event_type" localSheetId="9">nametitle_modappl!#REF!</definedName>
    <definedName name="event_type_tag" localSheetId="3">glossary!$E$70</definedName>
    <definedName name="event_type_tag" localSheetId="9">nametitle_modappl!#REF!</definedName>
    <definedName name="false_trigger" localSheetId="3">glossary!#REF!</definedName>
    <definedName name="false_trigger" localSheetId="9">nametitle_modappl!#REF!</definedName>
    <definedName name="field_of_view" localSheetId="3">glossary!#REF!</definedName>
    <definedName name="field_of_view" localSheetId="9">nametitle_modappl!#REF!</definedName>
    <definedName name="figure6_ref_id" localSheetId="2">ISSUES!#REF!</definedName>
    <definedName name="figure7_ref_id" localSheetId="2">ISSUES!#REF!</definedName>
    <definedName name="fov_registration_area" localSheetId="3">glossary!$E$113</definedName>
    <definedName name="fov_registration_area" localSheetId="9">nametitle_modappl!#REF!</definedName>
    <definedName name="fov_target_distance" localSheetId="3">glossary!#REF!</definedName>
    <definedName name="fov_target_distance" localSheetId="9">nametitle_modappl!#REF!</definedName>
    <definedName name="fov_viewshed" localSheetId="3">glossary!$E$144</definedName>
    <definedName name="fov_viewshed" localSheetId="9">nametitle_modappl!#REF!</definedName>
    <definedName name="fov_viewshed_density_estimators" localSheetId="3">glossary!$E$145</definedName>
    <definedName name="fov_viewshed_density_estimators" localSheetId="9">nametitle_modappl!#REF!</definedName>
    <definedName name="gps_unit_accuracy" localSheetId="3">glossary!$E$35</definedName>
    <definedName name="gps_unit_accuracy" localSheetId="9">nametitle_modappl!#REF!</definedName>
    <definedName name="human_transport_mode_activity" localSheetId="3">glossary!#REF!</definedName>
    <definedName name="human_transport_mode_activity" localSheetId="9">nametitle_modappl!#REF!</definedName>
    <definedName name="image_classification" localSheetId="3">glossary!#REF!</definedName>
    <definedName name="image_classification" localSheetId="9">nametitle_modappl!#REF!</definedName>
    <definedName name="image_classification_confidence" localSheetId="3">glossary!#REF!</definedName>
    <definedName name="image_classification_confidence" localSheetId="9">nametitle_modappl!#REF!</definedName>
    <definedName name="image_flash_output" localSheetId="3">glossary!#REF!</definedName>
    <definedName name="image_flash_output" localSheetId="9">nametitle_modappl!#REF!</definedName>
    <definedName name="image_infrared_illuminator" localSheetId="3">glossary!#REF!</definedName>
    <definedName name="image_infrared_illuminator" localSheetId="9">nametitle_modappl!#REF!</definedName>
    <definedName name="image_name" localSheetId="3">glossary!$E$36</definedName>
    <definedName name="image_name" localSheetId="9">nametitle_modappl!#REF!</definedName>
    <definedName name="image_processing" localSheetId="3">glossary!#REF!</definedName>
    <definedName name="image_processing" localSheetId="9">nametitle_modappl!#REF!</definedName>
    <definedName name="image_sequence_comments" localSheetId="3">glossary!#REF!</definedName>
    <definedName name="image_sequence_comments" localSheetId="9">nametitle_modappl!#REF!</definedName>
    <definedName name="image_sequence_date_time" localSheetId="3">glossary!$E$39</definedName>
    <definedName name="image_sequence_date_time" localSheetId="9">nametitle_modappl!#REF!</definedName>
    <definedName name="image_set_end_date_time" localSheetId="3">glossary!$E$37</definedName>
    <definedName name="image_set_end_date_time" localSheetId="9">nametitle_modappl!#REF!</definedName>
    <definedName name="image_set_start_date_time" localSheetId="3">glossary!$E$38</definedName>
    <definedName name="image_set_start_date_time" localSheetId="9">nametitle_modappl!#REF!</definedName>
    <definedName name="image_tagging" localSheetId="3">glossary!#REF!</definedName>
    <definedName name="image_tagging" localSheetId="9">nametitle_modappl!#REF!</definedName>
    <definedName name="image_trigger_mode" localSheetId="3">glossary!#REF!</definedName>
    <definedName name="image_trigger_mode" localSheetId="9">nametitle_modappl!#REF!</definedName>
    <definedName name="imperfect_detection" localSheetId="3">glossary!#REF!</definedName>
    <definedName name="imperfect_detection" localSheetId="9">nametitle_modappl!#REF!</definedName>
    <definedName name="independent_detection" localSheetId="3">glossary!#REF!</definedName>
    <definedName name="independent_detection" localSheetId="9">nametitle_modappl!#REF!</definedName>
    <definedName name="individual_count" localSheetId="3">glossary!$E$40</definedName>
    <definedName name="individual_count" localSheetId="9">nametitle_modappl!#REF!</definedName>
    <definedName name="intensity_of_use" localSheetId="3">glossary!#REF!</definedName>
    <definedName name="intensity_of_use" localSheetId="9">nametitle_modappl!#REF!</definedName>
    <definedName name="inter_detection_interval" localSheetId="3">glossary!#REF!</definedName>
    <definedName name="inter_detection_interval" localSheetId="9">nametitle_modappl!#REF!</definedName>
    <definedName name="kernel_density_estimator" localSheetId="3">glossary!#REF!</definedName>
    <definedName name="kernel_density_estimator" localSheetId="9">nametitle_modappl!#REF!</definedName>
    <definedName name="key_id" localSheetId="3">glossary!#REF!</definedName>
    <definedName name="key_id" localSheetId="9">nametitle_modappl!#REF!</definedName>
    <definedName name="latitude_camera_location" localSheetId="3">glossary!$E$42</definedName>
    <definedName name="latitude_camera_location" localSheetId="9">nametitle_modappl!#REF!</definedName>
    <definedName name="longitude_camera_location" localSheetId="3">glossary!$E$43</definedName>
    <definedName name="longitude_camera_location" localSheetId="9">nametitle_modappl!#REF!</definedName>
    <definedName name="metadata" localSheetId="3">glossary!#REF!</definedName>
    <definedName name="metadata" localSheetId="9">nametitle_modappl!#REF!</definedName>
    <definedName name="mods_2flankspim" localSheetId="3">glossary!$E$126</definedName>
    <definedName name="mods_2flankspim" localSheetId="9">nametitle_modappl!#REF!</definedName>
    <definedName name="mods_catspim" localSheetId="3">glossary!$E$83</definedName>
    <definedName name="mods_catspim" localSheetId="9">nametitle_modappl!#REF!</definedName>
    <definedName name="mods_cr_cmr" localSheetId="3">glossary!$E$82</definedName>
    <definedName name="mods_cr_cmr" localSheetId="9">nametitle_modappl!#REF!</definedName>
    <definedName name="mods_distance_sampling" localSheetId="3">glossary!#REF!</definedName>
    <definedName name="mods_distance_sampling" localSheetId="9">nametitle_modappl!#REF!</definedName>
    <definedName name="mods_hurdle" localSheetId="3">glossary!#REF!</definedName>
    <definedName name="mods_hurdle" localSheetId="9">nametitle_modappl!#REF!</definedName>
    <definedName name="mods_instantaneous_sampling" localSheetId="3">glossary!#REF!</definedName>
    <definedName name="mods_instantaneous_sampling" localSheetId="9">nametitle_modappl!#REF!</definedName>
    <definedName name="mods_inventory" localSheetId="3">glossary!#REF!</definedName>
    <definedName name="mods_inventory" localSheetId="9">nametitle_modappl!#REF!</definedName>
    <definedName name="mods_modelling_approach" localSheetId="3">glossary!#REF!</definedName>
    <definedName name="mods_modelling_approach" localSheetId="9">nametitle_modappl!#REF!</definedName>
    <definedName name="mods_modelling_assumption" localSheetId="3">glossary!#REF!</definedName>
    <definedName name="mods_modelling_assumption" localSheetId="9">nametitle_modappl!#REF!</definedName>
    <definedName name="mods_mr" localSheetId="3">glossary!#REF!</definedName>
    <definedName name="mods_mr" localSheetId="9">nametitle_modappl!#REF!</definedName>
    <definedName name="mods_n_mixture" localSheetId="3">glossary!$E$99</definedName>
    <definedName name="mods_n_mixture" localSheetId="9">nametitle_modappl!#REF!</definedName>
    <definedName name="mods_negative_binomial" localSheetId="3">glossary!$E$98</definedName>
    <definedName name="mods_negative_binomial" localSheetId="9">nametitle_modappl!#REF!</definedName>
    <definedName name="mods_occupancy" localSheetId="3">glossary!$E$101</definedName>
    <definedName name="mods_occupancy" localSheetId="9">nametitle_modappl!#REF!</definedName>
    <definedName name="mods_overdispersion" localSheetId="3">glossary!$E$102</definedName>
    <definedName name="mods_overdispersion" localSheetId="9">nametitle_modappl!#REF!</definedName>
    <definedName name="mods_poisson" localSheetId="3">glossary!$E$106</definedName>
    <definedName name="mods_poisson" localSheetId="9">nametitle_modappl!#REF!</definedName>
    <definedName name="mods_relative_abundance" localSheetId="3">glossary!$E$114</definedName>
    <definedName name="mods_relative_abundance" localSheetId="9">nametitle_modappl!#REF!</definedName>
    <definedName name="mods_rem" localSheetId="3">glossary!$E$111</definedName>
    <definedName name="mods_rem" localSheetId="9">nametitle_modappl!#REF!</definedName>
    <definedName name="mods_rest" localSheetId="3">glossary!$E$110</definedName>
    <definedName name="mods_rest" localSheetId="9">nametitle_modappl!#REF!</definedName>
    <definedName name="mods_royle_nichols" localSheetId="3">glossary!$E$115</definedName>
    <definedName name="mods_royle_nichols" localSheetId="9">nametitle_modappl!#REF!</definedName>
    <definedName name="mods_sc" localSheetId="3">glossary!$E$124</definedName>
    <definedName name="mods_sc" localSheetId="9">nametitle_modappl!#REF!</definedName>
    <definedName name="mods_scr_secr" localSheetId="3">glossary!$E$127</definedName>
    <definedName name="mods_scr_secr" localSheetId="9">nametitle_modappl!#REF!</definedName>
    <definedName name="mods_smr" localSheetId="3">glossary!$E$125</definedName>
    <definedName name="mods_smr" localSheetId="9">nametitle_modappl!#REF!</definedName>
    <definedName name="mods_ste" localSheetId="3">glossary!$E$122</definedName>
    <definedName name="mods_ste" localSheetId="9">nametitle_modappl!#REF!</definedName>
    <definedName name="mods_tifc" localSheetId="3">glossary!$E$136</definedName>
    <definedName name="mods_tifc" localSheetId="9">nametitle_modappl!#REF!</definedName>
    <definedName name="mods_tte" localSheetId="3">glossary!$E$138</definedName>
    <definedName name="mods_tte" localSheetId="9">nametitle_modappl!#REF!</definedName>
    <definedName name="mods_zero_inflation" localSheetId="3">glossary!$E$152</definedName>
    <definedName name="mods_zero_inflation" localSheetId="9">nametitle_modappl!#REF!</definedName>
    <definedName name="mods_zinb" localSheetId="3">glossary!$E$150</definedName>
    <definedName name="mods_zinb" localSheetId="9">nametitle_modappl!#REF!</definedName>
    <definedName name="mods_zip" localSheetId="3">glossary!$E$151</definedName>
    <definedName name="mods_zip" localSheetId="9">nametitle_modappl!#REF!</definedName>
    <definedName name="northing_camera_location" localSheetId="3">glossary!$E$49</definedName>
    <definedName name="northing_camera_location" localSheetId="9">nametitle_modappl!#REF!</definedName>
    <definedName name="number_of_images" localSheetId="3">glossary!#REF!</definedName>
    <definedName name="number_of_images" localSheetId="9">nametitle_modappl!#REF!</definedName>
    <definedName name="ocupancy" localSheetId="3">glossary!$E$100</definedName>
    <definedName name="ocupancy" localSheetId="9">nametitle_modappl!#REF!</definedName>
    <definedName name="project_coordinator_email" localSheetId="3">glossary!$E$51</definedName>
    <definedName name="project_coordinator_email" localSheetId="9">nametitle_modappl!#REF!</definedName>
    <definedName name="project_description" localSheetId="3">glossary!$E$53</definedName>
    <definedName name="project_description" localSheetId="9">nametitle_modappl!#REF!</definedName>
    <definedName name="project_name" localSheetId="3">glossary!$E$54</definedName>
    <definedName name="project_name" localSheetId="9">nametitle_modappl!#REF!</definedName>
    <definedName name="pseudoreplication" localSheetId="3">glossary!$E$108</definedName>
    <definedName name="pseudoreplication" localSheetId="9">nametitle_modappl!#REF!</definedName>
    <definedName name="purpose_of_visit" localSheetId="3">glossary!$E$55</definedName>
    <definedName name="purpose_of_visit" localSheetId="9">nametitle_modappl!#REF!</definedName>
    <definedName name="recovery_time" localSheetId="3">glossary!$E$112</definedName>
    <definedName name="recovery_time" localSheetId="9">nametitle_modappl!#REF!</definedName>
    <definedName name="remaining_battery_percent" localSheetId="3">glossary!#REF!</definedName>
    <definedName name="remaining_battery_percent" localSheetId="9">nametitle_modappl!#REF!</definedName>
    <definedName name="resource10_type" localSheetId="2">ISSUES!#REF!</definedName>
    <definedName name="resource11_ref_id" localSheetId="13">references!#REF!</definedName>
    <definedName name="resource12_ref_id" localSheetId="13">references!$F$438</definedName>
    <definedName name="resource2_ref_id" localSheetId="2">ISSUES!#REF!</definedName>
    <definedName name="resource3_ref_id" localSheetId="2">ISSUES!#REF!</definedName>
    <definedName name="resource4_ref_id" localSheetId="2">ISSUES!#REF!</definedName>
    <definedName name="resource5_note" localSheetId="13">references!$G$452</definedName>
    <definedName name="resource5_ref_id" localSheetId="13">references!$H$199</definedName>
    <definedName name="resource8_ref_id" localSheetId="2">ISSUES!#REF!</definedName>
    <definedName name="sample_station_name" localSheetId="3">glossary!$E$57</definedName>
    <definedName name="sample_station_name" localSheetId="9">nametitle_modappl!#REF!</definedName>
    <definedName name="sampledesign_clustered" localSheetId="3">glossary!$E$84</definedName>
    <definedName name="sampledesign_clustered" localSheetId="9">nametitle_modappl!#REF!</definedName>
    <definedName name="sampledesign_convenience" localSheetId="3">glossary!$E$85</definedName>
    <definedName name="sampledesign_convenience" localSheetId="9">nametitle_modappl!#REF!</definedName>
    <definedName name="sampledesign_paired" localSheetId="3">glossary!$E$104</definedName>
    <definedName name="sampledesign_paired" localSheetId="9">nametitle_modappl!#REF!</definedName>
    <definedName name="sampledesign_random" localSheetId="3">glossary!$E$109</definedName>
    <definedName name="sampledesign_random" localSheetId="9">nametitle_modappl!#REF!</definedName>
    <definedName name="sampledesign_stratified" localSheetId="3">glossary!$E$129</definedName>
    <definedName name="sampledesign_stratified" localSheetId="9">nametitle_modappl!#REF!</definedName>
    <definedName name="sampledesign_stratified_random" localSheetId="3">glossary!$E$130</definedName>
    <definedName name="sampledesign_stratified_random" localSheetId="9">nametitle_modappl!#REF!</definedName>
    <definedName name="sampledesign_systematic" localSheetId="3">glossary!#REF!</definedName>
    <definedName name="sampledesign_systematic" localSheetId="9">nametitle_modappl!#REF!</definedName>
    <definedName name="sampledesign_systematic_random" localSheetId="3">glossary!$E$133</definedName>
    <definedName name="sampledesign_systematic_random" localSheetId="9">nametitle_modappl!#REF!</definedName>
    <definedName name="sampledesign_targeted" localSheetId="3">glossary!$E$134</definedName>
    <definedName name="sampledesign_targeted" localSheetId="9">nametitle_modappl!#REF!</definedName>
    <definedName name="sd_card_id" localSheetId="3">glossary!#REF!</definedName>
    <definedName name="sd_card_id" localSheetId="9">nametitle_modappl!#REF!</definedName>
    <definedName name="sd_card_replaced" localSheetId="3">glossary!#REF!</definedName>
    <definedName name="sd_card_replaced" localSheetId="9">nametitle_modappl!#REF!</definedName>
    <definedName name="sd_card_status" localSheetId="3">glossary!$E$2</definedName>
    <definedName name="sd_card_status" localSheetId="9">nametitle_modappl!#REF!</definedName>
    <definedName name="security" localSheetId="3">glossary!$E$3</definedName>
    <definedName name="security" localSheetId="9">nametitle_modappl!#REF!</definedName>
    <definedName name="sequence_name" localSheetId="3">glossary!$E$58</definedName>
    <definedName name="sequence_name" localSheetId="9">nametitle_modappl!#REF!</definedName>
    <definedName name="service_retrieval_comments" localSheetId="3">glossary!$E$4</definedName>
    <definedName name="service_retrieval_comments" localSheetId="9">nametitle_modappl!#REF!</definedName>
    <definedName name="service_retrieval_crew" localSheetId="3">glossary!$E$59</definedName>
    <definedName name="service_retrieval_crew" localSheetId="9">nametitle_modappl!#REF!</definedName>
    <definedName name="service_retrieval_metadata" localSheetId="3">glossary!$E$120</definedName>
    <definedName name="service_retrieval_metadata" localSheetId="9">nametitle_modappl!#REF!</definedName>
    <definedName name="service_retrieval_visit" localSheetId="3">glossary!$E$121</definedName>
    <definedName name="service_retrieval_visit" localSheetId="9">nametitle_modappl!#REF!</definedName>
    <definedName name="settings_flash_output" localSheetId="3">glossary!#REF!</definedName>
    <definedName name="settings_flash_output" localSheetId="9">nametitle_modappl!#REF!</definedName>
    <definedName name="settings_infrared_illum" localSheetId="3">glossary!#REF!</definedName>
    <definedName name="settings_infrared_illum" localSheetId="9">nametitle_modappl!#REF!</definedName>
    <definedName name="settings_motion_image_interval" localSheetId="3">glossary!$E$44</definedName>
    <definedName name="settings_motion_image_interval" localSheetId="9">nametitle_modappl!#REF!</definedName>
    <definedName name="settings_photos_per_trigger" localSheetId="3">glossary!$E$50</definedName>
    <definedName name="settings_photos_per_trigger" localSheetId="9">nametitle_modappl!#REF!</definedName>
    <definedName name="settings_quiet_period" localSheetId="3">glossary!$E$56</definedName>
    <definedName name="settings_quiet_period" localSheetId="9">nametitle_modappl!#REF!</definedName>
    <definedName name="settings_trigger_modes" localSheetId="3">glossary!$E$72</definedName>
    <definedName name="settings_trigger_modes" localSheetId="9">nametitle_modappl!#REF!</definedName>
    <definedName name="settings_trigger_sensitivity" localSheetId="3">glossary!$E$73</definedName>
    <definedName name="settings_trigger_sensitivity" localSheetId="9">nametitle_modappl!#REF!</definedName>
    <definedName name="settings_userlabel" localSheetId="3">glossary!$E$143</definedName>
    <definedName name="settings_userlabel" localSheetId="9">nametitle_modappl!#REF!</definedName>
    <definedName name="settings_video_length" localSheetId="3">glossary!$E$13</definedName>
    <definedName name="settings_video_length" localSheetId="9">nametitle_modappl!#REF!</definedName>
    <definedName name="spatial_autocorrelation" localSheetId="3">glossary!$E$123</definedName>
    <definedName name="spatial_autocorrelation" localSheetId="9">nametitle_modappl!#REF!</definedName>
    <definedName name="species" localSheetId="3">glossary!$E$61</definedName>
    <definedName name="species" localSheetId="9">nametitle_modappl!#REF!</definedName>
    <definedName name="stake_distance" localSheetId="3">glossary!$E$10</definedName>
    <definedName name="stake_distance" localSheetId="9">nametitle_modappl!#REF!</definedName>
    <definedName name="state_variable" localSheetId="3">glossary!$E$128</definedName>
    <definedName name="state_variable" localSheetId="9">nametitle_modappl!#REF!</definedName>
    <definedName name="study_area_description" localSheetId="3">glossary!$E$62</definedName>
    <definedName name="study_area_description" localSheetId="9">nametitle_modappl!#REF!</definedName>
    <definedName name="study_area_name" localSheetId="3">glossary!$E$63</definedName>
    <definedName name="study_area_name" localSheetId="9">nametitle_modappl!#REF!</definedName>
    <definedName name="survey_design_description" localSheetId="3">glossary!$E$11</definedName>
    <definedName name="survey_design_description" localSheetId="9">nametitle_modappl!#REF!</definedName>
    <definedName name="survey_name" localSheetId="3">glossary!$E$68</definedName>
    <definedName name="survey_name" localSheetId="9">nametitle_modappl!#REF!</definedName>
    <definedName name="survey_objectives" localSheetId="3">glossary!$E$69</definedName>
    <definedName name="survey_objectives" localSheetId="9">nametitle_modappl!#REF!</definedName>
    <definedName name="tags_age_class" localSheetId="3">glossary!$E$19</definedName>
    <definedName name="tags_age_class" localSheetId="9">nametitle_modappl!#REF!</definedName>
    <definedName name="tags_sex_class" localSheetId="3">glossary!$E$60</definedName>
    <definedName name="tags_sex_class" localSheetId="9">nametitle_modappl!#REF!</definedName>
    <definedName name="target_species" localSheetId="3">glossary!$E$71</definedName>
    <definedName name="target_species" localSheetId="9">nametitle_modappl!#REF!</definedName>
    <definedName name="test_image_taken" localSheetId="3">glossary!$E$12</definedName>
    <definedName name="test_image_taken" localSheetId="9">nametitle_modappl!#REF!</definedName>
    <definedName name="timelapse_image" localSheetId="3">glossary!$E$137</definedName>
    <definedName name="timelapse_image" localSheetId="9">nametitle_modappl!#REF!</definedName>
    <definedName name="total_number_of_camera_days" localSheetId="3">glossary!$E$139</definedName>
    <definedName name="total_number_of_camera_days" localSheetId="9">nametitle_modappl!#REF!</definedName>
    <definedName name="trigger_event" localSheetId="3">glossary!$E$140</definedName>
    <definedName name="trigger_event" localSheetId="9">nametitle_modappl!#REF!</definedName>
    <definedName name="trigger_speed" localSheetId="3">glossary!$E$141</definedName>
    <definedName name="trigger_speed" localSheetId="9">nametitle_modappl!#REF!</definedName>
    <definedName name="typeid_marked" localSheetId="3">glossary!#REF!</definedName>
    <definedName name="typeid_marked" localSheetId="9">nametitle_modappl!#REF!</definedName>
    <definedName name="typeid_partially_marked" localSheetId="3">glossary!$E$105</definedName>
    <definedName name="typeid_partially_marked" localSheetId="9">nametitle_modappl!#REF!</definedName>
    <definedName name="typeid_unmarked" localSheetId="3">glossary!$E$142</definedName>
    <definedName name="typeid_unmarked" localSheetId="9">nametitle_modappl!#REF!</definedName>
    <definedName name="utm_zone_camera_location" localSheetId="3">glossary!$E$74</definedName>
    <definedName name="utm_zone_camera_location" localSheetId="9">nametitle_modappl!#REF!</definedName>
    <definedName name="vid1_url" localSheetId="13">references!$M$500</definedName>
    <definedName name="vid2_caption" localSheetId="13">references!#REF!</definedName>
    <definedName name="vid2_url" localSheetId="13">references!#REF!</definedName>
    <definedName name="vid3_caption" localSheetId="13">references!#REF!</definedName>
    <definedName name="vid3_url" localSheetId="13">references!#REF!</definedName>
    <definedName name="vid4_caption" localSheetId="13">references!#REF!</definedName>
    <definedName name="vid4_url" localSheetId="13">references!#REF!</definedName>
    <definedName name="vid5_caption" localSheetId="13">references!#REF!</definedName>
    <definedName name="vid5_url" localSheetId="13">references!#REF!</definedName>
    <definedName name="visit_comments" localSheetId="3">glossary!$E$14</definedName>
    <definedName name="visit_comments" localSheetId="9">nametitle_modappl!#REF!</definedName>
    <definedName name="visit_metadata" localSheetId="3">glossary!$E$147</definedName>
    <definedName name="visit_metadata" localSheetId="9">nametitle_modappl!#REF!</definedName>
    <definedName name="walktest_complete" localSheetId="3">glossary!$E$15</definedName>
    <definedName name="walktest_complete" localSheetId="9">nametitle_modappl!#REF!</definedName>
    <definedName name="walktest_distance" localSheetId="3">glossary!$E$16</definedName>
    <definedName name="walktest_distance" localSheetId="9">nametitle_modappl!#REF!</definedName>
    <definedName name="walktest_height" localSheetId="3">glossary!$E$17</definedName>
    <definedName name="walktest_height" localSheetId="9">nametitle_modappl!#REF!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5" i="69" l="1"/>
  <c r="R4" i="69"/>
  <c r="R6" i="69"/>
  <c r="R7" i="69"/>
  <c r="R8" i="69"/>
  <c r="R9" i="69"/>
  <c r="R10" i="69"/>
  <c r="R11" i="69"/>
  <c r="R12" i="69"/>
  <c r="R13" i="69"/>
  <c r="R14" i="69"/>
  <c r="R15" i="69"/>
  <c r="R16" i="69"/>
  <c r="R17" i="69"/>
  <c r="R18" i="69"/>
  <c r="R19" i="69"/>
  <c r="R20" i="69"/>
  <c r="R21" i="69"/>
  <c r="R22" i="69"/>
  <c r="R23" i="69"/>
  <c r="R24" i="69"/>
  <c r="R25" i="69"/>
  <c r="R26" i="69"/>
  <c r="R28" i="69"/>
  <c r="R29" i="69"/>
  <c r="R30" i="69"/>
  <c r="R27" i="69"/>
  <c r="R31" i="69"/>
  <c r="R32" i="69"/>
  <c r="R33" i="69"/>
  <c r="R34" i="69"/>
  <c r="R35" i="69"/>
  <c r="R36" i="69"/>
  <c r="R37" i="69"/>
  <c r="R38" i="69"/>
  <c r="R39" i="69"/>
  <c r="R40" i="69"/>
  <c r="R42" i="69"/>
  <c r="R43" i="69"/>
  <c r="R41" i="69"/>
  <c r="R44" i="69"/>
  <c r="R45" i="69"/>
  <c r="R46" i="69"/>
  <c r="R47" i="69"/>
  <c r="R48" i="69"/>
  <c r="R49" i="69"/>
  <c r="R50" i="69"/>
  <c r="R51" i="69"/>
  <c r="R53" i="69"/>
  <c r="R54" i="69"/>
  <c r="R52" i="69"/>
  <c r="R57" i="69"/>
  <c r="R56" i="69"/>
  <c r="R55" i="69"/>
  <c r="R58" i="69"/>
  <c r="R59" i="69"/>
  <c r="R60" i="69"/>
  <c r="R61" i="69"/>
  <c r="R62" i="69"/>
  <c r="R63" i="69"/>
  <c r="R64" i="69"/>
  <c r="R65" i="69"/>
  <c r="R66" i="69"/>
  <c r="R67" i="69"/>
  <c r="R68" i="69"/>
  <c r="R69" i="69"/>
  <c r="R70" i="69"/>
  <c r="R71" i="69"/>
  <c r="R72" i="69"/>
  <c r="R73" i="69"/>
  <c r="R74" i="69"/>
  <c r="R75" i="69"/>
  <c r="R76" i="69"/>
  <c r="R78" i="69"/>
  <c r="R77" i="69"/>
  <c r="R79" i="69"/>
  <c r="R80" i="69"/>
  <c r="R81" i="69"/>
  <c r="R82" i="69"/>
  <c r="R84" i="69"/>
  <c r="R85" i="69"/>
  <c r="R86" i="69"/>
  <c r="R83" i="69"/>
  <c r="R87" i="69"/>
  <c r="R88" i="69"/>
  <c r="R89" i="69"/>
  <c r="R90" i="69"/>
  <c r="R91" i="69"/>
  <c r="R92" i="69"/>
  <c r="R93" i="69"/>
  <c r="R94" i="69"/>
  <c r="R95" i="69"/>
  <c r="R96" i="69"/>
  <c r="R97" i="69"/>
  <c r="R98" i="69"/>
  <c r="R99" i="69"/>
  <c r="R100" i="69"/>
  <c r="R101" i="69"/>
  <c r="R102" i="69"/>
  <c r="R103" i="69"/>
  <c r="R104" i="69"/>
  <c r="R105" i="69"/>
  <c r="R106" i="69"/>
  <c r="R107" i="69"/>
  <c r="R108" i="69"/>
  <c r="R109" i="69"/>
  <c r="R110" i="69"/>
  <c r="R116" i="69"/>
  <c r="R117" i="69"/>
  <c r="R118" i="69"/>
  <c r="R121" i="69"/>
  <c r="R119" i="69"/>
  <c r="R120" i="69"/>
  <c r="R111" i="69"/>
  <c r="R115" i="69"/>
  <c r="R112" i="69"/>
  <c r="R113" i="69"/>
  <c r="R114" i="69"/>
  <c r="R122" i="69"/>
  <c r="R123" i="69"/>
  <c r="R124" i="69"/>
  <c r="R125" i="69"/>
  <c r="R126" i="69"/>
  <c r="R127" i="69"/>
  <c r="R128" i="69"/>
  <c r="R129" i="69"/>
  <c r="R130" i="69"/>
  <c r="R131" i="69"/>
  <c r="R139" i="69"/>
  <c r="R140" i="69"/>
  <c r="R132" i="69"/>
  <c r="R133" i="69"/>
  <c r="R134" i="69"/>
  <c r="R135" i="69"/>
  <c r="R136" i="69"/>
  <c r="R137" i="69"/>
  <c r="R138" i="69"/>
  <c r="R141" i="69"/>
  <c r="R142" i="69"/>
  <c r="R143" i="69"/>
  <c r="R144" i="69"/>
  <c r="R233" i="69"/>
  <c r="R146" i="69"/>
  <c r="R147" i="69"/>
  <c r="R148" i="69"/>
  <c r="R149" i="69"/>
  <c r="R150" i="69"/>
  <c r="R151" i="69"/>
  <c r="R152" i="69"/>
  <c r="R153" i="69"/>
  <c r="R154" i="69"/>
  <c r="R155" i="69"/>
  <c r="R157" i="69"/>
  <c r="R156" i="69"/>
  <c r="R158" i="69"/>
  <c r="R159" i="69"/>
  <c r="R160" i="69"/>
  <c r="R161" i="69"/>
  <c r="R162" i="69"/>
  <c r="R163" i="69"/>
  <c r="R166" i="69"/>
  <c r="R165" i="69"/>
  <c r="R164" i="69"/>
  <c r="R167" i="69"/>
  <c r="R169" i="69"/>
  <c r="R168" i="69"/>
  <c r="R170" i="69"/>
  <c r="R171" i="69"/>
  <c r="R172" i="69"/>
  <c r="R173" i="69"/>
  <c r="R174" i="69"/>
  <c r="R175" i="69"/>
  <c r="R176" i="69"/>
  <c r="R177" i="69"/>
  <c r="R178" i="69"/>
  <c r="R179" i="69"/>
  <c r="R180" i="69"/>
  <c r="R181" i="69"/>
  <c r="R182" i="69"/>
  <c r="R183" i="69"/>
  <c r="R184" i="69"/>
  <c r="R185" i="69"/>
  <c r="R188" i="69"/>
  <c r="R187" i="69"/>
  <c r="R186" i="69"/>
  <c r="R189" i="69"/>
  <c r="R190" i="69"/>
  <c r="R191" i="69"/>
  <c r="R192" i="69"/>
  <c r="R193" i="69"/>
  <c r="R194" i="69"/>
  <c r="R195" i="69"/>
  <c r="R196" i="69"/>
  <c r="R198" i="69"/>
  <c r="R197" i="69"/>
  <c r="R199" i="69"/>
  <c r="R200" i="69"/>
  <c r="R201" i="69"/>
  <c r="R202" i="69"/>
  <c r="R203" i="69"/>
  <c r="R204" i="69"/>
  <c r="R205" i="69"/>
  <c r="R206" i="69"/>
  <c r="R207" i="69"/>
  <c r="R208" i="69"/>
  <c r="R209" i="69"/>
  <c r="R210" i="69"/>
  <c r="R211" i="69"/>
  <c r="R212" i="69"/>
  <c r="R213" i="69"/>
  <c r="R214" i="69"/>
  <c r="R215" i="69"/>
  <c r="R216" i="69"/>
  <c r="R217" i="69"/>
  <c r="R218" i="69"/>
  <c r="R219" i="69"/>
  <c r="R221" i="69"/>
  <c r="R223" i="69"/>
  <c r="R222" i="69"/>
  <c r="R220" i="69"/>
  <c r="R224" i="69"/>
  <c r="R227" i="69"/>
  <c r="R228" i="69"/>
  <c r="R225" i="69"/>
  <c r="R226" i="69"/>
  <c r="R229" i="69"/>
  <c r="R231" i="69"/>
  <c r="R230" i="69"/>
  <c r="R232" i="69"/>
  <c r="R145" i="69"/>
  <c r="R234" i="69"/>
  <c r="R235" i="69"/>
  <c r="R236" i="69"/>
  <c r="R237" i="69"/>
  <c r="R238" i="69"/>
  <c r="R240" i="69"/>
  <c r="R239" i="69"/>
  <c r="R241" i="69"/>
  <c r="R242" i="69"/>
  <c r="R243" i="69"/>
  <c r="R244" i="69"/>
  <c r="R245" i="69"/>
  <c r="R246" i="69"/>
  <c r="R247" i="69"/>
  <c r="R248" i="69"/>
  <c r="R249" i="69"/>
  <c r="R250" i="69"/>
  <c r="R251" i="69"/>
  <c r="R252" i="69"/>
  <c r="R253" i="69"/>
  <c r="R254" i="69"/>
  <c r="R255" i="69"/>
  <c r="R256" i="69"/>
  <c r="R258" i="69"/>
  <c r="R259" i="69"/>
  <c r="R257" i="69"/>
  <c r="R260" i="69"/>
  <c r="R261" i="69"/>
  <c r="R262" i="69"/>
  <c r="R263" i="69"/>
  <c r="R264" i="69"/>
  <c r="R267" i="69"/>
  <c r="R266" i="69"/>
  <c r="R265" i="69"/>
  <c r="R268" i="69"/>
  <c r="R269" i="69"/>
  <c r="R270" i="69"/>
  <c r="R271" i="69"/>
  <c r="R272" i="69"/>
  <c r="R273" i="69"/>
  <c r="R274" i="69"/>
  <c r="R275" i="69"/>
  <c r="R277" i="69"/>
  <c r="R276" i="69"/>
  <c r="R278" i="69"/>
  <c r="R279" i="69"/>
  <c r="R280" i="69"/>
  <c r="R281" i="69"/>
  <c r="R282" i="69"/>
  <c r="R283" i="69"/>
  <c r="R284" i="69"/>
  <c r="R287" i="69"/>
  <c r="R286" i="69"/>
  <c r="R285" i="69"/>
  <c r="R288" i="69"/>
  <c r="R289" i="69"/>
  <c r="R290" i="69"/>
  <c r="R293" i="69"/>
  <c r="R291" i="69"/>
  <c r="R292" i="69"/>
  <c r="R294" i="69"/>
  <c r="R295" i="69"/>
  <c r="R296" i="69"/>
  <c r="R297" i="69"/>
  <c r="R298" i="69"/>
  <c r="R299" i="69"/>
  <c r="R300" i="69"/>
  <c r="R301" i="69"/>
  <c r="R302" i="69"/>
  <c r="R304" i="69"/>
  <c r="R303" i="69"/>
  <c r="R305" i="69"/>
  <c r="R306" i="69"/>
  <c r="R307" i="69"/>
  <c r="R308" i="69"/>
  <c r="R309" i="69"/>
  <c r="R310" i="69"/>
  <c r="R313" i="69"/>
  <c r="R314" i="69"/>
  <c r="R312" i="69"/>
  <c r="R315" i="69"/>
  <c r="R316" i="69"/>
  <c r="R317" i="69"/>
  <c r="R318" i="69"/>
  <c r="R320" i="69"/>
  <c r="R319" i="69"/>
  <c r="R321" i="69"/>
  <c r="R323" i="69"/>
  <c r="R324" i="69"/>
  <c r="R326" i="69"/>
  <c r="R322" i="69"/>
  <c r="R325" i="69"/>
  <c r="R328" i="69"/>
  <c r="R327" i="69"/>
  <c r="R329" i="69"/>
  <c r="R330" i="69"/>
  <c r="R331" i="69"/>
  <c r="R332" i="69"/>
  <c r="R333" i="69"/>
  <c r="R334" i="69"/>
  <c r="R335" i="69"/>
  <c r="R336" i="69"/>
  <c r="R338" i="69"/>
  <c r="R339" i="69"/>
  <c r="R337" i="69"/>
  <c r="R340" i="69"/>
  <c r="R341" i="69"/>
  <c r="R342" i="69"/>
  <c r="R343" i="69"/>
  <c r="R344" i="69"/>
  <c r="R345" i="69"/>
  <c r="R346" i="69"/>
  <c r="R347" i="69"/>
  <c r="R348" i="69"/>
  <c r="R349" i="69"/>
  <c r="R350" i="69"/>
  <c r="R351" i="69"/>
  <c r="R352" i="69"/>
  <c r="R353" i="69"/>
  <c r="R354" i="69"/>
  <c r="R356" i="69"/>
  <c r="R357" i="69"/>
  <c r="R355" i="69"/>
  <c r="R358" i="69"/>
  <c r="R359" i="69"/>
  <c r="R360" i="69"/>
  <c r="R311" i="69"/>
  <c r="R361" i="69"/>
  <c r="R362" i="69"/>
  <c r="R363" i="69"/>
  <c r="R364" i="69"/>
  <c r="R365" i="69"/>
  <c r="R366" i="69"/>
  <c r="R367" i="69"/>
  <c r="R368" i="69"/>
  <c r="R369" i="69"/>
  <c r="R370" i="69"/>
  <c r="R371" i="69"/>
  <c r="R372" i="69"/>
  <c r="R373" i="69"/>
  <c r="R374" i="69"/>
  <c r="R375" i="69"/>
  <c r="R376" i="69"/>
  <c r="R377" i="69"/>
  <c r="R378" i="69"/>
  <c r="R379" i="69"/>
  <c r="R380" i="69"/>
  <c r="R386" i="69"/>
  <c r="R382" i="69"/>
  <c r="R383" i="69"/>
  <c r="R381" i="69"/>
  <c r="R384" i="69"/>
  <c r="R385" i="69"/>
  <c r="R390" i="69"/>
  <c r="R391" i="69"/>
  <c r="R392" i="69"/>
  <c r="R393" i="69"/>
  <c r="R395" i="69"/>
  <c r="R396" i="69"/>
  <c r="R394" i="69"/>
  <c r="R389" i="69"/>
  <c r="R387" i="69"/>
  <c r="R388" i="69"/>
  <c r="R397" i="69"/>
  <c r="R398" i="69"/>
  <c r="R399" i="69"/>
  <c r="R400" i="69"/>
  <c r="R401" i="69"/>
  <c r="R402" i="69"/>
  <c r="R403" i="69"/>
  <c r="R404" i="69"/>
  <c r="R405" i="69"/>
  <c r="R406" i="69"/>
  <c r="R407" i="69"/>
  <c r="R408" i="69"/>
  <c r="R409" i="69"/>
  <c r="R410" i="69"/>
  <c r="R411" i="69"/>
  <c r="R412" i="69"/>
  <c r="R413" i="69"/>
  <c r="R414" i="69"/>
  <c r="R415" i="69"/>
  <c r="R416" i="69"/>
  <c r="R417" i="69"/>
  <c r="R418" i="69"/>
  <c r="R420" i="69"/>
  <c r="R421" i="69"/>
  <c r="R422" i="69"/>
  <c r="R423" i="69"/>
  <c r="R424" i="69"/>
  <c r="R419" i="69"/>
  <c r="R426" i="69"/>
  <c r="R425" i="69"/>
  <c r="R427" i="69"/>
  <c r="R428" i="69"/>
  <c r="R429" i="69"/>
  <c r="R430" i="69"/>
  <c r="R434" i="69"/>
  <c r="R431" i="69"/>
  <c r="R433" i="69"/>
  <c r="R432" i="69"/>
  <c r="R435" i="69"/>
  <c r="R436" i="69"/>
  <c r="R438" i="69"/>
  <c r="R437" i="69"/>
  <c r="R439" i="69"/>
  <c r="R440" i="69"/>
  <c r="R441" i="69"/>
  <c r="R442" i="69"/>
  <c r="R443" i="69"/>
  <c r="R444" i="69"/>
  <c r="R445" i="69"/>
  <c r="R446" i="69"/>
  <c r="R447" i="69"/>
  <c r="R448" i="69"/>
  <c r="R449" i="69"/>
  <c r="R450" i="69"/>
  <c r="R451" i="69"/>
  <c r="R452" i="69"/>
  <c r="R454" i="69"/>
  <c r="R453" i="69"/>
  <c r="R455" i="69"/>
  <c r="R456" i="69"/>
  <c r="R457" i="69"/>
  <c r="R458" i="69"/>
  <c r="R459" i="69"/>
  <c r="R461" i="69"/>
  <c r="R460" i="69"/>
  <c r="R462" i="69"/>
  <c r="R463" i="69"/>
  <c r="R464" i="69"/>
  <c r="R465" i="69"/>
  <c r="R466" i="69"/>
  <c r="R467" i="69"/>
  <c r="R468" i="69"/>
  <c r="R469" i="69"/>
  <c r="R470" i="69"/>
  <c r="R471" i="69"/>
  <c r="R472" i="69"/>
  <c r="R473" i="69"/>
  <c r="R474" i="69"/>
  <c r="R475" i="69"/>
  <c r="R476" i="69"/>
  <c r="R477" i="69"/>
  <c r="R478" i="69"/>
  <c r="R479" i="69"/>
  <c r="R480" i="69"/>
  <c r="R481" i="69"/>
  <c r="R483" i="69"/>
  <c r="R482" i="69"/>
  <c r="R484" i="69"/>
  <c r="R485" i="69"/>
  <c r="R486" i="69"/>
  <c r="R487" i="69"/>
  <c r="R488" i="69"/>
  <c r="R489" i="69"/>
  <c r="R490" i="69"/>
  <c r="R491" i="69"/>
  <c r="R492" i="69"/>
  <c r="R493" i="69"/>
  <c r="R494" i="69"/>
  <c r="R495" i="69"/>
  <c r="R496" i="69"/>
  <c r="R497" i="69"/>
  <c r="R498" i="69"/>
  <c r="R499" i="69"/>
  <c r="R500" i="69"/>
  <c r="R501" i="69"/>
  <c r="R502" i="69"/>
  <c r="R503" i="69"/>
  <c r="R504" i="69"/>
  <c r="R505" i="69"/>
  <c r="R506" i="69"/>
  <c r="R507" i="69"/>
  <c r="R3" i="69"/>
  <c r="S3" i="69"/>
  <c r="S379" i="69" l="1"/>
  <c r="N379" i="69"/>
  <c r="S69" i="69"/>
  <c r="S412" i="69"/>
  <c r="S413" i="69"/>
  <c r="S67" i="69"/>
  <c r="S126" i="69"/>
  <c r="Q379" i="69"/>
  <c r="Q69" i="69"/>
  <c r="Q412" i="69"/>
  <c r="Q413" i="69"/>
  <c r="Q67" i="69"/>
  <c r="Q126" i="69"/>
  <c r="N69" i="69"/>
  <c r="N412" i="69"/>
  <c r="N413" i="69"/>
  <c r="N67" i="69"/>
  <c r="N126" i="69"/>
  <c r="N3" i="69"/>
  <c r="N5" i="69"/>
  <c r="N4" i="69"/>
  <c r="N6" i="69"/>
  <c r="N7" i="69"/>
  <c r="N8" i="69"/>
  <c r="N9" i="69"/>
  <c r="N2" i="69"/>
  <c r="N10" i="69"/>
  <c r="N11" i="69"/>
  <c r="N12" i="69"/>
  <c r="N13" i="69"/>
  <c r="N14" i="69"/>
  <c r="N15" i="69"/>
  <c r="N16" i="69"/>
  <c r="N17" i="69"/>
  <c r="N18" i="69"/>
  <c r="N19" i="69"/>
  <c r="N20" i="69"/>
  <c r="N21" i="69"/>
  <c r="N22" i="69"/>
  <c r="N23" i="69"/>
  <c r="N24" i="69"/>
  <c r="N25" i="69"/>
  <c r="N26" i="69"/>
  <c r="N28" i="69"/>
  <c r="N29" i="69"/>
  <c r="N30" i="69"/>
  <c r="N27" i="69"/>
  <c r="N31" i="69"/>
  <c r="N32" i="69"/>
  <c r="N33" i="69"/>
  <c r="N34" i="69"/>
  <c r="N35" i="69"/>
  <c r="N36" i="69"/>
  <c r="N37" i="69"/>
  <c r="N38" i="69"/>
  <c r="N39" i="69"/>
  <c r="N40" i="69"/>
  <c r="N42" i="69"/>
  <c r="N43" i="69"/>
  <c r="N41" i="69"/>
  <c r="N44" i="69"/>
  <c r="N45" i="69"/>
  <c r="N46" i="69"/>
  <c r="N47" i="69"/>
  <c r="N48" i="69"/>
  <c r="N49" i="69"/>
  <c r="N50" i="69"/>
  <c r="N51" i="69"/>
  <c r="N53" i="69"/>
  <c r="N54" i="69"/>
  <c r="N52" i="69"/>
  <c r="N57" i="69"/>
  <c r="N56" i="69"/>
  <c r="N55" i="69"/>
  <c r="N58" i="69"/>
  <c r="N59" i="69"/>
  <c r="N60" i="69"/>
  <c r="N61" i="69"/>
  <c r="N62" i="69"/>
  <c r="N63" i="69"/>
  <c r="N64" i="69"/>
  <c r="N65" i="69"/>
  <c r="N66" i="69"/>
  <c r="N68" i="69"/>
  <c r="N70" i="69"/>
  <c r="N71" i="69"/>
  <c r="N72" i="69"/>
  <c r="N73" i="69"/>
  <c r="N74" i="69"/>
  <c r="N75" i="69"/>
  <c r="N76" i="69"/>
  <c r="N78" i="69"/>
  <c r="N77" i="69"/>
  <c r="N79" i="69"/>
  <c r="N80" i="69"/>
  <c r="N81" i="69"/>
  <c r="N82" i="69"/>
  <c r="N84" i="69"/>
  <c r="N85" i="69"/>
  <c r="N86" i="69"/>
  <c r="N83" i="69"/>
  <c r="N87" i="69"/>
  <c r="N88" i="69"/>
  <c r="N89" i="69"/>
  <c r="N90" i="69"/>
  <c r="N91" i="69"/>
  <c r="N92" i="69"/>
  <c r="N93" i="69"/>
  <c r="N94" i="69"/>
  <c r="N95" i="69"/>
  <c r="N96" i="69"/>
  <c r="N97" i="69"/>
  <c r="N98" i="69"/>
  <c r="N99" i="69"/>
  <c r="N100" i="69"/>
  <c r="N101" i="69"/>
  <c r="N102" i="69"/>
  <c r="N103" i="69"/>
  <c r="N104" i="69"/>
  <c r="N105" i="69"/>
  <c r="N106" i="69"/>
  <c r="N107" i="69"/>
  <c r="N108" i="69"/>
  <c r="N109" i="69"/>
  <c r="N110" i="69"/>
  <c r="N116" i="69"/>
  <c r="N117" i="69"/>
  <c r="N118" i="69"/>
  <c r="N121" i="69"/>
  <c r="N119" i="69"/>
  <c r="N120" i="69"/>
  <c r="N111" i="69"/>
  <c r="N115" i="69"/>
  <c r="N112" i="69"/>
  <c r="N113" i="69"/>
  <c r="N114" i="69"/>
  <c r="N122" i="69"/>
  <c r="N123" i="69"/>
  <c r="N124" i="69"/>
  <c r="N125" i="69"/>
  <c r="N127" i="69"/>
  <c r="N128" i="69"/>
  <c r="N129" i="69"/>
  <c r="N130" i="69"/>
  <c r="N131" i="69"/>
  <c r="N139" i="69"/>
  <c r="N140" i="69"/>
  <c r="N132" i="69"/>
  <c r="N133" i="69"/>
  <c r="N134" i="69"/>
  <c r="N135" i="69"/>
  <c r="N136" i="69"/>
  <c r="N137" i="69"/>
  <c r="N138" i="69"/>
  <c r="N141" i="69"/>
  <c r="N142" i="69"/>
  <c r="N143" i="69"/>
  <c r="N144" i="69"/>
  <c r="N233" i="69"/>
  <c r="N146" i="69"/>
  <c r="N147" i="69"/>
  <c r="N148" i="69"/>
  <c r="N149" i="69"/>
  <c r="N150" i="69"/>
  <c r="N151" i="69"/>
  <c r="N152" i="69"/>
  <c r="N153" i="69"/>
  <c r="N154" i="69"/>
  <c r="N155" i="69"/>
  <c r="N157" i="69"/>
  <c r="N156" i="69"/>
  <c r="N158" i="69"/>
  <c r="N159" i="69"/>
  <c r="N160" i="69"/>
  <c r="N161" i="69"/>
  <c r="N162" i="69"/>
  <c r="N163" i="69"/>
  <c r="N166" i="69"/>
  <c r="N165" i="69"/>
  <c r="N164" i="69"/>
  <c r="N167" i="69"/>
  <c r="N169" i="69"/>
  <c r="N168" i="69"/>
  <c r="N170" i="69"/>
  <c r="N171" i="69"/>
  <c r="N172" i="69"/>
  <c r="N173" i="69"/>
  <c r="N174" i="69"/>
  <c r="N175" i="69"/>
  <c r="N176" i="69"/>
  <c r="N177" i="69"/>
  <c r="N178" i="69"/>
  <c r="N179" i="69"/>
  <c r="N180" i="69"/>
  <c r="N181" i="69"/>
  <c r="N182" i="69"/>
  <c r="N183" i="69"/>
  <c r="N184" i="69"/>
  <c r="N185" i="69"/>
  <c r="N188" i="69"/>
  <c r="N187" i="69"/>
  <c r="N186" i="69"/>
  <c r="N189" i="69"/>
  <c r="N190" i="69"/>
  <c r="N191" i="69"/>
  <c r="N192" i="69"/>
  <c r="N193" i="69"/>
  <c r="N194" i="69"/>
  <c r="N195" i="69"/>
  <c r="N196" i="69"/>
  <c r="N198" i="69"/>
  <c r="N197" i="69"/>
  <c r="N199" i="69"/>
  <c r="N200" i="69"/>
  <c r="N201" i="69"/>
  <c r="N202" i="69"/>
  <c r="N203" i="69"/>
  <c r="N204" i="69"/>
  <c r="N205" i="69"/>
  <c r="N206" i="69"/>
  <c r="N207" i="69"/>
  <c r="N208" i="69"/>
  <c r="N209" i="69"/>
  <c r="N210" i="69"/>
  <c r="N211" i="69"/>
  <c r="N212" i="69"/>
  <c r="N213" i="69"/>
  <c r="N214" i="69"/>
  <c r="N215" i="69"/>
  <c r="N216" i="69"/>
  <c r="N217" i="69"/>
  <c r="N218" i="69"/>
  <c r="N219" i="69"/>
  <c r="N221" i="69"/>
  <c r="N223" i="69"/>
  <c r="N222" i="69"/>
  <c r="N220" i="69"/>
  <c r="N224" i="69"/>
  <c r="N227" i="69"/>
  <c r="N228" i="69"/>
  <c r="N225" i="69"/>
  <c r="N226" i="69"/>
  <c r="N229" i="69"/>
  <c r="N231" i="69"/>
  <c r="N230" i="69"/>
  <c r="N232" i="69"/>
  <c r="N145" i="69"/>
  <c r="N234" i="69"/>
  <c r="N235" i="69"/>
  <c r="N236" i="69"/>
  <c r="N237" i="69"/>
  <c r="N238" i="69"/>
  <c r="N240" i="69"/>
  <c r="N239" i="69"/>
  <c r="N241" i="69"/>
  <c r="N242" i="69"/>
  <c r="N243" i="69"/>
  <c r="N244" i="69"/>
  <c r="N245" i="69"/>
  <c r="N246" i="69"/>
  <c r="N247" i="69"/>
  <c r="N248" i="69"/>
  <c r="N249" i="69"/>
  <c r="N250" i="69"/>
  <c r="N251" i="69"/>
  <c r="N252" i="69"/>
  <c r="N253" i="69"/>
  <c r="N254" i="69"/>
  <c r="N255" i="69"/>
  <c r="N256" i="69"/>
  <c r="N258" i="69"/>
  <c r="N259" i="69"/>
  <c r="N257" i="69"/>
  <c r="N260" i="69"/>
  <c r="N261" i="69"/>
  <c r="N262" i="69"/>
  <c r="N263" i="69"/>
  <c r="N264" i="69"/>
  <c r="N267" i="69"/>
  <c r="N266" i="69"/>
  <c r="N265" i="69"/>
  <c r="N268" i="69"/>
  <c r="N269" i="69"/>
  <c r="N270" i="69"/>
  <c r="N271" i="69"/>
  <c r="N272" i="69"/>
  <c r="N273" i="69"/>
  <c r="N274" i="69"/>
  <c r="N275" i="69"/>
  <c r="N277" i="69"/>
  <c r="N276" i="69"/>
  <c r="N278" i="69"/>
  <c r="N279" i="69"/>
  <c r="N280" i="69"/>
  <c r="N281" i="69"/>
  <c r="N282" i="69"/>
  <c r="N283" i="69"/>
  <c r="N284" i="69"/>
  <c r="N287" i="69"/>
  <c r="N286" i="69"/>
  <c r="N285" i="69"/>
  <c r="N288" i="69"/>
  <c r="N289" i="69"/>
  <c r="N290" i="69"/>
  <c r="N293" i="69"/>
  <c r="N291" i="69"/>
  <c r="N292" i="69"/>
  <c r="N294" i="69"/>
  <c r="N295" i="69"/>
  <c r="N296" i="69"/>
  <c r="N297" i="69"/>
  <c r="N298" i="69"/>
  <c r="N299" i="69"/>
  <c r="N300" i="69"/>
  <c r="N301" i="69"/>
  <c r="N302" i="69"/>
  <c r="N304" i="69"/>
  <c r="N303" i="69"/>
  <c r="N305" i="69"/>
  <c r="N306" i="69"/>
  <c r="N307" i="69"/>
  <c r="N308" i="69"/>
  <c r="N309" i="69"/>
  <c r="N310" i="69"/>
  <c r="N313" i="69"/>
  <c r="N314" i="69"/>
  <c r="N312" i="69"/>
  <c r="N315" i="69"/>
  <c r="N316" i="69"/>
  <c r="N317" i="69"/>
  <c r="N318" i="69"/>
  <c r="N320" i="69"/>
  <c r="N319" i="69"/>
  <c r="N321" i="69"/>
  <c r="N323" i="69"/>
  <c r="N324" i="69"/>
  <c r="N326" i="69"/>
  <c r="N322" i="69"/>
  <c r="N325" i="69"/>
  <c r="N328" i="69"/>
  <c r="N327" i="69"/>
  <c r="N329" i="69"/>
  <c r="N330" i="69"/>
  <c r="N331" i="69"/>
  <c r="N332" i="69"/>
  <c r="N333" i="69"/>
  <c r="N334" i="69"/>
  <c r="N335" i="69"/>
  <c r="N336" i="69"/>
  <c r="N338" i="69"/>
  <c r="N339" i="69"/>
  <c r="N337" i="69"/>
  <c r="N340" i="69"/>
  <c r="N341" i="69"/>
  <c r="N342" i="69"/>
  <c r="N343" i="69"/>
  <c r="N344" i="69"/>
  <c r="N345" i="69"/>
  <c r="N346" i="69"/>
  <c r="N347" i="69"/>
  <c r="N348" i="69"/>
  <c r="N349" i="69"/>
  <c r="N350" i="69"/>
  <c r="N351" i="69"/>
  <c r="N352" i="69"/>
  <c r="N353" i="69"/>
  <c r="N354" i="69"/>
  <c r="N356" i="69"/>
  <c r="N357" i="69"/>
  <c r="N355" i="69"/>
  <c r="N358" i="69"/>
  <c r="N359" i="69"/>
  <c r="N360" i="69"/>
  <c r="N311" i="69"/>
  <c r="N361" i="69"/>
  <c r="N362" i="69"/>
  <c r="N363" i="69"/>
  <c r="N364" i="69"/>
  <c r="N365" i="69"/>
  <c r="N366" i="69"/>
  <c r="N367" i="69"/>
  <c r="N368" i="69"/>
  <c r="N369" i="69"/>
  <c r="N370" i="69"/>
  <c r="N371" i="69"/>
  <c r="N372" i="69"/>
  <c r="N373" i="69"/>
  <c r="N374" i="69"/>
  <c r="N375" i="69"/>
  <c r="N376" i="69"/>
  <c r="N377" i="69"/>
  <c r="N378" i="69"/>
  <c r="N380" i="69"/>
  <c r="N386" i="69"/>
  <c r="N382" i="69"/>
  <c r="N383" i="69"/>
  <c r="N381" i="69"/>
  <c r="N384" i="69"/>
  <c r="N385" i="69"/>
  <c r="N390" i="69"/>
  <c r="N391" i="69"/>
  <c r="N392" i="69"/>
  <c r="N393" i="69"/>
  <c r="N395" i="69"/>
  <c r="N396" i="69"/>
  <c r="N394" i="69"/>
  <c r="N389" i="69"/>
  <c r="N387" i="69"/>
  <c r="N388" i="69"/>
  <c r="N397" i="69"/>
  <c r="N398" i="69"/>
  <c r="N399" i="69"/>
  <c r="N400" i="69"/>
  <c r="N401" i="69"/>
  <c r="N402" i="69"/>
  <c r="N403" i="69"/>
  <c r="N404" i="69"/>
  <c r="N405" i="69"/>
  <c r="N406" i="69"/>
  <c r="N407" i="69"/>
  <c r="N408" i="69"/>
  <c r="N409" i="69"/>
  <c r="N410" i="69"/>
  <c r="N411" i="69"/>
  <c r="N414" i="69"/>
  <c r="N415" i="69"/>
  <c r="N416" i="69"/>
  <c r="N417" i="69"/>
  <c r="N418" i="69"/>
  <c r="N420" i="69"/>
  <c r="N421" i="69"/>
  <c r="N422" i="69"/>
  <c r="N423" i="69"/>
  <c r="N424" i="69"/>
  <c r="N419" i="69"/>
  <c r="N426" i="69"/>
  <c r="N425" i="69"/>
  <c r="N427" i="69"/>
  <c r="N428" i="69"/>
  <c r="N429" i="69"/>
  <c r="N430" i="69"/>
  <c r="N434" i="69"/>
  <c r="N431" i="69"/>
  <c r="N433" i="69"/>
  <c r="N432" i="69"/>
  <c r="N435" i="69"/>
  <c r="N436" i="69"/>
  <c r="N438" i="69"/>
  <c r="N437" i="69"/>
  <c r="N439" i="69"/>
  <c r="N440" i="69"/>
  <c r="N441" i="69"/>
  <c r="N442" i="69"/>
  <c r="N443" i="69"/>
  <c r="N444" i="69"/>
  <c r="N445" i="69"/>
  <c r="N446" i="69"/>
  <c r="N447" i="69"/>
  <c r="N448" i="69"/>
  <c r="N449" i="69"/>
  <c r="N450" i="69"/>
  <c r="N451" i="69"/>
  <c r="N452" i="69"/>
  <c r="N454" i="69"/>
  <c r="N453" i="69"/>
  <c r="N455" i="69"/>
  <c r="N456" i="69"/>
  <c r="N457" i="69"/>
  <c r="N458" i="69"/>
  <c r="N459" i="69"/>
  <c r="N461" i="69"/>
  <c r="N460" i="69"/>
  <c r="N462" i="69"/>
  <c r="N463" i="69"/>
  <c r="N464" i="69"/>
  <c r="N465" i="69"/>
  <c r="N466" i="69"/>
  <c r="N467" i="69"/>
  <c r="N468" i="69"/>
  <c r="N469" i="69"/>
  <c r="N470" i="69"/>
  <c r="N471" i="69"/>
  <c r="N472" i="69"/>
  <c r="N473" i="69"/>
  <c r="N474" i="69"/>
  <c r="N475" i="69"/>
  <c r="N476" i="69"/>
  <c r="N477" i="69"/>
  <c r="N478" i="69"/>
  <c r="N479" i="69"/>
  <c r="N480" i="69"/>
  <c r="N481" i="69"/>
  <c r="N483" i="69"/>
  <c r="N482" i="69"/>
  <c r="N484" i="69"/>
  <c r="N485" i="69"/>
  <c r="N486" i="69"/>
  <c r="N487" i="69"/>
  <c r="N488" i="69"/>
  <c r="N489" i="69"/>
  <c r="N490" i="69"/>
  <c r="N491" i="69"/>
  <c r="N492" i="69"/>
  <c r="N493" i="69"/>
  <c r="N494" i="69"/>
  <c r="N495" i="69"/>
  <c r="N496" i="69"/>
  <c r="N497" i="69"/>
  <c r="N498" i="69"/>
  <c r="N499" i="69"/>
  <c r="N500" i="69"/>
  <c r="N501" i="69"/>
  <c r="N502" i="69"/>
  <c r="N503" i="69"/>
  <c r="N504" i="69"/>
  <c r="N505" i="69"/>
  <c r="N506" i="69"/>
  <c r="N507" i="69"/>
  <c r="P379" i="69"/>
  <c r="P69" i="69"/>
  <c r="P412" i="69"/>
  <c r="P413" i="69"/>
  <c r="P67" i="69"/>
  <c r="P126" i="69"/>
  <c r="O379" i="69"/>
  <c r="O69" i="69"/>
  <c r="O412" i="69"/>
  <c r="O413" i="69"/>
  <c r="O67" i="69"/>
  <c r="O126" i="69"/>
  <c r="S5" i="69"/>
  <c r="S4" i="69"/>
  <c r="S6" i="69"/>
  <c r="S7" i="69"/>
  <c r="S8" i="69"/>
  <c r="S9" i="69"/>
  <c r="S2" i="69"/>
  <c r="S10" i="69"/>
  <c r="S11" i="69"/>
  <c r="S12" i="69"/>
  <c r="S13" i="69"/>
  <c r="S14" i="69"/>
  <c r="S15" i="69"/>
  <c r="S16" i="69"/>
  <c r="S17" i="69"/>
  <c r="S18" i="69"/>
  <c r="S19" i="69"/>
  <c r="S20" i="69"/>
  <c r="S21" i="69"/>
  <c r="S22" i="69"/>
  <c r="S23" i="69"/>
  <c r="S24" i="69"/>
  <c r="S25" i="69"/>
  <c r="S26" i="69"/>
  <c r="S28" i="69"/>
  <c r="S29" i="69"/>
  <c r="S30" i="69"/>
  <c r="S27" i="69"/>
  <c r="S31" i="69"/>
  <c r="S32" i="69"/>
  <c r="S33" i="69"/>
  <c r="S34" i="69"/>
  <c r="S35" i="69"/>
  <c r="S36" i="69"/>
  <c r="S37" i="69"/>
  <c r="S38" i="69"/>
  <c r="S39" i="69"/>
  <c r="S40" i="69"/>
  <c r="S42" i="69"/>
  <c r="S43" i="69"/>
  <c r="S41" i="69"/>
  <c r="S44" i="69"/>
  <c r="S45" i="69"/>
  <c r="S46" i="69"/>
  <c r="S47" i="69"/>
  <c r="S48" i="69"/>
  <c r="S49" i="69"/>
  <c r="S50" i="69"/>
  <c r="S51" i="69"/>
  <c r="S53" i="69"/>
  <c r="S54" i="69"/>
  <c r="S52" i="69"/>
  <c r="S57" i="69"/>
  <c r="S56" i="69"/>
  <c r="S55" i="69"/>
  <c r="S58" i="69"/>
  <c r="S59" i="69"/>
  <c r="S60" i="69"/>
  <c r="S61" i="69"/>
  <c r="S62" i="69"/>
  <c r="S63" i="69"/>
  <c r="S64" i="69"/>
  <c r="S65" i="69"/>
  <c r="S66" i="69"/>
  <c r="S68" i="69"/>
  <c r="S70" i="69"/>
  <c r="S71" i="69"/>
  <c r="S72" i="69"/>
  <c r="S73" i="69"/>
  <c r="S74" i="69"/>
  <c r="S75" i="69"/>
  <c r="S76" i="69"/>
  <c r="S78" i="69"/>
  <c r="S77" i="69"/>
  <c r="S79" i="69"/>
  <c r="S80" i="69"/>
  <c r="S81" i="69"/>
  <c r="S82" i="69"/>
  <c r="S84" i="69"/>
  <c r="S85" i="69"/>
  <c r="S86" i="69"/>
  <c r="S83" i="69"/>
  <c r="S87" i="69"/>
  <c r="S88" i="69"/>
  <c r="S89" i="69"/>
  <c r="S90" i="69"/>
  <c r="S91" i="69"/>
  <c r="S92" i="69"/>
  <c r="S93" i="69"/>
  <c r="S94" i="69"/>
  <c r="S95" i="69"/>
  <c r="S96" i="69"/>
  <c r="S97" i="69"/>
  <c r="S98" i="69"/>
  <c r="S99" i="69"/>
  <c r="S100" i="69"/>
  <c r="S101" i="69"/>
  <c r="S102" i="69"/>
  <c r="S103" i="69"/>
  <c r="S104" i="69"/>
  <c r="S105" i="69"/>
  <c r="S106" i="69"/>
  <c r="S107" i="69"/>
  <c r="S108" i="69"/>
  <c r="S109" i="69"/>
  <c r="S110" i="69"/>
  <c r="S116" i="69"/>
  <c r="S117" i="69"/>
  <c r="S118" i="69"/>
  <c r="S121" i="69"/>
  <c r="S119" i="69"/>
  <c r="S120" i="69"/>
  <c r="S111" i="69"/>
  <c r="S115" i="69"/>
  <c r="S112" i="69"/>
  <c r="S113" i="69"/>
  <c r="S114" i="69"/>
  <c r="S122" i="69"/>
  <c r="S123" i="69"/>
  <c r="S124" i="69"/>
  <c r="S125" i="69"/>
  <c r="S127" i="69"/>
  <c r="S128" i="69"/>
  <c r="S129" i="69"/>
  <c r="S130" i="69"/>
  <c r="S131" i="69"/>
  <c r="S139" i="69"/>
  <c r="S140" i="69"/>
  <c r="S132" i="69"/>
  <c r="S133" i="69"/>
  <c r="S134" i="69"/>
  <c r="S135" i="69"/>
  <c r="S136" i="69"/>
  <c r="S137" i="69"/>
  <c r="S138" i="69"/>
  <c r="S141" i="69"/>
  <c r="S142" i="69"/>
  <c r="S143" i="69"/>
  <c r="S144" i="69"/>
  <c r="S233" i="69"/>
  <c r="S146" i="69"/>
  <c r="S147" i="69"/>
  <c r="S148" i="69"/>
  <c r="S149" i="69"/>
  <c r="S150" i="69"/>
  <c r="S151" i="69"/>
  <c r="S152" i="69"/>
  <c r="S153" i="69"/>
  <c r="S154" i="69"/>
  <c r="S155" i="69"/>
  <c r="S157" i="69"/>
  <c r="S156" i="69"/>
  <c r="S158" i="69"/>
  <c r="S159" i="69"/>
  <c r="S160" i="69"/>
  <c r="S161" i="69"/>
  <c r="S162" i="69"/>
  <c r="S163" i="69"/>
  <c r="S166" i="69"/>
  <c r="S165" i="69"/>
  <c r="S164" i="69"/>
  <c r="S167" i="69"/>
  <c r="S169" i="69"/>
  <c r="S168" i="69"/>
  <c r="S170" i="69"/>
  <c r="S171" i="69"/>
  <c r="S172" i="69"/>
  <c r="S173" i="69"/>
  <c r="S174" i="69"/>
  <c r="S175" i="69"/>
  <c r="S176" i="69"/>
  <c r="S177" i="69"/>
  <c r="S178" i="69"/>
  <c r="S179" i="69"/>
  <c r="S180" i="69"/>
  <c r="S181" i="69"/>
  <c r="S182" i="69"/>
  <c r="S183" i="69"/>
  <c r="S184" i="69"/>
  <c r="S185" i="69"/>
  <c r="S188" i="69"/>
  <c r="S187" i="69"/>
  <c r="S186" i="69"/>
  <c r="S189" i="69"/>
  <c r="S190" i="69"/>
  <c r="S191" i="69"/>
  <c r="S192" i="69"/>
  <c r="S193" i="69"/>
  <c r="S194" i="69"/>
  <c r="S195" i="69"/>
  <c r="S196" i="69"/>
  <c r="S198" i="69"/>
  <c r="S197" i="69"/>
  <c r="S199" i="69"/>
  <c r="S200" i="69"/>
  <c r="S201" i="69"/>
  <c r="S202" i="69"/>
  <c r="S203" i="69"/>
  <c r="S204" i="69"/>
  <c r="S205" i="69"/>
  <c r="S206" i="69"/>
  <c r="S207" i="69"/>
  <c r="S208" i="69"/>
  <c r="S209" i="69"/>
  <c r="S210" i="69"/>
  <c r="S211" i="69"/>
  <c r="S212" i="69"/>
  <c r="S213" i="69"/>
  <c r="S214" i="69"/>
  <c r="S215" i="69"/>
  <c r="S216" i="69"/>
  <c r="S217" i="69"/>
  <c r="S218" i="69"/>
  <c r="S219" i="69"/>
  <c r="S221" i="69"/>
  <c r="S223" i="69"/>
  <c r="S222" i="69"/>
  <c r="S220" i="69"/>
  <c r="S224" i="69"/>
  <c r="S227" i="69"/>
  <c r="S228" i="69"/>
  <c r="S225" i="69"/>
  <c r="S226" i="69"/>
  <c r="S229" i="69"/>
  <c r="S231" i="69"/>
  <c r="S230" i="69"/>
  <c r="S232" i="69"/>
  <c r="S145" i="69"/>
  <c r="S234" i="69"/>
  <c r="S235" i="69"/>
  <c r="S236" i="69"/>
  <c r="S237" i="69"/>
  <c r="S238" i="69"/>
  <c r="S240" i="69"/>
  <c r="S239" i="69"/>
  <c r="S241" i="69"/>
  <c r="S242" i="69"/>
  <c r="S243" i="69"/>
  <c r="S244" i="69"/>
  <c r="S245" i="69"/>
  <c r="S246" i="69"/>
  <c r="S247" i="69"/>
  <c r="S248" i="69"/>
  <c r="S249" i="69"/>
  <c r="S250" i="69"/>
  <c r="S251" i="69"/>
  <c r="S252" i="69"/>
  <c r="S253" i="69"/>
  <c r="S254" i="69"/>
  <c r="S255" i="69"/>
  <c r="S256" i="69"/>
  <c r="S258" i="69"/>
  <c r="S259" i="69"/>
  <c r="S257" i="69"/>
  <c r="S260" i="69"/>
  <c r="S261" i="69"/>
  <c r="S262" i="69"/>
  <c r="S263" i="69"/>
  <c r="S264" i="69"/>
  <c r="S267" i="69"/>
  <c r="S266" i="69"/>
  <c r="S265" i="69"/>
  <c r="S268" i="69"/>
  <c r="S269" i="69"/>
  <c r="S270" i="69"/>
  <c r="S271" i="69"/>
  <c r="S272" i="69"/>
  <c r="S273" i="69"/>
  <c r="S274" i="69"/>
  <c r="S275" i="69"/>
  <c r="S277" i="69"/>
  <c r="S276" i="69"/>
  <c r="S278" i="69"/>
  <c r="S279" i="69"/>
  <c r="S280" i="69"/>
  <c r="S281" i="69"/>
  <c r="S282" i="69"/>
  <c r="S283" i="69"/>
  <c r="S284" i="69"/>
  <c r="S287" i="69"/>
  <c r="S286" i="69"/>
  <c r="S285" i="69"/>
  <c r="S288" i="69"/>
  <c r="S289" i="69"/>
  <c r="S290" i="69"/>
  <c r="S293" i="69"/>
  <c r="S291" i="69"/>
  <c r="S292" i="69"/>
  <c r="S294" i="69"/>
  <c r="S295" i="69"/>
  <c r="S296" i="69"/>
  <c r="S297" i="69"/>
  <c r="S298" i="69"/>
  <c r="S299" i="69"/>
  <c r="S300" i="69"/>
  <c r="S301" i="69"/>
  <c r="S302" i="69"/>
  <c r="S304" i="69"/>
  <c r="S303" i="69"/>
  <c r="S305" i="69"/>
  <c r="S306" i="69"/>
  <c r="S307" i="69"/>
  <c r="S308" i="69"/>
  <c r="S309" i="69"/>
  <c r="S310" i="69"/>
  <c r="S313" i="69"/>
  <c r="S314" i="69"/>
  <c r="S312" i="69"/>
  <c r="S315" i="69"/>
  <c r="S316" i="69"/>
  <c r="S317" i="69"/>
  <c r="S318" i="69"/>
  <c r="S320" i="69"/>
  <c r="S319" i="69"/>
  <c r="S321" i="69"/>
  <c r="S323" i="69"/>
  <c r="S324" i="69"/>
  <c r="S326" i="69"/>
  <c r="S322" i="69"/>
  <c r="S325" i="69"/>
  <c r="S328" i="69"/>
  <c r="S327" i="69"/>
  <c r="S329" i="69"/>
  <c r="S330" i="69"/>
  <c r="S331" i="69"/>
  <c r="S332" i="69"/>
  <c r="S333" i="69"/>
  <c r="S334" i="69"/>
  <c r="S335" i="69"/>
  <c r="S336" i="69"/>
  <c r="S338" i="69"/>
  <c r="S339" i="69"/>
  <c r="S337" i="69"/>
  <c r="S340" i="69"/>
  <c r="S341" i="69"/>
  <c r="S342" i="69"/>
  <c r="S343" i="69"/>
  <c r="S344" i="69"/>
  <c r="S345" i="69"/>
  <c r="S346" i="69"/>
  <c r="S347" i="69"/>
  <c r="S348" i="69"/>
  <c r="S349" i="69"/>
  <c r="S350" i="69"/>
  <c r="S351" i="69"/>
  <c r="S352" i="69"/>
  <c r="S353" i="69"/>
  <c r="S354" i="69"/>
  <c r="S356" i="69"/>
  <c r="S357" i="69"/>
  <c r="S355" i="69"/>
  <c r="S358" i="69"/>
  <c r="S359" i="69"/>
  <c r="S360" i="69"/>
  <c r="S311" i="69"/>
  <c r="S361" i="69"/>
  <c r="S362" i="69"/>
  <c r="S363" i="69"/>
  <c r="S364" i="69"/>
  <c r="S365" i="69"/>
  <c r="S366" i="69"/>
  <c r="S367" i="69"/>
  <c r="S368" i="69"/>
  <c r="S369" i="69"/>
  <c r="S370" i="69"/>
  <c r="S371" i="69"/>
  <c r="S372" i="69"/>
  <c r="S373" i="69"/>
  <c r="S374" i="69"/>
  <c r="S375" i="69"/>
  <c r="S376" i="69"/>
  <c r="S377" i="69"/>
  <c r="S378" i="69"/>
  <c r="S380" i="69"/>
  <c r="S386" i="69"/>
  <c r="S382" i="69"/>
  <c r="S383" i="69"/>
  <c r="S381" i="69"/>
  <c r="S384" i="69"/>
  <c r="S385" i="69"/>
  <c r="S390" i="69"/>
  <c r="S391" i="69"/>
  <c r="S392" i="69"/>
  <c r="S393" i="69"/>
  <c r="S395" i="69"/>
  <c r="S396" i="69"/>
  <c r="S394" i="69"/>
  <c r="S389" i="69"/>
  <c r="S387" i="69"/>
  <c r="S388" i="69"/>
  <c r="S397" i="69"/>
  <c r="S398" i="69"/>
  <c r="S399" i="69"/>
  <c r="S400" i="69"/>
  <c r="S401" i="69"/>
  <c r="S402" i="69"/>
  <c r="S403" i="69"/>
  <c r="S404" i="69"/>
  <c r="S405" i="69"/>
  <c r="S406" i="69"/>
  <c r="S407" i="69"/>
  <c r="S408" i="69"/>
  <c r="S409" i="69"/>
  <c r="S410" i="69"/>
  <c r="S411" i="69"/>
  <c r="S414" i="69"/>
  <c r="S415" i="69"/>
  <c r="S416" i="69"/>
  <c r="S417" i="69"/>
  <c r="S418" i="69"/>
  <c r="S420" i="69"/>
  <c r="S421" i="69"/>
  <c r="S422" i="69"/>
  <c r="S423" i="69"/>
  <c r="S424" i="69"/>
  <c r="S419" i="69"/>
  <c r="S426" i="69"/>
  <c r="S425" i="69"/>
  <c r="S427" i="69"/>
  <c r="S428" i="69"/>
  <c r="S429" i="69"/>
  <c r="S430" i="69"/>
  <c r="S434" i="69"/>
  <c r="S431" i="69"/>
  <c r="S433" i="69"/>
  <c r="S432" i="69"/>
  <c r="S435" i="69"/>
  <c r="S436" i="69"/>
  <c r="S438" i="69"/>
  <c r="S437" i="69"/>
  <c r="S439" i="69"/>
  <c r="S440" i="69"/>
  <c r="S441" i="69"/>
  <c r="S442" i="69"/>
  <c r="S443" i="69"/>
  <c r="S444" i="69"/>
  <c r="S445" i="69"/>
  <c r="S446" i="69"/>
  <c r="S447" i="69"/>
  <c r="S448" i="69"/>
  <c r="S449" i="69"/>
  <c r="S450" i="69"/>
  <c r="S451" i="69"/>
  <c r="S452" i="69"/>
  <c r="S454" i="69"/>
  <c r="S453" i="69"/>
  <c r="S455" i="69"/>
  <c r="S456" i="69"/>
  <c r="S457" i="69"/>
  <c r="S458" i="69"/>
  <c r="S459" i="69"/>
  <c r="S461" i="69"/>
  <c r="S460" i="69"/>
  <c r="S462" i="69"/>
  <c r="S463" i="69"/>
  <c r="S464" i="69"/>
  <c r="S465" i="69"/>
  <c r="S466" i="69"/>
  <c r="S467" i="69"/>
  <c r="S468" i="69"/>
  <c r="S469" i="69"/>
  <c r="S470" i="69"/>
  <c r="S471" i="69"/>
  <c r="S472" i="69"/>
  <c r="S473" i="69"/>
  <c r="S474" i="69"/>
  <c r="S475" i="69"/>
  <c r="S476" i="69"/>
  <c r="S477" i="69"/>
  <c r="S478" i="69"/>
  <c r="S479" i="69"/>
  <c r="S480" i="69"/>
  <c r="S481" i="69"/>
  <c r="S483" i="69"/>
  <c r="S482" i="69"/>
  <c r="S484" i="69"/>
  <c r="S485" i="69"/>
  <c r="S486" i="69"/>
  <c r="S487" i="69"/>
  <c r="S488" i="69"/>
  <c r="S489" i="69"/>
  <c r="S490" i="69"/>
  <c r="S491" i="69"/>
  <c r="S492" i="69"/>
  <c r="S493" i="69"/>
  <c r="S494" i="69"/>
  <c r="S495" i="69"/>
  <c r="S496" i="69"/>
  <c r="S497" i="69"/>
  <c r="S498" i="69"/>
  <c r="S499" i="69"/>
  <c r="S500" i="69"/>
  <c r="S501" i="69"/>
  <c r="S502" i="69"/>
  <c r="S503" i="69"/>
  <c r="S504" i="69"/>
  <c r="S505" i="69"/>
  <c r="S506" i="69"/>
  <c r="S507" i="69"/>
  <c r="B67" i="67" l="1" a="1"/>
  <c r="B67" i="67" s="1"/>
  <c r="B68" i="67" a="1"/>
  <c r="B68" i="67" s="1"/>
  <c r="B69" i="67" a="1"/>
  <c r="B69" i="67" s="1"/>
  <c r="B70" i="67" a="1"/>
  <c r="B70" i="67" s="1"/>
  <c r="B71" i="67" a="1"/>
  <c r="B71" i="67" s="1"/>
  <c r="B72" i="67" a="1"/>
  <c r="B72" i="67" s="1"/>
  <c r="B73" i="67" a="1"/>
  <c r="B73" i="67" s="1"/>
  <c r="B74" i="67" a="1"/>
  <c r="B74" i="67" s="1"/>
  <c r="B65" i="67" a="1"/>
  <c r="B65" i="67" s="1"/>
  <c r="B63" i="67" l="1" a="1"/>
  <c r="B63" i="67" s="1"/>
  <c r="Q3" i="69"/>
  <c r="Q4" i="69"/>
  <c r="Q5" i="69"/>
  <c r="Q6" i="69"/>
  <c r="Q7" i="69"/>
  <c r="Q8" i="69"/>
  <c r="Q9" i="69"/>
  <c r="Q10" i="69"/>
  <c r="Q11" i="69"/>
  <c r="Q12" i="69"/>
  <c r="Q13" i="69"/>
  <c r="Q14" i="69"/>
  <c r="Q15" i="69"/>
  <c r="Q16" i="69"/>
  <c r="Q17" i="69"/>
  <c r="Q18" i="69"/>
  <c r="Q19" i="69"/>
  <c r="Q20" i="69"/>
  <c r="Q21" i="69"/>
  <c r="Q22" i="69"/>
  <c r="Q23" i="69"/>
  <c r="Q24" i="69"/>
  <c r="Q25" i="69"/>
  <c r="Q26" i="69"/>
  <c r="Q27" i="69"/>
  <c r="Q28" i="69"/>
  <c r="Q29" i="69"/>
  <c r="Q30" i="69"/>
  <c r="Q31" i="69"/>
  <c r="Q32" i="69"/>
  <c r="Q33" i="69"/>
  <c r="Q34" i="69"/>
  <c r="Q35" i="69"/>
  <c r="Q36" i="69"/>
  <c r="Q37" i="69"/>
  <c r="Q38" i="69"/>
  <c r="Q39" i="69"/>
  <c r="Q40" i="69"/>
  <c r="Q41" i="69"/>
  <c r="Q42" i="69"/>
  <c r="Q43" i="69"/>
  <c r="Q44" i="69"/>
  <c r="Q45" i="69"/>
  <c r="Q46" i="69"/>
  <c r="Q47" i="69"/>
  <c r="Q48" i="69"/>
  <c r="Q49" i="69"/>
  <c r="Q50" i="69"/>
  <c r="Q51" i="69"/>
  <c r="Q52" i="69"/>
  <c r="Q53" i="69"/>
  <c r="Q54" i="69"/>
  <c r="Q55" i="69"/>
  <c r="Q56" i="69"/>
  <c r="Q57" i="69"/>
  <c r="Q58" i="69"/>
  <c r="Q59" i="69"/>
  <c r="Q60" i="69"/>
  <c r="Q61" i="69"/>
  <c r="Q62" i="69"/>
  <c r="Q63" i="69"/>
  <c r="Q64" i="69"/>
  <c r="Q65" i="69"/>
  <c r="Q66" i="69"/>
  <c r="Q68" i="69"/>
  <c r="Q70" i="69"/>
  <c r="Q71" i="69"/>
  <c r="Q72" i="69"/>
  <c r="Q73" i="69"/>
  <c r="Q74" i="69"/>
  <c r="Q75" i="69"/>
  <c r="Q76" i="69"/>
  <c r="Q77" i="69"/>
  <c r="Q78" i="69"/>
  <c r="Q79" i="69"/>
  <c r="Q80" i="69"/>
  <c r="Q81" i="69"/>
  <c r="Q82" i="69"/>
  <c r="Q83" i="69"/>
  <c r="Q84" i="69"/>
  <c r="Q85" i="69"/>
  <c r="Q86" i="69"/>
  <c r="Q87" i="69"/>
  <c r="Q88" i="69"/>
  <c r="Q89" i="69"/>
  <c r="Q90" i="69"/>
  <c r="Q91" i="69"/>
  <c r="Q92" i="69"/>
  <c r="Q93" i="69"/>
  <c r="Q94" i="69"/>
  <c r="Q95" i="69"/>
  <c r="Q96" i="69"/>
  <c r="Q97" i="69"/>
  <c r="Q98" i="69"/>
  <c r="Q99" i="69"/>
  <c r="Q100" i="69"/>
  <c r="Q101" i="69"/>
  <c r="Q102" i="69"/>
  <c r="Q103" i="69"/>
  <c r="Q104" i="69"/>
  <c r="Q105" i="69"/>
  <c r="Q106" i="69"/>
  <c r="Q107" i="69"/>
  <c r="Q108" i="69"/>
  <c r="Q109" i="69"/>
  <c r="Q110" i="69"/>
  <c r="Q111" i="69"/>
  <c r="Q112" i="69"/>
  <c r="Q113" i="69"/>
  <c r="Q114" i="69"/>
  <c r="Q115" i="69"/>
  <c r="Q116" i="69"/>
  <c r="Q117" i="69"/>
  <c r="Q118" i="69"/>
  <c r="Q119" i="69"/>
  <c r="Q120" i="69"/>
  <c r="Q121" i="69"/>
  <c r="Q122" i="69"/>
  <c r="Q123" i="69"/>
  <c r="Q124" i="69"/>
  <c r="Q125" i="69"/>
  <c r="Q127" i="69"/>
  <c r="Q128" i="69"/>
  <c r="Q129" i="69"/>
  <c r="Q130" i="69"/>
  <c r="Q131" i="69"/>
  <c r="Q132" i="69"/>
  <c r="Q133" i="69"/>
  <c r="Q134" i="69"/>
  <c r="Q135" i="69"/>
  <c r="Q136" i="69"/>
  <c r="Q137" i="69"/>
  <c r="Q138" i="69"/>
  <c r="Q139" i="69"/>
  <c r="Q140" i="69"/>
  <c r="Q141" i="69"/>
  <c r="Q142" i="69"/>
  <c r="Q143" i="69"/>
  <c r="Q144" i="69"/>
  <c r="Q145" i="69"/>
  <c r="Q146" i="69"/>
  <c r="Q147" i="69"/>
  <c r="Q148" i="69"/>
  <c r="Q149" i="69"/>
  <c r="Q150" i="69"/>
  <c r="Q151" i="69"/>
  <c r="Q152" i="69"/>
  <c r="Q153" i="69"/>
  <c r="Q154" i="69"/>
  <c r="Q155" i="69"/>
  <c r="Q156" i="69"/>
  <c r="Q157" i="69"/>
  <c r="Q158" i="69"/>
  <c r="Q159" i="69"/>
  <c r="Q160" i="69"/>
  <c r="Q161" i="69"/>
  <c r="Q162" i="69"/>
  <c r="Q163" i="69"/>
  <c r="Q164" i="69"/>
  <c r="Q165" i="69"/>
  <c r="Q166" i="69"/>
  <c r="Q167" i="69"/>
  <c r="Q168" i="69"/>
  <c r="Q169" i="69"/>
  <c r="Q170" i="69"/>
  <c r="Q171" i="69"/>
  <c r="Q172" i="69"/>
  <c r="Q173" i="69"/>
  <c r="Q174" i="69"/>
  <c r="Q175" i="69"/>
  <c r="Q176" i="69"/>
  <c r="Q177" i="69"/>
  <c r="Q178" i="69"/>
  <c r="Q179" i="69"/>
  <c r="Q180" i="69"/>
  <c r="Q181" i="69"/>
  <c r="Q182" i="69"/>
  <c r="Q183" i="69"/>
  <c r="Q184" i="69"/>
  <c r="Q185" i="69"/>
  <c r="Q186" i="69"/>
  <c r="Q187" i="69"/>
  <c r="Q188" i="69"/>
  <c r="Q189" i="69"/>
  <c r="Q190" i="69"/>
  <c r="Q191" i="69"/>
  <c r="Q192" i="69"/>
  <c r="Q193" i="69"/>
  <c r="Q194" i="69"/>
  <c r="Q195" i="69"/>
  <c r="Q196" i="69"/>
  <c r="Q197" i="69"/>
  <c r="Q198" i="69"/>
  <c r="Q199" i="69"/>
  <c r="Q200" i="69"/>
  <c r="Q201" i="69"/>
  <c r="Q202" i="69"/>
  <c r="Q203" i="69"/>
  <c r="Q204" i="69"/>
  <c r="Q205" i="69"/>
  <c r="Q206" i="69"/>
  <c r="Q207" i="69"/>
  <c r="Q208" i="69"/>
  <c r="Q209" i="69"/>
  <c r="Q210" i="69"/>
  <c r="Q211" i="69"/>
  <c r="Q212" i="69"/>
  <c r="Q213" i="69"/>
  <c r="Q214" i="69"/>
  <c r="Q215" i="69"/>
  <c r="Q216" i="69"/>
  <c r="Q217" i="69"/>
  <c r="Q218" i="69"/>
  <c r="Q219" i="69"/>
  <c r="Q220" i="69"/>
  <c r="Q221" i="69"/>
  <c r="Q222" i="69"/>
  <c r="Q223" i="69"/>
  <c r="Q224" i="69"/>
  <c r="Q225" i="69"/>
  <c r="Q226" i="69"/>
  <c r="Q227" i="69"/>
  <c r="Q228" i="69"/>
  <c r="Q229" i="69"/>
  <c r="Q230" i="69"/>
  <c r="Q231" i="69"/>
  <c r="Q232" i="69"/>
  <c r="Q233" i="69"/>
  <c r="Q234" i="69"/>
  <c r="Q235" i="69"/>
  <c r="Q236" i="69"/>
  <c r="Q237" i="69"/>
  <c r="Q238" i="69"/>
  <c r="Q239" i="69"/>
  <c r="Q240" i="69"/>
  <c r="Q241" i="69"/>
  <c r="Q242" i="69"/>
  <c r="Q243" i="69"/>
  <c r="Q244" i="69"/>
  <c r="Q245" i="69"/>
  <c r="Q246" i="69"/>
  <c r="Q247" i="69"/>
  <c r="Q248" i="69"/>
  <c r="Q249" i="69"/>
  <c r="Q250" i="69"/>
  <c r="Q251" i="69"/>
  <c r="Q252" i="69"/>
  <c r="Q253" i="69"/>
  <c r="Q254" i="69"/>
  <c r="Q255" i="69"/>
  <c r="Q256" i="69"/>
  <c r="Q257" i="69"/>
  <c r="Q258" i="69"/>
  <c r="Q259" i="69"/>
  <c r="Q260" i="69"/>
  <c r="Q261" i="69"/>
  <c r="Q262" i="69"/>
  <c r="Q263" i="69"/>
  <c r="Q264" i="69"/>
  <c r="Q265" i="69"/>
  <c r="Q266" i="69"/>
  <c r="Q267" i="69"/>
  <c r="Q268" i="69"/>
  <c r="Q269" i="69"/>
  <c r="Q270" i="69"/>
  <c r="Q271" i="69"/>
  <c r="Q272" i="69"/>
  <c r="Q273" i="69"/>
  <c r="Q274" i="69"/>
  <c r="Q275" i="69"/>
  <c r="Q276" i="69"/>
  <c r="Q277" i="69"/>
  <c r="Q278" i="69"/>
  <c r="Q279" i="69"/>
  <c r="Q280" i="69"/>
  <c r="Q281" i="69"/>
  <c r="Q282" i="69"/>
  <c r="Q283" i="69"/>
  <c r="Q284" i="69"/>
  <c r="Q285" i="69"/>
  <c r="Q286" i="69"/>
  <c r="Q287" i="69"/>
  <c r="Q288" i="69"/>
  <c r="Q289" i="69"/>
  <c r="Q290" i="69"/>
  <c r="Q291" i="69"/>
  <c r="Q292" i="69"/>
  <c r="Q293" i="69"/>
  <c r="Q294" i="69"/>
  <c r="Q295" i="69"/>
  <c r="Q296" i="69"/>
  <c r="Q297" i="69"/>
  <c r="Q298" i="69"/>
  <c r="Q299" i="69"/>
  <c r="Q300" i="69"/>
  <c r="Q301" i="69"/>
  <c r="Q302" i="69"/>
  <c r="Q303" i="69"/>
  <c r="Q304" i="69"/>
  <c r="Q305" i="69"/>
  <c r="Q306" i="69"/>
  <c r="Q307" i="69"/>
  <c r="Q308" i="69"/>
  <c r="Q309" i="69"/>
  <c r="Q310" i="69"/>
  <c r="Q311" i="69"/>
  <c r="Q312" i="69"/>
  <c r="Q313" i="69"/>
  <c r="Q314" i="69"/>
  <c r="Q315" i="69"/>
  <c r="Q316" i="69"/>
  <c r="Q317" i="69"/>
  <c r="Q318" i="69"/>
  <c r="Q319" i="69"/>
  <c r="Q320" i="69"/>
  <c r="Q321" i="69"/>
  <c r="Q322" i="69"/>
  <c r="Q323" i="69"/>
  <c r="Q324" i="69"/>
  <c r="Q325" i="69"/>
  <c r="Q326" i="69"/>
  <c r="Q327" i="69"/>
  <c r="Q328" i="69"/>
  <c r="Q329" i="69"/>
  <c r="Q330" i="69"/>
  <c r="Q331" i="69"/>
  <c r="Q332" i="69"/>
  <c r="Q333" i="69"/>
  <c r="Q334" i="69"/>
  <c r="Q335" i="69"/>
  <c r="Q336" i="69"/>
  <c r="Q337" i="69"/>
  <c r="Q338" i="69"/>
  <c r="Q339" i="69"/>
  <c r="Q340" i="69"/>
  <c r="Q341" i="69"/>
  <c r="Q342" i="69"/>
  <c r="Q343" i="69"/>
  <c r="Q344" i="69"/>
  <c r="Q345" i="69"/>
  <c r="Q346" i="69"/>
  <c r="Q347" i="69"/>
  <c r="Q348" i="69"/>
  <c r="Q349" i="69"/>
  <c r="Q350" i="69"/>
  <c r="Q351" i="69"/>
  <c r="Q352" i="69"/>
  <c r="Q353" i="69"/>
  <c r="Q354" i="69"/>
  <c r="Q355" i="69"/>
  <c r="Q356" i="69"/>
  <c r="Q357" i="69"/>
  <c r="Q358" i="69"/>
  <c r="Q359" i="69"/>
  <c r="Q360" i="69"/>
  <c r="Q361" i="69"/>
  <c r="Q362" i="69"/>
  <c r="Q363" i="69"/>
  <c r="Q364" i="69"/>
  <c r="Q365" i="69"/>
  <c r="Q366" i="69"/>
  <c r="Q367" i="69"/>
  <c r="Q368" i="69"/>
  <c r="Q369" i="69"/>
  <c r="Q370" i="69"/>
  <c r="Q371" i="69"/>
  <c r="Q372" i="69"/>
  <c r="Q373" i="69"/>
  <c r="Q374" i="69"/>
  <c r="Q375" i="69"/>
  <c r="Q376" i="69"/>
  <c r="Q377" i="69"/>
  <c r="Q378" i="69"/>
  <c r="Q380" i="69"/>
  <c r="Q381" i="69"/>
  <c r="Q382" i="69"/>
  <c r="Q383" i="69"/>
  <c r="Q384" i="69"/>
  <c r="Q385" i="69"/>
  <c r="Q386" i="69"/>
  <c r="Q387" i="69"/>
  <c r="Q388" i="69"/>
  <c r="Q389" i="69"/>
  <c r="Q390" i="69"/>
  <c r="Q391" i="69"/>
  <c r="Q392" i="69"/>
  <c r="Q393" i="69"/>
  <c r="Q394" i="69"/>
  <c r="Q395" i="69"/>
  <c r="Q396" i="69"/>
  <c r="Q397" i="69"/>
  <c r="Q398" i="69"/>
  <c r="Q399" i="69"/>
  <c r="Q400" i="69"/>
  <c r="Q401" i="69"/>
  <c r="Q402" i="69"/>
  <c r="Q403" i="69"/>
  <c r="Q404" i="69"/>
  <c r="Q405" i="69"/>
  <c r="Q406" i="69"/>
  <c r="Q407" i="69"/>
  <c r="Q408" i="69"/>
  <c r="Q409" i="69"/>
  <c r="Q410" i="69"/>
  <c r="Q411" i="69"/>
  <c r="Q414" i="69"/>
  <c r="Q415" i="69"/>
  <c r="Q416" i="69"/>
  <c r="Q417" i="69"/>
  <c r="Q418" i="69"/>
  <c r="Q419" i="69"/>
  <c r="Q420" i="69"/>
  <c r="Q421" i="69"/>
  <c r="Q422" i="69"/>
  <c r="Q423" i="69"/>
  <c r="Q424" i="69"/>
  <c r="Q425" i="69"/>
  <c r="Q426" i="69"/>
  <c r="Q427" i="69"/>
  <c r="Q428" i="69"/>
  <c r="Q429" i="69"/>
  <c r="Q430" i="69"/>
  <c r="Q431" i="69"/>
  <c r="Q432" i="69"/>
  <c r="Q433" i="69"/>
  <c r="Q434" i="69"/>
  <c r="Q435" i="69"/>
  <c r="Q436" i="69"/>
  <c r="Q437" i="69"/>
  <c r="Q438" i="69"/>
  <c r="Q439" i="69"/>
  <c r="Q440" i="69"/>
  <c r="Q441" i="69"/>
  <c r="Q442" i="69"/>
  <c r="Q443" i="69"/>
  <c r="Q444" i="69"/>
  <c r="Q445" i="69"/>
  <c r="Q446" i="69"/>
  <c r="Q447" i="69"/>
  <c r="Q448" i="69"/>
  <c r="Q449" i="69"/>
  <c r="Q450" i="69"/>
  <c r="Q451" i="69"/>
  <c r="Q452" i="69"/>
  <c r="Q453" i="69"/>
  <c r="Q454" i="69"/>
  <c r="Q455" i="69"/>
  <c r="Q456" i="69"/>
  <c r="Q457" i="69"/>
  <c r="Q458" i="69"/>
  <c r="Q459" i="69"/>
  <c r="Q460" i="69"/>
  <c r="Q461" i="69"/>
  <c r="Q462" i="69"/>
  <c r="Q463" i="69"/>
  <c r="Q464" i="69"/>
  <c r="Q465" i="69"/>
  <c r="Q466" i="69"/>
  <c r="Q467" i="69"/>
  <c r="Q468" i="69"/>
  <c r="Q469" i="69"/>
  <c r="Q470" i="69"/>
  <c r="Q471" i="69"/>
  <c r="Q472" i="69"/>
  <c r="Q473" i="69"/>
  <c r="Q474" i="69"/>
  <c r="Q475" i="69"/>
  <c r="Q476" i="69"/>
  <c r="Q477" i="69"/>
  <c r="Q478" i="69"/>
  <c r="Q479" i="69"/>
  <c r="Q480" i="69"/>
  <c r="Q481" i="69"/>
  <c r="Q482" i="69"/>
  <c r="Q483" i="69"/>
  <c r="Q484" i="69"/>
  <c r="Q485" i="69"/>
  <c r="Q486" i="69"/>
  <c r="Q487" i="69"/>
  <c r="Q488" i="69"/>
  <c r="Q489" i="69"/>
  <c r="Q490" i="69"/>
  <c r="Q491" i="69"/>
  <c r="Q492" i="69"/>
  <c r="Q493" i="69"/>
  <c r="Q494" i="69"/>
  <c r="Q495" i="69"/>
  <c r="Q496" i="69"/>
  <c r="Q497" i="69"/>
  <c r="Q498" i="69"/>
  <c r="Q499" i="69"/>
  <c r="Q500" i="69"/>
  <c r="Q501" i="69"/>
  <c r="Q502" i="69"/>
  <c r="Q503" i="69"/>
  <c r="Q504" i="69"/>
  <c r="Q505" i="69"/>
  <c r="Q506" i="69"/>
  <c r="Q507" i="69"/>
  <c r="Q2" i="69"/>
  <c r="N14" i="76"/>
  <c r="M14" i="76"/>
  <c r="L14" i="76"/>
  <c r="N13" i="76"/>
  <c r="M13" i="76"/>
  <c r="L13" i="76"/>
  <c r="N12" i="76"/>
  <c r="M12" i="76"/>
  <c r="L12" i="76"/>
  <c r="N11" i="76"/>
  <c r="M11" i="76"/>
  <c r="L11" i="76"/>
  <c r="N10" i="76"/>
  <c r="M10" i="76"/>
  <c r="L10" i="76"/>
  <c r="N9" i="76"/>
  <c r="M9" i="76"/>
  <c r="L9" i="76"/>
  <c r="N8" i="76"/>
  <c r="M8" i="76"/>
  <c r="L8" i="76"/>
  <c r="N7" i="76"/>
  <c r="M7" i="76"/>
  <c r="L7" i="76"/>
  <c r="N6" i="76"/>
  <c r="M6" i="76"/>
  <c r="L6" i="76"/>
  <c r="N5" i="76"/>
  <c r="M5" i="76"/>
  <c r="L5" i="76"/>
  <c r="N4" i="76"/>
  <c r="M4" i="76"/>
  <c r="L4" i="76"/>
  <c r="N3" i="76"/>
  <c r="M3" i="76"/>
  <c r="L3" i="76"/>
  <c r="N2" i="76"/>
  <c r="M2" i="76"/>
  <c r="L2" i="76"/>
  <c r="L3" i="73"/>
  <c r="L2" i="73"/>
  <c r="L39" i="73"/>
  <c r="L46" i="73"/>
  <c r="L22" i="73"/>
  <c r="L45" i="73"/>
  <c r="L42" i="73"/>
  <c r="L24" i="73"/>
  <c r="L48" i="73"/>
  <c r="L44" i="73"/>
  <c r="L43" i="73"/>
  <c r="L23" i="73"/>
  <c r="L56" i="73"/>
  <c r="L40" i="73"/>
  <c r="L38" i="73"/>
  <c r="L72" i="73"/>
  <c r="L80" i="73"/>
  <c r="L71" i="73"/>
  <c r="L67" i="73"/>
  <c r="L64" i="73"/>
  <c r="L76" i="73"/>
  <c r="L63" i="73"/>
  <c r="L79" i="73"/>
  <c r="L65" i="73"/>
  <c r="L66" i="73"/>
  <c r="L18" i="73"/>
  <c r="L16" i="73"/>
  <c r="L14" i="73"/>
  <c r="L17" i="73"/>
  <c r="L15" i="73"/>
  <c r="L73" i="73"/>
  <c r="L74" i="73"/>
  <c r="L70" i="73"/>
  <c r="L68" i="73"/>
  <c r="L69" i="73"/>
  <c r="L78" i="73"/>
  <c r="L75" i="73"/>
  <c r="L77" i="73"/>
  <c r="L50" i="73"/>
  <c r="L49" i="73"/>
  <c r="L20" i="73"/>
  <c r="L51" i="73"/>
  <c r="L28" i="73"/>
  <c r="L19" i="73"/>
  <c r="L52" i="73"/>
  <c r="L26" i="73"/>
  <c r="L37" i="73"/>
  <c r="L41" i="73"/>
  <c r="L31" i="73"/>
  <c r="L36" i="73"/>
  <c r="L33" i="73"/>
  <c r="L29" i="73"/>
  <c r="L32" i="73"/>
  <c r="L35" i="73"/>
  <c r="L34" i="73"/>
  <c r="L30" i="73"/>
  <c r="L21" i="73"/>
  <c r="L27" i="73"/>
  <c r="L25" i="73"/>
  <c r="L47" i="73"/>
  <c r="L4" i="73"/>
  <c r="L53" i="73"/>
  <c r="L55" i="73"/>
  <c r="L54" i="73"/>
  <c r="L57" i="73"/>
  <c r="L5" i="73"/>
  <c r="L6" i="73"/>
  <c r="L7" i="73"/>
  <c r="L8" i="73"/>
  <c r="L9" i="73"/>
  <c r="L10" i="73"/>
  <c r="L11" i="73"/>
  <c r="L12" i="73"/>
  <c r="L13" i="73"/>
  <c r="L58" i="73"/>
  <c r="L59" i="73"/>
  <c r="L60" i="73"/>
  <c r="L61" i="73"/>
  <c r="L62" i="73"/>
  <c r="K39" i="73"/>
  <c r="K46" i="73"/>
  <c r="K22" i="73"/>
  <c r="K45" i="73"/>
  <c r="K42" i="73"/>
  <c r="K24" i="73"/>
  <c r="K48" i="73"/>
  <c r="K44" i="73"/>
  <c r="K43" i="73"/>
  <c r="K23" i="73"/>
  <c r="K57" i="73"/>
  <c r="K10" i="73"/>
  <c r="K13" i="73"/>
  <c r="K11" i="73"/>
  <c r="K5" i="73"/>
  <c r="K8" i="73"/>
  <c r="K9" i="73"/>
  <c r="K6" i="73"/>
  <c r="K7" i="73"/>
  <c r="K12" i="73"/>
  <c r="K61" i="73"/>
  <c r="K58" i="73"/>
  <c r="K60" i="73"/>
  <c r="K59" i="73"/>
  <c r="K56" i="73"/>
  <c r="K62" i="73"/>
  <c r="K40" i="73"/>
  <c r="K3" i="73"/>
  <c r="K38" i="73"/>
  <c r="K72" i="73"/>
  <c r="K80" i="73"/>
  <c r="K71" i="73"/>
  <c r="K67" i="73"/>
  <c r="K64" i="73"/>
  <c r="K76" i="73"/>
  <c r="K63" i="73"/>
  <c r="K79" i="73"/>
  <c r="K65" i="73"/>
  <c r="K66" i="73"/>
  <c r="K18" i="73"/>
  <c r="K16" i="73"/>
  <c r="K14" i="73"/>
  <c r="K17" i="73"/>
  <c r="K15" i="73"/>
  <c r="K73" i="73"/>
  <c r="K74" i="73"/>
  <c r="K70" i="73"/>
  <c r="K68" i="73"/>
  <c r="K69" i="73"/>
  <c r="K78" i="73"/>
  <c r="K75" i="73"/>
  <c r="K77" i="73"/>
  <c r="K50" i="73"/>
  <c r="K49" i="73"/>
  <c r="K20" i="73"/>
  <c r="K51" i="73"/>
  <c r="K28" i="73"/>
  <c r="K19" i="73"/>
  <c r="K52" i="73"/>
  <c r="K2" i="73"/>
  <c r="K26" i="73"/>
  <c r="K37" i="73"/>
  <c r="K41" i="73"/>
  <c r="K31" i="73"/>
  <c r="K36" i="73"/>
  <c r="K33" i="73"/>
  <c r="K29" i="73"/>
  <c r="K32" i="73"/>
  <c r="K35" i="73"/>
  <c r="K34" i="73"/>
  <c r="K30" i="73"/>
  <c r="K21" i="73"/>
  <c r="K27" i="73"/>
  <c r="K25" i="73"/>
  <c r="K47" i="73"/>
  <c r="K4" i="73"/>
  <c r="K53" i="73"/>
  <c r="K55" i="73"/>
  <c r="K54" i="73"/>
  <c r="J5" i="72" l="1"/>
  <c r="J6" i="72"/>
  <c r="J7" i="72"/>
  <c r="J8" i="72"/>
  <c r="J9" i="72"/>
  <c r="J10" i="72"/>
  <c r="J11" i="72"/>
  <c r="J12" i="72"/>
  <c r="J13" i="72"/>
  <c r="J14" i="72"/>
  <c r="J15" i="72"/>
  <c r="J16" i="72"/>
  <c r="J17" i="72"/>
  <c r="J18" i="72"/>
  <c r="J19" i="72"/>
  <c r="J20" i="72"/>
  <c r="J21" i="72"/>
  <c r="J22" i="72"/>
  <c r="J23" i="72"/>
  <c r="J24" i="72"/>
  <c r="J25" i="72"/>
  <c r="J26" i="72"/>
  <c r="J27" i="72"/>
  <c r="O3" i="69" l="1"/>
  <c r="P3" i="69"/>
  <c r="O7" i="69"/>
  <c r="P7" i="69"/>
  <c r="O5" i="69"/>
  <c r="P5" i="69"/>
  <c r="O4" i="69"/>
  <c r="P4" i="69"/>
  <c r="O10" i="69"/>
  <c r="P10" i="69"/>
  <c r="O11" i="69"/>
  <c r="P11" i="69"/>
  <c r="O12" i="69"/>
  <c r="P12" i="69"/>
  <c r="O13" i="69"/>
  <c r="P13" i="69"/>
  <c r="O14" i="69"/>
  <c r="P14" i="69"/>
  <c r="O15" i="69"/>
  <c r="P15" i="69"/>
  <c r="O16" i="69"/>
  <c r="P16" i="69"/>
  <c r="O17" i="69"/>
  <c r="P17" i="69"/>
  <c r="O18" i="69"/>
  <c r="P18" i="69"/>
  <c r="O19" i="69"/>
  <c r="P19" i="69"/>
  <c r="O20" i="69"/>
  <c r="P20" i="69"/>
  <c r="O21" i="69"/>
  <c r="P21" i="69"/>
  <c r="O22" i="69"/>
  <c r="P22" i="69"/>
  <c r="O23" i="69"/>
  <c r="P23" i="69"/>
  <c r="O24" i="69"/>
  <c r="P24" i="69"/>
  <c r="O25" i="69"/>
  <c r="P25" i="69"/>
  <c r="O26" i="69"/>
  <c r="P26" i="69"/>
  <c r="O27" i="69"/>
  <c r="P27" i="69"/>
  <c r="O28" i="69"/>
  <c r="P28" i="69"/>
  <c r="O29" i="69"/>
  <c r="P29" i="69"/>
  <c r="O30" i="69"/>
  <c r="P30" i="69"/>
  <c r="O31" i="69"/>
  <c r="P31" i="69"/>
  <c r="O32" i="69"/>
  <c r="P32" i="69"/>
  <c r="O33" i="69"/>
  <c r="P33" i="69"/>
  <c r="O34" i="69"/>
  <c r="P34" i="69"/>
  <c r="O35" i="69"/>
  <c r="P35" i="69"/>
  <c r="O36" i="69"/>
  <c r="P36" i="69"/>
  <c r="O37" i="69"/>
  <c r="P37" i="69"/>
  <c r="O38" i="69"/>
  <c r="P38" i="69"/>
  <c r="O39" i="69"/>
  <c r="P39" i="69"/>
  <c r="O40" i="69"/>
  <c r="P40" i="69"/>
  <c r="O41" i="69"/>
  <c r="P41" i="69"/>
  <c r="O42" i="69"/>
  <c r="P42" i="69"/>
  <c r="O43" i="69"/>
  <c r="P43" i="69"/>
  <c r="O44" i="69"/>
  <c r="P44" i="69"/>
  <c r="O45" i="69"/>
  <c r="P45" i="69"/>
  <c r="O46" i="69"/>
  <c r="P46" i="69"/>
  <c r="O47" i="69"/>
  <c r="P47" i="69"/>
  <c r="O48" i="69"/>
  <c r="P48" i="69"/>
  <c r="O49" i="69"/>
  <c r="P49" i="69"/>
  <c r="O50" i="69"/>
  <c r="P50" i="69"/>
  <c r="O51" i="69"/>
  <c r="P51" i="69"/>
  <c r="O52" i="69"/>
  <c r="P52" i="69"/>
  <c r="O53" i="69"/>
  <c r="P53" i="69"/>
  <c r="O54" i="69"/>
  <c r="P54" i="69"/>
  <c r="O55" i="69"/>
  <c r="P55" i="69"/>
  <c r="O57" i="69"/>
  <c r="P57" i="69"/>
  <c r="O56" i="69"/>
  <c r="P56" i="69"/>
  <c r="O58" i="69"/>
  <c r="P58" i="69"/>
  <c r="O59" i="69"/>
  <c r="P59" i="69"/>
  <c r="O60" i="69"/>
  <c r="P60" i="69"/>
  <c r="O61" i="69"/>
  <c r="P61" i="69"/>
  <c r="O62" i="69"/>
  <c r="P62" i="69"/>
  <c r="O63" i="69"/>
  <c r="P63" i="69"/>
  <c r="O64" i="69"/>
  <c r="P64" i="69"/>
  <c r="O65" i="69"/>
  <c r="P65" i="69"/>
  <c r="O66" i="69"/>
  <c r="P66" i="69"/>
  <c r="O68" i="69"/>
  <c r="P68" i="69"/>
  <c r="O71" i="69"/>
  <c r="P71" i="69"/>
  <c r="O72" i="69"/>
  <c r="P72" i="69"/>
  <c r="O73" i="69"/>
  <c r="P73" i="69"/>
  <c r="O74" i="69"/>
  <c r="P74" i="69"/>
  <c r="O75" i="69"/>
  <c r="P75" i="69"/>
  <c r="O76" i="69"/>
  <c r="P76" i="69"/>
  <c r="O77" i="69"/>
  <c r="P77" i="69"/>
  <c r="O78" i="69"/>
  <c r="P78" i="69"/>
  <c r="O79" i="69"/>
  <c r="P79" i="69"/>
  <c r="O82" i="69"/>
  <c r="P82" i="69"/>
  <c r="O80" i="69"/>
  <c r="P80" i="69"/>
  <c r="O81" i="69"/>
  <c r="P81" i="69"/>
  <c r="O83" i="69"/>
  <c r="P83" i="69"/>
  <c r="O84" i="69"/>
  <c r="P84" i="69"/>
  <c r="O85" i="69"/>
  <c r="P85" i="69"/>
  <c r="O86" i="69"/>
  <c r="P86" i="69"/>
  <c r="O87" i="69"/>
  <c r="P87" i="69"/>
  <c r="O88" i="69"/>
  <c r="P88" i="69"/>
  <c r="O89" i="69"/>
  <c r="P89" i="69"/>
  <c r="O90" i="69"/>
  <c r="P90" i="69"/>
  <c r="O91" i="69"/>
  <c r="P91" i="69"/>
  <c r="O92" i="69"/>
  <c r="P92" i="69"/>
  <c r="O93" i="69"/>
  <c r="P93" i="69"/>
  <c r="O94" i="69"/>
  <c r="P94" i="69"/>
  <c r="O95" i="69"/>
  <c r="P95" i="69"/>
  <c r="O96" i="69"/>
  <c r="P96" i="69"/>
  <c r="O97" i="69"/>
  <c r="P97" i="69"/>
  <c r="O98" i="69"/>
  <c r="P98" i="69"/>
  <c r="O99" i="69"/>
  <c r="P99" i="69"/>
  <c r="O100" i="69"/>
  <c r="P100" i="69"/>
  <c r="O101" i="69"/>
  <c r="P101" i="69"/>
  <c r="O102" i="69"/>
  <c r="P102" i="69"/>
  <c r="O103" i="69"/>
  <c r="P103" i="69"/>
  <c r="O104" i="69"/>
  <c r="P104" i="69"/>
  <c r="O105" i="69"/>
  <c r="P105" i="69"/>
  <c r="O106" i="69"/>
  <c r="P106" i="69"/>
  <c r="O107" i="69"/>
  <c r="P107" i="69"/>
  <c r="O108" i="69"/>
  <c r="P108" i="69"/>
  <c r="O109" i="69"/>
  <c r="P109" i="69"/>
  <c r="O111" i="69"/>
  <c r="P111" i="69"/>
  <c r="O115" i="69"/>
  <c r="P115" i="69"/>
  <c r="O112" i="69"/>
  <c r="P112" i="69"/>
  <c r="O113" i="69"/>
  <c r="P113" i="69"/>
  <c r="O114" i="69"/>
  <c r="P114" i="69"/>
  <c r="O116" i="69"/>
  <c r="P116" i="69"/>
  <c r="O117" i="69"/>
  <c r="P117" i="69"/>
  <c r="O121" i="69"/>
  <c r="P121" i="69"/>
  <c r="O119" i="69"/>
  <c r="P119" i="69"/>
  <c r="O120" i="69"/>
  <c r="P120" i="69"/>
  <c r="O118" i="69"/>
  <c r="P118" i="69"/>
  <c r="O122" i="69"/>
  <c r="P122" i="69"/>
  <c r="O123" i="69"/>
  <c r="P123" i="69"/>
  <c r="O124" i="69"/>
  <c r="P124" i="69"/>
  <c r="O125" i="69"/>
  <c r="P125" i="69"/>
  <c r="O127" i="69"/>
  <c r="P127" i="69"/>
  <c r="O128" i="69"/>
  <c r="P128" i="69"/>
  <c r="O129" i="69"/>
  <c r="P129" i="69"/>
  <c r="O131" i="69"/>
  <c r="P131" i="69"/>
  <c r="O132" i="69"/>
  <c r="P132" i="69"/>
  <c r="O133" i="69"/>
  <c r="P133" i="69"/>
  <c r="O134" i="69"/>
  <c r="P134" i="69"/>
  <c r="O135" i="69"/>
  <c r="P135" i="69"/>
  <c r="O136" i="69"/>
  <c r="P136" i="69"/>
  <c r="O137" i="69"/>
  <c r="P137" i="69"/>
  <c r="O138" i="69"/>
  <c r="P138" i="69"/>
  <c r="O140" i="69"/>
  <c r="P140" i="69"/>
  <c r="O139" i="69"/>
  <c r="P139" i="69"/>
  <c r="O141" i="69"/>
  <c r="P141" i="69"/>
  <c r="O142" i="69"/>
  <c r="P142" i="69"/>
  <c r="O143" i="69"/>
  <c r="P143" i="69"/>
  <c r="O144" i="69"/>
  <c r="P144" i="69"/>
  <c r="O233" i="69"/>
  <c r="P233" i="69"/>
  <c r="O146" i="69"/>
  <c r="P146" i="69"/>
  <c r="O147" i="69"/>
  <c r="P147" i="69"/>
  <c r="O148" i="69"/>
  <c r="P148" i="69"/>
  <c r="O149" i="69"/>
  <c r="P149" i="69"/>
  <c r="O150" i="69"/>
  <c r="P150" i="69"/>
  <c r="O151" i="69"/>
  <c r="P151" i="69"/>
  <c r="O152" i="69"/>
  <c r="P152" i="69"/>
  <c r="O153" i="69"/>
  <c r="P153" i="69"/>
  <c r="O154" i="69"/>
  <c r="P154" i="69"/>
  <c r="O155" i="69"/>
  <c r="P155" i="69"/>
  <c r="O157" i="69"/>
  <c r="P157" i="69"/>
  <c r="O156" i="69"/>
  <c r="P156" i="69"/>
  <c r="O158" i="69"/>
  <c r="P158" i="69"/>
  <c r="O159" i="69"/>
  <c r="P159" i="69"/>
  <c r="O160" i="69"/>
  <c r="P160" i="69"/>
  <c r="O162" i="69"/>
  <c r="P162" i="69"/>
  <c r="O161" i="69"/>
  <c r="P161" i="69"/>
  <c r="O163" i="69"/>
  <c r="P163" i="69"/>
  <c r="O166" i="69"/>
  <c r="P166" i="69"/>
  <c r="O165" i="69"/>
  <c r="P165" i="69"/>
  <c r="O164" i="69"/>
  <c r="P164" i="69"/>
  <c r="O167" i="69"/>
  <c r="P167" i="69"/>
  <c r="O169" i="69"/>
  <c r="P169" i="69"/>
  <c r="O168" i="69"/>
  <c r="P168" i="69"/>
  <c r="O170" i="69"/>
  <c r="P170" i="69"/>
  <c r="O171" i="69"/>
  <c r="P171" i="69"/>
  <c r="O172" i="69"/>
  <c r="P172" i="69"/>
  <c r="O173" i="69"/>
  <c r="P173" i="69"/>
  <c r="O174" i="69"/>
  <c r="P174" i="69"/>
  <c r="O175" i="69"/>
  <c r="P175" i="69"/>
  <c r="O180" i="69"/>
  <c r="P180" i="69"/>
  <c r="O181" i="69"/>
  <c r="P181" i="69"/>
  <c r="O176" i="69"/>
  <c r="P176" i="69"/>
  <c r="O177" i="69"/>
  <c r="P177" i="69"/>
  <c r="O178" i="69"/>
  <c r="P178" i="69"/>
  <c r="O179" i="69"/>
  <c r="P179" i="69"/>
  <c r="O182" i="69"/>
  <c r="P182" i="69"/>
  <c r="O183" i="69"/>
  <c r="P183" i="69"/>
  <c r="O184" i="69"/>
  <c r="P184" i="69"/>
  <c r="O185" i="69"/>
  <c r="P185" i="69"/>
  <c r="O188" i="69"/>
  <c r="P188" i="69"/>
  <c r="O187" i="69"/>
  <c r="P187" i="69"/>
  <c r="O186" i="69"/>
  <c r="P186" i="69"/>
  <c r="O189" i="69"/>
  <c r="P189" i="69"/>
  <c r="O190" i="69"/>
  <c r="P190" i="69"/>
  <c r="O191" i="69"/>
  <c r="P191" i="69"/>
  <c r="O192" i="69"/>
  <c r="P192" i="69"/>
  <c r="O193" i="69"/>
  <c r="P193" i="69"/>
  <c r="O194" i="69"/>
  <c r="P194" i="69"/>
  <c r="O195" i="69"/>
  <c r="P195" i="69"/>
  <c r="O196" i="69"/>
  <c r="P196" i="69"/>
  <c r="O198" i="69"/>
  <c r="P198" i="69"/>
  <c r="O197" i="69"/>
  <c r="P197" i="69"/>
  <c r="O199" i="69"/>
  <c r="P199" i="69"/>
  <c r="O200" i="69"/>
  <c r="P200" i="69"/>
  <c r="O201" i="69"/>
  <c r="P201" i="69"/>
  <c r="O202" i="69"/>
  <c r="P202" i="69"/>
  <c r="O203" i="69"/>
  <c r="P203" i="69"/>
  <c r="O204" i="69"/>
  <c r="P204" i="69"/>
  <c r="O207" i="69"/>
  <c r="P207" i="69"/>
  <c r="O208" i="69"/>
  <c r="P208" i="69"/>
  <c r="O209" i="69"/>
  <c r="P209" i="69"/>
  <c r="O210" i="69"/>
  <c r="P210" i="69"/>
  <c r="O211" i="69"/>
  <c r="P211" i="69"/>
  <c r="O212" i="69"/>
  <c r="P212" i="69"/>
  <c r="O213" i="69"/>
  <c r="P213" i="69"/>
  <c r="O214" i="69"/>
  <c r="P214" i="69"/>
  <c r="O215" i="69"/>
  <c r="P215" i="69"/>
  <c r="O216" i="69"/>
  <c r="P216" i="69"/>
  <c r="O217" i="69"/>
  <c r="P217" i="69"/>
  <c r="O218" i="69"/>
  <c r="P218" i="69"/>
  <c r="O219" i="69"/>
  <c r="P219" i="69"/>
  <c r="O220" i="69"/>
  <c r="P220" i="69"/>
  <c r="O223" i="69"/>
  <c r="P223" i="69"/>
  <c r="O222" i="69"/>
  <c r="P222" i="69"/>
  <c r="O221" i="69"/>
  <c r="P221" i="69"/>
  <c r="O224" i="69"/>
  <c r="P224" i="69"/>
  <c r="O227" i="69"/>
  <c r="P227" i="69"/>
  <c r="O228" i="69"/>
  <c r="P228" i="69"/>
  <c r="O225" i="69"/>
  <c r="P225" i="69"/>
  <c r="O226" i="69"/>
  <c r="P226" i="69"/>
  <c r="O229" i="69"/>
  <c r="P229" i="69"/>
  <c r="O231" i="69"/>
  <c r="P231" i="69"/>
  <c r="O230" i="69"/>
  <c r="P230" i="69"/>
  <c r="O232" i="69"/>
  <c r="P232" i="69"/>
  <c r="O145" i="69"/>
  <c r="P145" i="69"/>
  <c r="O234" i="69"/>
  <c r="P234" i="69"/>
  <c r="O235" i="69"/>
  <c r="P235" i="69"/>
  <c r="O236" i="69"/>
  <c r="P236" i="69"/>
  <c r="O237" i="69"/>
  <c r="P237" i="69"/>
  <c r="O238" i="69"/>
  <c r="P238" i="69"/>
  <c r="O240" i="69"/>
  <c r="P240" i="69"/>
  <c r="O239" i="69"/>
  <c r="P239" i="69"/>
  <c r="O241" i="69"/>
  <c r="P241" i="69"/>
  <c r="O242" i="69"/>
  <c r="P242" i="69"/>
  <c r="O243" i="69"/>
  <c r="P243" i="69"/>
  <c r="O244" i="69"/>
  <c r="P244" i="69"/>
  <c r="O245" i="69"/>
  <c r="P245" i="69"/>
  <c r="O246" i="69"/>
  <c r="P246" i="69"/>
  <c r="O247" i="69"/>
  <c r="P247" i="69"/>
  <c r="O248" i="69"/>
  <c r="P248" i="69"/>
  <c r="O249" i="69"/>
  <c r="P249" i="69"/>
  <c r="O250" i="69"/>
  <c r="P250" i="69"/>
  <c r="O251" i="69"/>
  <c r="P251" i="69"/>
  <c r="O252" i="69"/>
  <c r="P252" i="69"/>
  <c r="O253" i="69"/>
  <c r="P253" i="69"/>
  <c r="O254" i="69"/>
  <c r="P254" i="69"/>
  <c r="O255" i="69"/>
  <c r="P255" i="69"/>
  <c r="O256" i="69"/>
  <c r="P256" i="69"/>
  <c r="O257" i="69"/>
  <c r="P257" i="69"/>
  <c r="O258" i="69"/>
  <c r="P258" i="69"/>
  <c r="O259" i="69"/>
  <c r="P259" i="69"/>
  <c r="O260" i="69"/>
  <c r="P260" i="69"/>
  <c r="O261" i="69"/>
  <c r="P261" i="69"/>
  <c r="O262" i="69"/>
  <c r="P262" i="69"/>
  <c r="O267" i="69"/>
  <c r="P267" i="69"/>
  <c r="O266" i="69"/>
  <c r="P266" i="69"/>
  <c r="O265" i="69"/>
  <c r="P265" i="69"/>
  <c r="O268" i="69"/>
  <c r="P268" i="69"/>
  <c r="O269" i="69"/>
  <c r="P269" i="69"/>
  <c r="O263" i="69"/>
  <c r="P263" i="69"/>
  <c r="O264" i="69"/>
  <c r="P264" i="69"/>
  <c r="O270" i="69"/>
  <c r="P270" i="69"/>
  <c r="O271" i="69"/>
  <c r="P271" i="69"/>
  <c r="O272" i="69"/>
  <c r="P272" i="69"/>
  <c r="O273" i="69"/>
  <c r="P273" i="69"/>
  <c r="O274" i="69"/>
  <c r="P274" i="69"/>
  <c r="O275" i="69"/>
  <c r="P275" i="69"/>
  <c r="O277" i="69"/>
  <c r="P277" i="69"/>
  <c r="O276" i="69"/>
  <c r="P276" i="69"/>
  <c r="O278" i="69"/>
  <c r="P278" i="69"/>
  <c r="O279" i="69"/>
  <c r="P279" i="69"/>
  <c r="O280" i="69"/>
  <c r="P280" i="69"/>
  <c r="O281" i="69"/>
  <c r="P281" i="69"/>
  <c r="O282" i="69"/>
  <c r="P282" i="69"/>
  <c r="O283" i="69"/>
  <c r="P283" i="69"/>
  <c r="O284" i="69"/>
  <c r="P284" i="69"/>
  <c r="O287" i="69"/>
  <c r="P287" i="69"/>
  <c r="O286" i="69"/>
  <c r="P286" i="69"/>
  <c r="O285" i="69"/>
  <c r="P285" i="69"/>
  <c r="O288" i="69"/>
  <c r="P288" i="69"/>
  <c r="O289" i="69"/>
  <c r="P289" i="69"/>
  <c r="O290" i="69"/>
  <c r="P290" i="69"/>
  <c r="O291" i="69"/>
  <c r="P291" i="69"/>
  <c r="O292" i="69"/>
  <c r="P292" i="69"/>
  <c r="O293" i="69"/>
  <c r="P293" i="69"/>
  <c r="O294" i="69"/>
  <c r="P294" i="69"/>
  <c r="O295" i="69"/>
  <c r="P295" i="69"/>
  <c r="O296" i="69"/>
  <c r="P296" i="69"/>
  <c r="O297" i="69"/>
  <c r="P297" i="69"/>
  <c r="O298" i="69"/>
  <c r="P298" i="69"/>
  <c r="O299" i="69"/>
  <c r="P299" i="69"/>
  <c r="O300" i="69"/>
  <c r="P300" i="69"/>
  <c r="O301" i="69"/>
  <c r="P301" i="69"/>
  <c r="O302" i="69"/>
  <c r="P302" i="69"/>
  <c r="O304" i="69"/>
  <c r="P304" i="69"/>
  <c r="O303" i="69"/>
  <c r="P303" i="69"/>
  <c r="O305" i="69"/>
  <c r="P305" i="69"/>
  <c r="O306" i="69"/>
  <c r="P306" i="69"/>
  <c r="O307" i="69"/>
  <c r="P307" i="69"/>
  <c r="O308" i="69"/>
  <c r="P308" i="69"/>
  <c r="O309" i="69"/>
  <c r="P309" i="69"/>
  <c r="O310" i="69"/>
  <c r="P310" i="69"/>
  <c r="O313" i="69"/>
  <c r="P313" i="69"/>
  <c r="O314" i="69"/>
  <c r="P314" i="69"/>
  <c r="O312" i="69"/>
  <c r="P312" i="69"/>
  <c r="O315" i="69"/>
  <c r="P315" i="69"/>
  <c r="O316" i="69"/>
  <c r="P316" i="69"/>
  <c r="O317" i="69"/>
  <c r="P317" i="69"/>
  <c r="O318" i="69"/>
  <c r="P318" i="69"/>
  <c r="O320" i="69"/>
  <c r="P320" i="69"/>
  <c r="O319" i="69"/>
  <c r="P319" i="69"/>
  <c r="O321" i="69"/>
  <c r="P321" i="69"/>
  <c r="O322" i="69"/>
  <c r="P322" i="69"/>
  <c r="O325" i="69"/>
  <c r="P325" i="69"/>
  <c r="O324" i="69"/>
  <c r="P324" i="69"/>
  <c r="O326" i="69"/>
  <c r="P326" i="69"/>
  <c r="O323" i="69"/>
  <c r="P323" i="69"/>
  <c r="O328" i="69"/>
  <c r="P328" i="69"/>
  <c r="O327" i="69"/>
  <c r="P327" i="69"/>
  <c r="O329" i="69"/>
  <c r="P329" i="69"/>
  <c r="O330" i="69"/>
  <c r="P330" i="69"/>
  <c r="O331" i="69"/>
  <c r="P331" i="69"/>
  <c r="O332" i="69"/>
  <c r="P332" i="69"/>
  <c r="O333" i="69"/>
  <c r="P333" i="69"/>
  <c r="O334" i="69"/>
  <c r="P334" i="69"/>
  <c r="O335" i="69"/>
  <c r="P335" i="69"/>
  <c r="O336" i="69"/>
  <c r="P336" i="69"/>
  <c r="O338" i="69"/>
  <c r="P338" i="69"/>
  <c r="O339" i="69"/>
  <c r="P339" i="69"/>
  <c r="O337" i="69"/>
  <c r="P337" i="69"/>
  <c r="O340" i="69"/>
  <c r="P340" i="69"/>
  <c r="O341" i="69"/>
  <c r="P341" i="69"/>
  <c r="O342" i="69"/>
  <c r="P342" i="69"/>
  <c r="O343" i="69"/>
  <c r="P343" i="69"/>
  <c r="O344" i="69"/>
  <c r="P344" i="69"/>
  <c r="O345" i="69"/>
  <c r="P345" i="69"/>
  <c r="O346" i="69"/>
  <c r="P346" i="69"/>
  <c r="O347" i="69"/>
  <c r="P347" i="69"/>
  <c r="O348" i="69"/>
  <c r="P348" i="69"/>
  <c r="O349" i="69"/>
  <c r="P349" i="69"/>
  <c r="O350" i="69"/>
  <c r="P350" i="69"/>
  <c r="O351" i="69"/>
  <c r="P351" i="69"/>
  <c r="O352" i="69"/>
  <c r="P352" i="69"/>
  <c r="O353" i="69"/>
  <c r="P353" i="69"/>
  <c r="O356" i="69"/>
  <c r="P356" i="69"/>
  <c r="O357" i="69"/>
  <c r="P357" i="69"/>
  <c r="O355" i="69"/>
  <c r="P355" i="69"/>
  <c r="O358" i="69"/>
  <c r="P358" i="69"/>
  <c r="O359" i="69"/>
  <c r="P359" i="69"/>
  <c r="O360" i="69"/>
  <c r="P360" i="69"/>
  <c r="O9" i="69"/>
  <c r="P9" i="69"/>
  <c r="O311" i="69"/>
  <c r="P311" i="69"/>
  <c r="O2" i="69"/>
  <c r="P2" i="69"/>
  <c r="O8" i="69"/>
  <c r="P8" i="69"/>
  <c r="O361" i="69"/>
  <c r="P361" i="69"/>
  <c r="O362" i="69"/>
  <c r="P362" i="69"/>
  <c r="O364" i="69"/>
  <c r="P364" i="69"/>
  <c r="O365" i="69"/>
  <c r="P365" i="69"/>
  <c r="O366" i="69"/>
  <c r="P366" i="69"/>
  <c r="O367" i="69"/>
  <c r="P367" i="69"/>
  <c r="O363" i="69"/>
  <c r="P363" i="69"/>
  <c r="O368" i="69"/>
  <c r="P368" i="69"/>
  <c r="O369" i="69"/>
  <c r="P369" i="69"/>
  <c r="O370" i="69"/>
  <c r="P370" i="69"/>
  <c r="O371" i="69"/>
  <c r="P371" i="69"/>
  <c r="O372" i="69"/>
  <c r="P372" i="69"/>
  <c r="O373" i="69"/>
  <c r="P373" i="69"/>
  <c r="O377" i="69"/>
  <c r="P377" i="69"/>
  <c r="O374" i="69"/>
  <c r="P374" i="69"/>
  <c r="O375" i="69"/>
  <c r="P375" i="69"/>
  <c r="O376" i="69"/>
  <c r="P376" i="69"/>
  <c r="O384" i="69"/>
  <c r="P384" i="69"/>
  <c r="O385" i="69"/>
  <c r="P385" i="69"/>
  <c r="O378" i="69"/>
  <c r="P378" i="69"/>
  <c r="O380" i="69"/>
  <c r="P380" i="69"/>
  <c r="O386" i="69"/>
  <c r="P386" i="69"/>
  <c r="O382" i="69"/>
  <c r="P382" i="69"/>
  <c r="O383" i="69"/>
  <c r="P383" i="69"/>
  <c r="O381" i="69"/>
  <c r="P381" i="69"/>
  <c r="O389" i="69"/>
  <c r="P389" i="69"/>
  <c r="O387" i="69"/>
  <c r="P387" i="69"/>
  <c r="O388" i="69"/>
  <c r="P388" i="69"/>
  <c r="O390" i="69"/>
  <c r="P390" i="69"/>
  <c r="O391" i="69"/>
  <c r="P391" i="69"/>
  <c r="O395" i="69"/>
  <c r="P395" i="69"/>
  <c r="O396" i="69"/>
  <c r="P396" i="69"/>
  <c r="O394" i="69"/>
  <c r="P394" i="69"/>
  <c r="O392" i="69"/>
  <c r="P392" i="69"/>
  <c r="O393" i="69"/>
  <c r="P393" i="69"/>
  <c r="O397" i="69"/>
  <c r="P397" i="69"/>
  <c r="O398" i="69"/>
  <c r="P398" i="69"/>
  <c r="O399" i="69"/>
  <c r="P399" i="69"/>
  <c r="O400" i="69"/>
  <c r="P400" i="69"/>
  <c r="O401" i="69"/>
  <c r="P401" i="69"/>
  <c r="O402" i="69"/>
  <c r="P402" i="69"/>
  <c r="O403" i="69"/>
  <c r="P403" i="69"/>
  <c r="O404" i="69"/>
  <c r="P404" i="69"/>
  <c r="O405" i="69"/>
  <c r="P405" i="69"/>
  <c r="O406" i="69"/>
  <c r="P406" i="69"/>
  <c r="O407" i="69"/>
  <c r="P407" i="69"/>
  <c r="O408" i="69"/>
  <c r="P408" i="69"/>
  <c r="O409" i="69"/>
  <c r="P409" i="69"/>
  <c r="O410" i="69"/>
  <c r="P410" i="69"/>
  <c r="O411" i="69"/>
  <c r="P411" i="69"/>
  <c r="O414" i="69"/>
  <c r="P414" i="69"/>
  <c r="O415" i="69"/>
  <c r="P415" i="69"/>
  <c r="O416" i="69"/>
  <c r="P416" i="69"/>
  <c r="O417" i="69"/>
  <c r="P417" i="69"/>
  <c r="O418" i="69"/>
  <c r="P418" i="69"/>
  <c r="O419" i="69"/>
  <c r="P419" i="69"/>
  <c r="O420" i="69"/>
  <c r="P420" i="69"/>
  <c r="O421" i="69"/>
  <c r="P421" i="69"/>
  <c r="O422" i="69"/>
  <c r="P422" i="69"/>
  <c r="O423" i="69"/>
  <c r="P423" i="69"/>
  <c r="O424" i="69"/>
  <c r="P424" i="69"/>
  <c r="O425" i="69"/>
  <c r="P425" i="69"/>
  <c r="O426" i="69"/>
  <c r="P426" i="69"/>
  <c r="O427" i="69"/>
  <c r="P427" i="69"/>
  <c r="O428" i="69"/>
  <c r="P428" i="69"/>
  <c r="O429" i="69"/>
  <c r="P429" i="69"/>
  <c r="O430" i="69"/>
  <c r="P430" i="69"/>
  <c r="O434" i="69"/>
  <c r="P434" i="69"/>
  <c r="O431" i="69"/>
  <c r="P431" i="69"/>
  <c r="O433" i="69"/>
  <c r="P433" i="69"/>
  <c r="O432" i="69"/>
  <c r="P432" i="69"/>
  <c r="O435" i="69"/>
  <c r="P435" i="69"/>
  <c r="O436" i="69"/>
  <c r="P436" i="69"/>
  <c r="O438" i="69"/>
  <c r="P438" i="69"/>
  <c r="O437" i="69"/>
  <c r="P437" i="69"/>
  <c r="O439" i="69"/>
  <c r="P439" i="69"/>
  <c r="O440" i="69"/>
  <c r="P440" i="69"/>
  <c r="O441" i="69"/>
  <c r="P441" i="69"/>
  <c r="O442" i="69"/>
  <c r="P442" i="69"/>
  <c r="O443" i="69"/>
  <c r="P443" i="69"/>
  <c r="O444" i="69"/>
  <c r="P444" i="69"/>
  <c r="O445" i="69"/>
  <c r="P445" i="69"/>
  <c r="O446" i="69"/>
  <c r="P446" i="69"/>
  <c r="O447" i="69"/>
  <c r="P447" i="69"/>
  <c r="O448" i="69"/>
  <c r="P448" i="69"/>
  <c r="O449" i="69"/>
  <c r="P449" i="69"/>
  <c r="O450" i="69"/>
  <c r="P450" i="69"/>
  <c r="O453" i="69"/>
  <c r="P453" i="69"/>
  <c r="O454" i="69"/>
  <c r="P454" i="69"/>
  <c r="O455" i="69"/>
  <c r="P455" i="69"/>
  <c r="O456" i="69"/>
  <c r="P456" i="69"/>
  <c r="O457" i="69"/>
  <c r="P457" i="69"/>
  <c r="O459" i="69"/>
  <c r="P459" i="69"/>
  <c r="O458" i="69"/>
  <c r="P458" i="69"/>
  <c r="O460" i="69"/>
  <c r="P460" i="69"/>
  <c r="O461" i="69"/>
  <c r="P461" i="69"/>
  <c r="O462" i="69"/>
  <c r="P462" i="69"/>
  <c r="O463" i="69"/>
  <c r="P463" i="69"/>
  <c r="O464" i="69"/>
  <c r="P464" i="69"/>
  <c r="O465" i="69"/>
  <c r="P465" i="69"/>
  <c r="O466" i="69"/>
  <c r="P466" i="69"/>
  <c r="O467" i="69"/>
  <c r="P467" i="69"/>
  <c r="O468" i="69"/>
  <c r="P468" i="69"/>
  <c r="O469" i="69"/>
  <c r="P469" i="69"/>
  <c r="O470" i="69"/>
  <c r="P470" i="69"/>
  <c r="O471" i="69"/>
  <c r="P471" i="69"/>
  <c r="O472" i="69"/>
  <c r="P472" i="69"/>
  <c r="O473" i="69"/>
  <c r="P473" i="69"/>
  <c r="O474" i="69"/>
  <c r="P474" i="69"/>
  <c r="O475" i="69"/>
  <c r="P475" i="69"/>
  <c r="O476" i="69"/>
  <c r="P476" i="69"/>
  <c r="O477" i="69"/>
  <c r="P477" i="69"/>
  <c r="O478" i="69"/>
  <c r="P478" i="69"/>
  <c r="O479" i="69"/>
  <c r="P479" i="69"/>
  <c r="O483" i="69"/>
  <c r="P483" i="69"/>
  <c r="O482" i="69"/>
  <c r="P482" i="69"/>
  <c r="O480" i="69"/>
  <c r="P480" i="69"/>
  <c r="O481" i="69"/>
  <c r="P481" i="69"/>
  <c r="O484" i="69"/>
  <c r="P484" i="69"/>
  <c r="O485" i="69"/>
  <c r="P485" i="69"/>
  <c r="O486" i="69"/>
  <c r="P486" i="69"/>
  <c r="O487" i="69"/>
  <c r="P487" i="69"/>
  <c r="O488" i="69"/>
  <c r="P488" i="69"/>
  <c r="O489" i="69"/>
  <c r="P489" i="69"/>
  <c r="O490" i="69"/>
  <c r="P490" i="69"/>
  <c r="O491" i="69"/>
  <c r="P491" i="69"/>
  <c r="O492" i="69"/>
  <c r="P492" i="69"/>
  <c r="O493" i="69"/>
  <c r="P493" i="69"/>
  <c r="O494" i="69"/>
  <c r="P494" i="69"/>
  <c r="O495" i="69"/>
  <c r="P495" i="69"/>
  <c r="O496" i="69"/>
  <c r="P496" i="69"/>
  <c r="O497" i="69"/>
  <c r="P497" i="69"/>
  <c r="O498" i="69"/>
  <c r="P498" i="69"/>
  <c r="O451" i="69"/>
  <c r="P451" i="69"/>
  <c r="O452" i="69"/>
  <c r="P452" i="69"/>
  <c r="O499" i="69"/>
  <c r="P499" i="69"/>
  <c r="O500" i="69"/>
  <c r="P500" i="69"/>
  <c r="O501" i="69"/>
  <c r="P501" i="69"/>
  <c r="O502" i="69"/>
  <c r="P502" i="69"/>
  <c r="O503" i="69"/>
  <c r="P503" i="69"/>
  <c r="O504" i="69"/>
  <c r="P504" i="69"/>
  <c r="O505" i="69"/>
  <c r="P505" i="69"/>
  <c r="O506" i="69"/>
  <c r="P506" i="69"/>
  <c r="O507" i="69"/>
  <c r="P507" i="69"/>
  <c r="O70" i="69"/>
  <c r="P70" i="69"/>
  <c r="O110" i="69"/>
  <c r="P110" i="69"/>
  <c r="O130" i="69"/>
  <c r="P130" i="69"/>
  <c r="O205" i="69"/>
  <c r="P205" i="69"/>
  <c r="O206" i="69"/>
  <c r="P206" i="69"/>
  <c r="O354" i="69"/>
  <c r="P354" i="69"/>
  <c r="P6" i="69"/>
  <c r="O6" i="69"/>
  <c r="B62" i="67" l="1" a="1"/>
  <c r="B62" i="67" s="1"/>
  <c r="B64" i="67" a="1"/>
  <c r="B64" i="67" s="1"/>
  <c r="B66" i="67" a="1"/>
  <c r="B66" i="67" s="1"/>
  <c r="J116" i="3" l="1"/>
  <c r="O116" i="3" s="1"/>
  <c r="J117" i="3"/>
  <c r="O117" i="3" s="1"/>
  <c r="J118" i="3"/>
  <c r="O118" i="3" s="1"/>
  <c r="J119" i="3"/>
  <c r="O119" i="3" s="1"/>
  <c r="J4" i="3"/>
  <c r="O4" i="3" s="1"/>
  <c r="J5" i="3"/>
  <c r="O5" i="3" s="1"/>
  <c r="J6" i="3"/>
  <c r="O6" i="3" s="1"/>
  <c r="J102" i="3"/>
  <c r="O102" i="3" s="1"/>
  <c r="J195" i="3"/>
  <c r="O195" i="3" s="1"/>
  <c r="J196" i="3"/>
  <c r="O196" i="3" s="1"/>
  <c r="J197" i="3"/>
  <c r="O197" i="3" s="1"/>
  <c r="J7" i="3"/>
  <c r="O7" i="3" s="1"/>
  <c r="J9" i="3"/>
  <c r="O9" i="3" s="1"/>
  <c r="J10" i="3"/>
  <c r="O10" i="3" s="1"/>
  <c r="J11" i="3"/>
  <c r="O11" i="3" s="1"/>
  <c r="J13" i="3"/>
  <c r="O13" i="3" s="1"/>
  <c r="J12" i="3"/>
  <c r="O12" i="3" s="1"/>
  <c r="J107" i="3"/>
  <c r="O107" i="3" s="1"/>
  <c r="J155" i="3"/>
  <c r="O155" i="3" s="1"/>
  <c r="J228" i="3"/>
  <c r="O228" i="3" s="1"/>
  <c r="J14" i="3"/>
  <c r="O14" i="3" s="1"/>
  <c r="J16" i="3"/>
  <c r="O16" i="3" s="1"/>
  <c r="J18" i="3"/>
  <c r="O18" i="3" s="1"/>
  <c r="J19" i="3"/>
  <c r="O19" i="3" s="1"/>
  <c r="J21" i="3"/>
  <c r="O21" i="3" s="1"/>
  <c r="J22" i="3"/>
  <c r="O22" i="3" s="1"/>
  <c r="J23" i="3"/>
  <c r="O23" i="3" s="1"/>
  <c r="J24" i="3"/>
  <c r="O24" i="3" s="1"/>
  <c r="J25" i="3"/>
  <c r="O25" i="3" s="1"/>
  <c r="J26" i="3"/>
  <c r="O26" i="3" s="1"/>
  <c r="J27" i="3"/>
  <c r="O27" i="3" s="1"/>
  <c r="J28" i="3"/>
  <c r="O28" i="3" s="1"/>
  <c r="J29" i="3"/>
  <c r="O29" i="3" s="1"/>
  <c r="J31" i="3"/>
  <c r="O31" i="3" s="1"/>
  <c r="J32" i="3"/>
  <c r="O32" i="3" s="1"/>
  <c r="J33" i="3"/>
  <c r="O33" i="3" s="1"/>
  <c r="J30" i="3"/>
  <c r="O30" i="3" s="1"/>
  <c r="J34" i="3"/>
  <c r="O34" i="3" s="1"/>
  <c r="J35" i="3"/>
  <c r="O35" i="3" s="1"/>
  <c r="J36" i="3"/>
  <c r="O36" i="3" s="1"/>
  <c r="J37" i="3"/>
  <c r="O37" i="3" s="1"/>
  <c r="J42" i="3"/>
  <c r="O42" i="3" s="1"/>
  <c r="J43" i="3"/>
  <c r="O43" i="3" s="1"/>
  <c r="J44" i="3"/>
  <c r="O44" i="3" s="1"/>
  <c r="J47" i="3"/>
  <c r="O47" i="3" s="1"/>
  <c r="J49" i="3"/>
  <c r="O49" i="3" s="1"/>
  <c r="J48" i="3"/>
  <c r="O48" i="3" s="1"/>
  <c r="J50" i="3"/>
  <c r="O50" i="3" s="1"/>
  <c r="J51" i="3"/>
  <c r="O51" i="3" s="1"/>
  <c r="J52" i="3"/>
  <c r="O52" i="3" s="1"/>
  <c r="J53" i="3"/>
  <c r="O53" i="3" s="1"/>
  <c r="J54" i="3"/>
  <c r="O54" i="3" s="1"/>
  <c r="J55" i="3"/>
  <c r="O55" i="3" s="1"/>
  <c r="J56" i="3"/>
  <c r="O56" i="3" s="1"/>
  <c r="J46" i="3"/>
  <c r="O46" i="3" s="1"/>
  <c r="J57" i="3"/>
  <c r="O57" i="3" s="1"/>
  <c r="J58" i="3"/>
  <c r="O58" i="3" s="1"/>
  <c r="J59" i="3"/>
  <c r="O59" i="3" s="1"/>
  <c r="J60" i="3"/>
  <c r="O60" i="3" s="1"/>
  <c r="J61" i="3"/>
  <c r="O61" i="3" s="1"/>
  <c r="J62" i="3"/>
  <c r="O62" i="3" s="1"/>
  <c r="J175" i="3"/>
  <c r="O175" i="3" s="1"/>
  <c r="J64" i="3"/>
  <c r="O64" i="3" s="1"/>
  <c r="J65" i="3"/>
  <c r="O65" i="3" s="1"/>
  <c r="J67" i="3"/>
  <c r="O67" i="3" s="1"/>
  <c r="J68" i="3"/>
  <c r="O68" i="3" s="1"/>
  <c r="J69" i="3"/>
  <c r="O69" i="3" s="1"/>
  <c r="J148" i="3"/>
  <c r="O148" i="3" s="1"/>
  <c r="J72" i="3"/>
  <c r="O72" i="3" s="1"/>
  <c r="J71" i="3"/>
  <c r="O71" i="3" s="1"/>
  <c r="J224" i="3"/>
  <c r="O224" i="3" s="1"/>
  <c r="J223" i="3"/>
  <c r="O223" i="3" s="1"/>
  <c r="J74" i="3"/>
  <c r="O74" i="3" s="1"/>
  <c r="J76" i="3"/>
  <c r="O76" i="3" s="1"/>
  <c r="J75" i="3"/>
  <c r="O75" i="3" s="1"/>
  <c r="J77" i="3"/>
  <c r="O77" i="3" s="1"/>
  <c r="J79" i="3"/>
  <c r="O79" i="3" s="1"/>
  <c r="J81" i="3"/>
  <c r="O81" i="3" s="1"/>
  <c r="J80" i="3"/>
  <c r="O80" i="3" s="1"/>
  <c r="J82" i="3"/>
  <c r="O82" i="3" s="1"/>
  <c r="J83" i="3"/>
  <c r="O83" i="3" s="1"/>
  <c r="J84" i="3"/>
  <c r="O84" i="3" s="1"/>
  <c r="J85" i="3"/>
  <c r="O85" i="3" s="1"/>
  <c r="J91" i="3"/>
  <c r="O91" i="3" s="1"/>
  <c r="J92" i="3"/>
  <c r="O92" i="3" s="1"/>
  <c r="J86" i="3"/>
  <c r="O86" i="3" s="1"/>
  <c r="J87" i="3"/>
  <c r="O87" i="3" s="1"/>
  <c r="J88" i="3"/>
  <c r="O88" i="3" s="1"/>
  <c r="J89" i="3"/>
  <c r="O89" i="3" s="1"/>
  <c r="J90" i="3"/>
  <c r="O90" i="3" s="1"/>
  <c r="J93" i="3"/>
  <c r="O93" i="3" s="1"/>
  <c r="J94" i="3"/>
  <c r="O94" i="3" s="1"/>
  <c r="J95" i="3"/>
  <c r="O95" i="3" s="1"/>
  <c r="J100" i="3"/>
  <c r="O100" i="3" s="1"/>
  <c r="J103" i="3"/>
  <c r="O103" i="3" s="1"/>
  <c r="J104" i="3"/>
  <c r="O104" i="3" s="1"/>
  <c r="J105" i="3"/>
  <c r="O105" i="3" s="1"/>
  <c r="J106" i="3"/>
  <c r="O106" i="3" s="1"/>
  <c r="J110" i="3"/>
  <c r="O110" i="3" s="1"/>
  <c r="J172" i="3"/>
  <c r="O172" i="3" s="1"/>
  <c r="J112" i="3"/>
  <c r="O112" i="3" s="1"/>
  <c r="J111" i="3"/>
  <c r="O111" i="3" s="1"/>
  <c r="J39" i="3"/>
  <c r="O39" i="3" s="1"/>
  <c r="J38" i="3"/>
  <c r="O38" i="3" s="1"/>
  <c r="J8" i="3"/>
  <c r="O8" i="3" s="1"/>
  <c r="J17" i="3"/>
  <c r="O17" i="3" s="1"/>
  <c r="J176" i="3"/>
  <c r="O176" i="3" s="1"/>
  <c r="J177" i="3"/>
  <c r="O177" i="3" s="1"/>
  <c r="J73" i="3"/>
  <c r="O73" i="3" s="1"/>
  <c r="J66" i="3"/>
  <c r="O66" i="3" s="1"/>
  <c r="J122" i="3"/>
  <c r="O122" i="3" s="1"/>
  <c r="J181" i="3"/>
  <c r="O181" i="3" s="1"/>
  <c r="J182" i="3"/>
  <c r="O182" i="3" s="1"/>
  <c r="J183" i="3"/>
  <c r="O183" i="3" s="1"/>
  <c r="J63" i="3"/>
  <c r="O63" i="3" s="1"/>
  <c r="J101" i="3"/>
  <c r="O101" i="3" s="1"/>
  <c r="J97" i="3"/>
  <c r="O97" i="3" s="1"/>
  <c r="J109" i="3"/>
  <c r="O109" i="3" s="1"/>
  <c r="J120" i="3"/>
  <c r="O120" i="3" s="1"/>
  <c r="J125" i="3"/>
  <c r="O125" i="3" s="1"/>
  <c r="J126" i="3"/>
  <c r="O126" i="3" s="1"/>
  <c r="J78" i="3"/>
  <c r="O78" i="3" s="1"/>
  <c r="J114" i="3"/>
  <c r="O114" i="3" s="1"/>
  <c r="J130" i="3"/>
  <c r="O130" i="3" s="1"/>
  <c r="J150" i="3"/>
  <c r="O150" i="3" s="1"/>
  <c r="J234" i="3"/>
  <c r="O234" i="3" s="1"/>
  <c r="J235" i="3"/>
  <c r="O235" i="3" s="1"/>
  <c r="J144" i="3"/>
  <c r="O144" i="3" s="1"/>
  <c r="J143" i="3"/>
  <c r="O143" i="3" s="1"/>
  <c r="J152" i="3"/>
  <c r="O152" i="3" s="1"/>
  <c r="J170" i="3"/>
  <c r="O170" i="3" s="1"/>
  <c r="J173" i="3"/>
  <c r="O173" i="3" s="1"/>
  <c r="J171" i="3"/>
  <c r="O171" i="3" s="1"/>
  <c r="J168" i="3"/>
  <c r="O168" i="3" s="1"/>
  <c r="J210" i="3"/>
  <c r="O210" i="3" s="1"/>
  <c r="J212" i="3"/>
  <c r="O212" i="3" s="1"/>
  <c r="J236" i="3"/>
  <c r="O236" i="3" s="1"/>
  <c r="J121" i="3"/>
  <c r="O121" i="3" s="1"/>
  <c r="J2" i="3"/>
  <c r="O2" i="3" s="1"/>
  <c r="J3" i="3"/>
  <c r="O3" i="3" s="1"/>
  <c r="J15" i="3"/>
  <c r="O15" i="3" s="1"/>
  <c r="J45" i="3"/>
  <c r="O45" i="3" s="1"/>
  <c r="J178" i="3"/>
  <c r="O178" i="3" s="1"/>
  <c r="J179" i="3"/>
  <c r="O179" i="3" s="1"/>
  <c r="J124" i="3"/>
  <c r="O124" i="3" s="1"/>
  <c r="J123" i="3"/>
  <c r="O123" i="3" s="1"/>
  <c r="J149" i="3"/>
  <c r="O149" i="3" s="1"/>
  <c r="J229" i="3"/>
  <c r="O229" i="3" s="1"/>
  <c r="J132" i="3"/>
  <c r="O132" i="3" s="1"/>
  <c r="J136" i="3"/>
  <c r="O136" i="3" s="1"/>
  <c r="J135" i="3"/>
  <c r="O135" i="3" s="1"/>
  <c r="J137" i="3"/>
  <c r="O137" i="3" s="1"/>
  <c r="J138" i="3"/>
  <c r="O138" i="3" s="1"/>
  <c r="J134" i="3"/>
  <c r="O134" i="3" s="1"/>
  <c r="J139" i="3"/>
  <c r="O139" i="3" s="1"/>
  <c r="J140" i="3"/>
  <c r="O140" i="3" s="1"/>
  <c r="J145" i="3"/>
  <c r="O145" i="3" s="1"/>
  <c r="J146" i="3"/>
  <c r="O146" i="3" s="1"/>
  <c r="J151" i="3"/>
  <c r="O151" i="3" s="1"/>
  <c r="J154" i="3"/>
  <c r="O154" i="3" s="1"/>
  <c r="J153" i="3"/>
  <c r="O153" i="3" s="1"/>
  <c r="J40" i="3"/>
  <c r="O40" i="3" s="1"/>
  <c r="J41" i="3"/>
  <c r="O41" i="3" s="1"/>
  <c r="J127" i="3"/>
  <c r="O127" i="3" s="1"/>
  <c r="J142" i="3"/>
  <c r="O142" i="3" s="1"/>
  <c r="J190" i="3"/>
  <c r="O190" i="3" s="1"/>
  <c r="J189" i="3"/>
  <c r="O189" i="3" s="1"/>
  <c r="J204" i="3"/>
  <c r="O204" i="3" s="1"/>
  <c r="J203" i="3"/>
  <c r="O203" i="3" s="1"/>
  <c r="J207" i="3"/>
  <c r="O207" i="3" s="1"/>
  <c r="J156" i="3"/>
  <c r="O156" i="3" s="1"/>
  <c r="J157" i="3"/>
  <c r="O157" i="3" s="1"/>
  <c r="J158" i="3"/>
  <c r="O158" i="3" s="1"/>
  <c r="J159" i="3"/>
  <c r="O159" i="3" s="1"/>
  <c r="J161" i="3"/>
  <c r="O161" i="3" s="1"/>
  <c r="J160" i="3"/>
  <c r="O160" i="3" s="1"/>
  <c r="J163" i="3"/>
  <c r="O163" i="3" s="1"/>
  <c r="J164" i="3"/>
  <c r="O164" i="3" s="1"/>
  <c r="J165" i="3"/>
  <c r="O165" i="3" s="1"/>
  <c r="J162" i="3"/>
  <c r="O162" i="3" s="1"/>
  <c r="J166" i="3"/>
  <c r="O166" i="3" s="1"/>
  <c r="J70" i="3"/>
  <c r="O70" i="3" s="1"/>
  <c r="J96" i="3"/>
  <c r="O96" i="3" s="1"/>
  <c r="J113" i="3"/>
  <c r="O113" i="3" s="1"/>
  <c r="J129" i="3"/>
  <c r="O129" i="3" s="1"/>
  <c r="J141" i="3"/>
  <c r="O141" i="3" s="1"/>
  <c r="J215" i="3"/>
  <c r="O215" i="3" s="1"/>
  <c r="J216" i="3"/>
  <c r="O216" i="3" s="1"/>
  <c r="J219" i="3"/>
  <c r="O219" i="3" s="1"/>
  <c r="J222" i="3"/>
  <c r="O222" i="3" s="1"/>
  <c r="J167" i="3"/>
  <c r="O167" i="3" s="1"/>
  <c r="J184" i="3"/>
  <c r="O184" i="3" s="1"/>
  <c r="J180" i="3"/>
  <c r="O180" i="3" s="1"/>
  <c r="J185" i="3"/>
  <c r="O185" i="3" s="1"/>
  <c r="J169" i="3"/>
  <c r="O169" i="3" s="1"/>
  <c r="J174" i="3"/>
  <c r="O174" i="3" s="1"/>
  <c r="J186" i="3"/>
  <c r="O186" i="3" s="1"/>
  <c r="J187" i="3"/>
  <c r="O187" i="3" s="1"/>
  <c r="J188" i="3"/>
  <c r="O188" i="3" s="1"/>
  <c r="J191" i="3"/>
  <c r="O191" i="3" s="1"/>
  <c r="J193" i="3"/>
  <c r="O193" i="3" s="1"/>
  <c r="J194" i="3"/>
  <c r="O194" i="3" s="1"/>
  <c r="J192" i="3"/>
  <c r="O192" i="3" s="1"/>
  <c r="J200" i="3"/>
  <c r="O200" i="3" s="1"/>
  <c r="J199" i="3"/>
  <c r="O199" i="3" s="1"/>
  <c r="J201" i="3"/>
  <c r="O201" i="3" s="1"/>
  <c r="J202" i="3"/>
  <c r="O202" i="3" s="1"/>
  <c r="J198" i="3"/>
  <c r="O198" i="3" s="1"/>
  <c r="J205" i="3"/>
  <c r="O205" i="3" s="1"/>
  <c r="J206" i="3"/>
  <c r="O206" i="3" s="1"/>
  <c r="J209" i="3"/>
  <c r="O209" i="3" s="1"/>
  <c r="J208" i="3"/>
  <c r="O208" i="3" s="1"/>
  <c r="J211" i="3"/>
  <c r="O211" i="3" s="1"/>
  <c r="J213" i="3"/>
  <c r="O213" i="3" s="1"/>
  <c r="J214" i="3"/>
  <c r="O214" i="3" s="1"/>
  <c r="J217" i="3"/>
  <c r="O217" i="3" s="1"/>
  <c r="J108" i="3"/>
  <c r="O108" i="3" s="1"/>
  <c r="J128" i="3"/>
  <c r="O128" i="3" s="1"/>
  <c r="J218" i="3"/>
  <c r="O218" i="3" s="1"/>
  <c r="J99" i="3"/>
  <c r="O99" i="3" s="1"/>
  <c r="J98" i="3"/>
  <c r="O98" i="3" s="1"/>
  <c r="J133" i="3"/>
  <c r="O133" i="3" s="1"/>
  <c r="J220" i="3"/>
  <c r="O220" i="3" s="1"/>
  <c r="J221" i="3"/>
  <c r="O221" i="3" s="1"/>
  <c r="J226" i="3"/>
  <c r="O226" i="3" s="1"/>
  <c r="J227" i="3"/>
  <c r="O227" i="3" s="1"/>
  <c r="J225" i="3"/>
  <c r="O225" i="3" s="1"/>
  <c r="J231" i="3"/>
  <c r="O231" i="3" s="1"/>
  <c r="J232" i="3"/>
  <c r="O232" i="3" s="1"/>
  <c r="J233" i="3"/>
  <c r="O233" i="3" s="1"/>
  <c r="J230" i="3"/>
  <c r="O230" i="3" s="1"/>
  <c r="J20" i="3"/>
  <c r="O20" i="3" s="1"/>
  <c r="J147" i="3"/>
  <c r="O147" i="3" s="1"/>
  <c r="J131" i="3"/>
  <c r="O131" i="3" s="1"/>
  <c r="J115" i="3"/>
  <c r="O115" i="3" s="1"/>
  <c r="Y20" i="3" l="1"/>
  <c r="Y147" i="3"/>
  <c r="Y131" i="3"/>
  <c r="Y3" i="3"/>
  <c r="Y4" i="3"/>
  <c r="Y5" i="3"/>
  <c r="Y6" i="3"/>
  <c r="Y7" i="3"/>
  <c r="Y8" i="3"/>
  <c r="Y9" i="3"/>
  <c r="Y10" i="3"/>
  <c r="Y11" i="3"/>
  <c r="Y12" i="3"/>
  <c r="Y13" i="3"/>
  <c r="Y14" i="3"/>
  <c r="Y16" i="3"/>
  <c r="Y15" i="3"/>
  <c r="Y17" i="3"/>
  <c r="Y18" i="3"/>
  <c r="Y19" i="3"/>
  <c r="Y21" i="3"/>
  <c r="Y22" i="3"/>
  <c r="Y23" i="3"/>
  <c r="Y24" i="3"/>
  <c r="Y25" i="3"/>
  <c r="Y26" i="3"/>
  <c r="Y27" i="3"/>
  <c r="Y28" i="3"/>
  <c r="Y29" i="3"/>
  <c r="Y30" i="3"/>
  <c r="Y31" i="3"/>
  <c r="Y32" i="3"/>
  <c r="Y33" i="3"/>
  <c r="Y34" i="3"/>
  <c r="Y35" i="3"/>
  <c r="Y36" i="3"/>
  <c r="Y37" i="3"/>
  <c r="Y38" i="3"/>
  <c r="Y39" i="3"/>
  <c r="Y40" i="3"/>
  <c r="Y41" i="3"/>
  <c r="Y42" i="3"/>
  <c r="Y43" i="3"/>
  <c r="Y44" i="3"/>
  <c r="Y45" i="3"/>
  <c r="Y46" i="3"/>
  <c r="Y47" i="3"/>
  <c r="Y48" i="3"/>
  <c r="Y49" i="3"/>
  <c r="Y50" i="3"/>
  <c r="Y51" i="3"/>
  <c r="Y52" i="3"/>
  <c r="Y53" i="3"/>
  <c r="Y54" i="3"/>
  <c r="Y55" i="3"/>
  <c r="Y56" i="3"/>
  <c r="Y57" i="3"/>
  <c r="Y58" i="3"/>
  <c r="Y59" i="3"/>
  <c r="Y60" i="3"/>
  <c r="Y61" i="3"/>
  <c r="Y62" i="3"/>
  <c r="Y63" i="3"/>
  <c r="Y64" i="3"/>
  <c r="Y65" i="3"/>
  <c r="Y66" i="3"/>
  <c r="Y67" i="3"/>
  <c r="Y68" i="3"/>
  <c r="Y69" i="3"/>
  <c r="Y70" i="3"/>
  <c r="Y71" i="3"/>
  <c r="Y72" i="3"/>
  <c r="Y73" i="3"/>
  <c r="Y74" i="3"/>
  <c r="Y75" i="3"/>
  <c r="Y76" i="3"/>
  <c r="Y77" i="3"/>
  <c r="Y78" i="3"/>
  <c r="Y79" i="3"/>
  <c r="Y80" i="3"/>
  <c r="Y81" i="3"/>
  <c r="Y82" i="3"/>
  <c r="Y83" i="3"/>
  <c r="Y84" i="3"/>
  <c r="Y85" i="3"/>
  <c r="Y86" i="3"/>
  <c r="Y87" i="3"/>
  <c r="Y88" i="3"/>
  <c r="Y89" i="3"/>
  <c r="Y90" i="3"/>
  <c r="Y91" i="3"/>
  <c r="Y92" i="3"/>
  <c r="Y93" i="3"/>
  <c r="Y94" i="3"/>
  <c r="Y95" i="3"/>
  <c r="Y96" i="3"/>
  <c r="Y97" i="3"/>
  <c r="Y98" i="3"/>
  <c r="Y99" i="3"/>
  <c r="Y100" i="3"/>
  <c r="Y101" i="3"/>
  <c r="Y102" i="3"/>
  <c r="Y103" i="3"/>
  <c r="Y104" i="3"/>
  <c r="Y105" i="3"/>
  <c r="Y106" i="3"/>
  <c r="Y107" i="3"/>
  <c r="Y108" i="3"/>
  <c r="Y109" i="3"/>
  <c r="Y110" i="3"/>
  <c r="Y111" i="3"/>
  <c r="Y112" i="3"/>
  <c r="Y113" i="3"/>
  <c r="Y114" i="3"/>
  <c r="Y115" i="3"/>
  <c r="Y116" i="3"/>
  <c r="Y117" i="3"/>
  <c r="Y118" i="3"/>
  <c r="Y119" i="3"/>
  <c r="Y120" i="3"/>
  <c r="Y121" i="3"/>
  <c r="Y122" i="3"/>
  <c r="Y124" i="3"/>
  <c r="Y123" i="3"/>
  <c r="Y125" i="3"/>
  <c r="Y126" i="3"/>
  <c r="Y127" i="3"/>
  <c r="Y128" i="3"/>
  <c r="Y129" i="3"/>
  <c r="Y130" i="3"/>
  <c r="Y132" i="3"/>
  <c r="Y133" i="3"/>
  <c r="Y134" i="3"/>
  <c r="Y135" i="3"/>
  <c r="Y136" i="3"/>
  <c r="Y137" i="3"/>
  <c r="Y138" i="3"/>
  <c r="Y139" i="3"/>
  <c r="Y140" i="3"/>
  <c r="Y141" i="3"/>
  <c r="Y142" i="3"/>
  <c r="Y143" i="3"/>
  <c r="Y144" i="3"/>
  <c r="Y145" i="3"/>
  <c r="Y146" i="3"/>
  <c r="Y148" i="3"/>
  <c r="Y149" i="3"/>
  <c r="Y150" i="3"/>
  <c r="Y151" i="3"/>
  <c r="Y152" i="3"/>
  <c r="Y153" i="3"/>
  <c r="Y154" i="3"/>
  <c r="Y155" i="3"/>
  <c r="Y156" i="3"/>
  <c r="Y157" i="3"/>
  <c r="Y158" i="3"/>
  <c r="Y159" i="3"/>
  <c r="Y160" i="3"/>
  <c r="Y161" i="3"/>
  <c r="Y162" i="3"/>
  <c r="Y163" i="3"/>
  <c r="Y164" i="3"/>
  <c r="Y165" i="3"/>
  <c r="Y166" i="3"/>
  <c r="Y167" i="3"/>
  <c r="Y168" i="3"/>
  <c r="Y169" i="3"/>
  <c r="Y170" i="3"/>
  <c r="Y171" i="3"/>
  <c r="Y172" i="3"/>
  <c r="Y173" i="3"/>
  <c r="Y174" i="3"/>
  <c r="Y175" i="3"/>
  <c r="Y176" i="3"/>
  <c r="Y177" i="3"/>
  <c r="Y178" i="3"/>
  <c r="Y179" i="3"/>
  <c r="Y180" i="3"/>
  <c r="Y181" i="3"/>
  <c r="Y182" i="3"/>
  <c r="Y183" i="3"/>
  <c r="Y184" i="3"/>
  <c r="Y185" i="3"/>
  <c r="Y186" i="3"/>
  <c r="Y187" i="3"/>
  <c r="Y188" i="3"/>
  <c r="Y189" i="3"/>
  <c r="Y190" i="3"/>
  <c r="Y191" i="3"/>
  <c r="Y192" i="3"/>
  <c r="Y193" i="3"/>
  <c r="Y194" i="3"/>
  <c r="Y195" i="3"/>
  <c r="Y196" i="3"/>
  <c r="Y197" i="3"/>
  <c r="Y198" i="3"/>
  <c r="Y199" i="3"/>
  <c r="Y200" i="3"/>
  <c r="Y201" i="3"/>
  <c r="Y202" i="3"/>
  <c r="Y203" i="3"/>
  <c r="Y204" i="3"/>
  <c r="Y205" i="3"/>
  <c r="Y206" i="3"/>
  <c r="Y207" i="3"/>
  <c r="Y208" i="3"/>
  <c r="Y209" i="3"/>
  <c r="Y210" i="3"/>
  <c r="Y211" i="3"/>
  <c r="Y212" i="3"/>
  <c r="Y213" i="3"/>
  <c r="Y214" i="3"/>
  <c r="Y215" i="3"/>
  <c r="Y216" i="3"/>
  <c r="Y217" i="3"/>
  <c r="Y218" i="3"/>
  <c r="Y219" i="3"/>
  <c r="Y220" i="3"/>
  <c r="Y221" i="3"/>
  <c r="Y222" i="3"/>
  <c r="Y223" i="3"/>
  <c r="Y224" i="3"/>
  <c r="Y225" i="3"/>
  <c r="Y226" i="3"/>
  <c r="Y227" i="3"/>
  <c r="Y228" i="3"/>
  <c r="Y229" i="3"/>
  <c r="Y230" i="3"/>
  <c r="Y231" i="3"/>
  <c r="Y232" i="3"/>
  <c r="Y233" i="3"/>
  <c r="Y234" i="3"/>
  <c r="Y235" i="3"/>
  <c r="Y236" i="3"/>
  <c r="Y2" i="3"/>
  <c r="P2" i="3"/>
  <c r="P3" i="3"/>
  <c r="P4" i="3"/>
  <c r="P5" i="3"/>
  <c r="P6" i="3"/>
  <c r="P7" i="3"/>
  <c r="P8" i="3"/>
  <c r="P9" i="3"/>
  <c r="P10" i="3"/>
  <c r="P11" i="3"/>
  <c r="P12" i="3"/>
  <c r="P13" i="3"/>
  <c r="P14" i="3"/>
  <c r="P16" i="3"/>
  <c r="P15" i="3"/>
  <c r="P17" i="3"/>
  <c r="P18" i="3"/>
  <c r="P19"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102" i="3"/>
  <c r="P103" i="3"/>
  <c r="P104" i="3"/>
  <c r="P105" i="3"/>
  <c r="P106" i="3"/>
  <c r="P107" i="3"/>
  <c r="P108" i="3"/>
  <c r="P109" i="3"/>
  <c r="P110" i="3"/>
  <c r="P111" i="3"/>
  <c r="P112" i="3"/>
  <c r="P113" i="3"/>
  <c r="P114" i="3"/>
  <c r="P115" i="3"/>
  <c r="P116" i="3"/>
  <c r="P117" i="3"/>
  <c r="P118" i="3"/>
  <c r="P119" i="3"/>
  <c r="P120" i="3"/>
  <c r="P121" i="3"/>
  <c r="P122" i="3"/>
  <c r="P124" i="3"/>
  <c r="P123" i="3"/>
  <c r="P125" i="3"/>
  <c r="P126" i="3"/>
  <c r="P127" i="3"/>
  <c r="P128" i="3"/>
  <c r="P129" i="3"/>
  <c r="P130" i="3"/>
  <c r="P132" i="3"/>
  <c r="P133" i="3"/>
  <c r="P134" i="3"/>
  <c r="P135" i="3"/>
  <c r="P136" i="3"/>
  <c r="P137" i="3"/>
  <c r="P138" i="3"/>
  <c r="P139" i="3"/>
  <c r="P140" i="3"/>
  <c r="P141" i="3"/>
  <c r="P142" i="3"/>
  <c r="P143" i="3"/>
  <c r="P144" i="3"/>
  <c r="P145" i="3"/>
  <c r="P146" i="3"/>
  <c r="P148" i="3"/>
  <c r="P149" i="3"/>
  <c r="P150" i="3"/>
  <c r="P151" i="3"/>
  <c r="P152" i="3"/>
  <c r="P153" i="3"/>
  <c r="P154" i="3"/>
  <c r="P155" i="3"/>
  <c r="P156" i="3"/>
  <c r="P157" i="3"/>
  <c r="P158" i="3"/>
  <c r="P159" i="3"/>
  <c r="P160" i="3"/>
  <c r="P161" i="3"/>
  <c r="P162" i="3"/>
  <c r="P163" i="3"/>
  <c r="P164" i="3"/>
  <c r="P165" i="3"/>
  <c r="P166" i="3"/>
  <c r="P167" i="3"/>
  <c r="P168" i="3"/>
  <c r="P169" i="3"/>
  <c r="P170" i="3"/>
  <c r="P171" i="3"/>
  <c r="P172" i="3"/>
  <c r="P173" i="3"/>
  <c r="P174" i="3"/>
  <c r="P175" i="3"/>
  <c r="P176" i="3"/>
  <c r="P177" i="3"/>
  <c r="P178" i="3"/>
  <c r="P179" i="3"/>
  <c r="P180" i="3"/>
  <c r="P181" i="3"/>
  <c r="P182" i="3"/>
  <c r="P183" i="3"/>
  <c r="P184" i="3"/>
  <c r="P185" i="3"/>
  <c r="P186" i="3"/>
  <c r="P187" i="3"/>
  <c r="P188" i="3"/>
  <c r="P189" i="3"/>
  <c r="P190" i="3"/>
  <c r="P191" i="3"/>
  <c r="P192" i="3"/>
  <c r="P193" i="3"/>
  <c r="P194" i="3"/>
  <c r="P195" i="3"/>
  <c r="P196" i="3"/>
  <c r="P197" i="3"/>
  <c r="P198" i="3"/>
  <c r="P199" i="3"/>
  <c r="P200" i="3"/>
  <c r="P201" i="3"/>
  <c r="P202" i="3"/>
  <c r="P203" i="3"/>
  <c r="P204" i="3"/>
  <c r="P205" i="3"/>
  <c r="P206" i="3"/>
  <c r="P207" i="3"/>
  <c r="P208" i="3"/>
  <c r="P209" i="3"/>
  <c r="P210" i="3"/>
  <c r="P211" i="3"/>
  <c r="P212" i="3"/>
  <c r="P213" i="3"/>
  <c r="P214" i="3"/>
  <c r="P215" i="3"/>
  <c r="P216" i="3"/>
  <c r="P217" i="3"/>
  <c r="P218" i="3"/>
  <c r="P219" i="3"/>
  <c r="P220" i="3"/>
  <c r="P221" i="3"/>
  <c r="P222" i="3"/>
  <c r="P223" i="3"/>
  <c r="P224" i="3"/>
  <c r="P225" i="3"/>
  <c r="P226" i="3"/>
  <c r="P227" i="3"/>
  <c r="P228" i="3"/>
  <c r="P229" i="3"/>
  <c r="P230" i="3"/>
  <c r="P231" i="3"/>
  <c r="P232" i="3"/>
  <c r="P233" i="3"/>
  <c r="P234" i="3"/>
  <c r="P235" i="3"/>
  <c r="P20" i="3"/>
  <c r="P147" i="3"/>
  <c r="P131" i="3"/>
  <c r="P236" i="3"/>
  <c r="L234" i="3"/>
  <c r="L235" i="3"/>
  <c r="L236" i="3"/>
  <c r="L20" i="3"/>
  <c r="L147" i="3"/>
  <c r="L131" i="3"/>
  <c r="R328" i="57" l="1" a="1"/>
  <c r="R328" i="57" s="1"/>
  <c r="K328" i="57"/>
  <c r="I328" i="57"/>
  <c r="G328" i="57"/>
  <c r="R326" i="57" a="1"/>
  <c r="R326" i="57" s="1"/>
  <c r="K326" i="57"/>
  <c r="I326" i="57"/>
  <c r="M326" i="57" s="1"/>
  <c r="G326" i="57"/>
  <c r="R324" i="57" a="1"/>
  <c r="R324" i="57" s="1"/>
  <c r="K324" i="57"/>
  <c r="I324" i="57"/>
  <c r="M324" i="57" s="1"/>
  <c r="G324" i="57"/>
  <c r="R322" i="57" a="1"/>
  <c r="R322" i="57" s="1"/>
  <c r="K322" i="57"/>
  <c r="I322" i="57"/>
  <c r="M322" i="57" s="1"/>
  <c r="G322" i="57"/>
  <c r="I335" i="57"/>
  <c r="R335" i="57" a="1"/>
  <c r="R335" i="57" s="1"/>
  <c r="K335" i="57"/>
  <c r="G335" i="57"/>
  <c r="B53" i="67" a="1"/>
  <c r="B53" i="67" s="1"/>
  <c r="Q324" i="57" l="1"/>
  <c r="Q322" i="57"/>
  <c r="Q328" i="57"/>
  <c r="Q335" i="57"/>
  <c r="Q326" i="57"/>
  <c r="M328" i="57"/>
  <c r="M335" i="57"/>
  <c r="Q311" i="57"/>
  <c r="B46" i="67" a="1"/>
  <c r="B46" i="67" s="1"/>
  <c r="B49" i="67" a="1"/>
  <c r="B49" i="67" s="1"/>
  <c r="B50" i="67" a="1"/>
  <c r="B50" i="67" s="1"/>
  <c r="K146" i="57"/>
  <c r="I145" i="57" l="1"/>
  <c r="I146" i="57"/>
  <c r="I147" i="57"/>
  <c r="I148" i="57"/>
  <c r="I149" i="57"/>
  <c r="I150" i="57"/>
  <c r="I151" i="57"/>
  <c r="I152" i="57"/>
  <c r="I155" i="57"/>
  <c r="I156" i="57"/>
  <c r="I153" i="57"/>
  <c r="I154" i="57"/>
  <c r="I157" i="57"/>
  <c r="I158" i="57"/>
  <c r="I144" i="57"/>
  <c r="I30" i="49" l="1"/>
  <c r="I31" i="49"/>
  <c r="I32" i="49"/>
  <c r="I33" i="49"/>
  <c r="I34" i="49"/>
  <c r="I35" i="49"/>
  <c r="I36" i="49"/>
  <c r="I37" i="49"/>
  <c r="I38" i="49"/>
  <c r="I39" i="49"/>
  <c r="I40" i="49"/>
  <c r="I41" i="49"/>
  <c r="I42" i="49"/>
  <c r="I43" i="49"/>
  <c r="I44" i="49"/>
  <c r="I45" i="49"/>
  <c r="I46" i="49"/>
  <c r="I47" i="49"/>
  <c r="I48" i="49"/>
  <c r="I49" i="49"/>
  <c r="I50" i="49"/>
  <c r="I51" i="49"/>
  <c r="I52" i="49"/>
  <c r="I53" i="49"/>
  <c r="I54" i="49"/>
  <c r="I55" i="49"/>
  <c r="I56" i="49"/>
  <c r="K282" i="57" l="1"/>
  <c r="K283" i="57"/>
  <c r="B30" i="67" a="1"/>
  <c r="B30" i="67" s="1"/>
  <c r="R7" i="57" a="1"/>
  <c r="R7" i="57" s="1"/>
  <c r="K7" i="57"/>
  <c r="I7" i="57"/>
  <c r="M7" i="57" s="1"/>
  <c r="G7" i="57"/>
  <c r="R5" i="57" a="1"/>
  <c r="R5" i="57" s="1"/>
  <c r="K5" i="57"/>
  <c r="I5" i="57"/>
  <c r="M5" i="57" s="1"/>
  <c r="G5" i="57"/>
  <c r="B15" i="67" a="1"/>
  <c r="B15" i="67" s="1"/>
  <c r="B5" i="67" a="1"/>
  <c r="B5" i="67" s="1"/>
  <c r="B27" i="67" a="1"/>
  <c r="B27" i="67" s="1"/>
  <c r="R361" i="57" a="1"/>
  <c r="R361" i="57" s="1"/>
  <c r="K361" i="57"/>
  <c r="I361" i="57"/>
  <c r="M361" i="57" s="1"/>
  <c r="G361" i="57"/>
  <c r="R359" i="57" a="1"/>
  <c r="R359" i="57" s="1"/>
  <c r="K359" i="57"/>
  <c r="I359" i="57"/>
  <c r="B55" i="67" s="1" a="1"/>
  <c r="B55" i="67" s="1"/>
  <c r="G359" i="57"/>
  <c r="R353" i="57" a="1"/>
  <c r="R353" i="57" s="1"/>
  <c r="K353" i="57"/>
  <c r="I353" i="57"/>
  <c r="M353" i="57" s="1"/>
  <c r="G353" i="57"/>
  <c r="R351" i="57" a="1"/>
  <c r="R351" i="57" s="1"/>
  <c r="K351" i="57"/>
  <c r="I351" i="57"/>
  <c r="M351" i="57" s="1"/>
  <c r="G351" i="57"/>
  <c r="R357" i="57" a="1"/>
  <c r="R357" i="57" s="1"/>
  <c r="K357" i="57"/>
  <c r="I357" i="57"/>
  <c r="M357" i="57" s="1"/>
  <c r="G357" i="57"/>
  <c r="R355" i="57" a="1"/>
  <c r="R355" i="57" s="1"/>
  <c r="K355" i="57"/>
  <c r="I355" i="57"/>
  <c r="G355" i="57"/>
  <c r="R345" i="57" a="1"/>
  <c r="R345" i="57" s="1"/>
  <c r="K345" i="57"/>
  <c r="I345" i="57"/>
  <c r="M345" i="57" s="1"/>
  <c r="G345" i="57"/>
  <c r="R343" i="57" a="1"/>
  <c r="R343" i="57" s="1"/>
  <c r="K343" i="57"/>
  <c r="I343" i="57"/>
  <c r="M343" i="57" s="1"/>
  <c r="G343" i="57"/>
  <c r="R349" i="57" a="1"/>
  <c r="R349" i="57" s="1"/>
  <c r="K349" i="57"/>
  <c r="I349" i="57"/>
  <c r="M349" i="57" s="1"/>
  <c r="G349" i="57"/>
  <c r="R347" i="57" a="1"/>
  <c r="R347" i="57" s="1"/>
  <c r="K347" i="57"/>
  <c r="I347" i="57"/>
  <c r="B51" i="67" s="1" a="1"/>
  <c r="B51" i="67" s="1"/>
  <c r="G347" i="57"/>
  <c r="G346" i="57"/>
  <c r="I346" i="57"/>
  <c r="M346" i="57" s="1"/>
  <c r="K346" i="57"/>
  <c r="R346" i="57" a="1"/>
  <c r="R346" i="57" s="1"/>
  <c r="G348" i="57"/>
  <c r="I348" i="57"/>
  <c r="M348" i="57" s="1"/>
  <c r="K348" i="57"/>
  <c r="R348" i="57" a="1"/>
  <c r="R348" i="57" s="1"/>
  <c r="G342" i="57"/>
  <c r="I342" i="57"/>
  <c r="M342" i="57" s="1"/>
  <c r="K342" i="57"/>
  <c r="R342" i="57" a="1"/>
  <c r="R342" i="57" s="1"/>
  <c r="G344" i="57"/>
  <c r="I344" i="57"/>
  <c r="M344" i="57" s="1"/>
  <c r="K344" i="57"/>
  <c r="Q344" i="57" s="1"/>
  <c r="R344" i="57" a="1"/>
  <c r="R344" i="57" s="1"/>
  <c r="G354" i="57"/>
  <c r="I354" i="57"/>
  <c r="M354" i="57" s="1"/>
  <c r="K354" i="57"/>
  <c r="R354" i="57" a="1"/>
  <c r="R354" i="57" s="1"/>
  <c r="G356" i="57"/>
  <c r="I356" i="57"/>
  <c r="K356" i="57"/>
  <c r="R356" i="57" a="1"/>
  <c r="R356" i="57" s="1"/>
  <c r="G350" i="57"/>
  <c r="I350" i="57"/>
  <c r="M350" i="57" s="1"/>
  <c r="K350" i="57"/>
  <c r="Q350" i="57" s="1"/>
  <c r="R350" i="57" a="1"/>
  <c r="R350" i="57" s="1"/>
  <c r="G352" i="57"/>
  <c r="I352" i="57"/>
  <c r="M352" i="57" s="1"/>
  <c r="K352" i="57"/>
  <c r="R352" i="57" a="1"/>
  <c r="R352" i="57" s="1"/>
  <c r="G358" i="57"/>
  <c r="I358" i="57"/>
  <c r="M358" i="57" s="1"/>
  <c r="K358" i="57"/>
  <c r="R358" i="57" a="1"/>
  <c r="R358" i="57" s="1"/>
  <c r="G360" i="57"/>
  <c r="I360" i="57"/>
  <c r="B60" i="67" s="1" a="1"/>
  <c r="B60" i="67" s="1"/>
  <c r="K360" i="57"/>
  <c r="Q360" i="57" s="1"/>
  <c r="M360" i="57"/>
  <c r="R360" i="57" a="1"/>
  <c r="R360" i="57" s="1"/>
  <c r="R331" i="57" a="1"/>
  <c r="R331" i="57" s="1"/>
  <c r="K331" i="57"/>
  <c r="I331" i="57"/>
  <c r="M331" i="57" s="1"/>
  <c r="G331" i="57"/>
  <c r="R329" i="57" a="1"/>
  <c r="R329" i="57" s="1"/>
  <c r="K329" i="57"/>
  <c r="I329" i="57"/>
  <c r="M329" i="57" s="1"/>
  <c r="G329" i="57"/>
  <c r="R201" i="57" a="1"/>
  <c r="R201" i="57" s="1"/>
  <c r="K201" i="57"/>
  <c r="I201" i="57"/>
  <c r="M201" i="57" s="1"/>
  <c r="G201" i="57"/>
  <c r="R39" i="57" a="1"/>
  <c r="R39" i="57" s="1"/>
  <c r="K39" i="57"/>
  <c r="I39" i="57"/>
  <c r="M39" i="57" s="1"/>
  <c r="G39" i="57"/>
  <c r="R43" i="57" a="1"/>
  <c r="R43" i="57" s="1"/>
  <c r="K43" i="57"/>
  <c r="I43" i="57"/>
  <c r="M43" i="57" s="1"/>
  <c r="G43" i="57"/>
  <c r="G2" i="57"/>
  <c r="I2" i="57"/>
  <c r="M2" i="57" s="1"/>
  <c r="K2" i="57"/>
  <c r="R2" i="57" a="1"/>
  <c r="R2" i="57" s="1"/>
  <c r="G294" i="57"/>
  <c r="R294" i="57" a="1"/>
  <c r="R294" i="57" s="1"/>
  <c r="K294" i="57"/>
  <c r="I294" i="57"/>
  <c r="M294" i="57" s="1"/>
  <c r="R297" i="57" a="1"/>
  <c r="R297" i="57" s="1"/>
  <c r="K297" i="57"/>
  <c r="I297" i="57"/>
  <c r="M297" i="57" s="1"/>
  <c r="G297" i="57"/>
  <c r="B8" i="67" a="1"/>
  <c r="B8" i="67" s="1"/>
  <c r="B42" i="67" a="1"/>
  <c r="B42" i="67" s="1"/>
  <c r="L76" i="3"/>
  <c r="B39" i="67" a="1"/>
  <c r="B39" i="67" s="1"/>
  <c r="B40" i="67" a="1"/>
  <c r="B40" i="67" s="1"/>
  <c r="B22" i="67" a="1"/>
  <c r="B22" i="67" s="1"/>
  <c r="Q346" i="57" l="1"/>
  <c r="Q347" i="57"/>
  <c r="Q345" i="57"/>
  <c r="Q351" i="57"/>
  <c r="Q349" i="57"/>
  <c r="Q355" i="57"/>
  <c r="Q353" i="57"/>
  <c r="Q43" i="57"/>
  <c r="Q297" i="57"/>
  <c r="Q358" i="57"/>
  <c r="Q356" i="57"/>
  <c r="Q331" i="57"/>
  <c r="Q5" i="57"/>
  <c r="Q329" i="57"/>
  <c r="Q361" i="57"/>
  <c r="Q343" i="57"/>
  <c r="Q357" i="57"/>
  <c r="Q359" i="57"/>
  <c r="Q201" i="57"/>
  <c r="Q348" i="57"/>
  <c r="Q2" i="57"/>
  <c r="Q342" i="57"/>
  <c r="Q7" i="57"/>
  <c r="Q294" i="57"/>
  <c r="Q39" i="57"/>
  <c r="Q352" i="57"/>
  <c r="Q354" i="57"/>
  <c r="M355" i="57"/>
  <c r="B52" i="67" a="1"/>
  <c r="B52" i="67" s="1"/>
  <c r="M359" i="57"/>
  <c r="M356" i="57"/>
  <c r="M347" i="57"/>
  <c r="K293" i="57"/>
  <c r="K296" i="57"/>
  <c r="Q61" i="57" l="1"/>
  <c r="G225" i="57"/>
  <c r="G402" i="57"/>
  <c r="G403" i="57"/>
  <c r="G413" i="57"/>
  <c r="G415" i="57"/>
  <c r="G414" i="57"/>
  <c r="G416" i="57"/>
  <c r="G272" i="57"/>
  <c r="G241" i="57"/>
  <c r="G274" i="57"/>
  <c r="G277" i="57"/>
  <c r="G275" i="57"/>
  <c r="G273" i="57"/>
  <c r="G276" i="57"/>
  <c r="G11" i="57"/>
  <c r="G9" i="57"/>
  <c r="G10" i="57"/>
  <c r="G210" i="57"/>
  <c r="G211" i="57"/>
  <c r="G16" i="57"/>
  <c r="G49" i="57"/>
  <c r="G51" i="57"/>
  <c r="G17" i="57"/>
  <c r="G191" i="57"/>
  <c r="G198" i="57"/>
  <c r="G199" i="57"/>
  <c r="G18" i="57"/>
  <c r="G19" i="57"/>
  <c r="G24" i="57"/>
  <c r="G20" i="57"/>
  <c r="G22" i="57"/>
  <c r="G21" i="57"/>
  <c r="G23" i="57"/>
  <c r="G33" i="57"/>
  <c r="G278" i="57"/>
  <c r="G279" i="57"/>
  <c r="G34" i="57"/>
  <c r="G35" i="57"/>
  <c r="G212" i="57"/>
  <c r="G213" i="57"/>
  <c r="G46" i="57"/>
  <c r="G47" i="57"/>
  <c r="G48" i="57"/>
  <c r="G50" i="57"/>
  <c r="G52" i="57"/>
  <c r="G53" i="57"/>
  <c r="G54" i="57"/>
  <c r="G55" i="57"/>
  <c r="G57" i="57"/>
  <c r="G56" i="57"/>
  <c r="G59" i="57"/>
  <c r="G58" i="57"/>
  <c r="G60" i="57"/>
  <c r="G66" i="57"/>
  <c r="G67" i="57"/>
  <c r="G68" i="57"/>
  <c r="G69" i="57"/>
  <c r="G64" i="57"/>
  <c r="G62" i="57"/>
  <c r="G63" i="57"/>
  <c r="G65" i="57"/>
  <c r="G71" i="57"/>
  <c r="G75" i="57"/>
  <c r="G78" i="57"/>
  <c r="G81" i="57"/>
  <c r="G82" i="57"/>
  <c r="G206" i="57"/>
  <c r="G207" i="57"/>
  <c r="G209" i="57"/>
  <c r="G204" i="57"/>
  <c r="G203" i="57"/>
  <c r="G321" i="57"/>
  <c r="G323" i="57"/>
  <c r="G205" i="57"/>
  <c r="G325" i="57"/>
  <c r="G327" i="57"/>
  <c r="G208" i="57"/>
  <c r="G83" i="57"/>
  <c r="G84" i="57"/>
  <c r="G85" i="57"/>
  <c r="G86" i="57"/>
  <c r="G280" i="57"/>
  <c r="G281" i="57"/>
  <c r="G91" i="57"/>
  <c r="G94" i="57"/>
  <c r="G92" i="57"/>
  <c r="G93" i="57"/>
  <c r="G95" i="57"/>
  <c r="G96" i="57"/>
  <c r="G98" i="57"/>
  <c r="G97" i="57"/>
  <c r="G99" i="57"/>
  <c r="G100" i="57"/>
  <c r="G101" i="57"/>
  <c r="G102" i="57"/>
  <c r="G104" i="57"/>
  <c r="G103" i="57"/>
  <c r="G105" i="57"/>
  <c r="G106" i="57"/>
  <c r="G89" i="57"/>
  <c r="G90" i="57"/>
  <c r="G112" i="57"/>
  <c r="G107" i="57"/>
  <c r="G108" i="57"/>
  <c r="G109" i="57"/>
  <c r="G110" i="57"/>
  <c r="G114" i="57"/>
  <c r="G113" i="57"/>
  <c r="G116" i="57"/>
  <c r="G111" i="57"/>
  <c r="G115" i="57"/>
  <c r="G117" i="57"/>
  <c r="G119" i="57"/>
  <c r="G118" i="57"/>
  <c r="G120" i="57"/>
  <c r="G121" i="57"/>
  <c r="G122" i="57"/>
  <c r="G226" i="57"/>
  <c r="G125" i="57"/>
  <c r="G126" i="57"/>
  <c r="G127" i="57"/>
  <c r="G128" i="57"/>
  <c r="G129" i="57"/>
  <c r="G131" i="57"/>
  <c r="G130" i="57"/>
  <c r="G132" i="57"/>
  <c r="G133" i="57"/>
  <c r="G381" i="57"/>
  <c r="G382" i="57"/>
  <c r="G139" i="57"/>
  <c r="G138" i="57"/>
  <c r="G137" i="57"/>
  <c r="G134" i="57"/>
  <c r="G216" i="57"/>
  <c r="G217" i="57"/>
  <c r="G145" i="57"/>
  <c r="G144" i="57"/>
  <c r="G150" i="57"/>
  <c r="G244" i="57"/>
  <c r="G155" i="57"/>
  <c r="G156" i="57"/>
  <c r="G153" i="57"/>
  <c r="G154" i="57"/>
  <c r="G157" i="57"/>
  <c r="G158" i="57"/>
  <c r="G159" i="57"/>
  <c r="G160" i="57"/>
  <c r="G161" i="57"/>
  <c r="G162" i="57"/>
  <c r="G167" i="57"/>
  <c r="G166" i="57"/>
  <c r="G169" i="57"/>
  <c r="G168" i="57"/>
  <c r="G170" i="57"/>
  <c r="G171" i="57"/>
  <c r="G172" i="57"/>
  <c r="G173" i="57"/>
  <c r="G163" i="57"/>
  <c r="G165" i="57"/>
  <c r="G164" i="57"/>
  <c r="G151" i="57"/>
  <c r="G152" i="57"/>
  <c r="G174" i="57"/>
  <c r="G175" i="57"/>
  <c r="G176" i="57"/>
  <c r="G178" i="57"/>
  <c r="G179" i="57"/>
  <c r="G383" i="57"/>
  <c r="G384" i="57"/>
  <c r="G229" i="57"/>
  <c r="G474" i="57"/>
  <c r="G476" i="57"/>
  <c r="G473" i="57"/>
  <c r="G475" i="57"/>
  <c r="G180" i="57"/>
  <c r="G181" i="57"/>
  <c r="G227" i="57"/>
  <c r="G228" i="57"/>
  <c r="G12" i="57"/>
  <c r="G182" i="57"/>
  <c r="G183" i="57"/>
  <c r="G184" i="57"/>
  <c r="G185" i="57"/>
  <c r="G186" i="57"/>
  <c r="G25" i="57"/>
  <c r="G26" i="57"/>
  <c r="G70" i="57"/>
  <c r="G72" i="57"/>
  <c r="G460" i="57"/>
  <c r="G463" i="57"/>
  <c r="G459" i="57"/>
  <c r="G462" i="57"/>
  <c r="G230" i="57"/>
  <c r="G187" i="57"/>
  <c r="G188" i="57"/>
  <c r="G197" i="57"/>
  <c r="G200" i="57"/>
  <c r="G202" i="57"/>
  <c r="G74" i="57"/>
  <c r="G76" i="57"/>
  <c r="G192" i="57"/>
  <c r="G195" i="57"/>
  <c r="G190" i="57"/>
  <c r="G194" i="57"/>
  <c r="G196" i="57"/>
  <c r="G193" i="57"/>
  <c r="G386" i="57"/>
  <c r="G385" i="57"/>
  <c r="G245" i="57"/>
  <c r="G61" i="57"/>
  <c r="G73" i="57"/>
  <c r="G77" i="57"/>
  <c r="G80" i="57"/>
  <c r="G366" i="57"/>
  <c r="G232" i="57"/>
  <c r="G234" i="57"/>
  <c r="G231" i="57"/>
  <c r="G233" i="57"/>
  <c r="G271" i="57"/>
  <c r="G431" i="57"/>
  <c r="G435" i="57"/>
  <c r="G432" i="57"/>
  <c r="G436" i="57"/>
  <c r="G237" i="57"/>
  <c r="G236" i="57"/>
  <c r="G235" i="57"/>
  <c r="G286" i="57"/>
  <c r="G287" i="57"/>
  <c r="G238" i="57"/>
  <c r="G239" i="57"/>
  <c r="G330" i="57"/>
  <c r="G332" i="57"/>
  <c r="G466" i="57"/>
  <c r="G468" i="57"/>
  <c r="G465" i="57"/>
  <c r="G467" i="57"/>
  <c r="G387" i="57"/>
  <c r="G246" i="57"/>
  <c r="G247" i="57"/>
  <c r="G248" i="57"/>
  <c r="G477" i="57"/>
  <c r="G478" i="57"/>
  <c r="G303" i="57"/>
  <c r="G302" i="57"/>
  <c r="G304" i="57"/>
  <c r="G305" i="57"/>
  <c r="G298" i="57"/>
  <c r="G300" i="57"/>
  <c r="G299" i="57"/>
  <c r="G301" i="57"/>
  <c r="G306" i="57"/>
  <c r="G307" i="57"/>
  <c r="G308" i="57"/>
  <c r="G389" i="57"/>
  <c r="G388" i="57"/>
  <c r="G338" i="57"/>
  <c r="G341" i="57"/>
  <c r="G333" i="57"/>
  <c r="G337" i="57"/>
  <c r="G340" i="57"/>
  <c r="G256" i="57"/>
  <c r="G254" i="57"/>
  <c r="G334" i="57"/>
  <c r="G339" i="57"/>
  <c r="G336" i="57"/>
  <c r="G312" i="57"/>
  <c r="G313" i="57"/>
  <c r="G135" i="57"/>
  <c r="G136" i="57"/>
  <c r="G243" i="57"/>
  <c r="G288" i="57"/>
  <c r="G289" i="57"/>
  <c r="G253" i="57"/>
  <c r="G314" i="57"/>
  <c r="G255" i="57"/>
  <c r="G257" i="57"/>
  <c r="G320" i="57"/>
  <c r="G316" i="57"/>
  <c r="G318" i="57"/>
  <c r="G317" i="57"/>
  <c r="G319" i="57"/>
  <c r="G258" i="57"/>
  <c r="G27" i="57"/>
  <c r="G29" i="57"/>
  <c r="G28" i="57"/>
  <c r="G30" i="57"/>
  <c r="G261" i="57"/>
  <c r="G362" i="57"/>
  <c r="G363" i="57"/>
  <c r="G365" i="57"/>
  <c r="G364" i="57"/>
  <c r="G263" i="57"/>
  <c r="G367" i="57"/>
  <c r="G372" i="57"/>
  <c r="G368" i="57"/>
  <c r="G370" i="57"/>
  <c r="G369" i="57"/>
  <c r="G371" i="57"/>
  <c r="G79" i="57"/>
  <c r="G375" i="57"/>
  <c r="G376" i="57"/>
  <c r="G377" i="57"/>
  <c r="G378" i="57"/>
  <c r="G379" i="57"/>
  <c r="G380" i="57"/>
  <c r="G373" i="57"/>
  <c r="G374" i="57"/>
  <c r="G396" i="57"/>
  <c r="G397" i="57"/>
  <c r="G264" i="57"/>
  <c r="G266" i="57"/>
  <c r="G404" i="57"/>
  <c r="G405" i="57"/>
  <c r="G259" i="57"/>
  <c r="G265" i="57"/>
  <c r="G189" i="57"/>
  <c r="G260" i="57"/>
  <c r="G262" i="57"/>
  <c r="G282" i="57"/>
  <c r="G283" i="57"/>
  <c r="G214" i="57"/>
  <c r="G215" i="57"/>
  <c r="G284" i="57"/>
  <c r="G285" i="57"/>
  <c r="G218" i="57"/>
  <c r="G219" i="57"/>
  <c r="G406" i="57"/>
  <c r="G408" i="57"/>
  <c r="G407" i="57"/>
  <c r="G409" i="57"/>
  <c r="G411" i="57"/>
  <c r="G410" i="57"/>
  <c r="G412" i="57"/>
  <c r="G421" i="57"/>
  <c r="G422" i="57"/>
  <c r="G417" i="57"/>
  <c r="G419" i="57"/>
  <c r="G418" i="57"/>
  <c r="G420" i="57"/>
  <c r="G433" i="57"/>
  <c r="G14" i="57"/>
  <c r="G15" i="57"/>
  <c r="G13" i="57"/>
  <c r="G429" i="57"/>
  <c r="G427" i="57"/>
  <c r="G428" i="57"/>
  <c r="G430" i="57"/>
  <c r="G434" i="57"/>
  <c r="G437" i="57"/>
  <c r="G423" i="57"/>
  <c r="G425" i="57"/>
  <c r="G424" i="57"/>
  <c r="G426" i="57"/>
  <c r="G438" i="57"/>
  <c r="G440" i="57"/>
  <c r="G439" i="57"/>
  <c r="G441" i="57"/>
  <c r="G442" i="57"/>
  <c r="G447" i="57"/>
  <c r="G443" i="57"/>
  <c r="G445" i="57"/>
  <c r="G444" i="57"/>
  <c r="G446" i="57"/>
  <c r="G267" i="57"/>
  <c r="G448" i="57"/>
  <c r="G450" i="57"/>
  <c r="G449" i="57"/>
  <c r="G451" i="57"/>
  <c r="G268" i="57"/>
  <c r="G452" i="57"/>
  <c r="G453" i="57"/>
  <c r="G454" i="57"/>
  <c r="G456" i="57"/>
  <c r="G390" i="57"/>
  <c r="G391" i="57"/>
  <c r="G457" i="57"/>
  <c r="G458" i="57"/>
  <c r="G455" i="57"/>
  <c r="G470" i="57"/>
  <c r="G472" i="57"/>
  <c r="G469" i="57"/>
  <c r="G471" i="57"/>
  <c r="G392" i="57"/>
  <c r="G393" i="57"/>
  <c r="G479" i="57"/>
  <c r="G395" i="57"/>
  <c r="G394" i="57"/>
  <c r="G142" i="57"/>
  <c r="G143" i="57"/>
  <c r="G140" i="57"/>
  <c r="G141" i="57"/>
  <c r="G486" i="57"/>
  <c r="G487" i="57"/>
  <c r="G488" i="57"/>
  <c r="G482" i="57"/>
  <c r="G484" i="57"/>
  <c r="G483" i="57"/>
  <c r="G485" i="57"/>
  <c r="G31" i="57"/>
  <c r="G32" i="57"/>
  <c r="G290" i="57"/>
  <c r="G291" i="57"/>
  <c r="G491" i="57"/>
  <c r="G493" i="57"/>
  <c r="G492" i="57"/>
  <c r="G495" i="57"/>
  <c r="G494" i="57"/>
  <c r="G489" i="57"/>
  <c r="G490" i="57"/>
  <c r="G250" i="57"/>
  <c r="G252" i="57"/>
  <c r="G269" i="57"/>
  <c r="G270" i="57"/>
  <c r="G249" i="57"/>
  <c r="G251" i="57"/>
  <c r="G6" i="57"/>
  <c r="G8" i="57"/>
  <c r="G3" i="57"/>
  <c r="G4" i="57"/>
  <c r="G36" i="57"/>
  <c r="G37" i="57"/>
  <c r="G38" i="57"/>
  <c r="G40" i="57"/>
  <c r="G41" i="57"/>
  <c r="G42" i="57"/>
  <c r="G44" i="57"/>
  <c r="G45" i="57"/>
  <c r="G87" i="57"/>
  <c r="G88" i="57"/>
  <c r="G123" i="57"/>
  <c r="G124" i="57"/>
  <c r="G146" i="57"/>
  <c r="Q146" i="57" s="1"/>
  <c r="G147" i="57"/>
  <c r="G148" i="57"/>
  <c r="G149" i="57"/>
  <c r="G177" i="57"/>
  <c r="G220" i="57"/>
  <c r="G221" i="57"/>
  <c r="G222" i="57"/>
  <c r="G223" i="57"/>
  <c r="G240" i="57"/>
  <c r="G242" i="57"/>
  <c r="G292" i="57"/>
  <c r="G295" i="57"/>
  <c r="G293" i="57"/>
  <c r="G296" i="57"/>
  <c r="G309" i="57"/>
  <c r="G310" i="57"/>
  <c r="G311" i="57"/>
  <c r="G315" i="57"/>
  <c r="G398" i="57"/>
  <c r="G399" i="57"/>
  <c r="G400" i="57"/>
  <c r="G401" i="57"/>
  <c r="G461" i="57"/>
  <c r="G464" i="57"/>
  <c r="G480" i="57"/>
  <c r="G481" i="57"/>
  <c r="G224" i="57"/>
  <c r="K224" i="57"/>
  <c r="R8" i="57" a="1"/>
  <c r="R8" i="57" s="1"/>
  <c r="K8" i="57"/>
  <c r="I8" i="57"/>
  <c r="R6" i="57" a="1"/>
  <c r="R6" i="57" s="1"/>
  <c r="K6" i="57"/>
  <c r="I6" i="57"/>
  <c r="Q8" i="57" l="1"/>
  <c r="Q6" i="57"/>
  <c r="Q224" i="57"/>
  <c r="M6" i="57"/>
  <c r="B23" i="67" a="1"/>
  <c r="B23" i="67" s="1"/>
  <c r="M8" i="57"/>
  <c r="B4" i="67" a="1"/>
  <c r="B4" i="67" s="1"/>
  <c r="I296" i="57"/>
  <c r="M296" i="57" s="1"/>
  <c r="I293" i="57"/>
  <c r="M293" i="57" s="1"/>
  <c r="R293" i="57" a="1"/>
  <c r="R293" i="57" s="1"/>
  <c r="Q296" i="57" l="1"/>
  <c r="Q293" i="57"/>
  <c r="B28" i="67" a="1"/>
  <c r="B28" i="67" s="1"/>
  <c r="Q315" i="57" l="1"/>
  <c r="R275" i="57" a="1"/>
  <c r="R275" i="57" s="1"/>
  <c r="R274" i="57" a="1"/>
  <c r="R274" i="57" s="1"/>
  <c r="R277" i="57" a="1"/>
  <c r="R277" i="57" s="1"/>
  <c r="R273" i="57" a="1"/>
  <c r="R273" i="57" s="1"/>
  <c r="R276" i="57" a="1"/>
  <c r="R276" i="57" s="1"/>
  <c r="R3" i="57" a="1"/>
  <c r="R3" i="57" s="1"/>
  <c r="R4" i="57" a="1"/>
  <c r="R4" i="57" s="1"/>
  <c r="R11" i="57" a="1"/>
  <c r="R11" i="57" s="1"/>
  <c r="R9" i="57" a="1"/>
  <c r="R9" i="57" s="1"/>
  <c r="R10" i="57" a="1"/>
  <c r="R10" i="57" s="1"/>
  <c r="R210" i="57" a="1"/>
  <c r="R210" i="57" s="1"/>
  <c r="R211" i="57" a="1"/>
  <c r="R211" i="57" s="1"/>
  <c r="R16" i="57" a="1"/>
  <c r="R16" i="57" s="1"/>
  <c r="R49" i="57" a="1"/>
  <c r="R49" i="57" s="1"/>
  <c r="R51" i="57" a="1"/>
  <c r="R51" i="57" s="1"/>
  <c r="R17" i="57" a="1"/>
  <c r="R17" i="57" s="1"/>
  <c r="R191" i="57" a="1"/>
  <c r="R191" i="57" s="1"/>
  <c r="R198" i="57" a="1"/>
  <c r="R198" i="57" s="1"/>
  <c r="R199" i="57" a="1"/>
  <c r="R199" i="57" s="1"/>
  <c r="R18" i="57" a="1"/>
  <c r="R18" i="57" s="1"/>
  <c r="R19" i="57" a="1"/>
  <c r="R19" i="57" s="1"/>
  <c r="R20" i="57" a="1"/>
  <c r="R20" i="57" s="1"/>
  <c r="R22" i="57" a="1"/>
  <c r="R22" i="57" s="1"/>
  <c r="R24" i="57" a="1"/>
  <c r="R24" i="57" s="1"/>
  <c r="R21" i="57" a="1"/>
  <c r="R21" i="57" s="1"/>
  <c r="R23" i="57" a="1"/>
  <c r="R23" i="57" s="1"/>
  <c r="R33" i="57" a="1"/>
  <c r="R33" i="57" s="1"/>
  <c r="R278" i="57" a="1"/>
  <c r="R278" i="57" s="1"/>
  <c r="R279" i="57" a="1"/>
  <c r="R279" i="57" s="1"/>
  <c r="R34" i="57" a="1"/>
  <c r="R34" i="57" s="1"/>
  <c r="R35" i="57" a="1"/>
  <c r="R35" i="57" s="1"/>
  <c r="R212" i="57" a="1"/>
  <c r="R212" i="57" s="1"/>
  <c r="R213" i="57" a="1"/>
  <c r="R213" i="57" s="1"/>
  <c r="R36" i="57" a="1"/>
  <c r="R36" i="57" s="1"/>
  <c r="R40" i="57" a="1"/>
  <c r="R40" i="57" s="1"/>
  <c r="R37" i="57" a="1"/>
  <c r="R37" i="57" s="1"/>
  <c r="R41" i="57" a="1"/>
  <c r="R41" i="57" s="1"/>
  <c r="R38" i="57" a="1"/>
  <c r="R38" i="57" s="1"/>
  <c r="R42" i="57" a="1"/>
  <c r="R42" i="57" s="1"/>
  <c r="R44" i="57" a="1"/>
  <c r="R44" i="57" s="1"/>
  <c r="R45" i="57" a="1"/>
  <c r="R45" i="57" s="1"/>
  <c r="R46" i="57" a="1"/>
  <c r="R46" i="57" s="1"/>
  <c r="R47" i="57" a="1"/>
  <c r="R47" i="57" s="1"/>
  <c r="R48" i="57" a="1"/>
  <c r="R48" i="57" s="1"/>
  <c r="R50" i="57" a="1"/>
  <c r="R50" i="57" s="1"/>
  <c r="R52" i="57" a="1"/>
  <c r="R52" i="57" s="1"/>
  <c r="R53" i="57" a="1"/>
  <c r="R53" i="57" s="1"/>
  <c r="R55" i="57" a="1"/>
  <c r="R55" i="57" s="1"/>
  <c r="R54" i="57" a="1"/>
  <c r="R54" i="57" s="1"/>
  <c r="R56" i="57" a="1"/>
  <c r="R56" i="57" s="1"/>
  <c r="R57" i="57" a="1"/>
  <c r="R57" i="57" s="1"/>
  <c r="R58" i="57" a="1"/>
  <c r="R58" i="57" s="1"/>
  <c r="R59" i="57" a="1"/>
  <c r="R59" i="57" s="1"/>
  <c r="R60" i="57" a="1"/>
  <c r="R60" i="57" s="1"/>
  <c r="R62" i="57" a="1"/>
  <c r="R62" i="57" s="1"/>
  <c r="R64" i="57" a="1"/>
  <c r="R64" i="57" s="1"/>
  <c r="R66" i="57" a="1"/>
  <c r="R66" i="57" s="1"/>
  <c r="R67" i="57" a="1"/>
  <c r="R67" i="57" s="1"/>
  <c r="R68" i="57" a="1"/>
  <c r="R68" i="57" s="1"/>
  <c r="R69" i="57" a="1"/>
  <c r="R69" i="57" s="1"/>
  <c r="R63" i="57" a="1"/>
  <c r="R63" i="57" s="1"/>
  <c r="R65" i="57" a="1"/>
  <c r="R65" i="57" s="1"/>
  <c r="R71" i="57" a="1"/>
  <c r="R71" i="57" s="1"/>
  <c r="R75" i="57" a="1"/>
  <c r="R75" i="57" s="1"/>
  <c r="R78" i="57" a="1"/>
  <c r="R78" i="57" s="1"/>
  <c r="R81" i="57" a="1"/>
  <c r="R81" i="57" s="1"/>
  <c r="R82" i="57" a="1"/>
  <c r="R82" i="57" s="1"/>
  <c r="R207" i="57" a="1"/>
  <c r="R207" i="57" s="1"/>
  <c r="R209" i="57" a="1"/>
  <c r="R209" i="57" s="1"/>
  <c r="R206" i="57" a="1"/>
  <c r="R206" i="57" s="1"/>
  <c r="R204" i="57" a="1"/>
  <c r="R204" i="57" s="1"/>
  <c r="R203" i="57" a="1"/>
  <c r="R203" i="57" s="1"/>
  <c r="R321" i="57" a="1"/>
  <c r="R321" i="57" s="1"/>
  <c r="R323" i="57" a="1"/>
  <c r="R323" i="57" s="1"/>
  <c r="R205" i="57" a="1"/>
  <c r="R205" i="57" s="1"/>
  <c r="R325" i="57" a="1"/>
  <c r="R325" i="57" s="1"/>
  <c r="R327" i="57" a="1"/>
  <c r="R327" i="57" s="1"/>
  <c r="R208" i="57" a="1"/>
  <c r="R208" i="57" s="1"/>
  <c r="R83" i="57" a="1"/>
  <c r="R83" i="57" s="1"/>
  <c r="R84" i="57" a="1"/>
  <c r="R84" i="57" s="1"/>
  <c r="R85" i="57" a="1"/>
  <c r="R85" i="57" s="1"/>
  <c r="R86" i="57" a="1"/>
  <c r="R86" i="57" s="1"/>
  <c r="R87" i="57" a="1"/>
  <c r="R87" i="57" s="1"/>
  <c r="R88" i="57" a="1"/>
  <c r="R88" i="57" s="1"/>
  <c r="R280" i="57" a="1"/>
  <c r="R280" i="57" s="1"/>
  <c r="R281" i="57" a="1"/>
  <c r="R281" i="57" s="1"/>
  <c r="R89" i="57" a="1"/>
  <c r="R89" i="57" s="1"/>
  <c r="R90" i="57" a="1"/>
  <c r="R90" i="57" s="1"/>
  <c r="R91" i="57" a="1"/>
  <c r="R91" i="57" s="1"/>
  <c r="R92" i="57" a="1"/>
  <c r="R92" i="57" s="1"/>
  <c r="R93" i="57" a="1"/>
  <c r="R93" i="57" s="1"/>
  <c r="R94" i="57" a="1"/>
  <c r="R94" i="57" s="1"/>
  <c r="R95" i="57" a="1"/>
  <c r="R95" i="57" s="1"/>
  <c r="R96" i="57" a="1"/>
  <c r="R96" i="57" s="1"/>
  <c r="R97" i="57" a="1"/>
  <c r="R97" i="57" s="1"/>
  <c r="R98" i="57" a="1"/>
  <c r="R98" i="57" s="1"/>
  <c r="R99" i="57" a="1"/>
  <c r="R99" i="57" s="1"/>
  <c r="R100" i="57" a="1"/>
  <c r="R100" i="57" s="1"/>
  <c r="R101" i="57" a="1"/>
  <c r="R101" i="57" s="1"/>
  <c r="R102" i="57" a="1"/>
  <c r="R102" i="57" s="1"/>
  <c r="R103" i="57" a="1"/>
  <c r="R103" i="57" s="1"/>
  <c r="R104" i="57" a="1"/>
  <c r="R104" i="57" s="1"/>
  <c r="R105" i="57" a="1"/>
  <c r="R105" i="57" s="1"/>
  <c r="R106" i="57" a="1"/>
  <c r="R106" i="57" s="1"/>
  <c r="R112" i="57" a="1"/>
  <c r="R112" i="57" s="1"/>
  <c r="R107" i="57" a="1"/>
  <c r="R107" i="57" s="1"/>
  <c r="R108" i="57" a="1"/>
  <c r="R108" i="57" s="1"/>
  <c r="R109" i="57" a="1"/>
  <c r="R109" i="57" s="1"/>
  <c r="R110" i="57" a="1"/>
  <c r="R110" i="57" s="1"/>
  <c r="R114" i="57" a="1"/>
  <c r="R114" i="57" s="1"/>
  <c r="R111" i="57" a="1"/>
  <c r="R111" i="57" s="1"/>
  <c r="R115" i="57" a="1"/>
  <c r="R115" i="57" s="1"/>
  <c r="R113" i="57" a="1"/>
  <c r="R113" i="57" s="1"/>
  <c r="R116" i="57" a="1"/>
  <c r="R116" i="57" s="1"/>
  <c r="R117" i="57" a="1"/>
  <c r="R117" i="57" s="1"/>
  <c r="R119" i="57" a="1"/>
  <c r="R119" i="57" s="1"/>
  <c r="R118" i="57" a="1"/>
  <c r="R118" i="57" s="1"/>
  <c r="R120" i="57" a="1"/>
  <c r="R120" i="57" s="1"/>
  <c r="R121" i="57" a="1"/>
  <c r="R121" i="57" s="1"/>
  <c r="R122" i="57" a="1"/>
  <c r="R122" i="57" s="1"/>
  <c r="R177" i="57" a="1"/>
  <c r="R177" i="57" s="1"/>
  <c r="R226" i="57" a="1"/>
  <c r="R226" i="57" s="1"/>
  <c r="R125" i="57" a="1"/>
  <c r="R125" i="57" s="1"/>
  <c r="R126" i="57" a="1"/>
  <c r="R126" i="57" s="1"/>
  <c r="R127" i="57" a="1"/>
  <c r="R127" i="57" s="1"/>
  <c r="R220" i="57" a="1"/>
  <c r="R220" i="57" s="1"/>
  <c r="R221" i="57" a="1"/>
  <c r="R221" i="57" s="1"/>
  <c r="R128" i="57" a="1"/>
  <c r="R128" i="57" s="1"/>
  <c r="R129" i="57" a="1"/>
  <c r="R129" i="57" s="1"/>
  <c r="R131" i="57" a="1"/>
  <c r="R131" i="57" s="1"/>
  <c r="R130" i="57" a="1"/>
  <c r="R130" i="57" s="1"/>
  <c r="R132" i="57" a="1"/>
  <c r="R132" i="57" s="1"/>
  <c r="R133" i="57" a="1"/>
  <c r="R133" i="57" s="1"/>
  <c r="R381" i="57" a="1"/>
  <c r="R381" i="57" s="1"/>
  <c r="R382" i="57" a="1"/>
  <c r="R382" i="57" s="1"/>
  <c r="R134" i="57" a="1"/>
  <c r="R134" i="57" s="1"/>
  <c r="R137" i="57" a="1"/>
  <c r="R137" i="57" s="1"/>
  <c r="R138" i="57" a="1"/>
  <c r="R138" i="57" s="1"/>
  <c r="R139" i="57" a="1"/>
  <c r="R139" i="57" s="1"/>
  <c r="R216" i="57" a="1"/>
  <c r="R216" i="57" s="1"/>
  <c r="R217" i="57" a="1"/>
  <c r="R217" i="57" s="1"/>
  <c r="R144" i="57" a="1"/>
  <c r="R144" i="57" s="1"/>
  <c r="R145" i="57" a="1"/>
  <c r="R145" i="57" s="1"/>
  <c r="R146" i="57" a="1"/>
  <c r="R146" i="57" s="1"/>
  <c r="R148" i="57" a="1"/>
  <c r="R148" i="57" s="1"/>
  <c r="R147" i="57" a="1"/>
  <c r="R147" i="57" s="1"/>
  <c r="R149" i="57" a="1"/>
  <c r="R149" i="57" s="1"/>
  <c r="R150" i="57" a="1"/>
  <c r="R150" i="57" s="1"/>
  <c r="R244" i="57" a="1"/>
  <c r="R244" i="57" s="1"/>
  <c r="R151" i="57" a="1"/>
  <c r="R151" i="57" s="1"/>
  <c r="R152" i="57" a="1"/>
  <c r="R152" i="57" s="1"/>
  <c r="R153" i="57" a="1"/>
  <c r="R153" i="57" s="1"/>
  <c r="R154" i="57" a="1"/>
  <c r="R154" i="57" s="1"/>
  <c r="R155" i="57" a="1"/>
  <c r="R155" i="57" s="1"/>
  <c r="R156" i="57" a="1"/>
  <c r="R156" i="57" s="1"/>
  <c r="R157" i="57" a="1"/>
  <c r="R157" i="57" s="1"/>
  <c r="R158" i="57" a="1"/>
  <c r="R158" i="57" s="1"/>
  <c r="R159" i="57" a="1"/>
  <c r="R159" i="57" s="1"/>
  <c r="R160" i="57" a="1"/>
  <c r="R160" i="57" s="1"/>
  <c r="R161" i="57" a="1"/>
  <c r="R161" i="57" s="1"/>
  <c r="R162" i="57" a="1"/>
  <c r="R162" i="57" s="1"/>
  <c r="R166" i="57" a="1"/>
  <c r="R166" i="57" s="1"/>
  <c r="R167" i="57" a="1"/>
  <c r="R167" i="57" s="1"/>
  <c r="R168" i="57" a="1"/>
  <c r="R168" i="57" s="1"/>
  <c r="R169" i="57" a="1"/>
  <c r="R169" i="57" s="1"/>
  <c r="R170" i="57" a="1"/>
  <c r="R170" i="57" s="1"/>
  <c r="R171" i="57" a="1"/>
  <c r="R171" i="57" s="1"/>
  <c r="R172" i="57" a="1"/>
  <c r="R172" i="57" s="1"/>
  <c r="R173" i="57" a="1"/>
  <c r="R173" i="57" s="1"/>
  <c r="R163" i="57" a="1"/>
  <c r="R163" i="57" s="1"/>
  <c r="R164" i="57" a="1"/>
  <c r="R164" i="57" s="1"/>
  <c r="R165" i="57" a="1"/>
  <c r="R165" i="57" s="1"/>
  <c r="R174" i="57" a="1"/>
  <c r="R174" i="57" s="1"/>
  <c r="R175" i="57" a="1"/>
  <c r="R175" i="57" s="1"/>
  <c r="R176" i="57" a="1"/>
  <c r="R176" i="57" s="1"/>
  <c r="R178" i="57" a="1"/>
  <c r="R178" i="57" s="1"/>
  <c r="R179" i="57" a="1"/>
  <c r="R179" i="57" s="1"/>
  <c r="R383" i="57" a="1"/>
  <c r="R383" i="57" s="1"/>
  <c r="R384" i="57" a="1"/>
  <c r="R384" i="57" s="1"/>
  <c r="R229" i="57" a="1"/>
  <c r="R229" i="57" s="1"/>
  <c r="R473" i="57" a="1"/>
  <c r="R473" i="57" s="1"/>
  <c r="R475" i="57" a="1"/>
  <c r="R475" i="57" s="1"/>
  <c r="R474" i="57" a="1"/>
  <c r="R474" i="57" s="1"/>
  <c r="R476" i="57" a="1"/>
  <c r="R476" i="57" s="1"/>
  <c r="R180" i="57" a="1"/>
  <c r="R180" i="57" s="1"/>
  <c r="R181" i="57" a="1"/>
  <c r="R181" i="57" s="1"/>
  <c r="R227" i="57" a="1"/>
  <c r="R227" i="57" s="1"/>
  <c r="R228" i="57" a="1"/>
  <c r="R228" i="57" s="1"/>
  <c r="R12" i="57" a="1"/>
  <c r="R12" i="57" s="1"/>
  <c r="R182" i="57" a="1"/>
  <c r="R182" i="57" s="1"/>
  <c r="R183" i="57" a="1"/>
  <c r="R183" i="57" s="1"/>
  <c r="R184" i="57" a="1"/>
  <c r="R184" i="57" s="1"/>
  <c r="R185" i="57" a="1"/>
  <c r="R185" i="57" s="1"/>
  <c r="R186" i="57" a="1"/>
  <c r="R186" i="57" s="1"/>
  <c r="R25" i="57" a="1"/>
  <c r="R25" i="57" s="1"/>
  <c r="R26" i="57" a="1"/>
  <c r="R26" i="57" s="1"/>
  <c r="R70" i="57" a="1"/>
  <c r="R70" i="57" s="1"/>
  <c r="R72" i="57" a="1"/>
  <c r="R72" i="57" s="1"/>
  <c r="R459" i="57" a="1"/>
  <c r="R459" i="57" s="1"/>
  <c r="R462" i="57" a="1"/>
  <c r="R462" i="57" s="1"/>
  <c r="R460" i="57" a="1"/>
  <c r="R460" i="57" s="1"/>
  <c r="R463" i="57" a="1"/>
  <c r="R463" i="57" s="1"/>
  <c r="R461" i="57" a="1"/>
  <c r="R461" i="57" s="1"/>
  <c r="R464" i="57" a="1"/>
  <c r="R464" i="57" s="1"/>
  <c r="R230" i="57" a="1"/>
  <c r="R230" i="57" s="1"/>
  <c r="R187" i="57" a="1"/>
  <c r="R187" i="57" s="1"/>
  <c r="R188" i="57" a="1"/>
  <c r="R188" i="57" s="1"/>
  <c r="R74" i="57" a="1"/>
  <c r="R74" i="57" s="1"/>
  <c r="R76" i="57" a="1"/>
  <c r="R76" i="57" s="1"/>
  <c r="R197" i="57" a="1"/>
  <c r="R197" i="57" s="1"/>
  <c r="R200" i="57" a="1"/>
  <c r="R200" i="57" s="1"/>
  <c r="R202" i="57" a="1"/>
  <c r="R202" i="57" s="1"/>
  <c r="R190" i="57" a="1"/>
  <c r="R190" i="57" s="1"/>
  <c r="R194" i="57" a="1"/>
  <c r="R194" i="57" s="1"/>
  <c r="R192" i="57" a="1"/>
  <c r="R192" i="57" s="1"/>
  <c r="R195" i="57" a="1"/>
  <c r="R195" i="57" s="1"/>
  <c r="R196" i="57" a="1"/>
  <c r="R196" i="57" s="1"/>
  <c r="R193" i="57" a="1"/>
  <c r="R193" i="57" s="1"/>
  <c r="R385" i="57" a="1"/>
  <c r="R385" i="57" s="1"/>
  <c r="R386" i="57" a="1"/>
  <c r="R386" i="57" s="1"/>
  <c r="R245" i="57" a="1"/>
  <c r="R245" i="57" s="1"/>
  <c r="R61" i="57" a="1"/>
  <c r="R61" i="57" s="1"/>
  <c r="R73" i="57" a="1"/>
  <c r="R73" i="57" s="1"/>
  <c r="R77" i="57" a="1"/>
  <c r="R77" i="57" s="1"/>
  <c r="R80" i="57" a="1"/>
  <c r="R80" i="57" s="1"/>
  <c r="R366" i="57" a="1"/>
  <c r="R366" i="57" s="1"/>
  <c r="R231" i="57" a="1"/>
  <c r="R231" i="57" s="1"/>
  <c r="R233" i="57" a="1"/>
  <c r="R233" i="57" s="1"/>
  <c r="R232" i="57" a="1"/>
  <c r="R232" i="57" s="1"/>
  <c r="R234" i="57" a="1"/>
  <c r="R234" i="57" s="1"/>
  <c r="R271" i="57" a="1"/>
  <c r="R271" i="57" s="1"/>
  <c r="R431" i="57" a="1"/>
  <c r="R431" i="57" s="1"/>
  <c r="R435" i="57" a="1"/>
  <c r="R435" i="57" s="1"/>
  <c r="R432" i="57" a="1"/>
  <c r="R432" i="57" s="1"/>
  <c r="R436" i="57" a="1"/>
  <c r="R436" i="57" s="1"/>
  <c r="R222" i="57" a="1"/>
  <c r="R222" i="57" s="1"/>
  <c r="R223" i="57" a="1"/>
  <c r="R223" i="57" s="1"/>
  <c r="R286" i="57" a="1"/>
  <c r="R286" i="57" s="1"/>
  <c r="R287" i="57" a="1"/>
  <c r="R287" i="57" s="1"/>
  <c r="R237" i="57" a="1"/>
  <c r="R237" i="57" s="1"/>
  <c r="R235" i="57" a="1"/>
  <c r="R235" i="57" s="1"/>
  <c r="R236" i="57" a="1"/>
  <c r="R236" i="57" s="1"/>
  <c r="R238" i="57" a="1"/>
  <c r="R238" i="57" s="1"/>
  <c r="R239" i="57" a="1"/>
  <c r="R239" i="57" s="1"/>
  <c r="R330" i="57" a="1"/>
  <c r="R330" i="57" s="1"/>
  <c r="R332" i="57" a="1"/>
  <c r="R332" i="57" s="1"/>
  <c r="R465" i="57" a="1"/>
  <c r="R465" i="57" s="1"/>
  <c r="R467" i="57" a="1"/>
  <c r="R467" i="57" s="1"/>
  <c r="R466" i="57" a="1"/>
  <c r="R466" i="57" s="1"/>
  <c r="R468" i="57" a="1"/>
  <c r="R468" i="57" s="1"/>
  <c r="R387" i="57" a="1"/>
  <c r="R387" i="57" s="1"/>
  <c r="R248" i="57" a="1"/>
  <c r="R248" i="57" s="1"/>
  <c r="R246" i="57" a="1"/>
  <c r="R246" i="57" s="1"/>
  <c r="R247" i="57" a="1"/>
  <c r="R247" i="57" s="1"/>
  <c r="R292" i="57" a="1"/>
  <c r="R292" i="57" s="1"/>
  <c r="R295" i="57" a="1"/>
  <c r="R295" i="57" s="1"/>
  <c r="R477" i="57" a="1"/>
  <c r="R477" i="57" s="1"/>
  <c r="R478" i="57" a="1"/>
  <c r="R478" i="57" s="1"/>
  <c r="R298" i="57" a="1"/>
  <c r="R298" i="57" s="1"/>
  <c r="R300" i="57" a="1"/>
  <c r="R300" i="57" s="1"/>
  <c r="R302" i="57" a="1"/>
  <c r="R302" i="57" s="1"/>
  <c r="R303" i="57" a="1"/>
  <c r="R303" i="57" s="1"/>
  <c r="R304" i="57" a="1"/>
  <c r="R304" i="57" s="1"/>
  <c r="R305" i="57" a="1"/>
  <c r="R305" i="57" s="1"/>
  <c r="R299" i="57" a="1"/>
  <c r="R299" i="57" s="1"/>
  <c r="R301" i="57" a="1"/>
  <c r="R301" i="57" s="1"/>
  <c r="R306" i="57" a="1"/>
  <c r="R306" i="57" s="1"/>
  <c r="R307" i="57" a="1"/>
  <c r="R307" i="57" s="1"/>
  <c r="R308" i="57" a="1"/>
  <c r="R308" i="57" s="1"/>
  <c r="R388" i="57" a="1"/>
  <c r="R388" i="57" s="1"/>
  <c r="R389" i="57" a="1"/>
  <c r="R389" i="57" s="1"/>
  <c r="R334" i="57" a="1"/>
  <c r="R334" i="57" s="1"/>
  <c r="R339" i="57" a="1"/>
  <c r="R339" i="57" s="1"/>
  <c r="R338" i="57" a="1"/>
  <c r="R338" i="57" s="1"/>
  <c r="R341" i="57" a="1"/>
  <c r="R341" i="57" s="1"/>
  <c r="R337" i="57" a="1"/>
  <c r="R337" i="57" s="1"/>
  <c r="R333" i="57" a="1"/>
  <c r="R333" i="57" s="1"/>
  <c r="R340" i="57" a="1"/>
  <c r="R340" i="57" s="1"/>
  <c r="R256" i="57" a="1"/>
  <c r="R256" i="57" s="1"/>
  <c r="R254" i="57" a="1"/>
  <c r="R254" i="57" s="1"/>
  <c r="R336" i="57" a="1"/>
  <c r="R336" i="57" s="1"/>
  <c r="R309" i="57" a="1"/>
  <c r="R309" i="57" s="1"/>
  <c r="R310" i="57" a="1"/>
  <c r="R310" i="57" s="1"/>
  <c r="R312" i="57" a="1"/>
  <c r="R312" i="57" s="1"/>
  <c r="R313" i="57" a="1"/>
  <c r="R313" i="57" s="1"/>
  <c r="R135" i="57" a="1"/>
  <c r="R135" i="57" s="1"/>
  <c r="R136" i="57" a="1"/>
  <c r="R136" i="57" s="1"/>
  <c r="R288" i="57" a="1"/>
  <c r="R288" i="57" s="1"/>
  <c r="R289" i="57" a="1"/>
  <c r="R289" i="57" s="1"/>
  <c r="R240" i="57" a="1"/>
  <c r="R240" i="57" s="1"/>
  <c r="R242" i="57" a="1"/>
  <c r="R242" i="57" s="1"/>
  <c r="R241" i="57" a="1"/>
  <c r="R241" i="57" s="1"/>
  <c r="R243" i="57" a="1"/>
  <c r="R243" i="57" s="1"/>
  <c r="R253" i="57" a="1"/>
  <c r="R253" i="57" s="1"/>
  <c r="R314" i="57" a="1"/>
  <c r="R314" i="57" s="1"/>
  <c r="R255" i="57" a="1"/>
  <c r="R255" i="57" s="1"/>
  <c r="R257" i="57" a="1"/>
  <c r="R257" i="57" s="1"/>
  <c r="R316" i="57" a="1"/>
  <c r="R316" i="57" s="1"/>
  <c r="R318" i="57" a="1"/>
  <c r="R318" i="57" s="1"/>
  <c r="R320" i="57" a="1"/>
  <c r="R320" i="57" s="1"/>
  <c r="R317" i="57" a="1"/>
  <c r="R317" i="57" s="1"/>
  <c r="R319" i="57" a="1"/>
  <c r="R319" i="57" s="1"/>
  <c r="R258" i="57" a="1"/>
  <c r="R258" i="57" s="1"/>
  <c r="R27" i="57" a="1"/>
  <c r="R27" i="57" s="1"/>
  <c r="R29" i="57" a="1"/>
  <c r="R29" i="57" s="1"/>
  <c r="R28" i="57" a="1"/>
  <c r="R28" i="57" s="1"/>
  <c r="R30" i="57" a="1"/>
  <c r="R30" i="57" s="1"/>
  <c r="R261" i="57" a="1"/>
  <c r="R261" i="57" s="1"/>
  <c r="R362" i="57" a="1"/>
  <c r="R362" i="57" s="1"/>
  <c r="R363" i="57" a="1"/>
  <c r="R363" i="57" s="1"/>
  <c r="R364" i="57" a="1"/>
  <c r="R364" i="57" s="1"/>
  <c r="R365" i="57" a="1"/>
  <c r="R365" i="57" s="1"/>
  <c r="R263" i="57" a="1"/>
  <c r="R263" i="57" s="1"/>
  <c r="R367" i="57" a="1"/>
  <c r="R367" i="57" s="1"/>
  <c r="R368" i="57" a="1"/>
  <c r="R368" i="57" s="1"/>
  <c r="R370" i="57" a="1"/>
  <c r="R370" i="57" s="1"/>
  <c r="R372" i="57" a="1"/>
  <c r="R372" i="57" s="1"/>
  <c r="R369" i="57" a="1"/>
  <c r="R369" i="57" s="1"/>
  <c r="R371" i="57" a="1"/>
  <c r="R371" i="57" s="1"/>
  <c r="R79" i="57" a="1"/>
  <c r="R79" i="57" s="1"/>
  <c r="R373" i="57" a="1"/>
  <c r="R373" i="57" s="1"/>
  <c r="R374" i="57" a="1"/>
  <c r="R374" i="57" s="1"/>
  <c r="R375" i="57" a="1"/>
  <c r="R375" i="57" s="1"/>
  <c r="R376" i="57" a="1"/>
  <c r="R376" i="57" s="1"/>
  <c r="R377" i="57" a="1"/>
  <c r="R377" i="57" s="1"/>
  <c r="R378" i="57" a="1"/>
  <c r="R378" i="57" s="1"/>
  <c r="R379" i="57" a="1"/>
  <c r="R379" i="57" s="1"/>
  <c r="R380" i="57" a="1"/>
  <c r="R380" i="57" s="1"/>
  <c r="R396" i="57" a="1"/>
  <c r="R396" i="57" s="1"/>
  <c r="R397" i="57" a="1"/>
  <c r="R397" i="57" s="1"/>
  <c r="R264" i="57" a="1"/>
  <c r="R264" i="57" s="1"/>
  <c r="R266" i="57" a="1"/>
  <c r="R266" i="57" s="1"/>
  <c r="R404" i="57" a="1"/>
  <c r="R404" i="57" s="1"/>
  <c r="R405" i="57" a="1"/>
  <c r="R405" i="57" s="1"/>
  <c r="R259" i="57" a="1"/>
  <c r="R259" i="57" s="1"/>
  <c r="R265" i="57" a="1"/>
  <c r="R265" i="57" s="1"/>
  <c r="R189" i="57" a="1"/>
  <c r="R189" i="57" s="1"/>
  <c r="R260" i="57" a="1"/>
  <c r="R260" i="57" s="1"/>
  <c r="R262" i="57" a="1"/>
  <c r="R262" i="57" s="1"/>
  <c r="R406" i="57" a="1"/>
  <c r="R406" i="57" s="1"/>
  <c r="R123" i="57" a="1"/>
  <c r="R123" i="57" s="1"/>
  <c r="R124" i="57" a="1"/>
  <c r="R124" i="57" s="1"/>
  <c r="R214" i="57" a="1"/>
  <c r="R214" i="57" s="1"/>
  <c r="R215" i="57" a="1"/>
  <c r="R215" i="57" s="1"/>
  <c r="R282" i="57" a="1"/>
  <c r="R282" i="57" s="1"/>
  <c r="R283" i="57" a="1"/>
  <c r="R283" i="57" s="1"/>
  <c r="R284" i="57" a="1"/>
  <c r="R284" i="57" s="1"/>
  <c r="R285" i="57" a="1"/>
  <c r="R285" i="57" s="1"/>
  <c r="R400" i="57" a="1"/>
  <c r="R400" i="57" s="1"/>
  <c r="R401" i="57" a="1"/>
  <c r="R401" i="57" s="1"/>
  <c r="R224" i="57" a="1"/>
  <c r="R224" i="57" s="1"/>
  <c r="R218" i="57" a="1"/>
  <c r="R218" i="57" s="1"/>
  <c r="R398" i="57" a="1"/>
  <c r="R398" i="57" s="1"/>
  <c r="R399" i="57" a="1"/>
  <c r="R399" i="57" s="1"/>
  <c r="R402" i="57" a="1"/>
  <c r="R402" i="57" s="1"/>
  <c r="R403" i="57" a="1"/>
  <c r="R403" i="57" s="1"/>
  <c r="R407" i="57" a="1"/>
  <c r="R407" i="57" s="1"/>
  <c r="R408" i="57" a="1"/>
  <c r="R408" i="57" s="1"/>
  <c r="R409" i="57" a="1"/>
  <c r="R409" i="57" s="1"/>
  <c r="R411" i="57" a="1"/>
  <c r="R411" i="57" s="1"/>
  <c r="R410" i="57" a="1"/>
  <c r="R410" i="57" s="1"/>
  <c r="R412" i="57" a="1"/>
  <c r="R412" i="57" s="1"/>
  <c r="R413" i="57" a="1"/>
  <c r="R413" i="57" s="1"/>
  <c r="R414" i="57" a="1"/>
  <c r="R414" i="57" s="1"/>
  <c r="R415" i="57" a="1"/>
  <c r="R415" i="57" s="1"/>
  <c r="R416" i="57" a="1"/>
  <c r="R416" i="57" s="1"/>
  <c r="R417" i="57" a="1"/>
  <c r="R417" i="57" s="1"/>
  <c r="R419" i="57" a="1"/>
  <c r="R419" i="57" s="1"/>
  <c r="R421" i="57" a="1"/>
  <c r="R421" i="57" s="1"/>
  <c r="R422" i="57" a="1"/>
  <c r="R422" i="57" s="1"/>
  <c r="R418" i="57" a="1"/>
  <c r="R418" i="57" s="1"/>
  <c r="R420" i="57" a="1"/>
  <c r="R420" i="57" s="1"/>
  <c r="R13" i="57" a="1"/>
  <c r="R13" i="57" s="1"/>
  <c r="R14" i="57" a="1"/>
  <c r="R14" i="57" s="1"/>
  <c r="R15" i="57" a="1"/>
  <c r="R15" i="57" s="1"/>
  <c r="R423" i="57" a="1"/>
  <c r="R423" i="57" s="1"/>
  <c r="R425" i="57" a="1"/>
  <c r="R425" i="57" s="1"/>
  <c r="R427" i="57" a="1"/>
  <c r="R427" i="57" s="1"/>
  <c r="R429" i="57" a="1"/>
  <c r="R429" i="57" s="1"/>
  <c r="R428" i="57" a="1"/>
  <c r="R428" i="57" s="1"/>
  <c r="R430" i="57" a="1"/>
  <c r="R430" i="57" s="1"/>
  <c r="R434" i="57" a="1"/>
  <c r="R434" i="57" s="1"/>
  <c r="R437" i="57" a="1"/>
  <c r="R437" i="57" s="1"/>
  <c r="R424" i="57" a="1"/>
  <c r="R424" i="57" s="1"/>
  <c r="R426" i="57" a="1"/>
  <c r="R426" i="57" s="1"/>
  <c r="R438" i="57" a="1"/>
  <c r="R438" i="57" s="1"/>
  <c r="R440" i="57" a="1"/>
  <c r="R440" i="57" s="1"/>
  <c r="R439" i="57" a="1"/>
  <c r="R439" i="57" s="1"/>
  <c r="R441" i="57" a="1"/>
  <c r="R441" i="57" s="1"/>
  <c r="R442" i="57" a="1"/>
  <c r="R442" i="57" s="1"/>
  <c r="R443" i="57" a="1"/>
  <c r="R443" i="57" s="1"/>
  <c r="R445" i="57" a="1"/>
  <c r="R445" i="57" s="1"/>
  <c r="R447" i="57" a="1"/>
  <c r="R447" i="57" s="1"/>
  <c r="R444" i="57" a="1"/>
  <c r="R444" i="57" s="1"/>
  <c r="R446" i="57" a="1"/>
  <c r="R446" i="57" s="1"/>
  <c r="R267" i="57" a="1"/>
  <c r="R267" i="57" s="1"/>
  <c r="R448" i="57" a="1"/>
  <c r="R448" i="57" s="1"/>
  <c r="R450" i="57" a="1"/>
  <c r="R450" i="57" s="1"/>
  <c r="R449" i="57" a="1"/>
  <c r="R449" i="57" s="1"/>
  <c r="R451" i="57" a="1"/>
  <c r="R451" i="57" s="1"/>
  <c r="R268" i="57" a="1"/>
  <c r="R268" i="57" s="1"/>
  <c r="R452" i="57" a="1"/>
  <c r="R452" i="57" s="1"/>
  <c r="R453" i="57" a="1"/>
  <c r="R453" i="57" s="1"/>
  <c r="R454" i="57" a="1"/>
  <c r="R454" i="57" s="1"/>
  <c r="R456" i="57" a="1"/>
  <c r="R456" i="57" s="1"/>
  <c r="R390" i="57" a="1"/>
  <c r="R390" i="57" s="1"/>
  <c r="R391" i="57" a="1"/>
  <c r="R391" i="57" s="1"/>
  <c r="R457" i="57" a="1"/>
  <c r="R457" i="57" s="1"/>
  <c r="R458" i="57" a="1"/>
  <c r="R458" i="57" s="1"/>
  <c r="R455" i="57" a="1"/>
  <c r="R455" i="57" s="1"/>
  <c r="R469" i="57" a="1"/>
  <c r="R469" i="57" s="1"/>
  <c r="R471" i="57" a="1"/>
  <c r="R471" i="57" s="1"/>
  <c r="R470" i="57" a="1"/>
  <c r="R470" i="57" s="1"/>
  <c r="R472" i="57" a="1"/>
  <c r="R472" i="57" s="1"/>
  <c r="R392" i="57" a="1"/>
  <c r="R392" i="57" s="1"/>
  <c r="R393" i="57" a="1"/>
  <c r="R393" i="57" s="1"/>
  <c r="R479" i="57" a="1"/>
  <c r="R479" i="57" s="1"/>
  <c r="R480" i="57" a="1"/>
  <c r="R480" i="57" s="1"/>
  <c r="R481" i="57" a="1"/>
  <c r="R481" i="57" s="1"/>
  <c r="R394" i="57" a="1"/>
  <c r="R394" i="57" s="1"/>
  <c r="R395" i="57" a="1"/>
  <c r="R395" i="57" s="1"/>
  <c r="R140" i="57" a="1"/>
  <c r="R140" i="57" s="1"/>
  <c r="R141" i="57" a="1"/>
  <c r="R141" i="57" s="1"/>
  <c r="R142" i="57" a="1"/>
  <c r="R142" i="57" s="1"/>
  <c r="R143" i="57" a="1"/>
  <c r="R143" i="57" s="1"/>
  <c r="R482" i="57" a="1"/>
  <c r="R482" i="57" s="1"/>
  <c r="R484" i="57" a="1"/>
  <c r="R484" i="57" s="1"/>
  <c r="R486" i="57" a="1"/>
  <c r="R486" i="57" s="1"/>
  <c r="R487" i="57" a="1"/>
  <c r="R487" i="57" s="1"/>
  <c r="R488" i="57" a="1"/>
  <c r="R488" i="57" s="1"/>
  <c r="R483" i="57" a="1"/>
  <c r="R483" i="57" s="1"/>
  <c r="R485" i="57" a="1"/>
  <c r="R485" i="57" s="1"/>
  <c r="R31" i="57" a="1"/>
  <c r="R31" i="57" s="1"/>
  <c r="R32" i="57" a="1"/>
  <c r="R32" i="57" s="1"/>
  <c r="R290" i="57" a="1"/>
  <c r="R290" i="57" s="1"/>
  <c r="R291" i="57" a="1"/>
  <c r="R291" i="57" s="1"/>
  <c r="R489" i="57" a="1"/>
  <c r="R489" i="57" s="1"/>
  <c r="R490" i="57" a="1"/>
  <c r="R490" i="57" s="1"/>
  <c r="R491" i="57" a="1"/>
  <c r="R491" i="57" s="1"/>
  <c r="R492" i="57" a="1"/>
  <c r="R492" i="57" s="1"/>
  <c r="R493" i="57" a="1"/>
  <c r="R493" i="57" s="1"/>
  <c r="R494" i="57" a="1"/>
  <c r="R494" i="57" s="1"/>
  <c r="R495" i="57" a="1"/>
  <c r="R495" i="57" s="1"/>
  <c r="R250" i="57" a="1"/>
  <c r="R250" i="57" s="1"/>
  <c r="R252" i="57" a="1"/>
  <c r="R252" i="57" s="1"/>
  <c r="R269" i="57" a="1"/>
  <c r="R269" i="57" s="1"/>
  <c r="R270" i="57" a="1"/>
  <c r="R270" i="57" s="1"/>
  <c r="R249" i="57" a="1"/>
  <c r="R249" i="57" s="1"/>
  <c r="R251" i="57" a="1"/>
  <c r="R251" i="57" s="1"/>
  <c r="R272" i="57" a="1"/>
  <c r="R272" i="57" s="1"/>
  <c r="K242" i="57"/>
  <c r="Q242" i="57" s="1"/>
  <c r="I242" i="57"/>
  <c r="M242" i="57" s="1"/>
  <c r="K240" i="57"/>
  <c r="Q240" i="57" s="1"/>
  <c r="I240" i="57"/>
  <c r="M240" i="57" s="1"/>
  <c r="K38" i="57"/>
  <c r="Q38" i="57" s="1"/>
  <c r="I38" i="57"/>
  <c r="M38" i="57" s="1"/>
  <c r="K42" i="57"/>
  <c r="I42" i="57"/>
  <c r="M42" i="57" s="1"/>
  <c r="K37" i="57"/>
  <c r="I37" i="57"/>
  <c r="K41" i="57"/>
  <c r="I41" i="57"/>
  <c r="M41" i="57" s="1"/>
  <c r="K464" i="57"/>
  <c r="Q464" i="57" s="1"/>
  <c r="I464" i="57"/>
  <c r="M464" i="57" s="1"/>
  <c r="K461" i="57"/>
  <c r="Q461" i="57" s="1"/>
  <c r="I461" i="57"/>
  <c r="M461" i="57" s="1"/>
  <c r="I273" i="57"/>
  <c r="B3" i="67" s="1" a="1"/>
  <c r="B3" i="67" s="1"/>
  <c r="K273" i="57"/>
  <c r="Q273" i="57" s="1"/>
  <c r="I276" i="57"/>
  <c r="M276" i="57" s="1"/>
  <c r="K276" i="57"/>
  <c r="K149" i="57"/>
  <c r="Q149" i="57" s="1"/>
  <c r="M149" i="57"/>
  <c r="K147" i="57"/>
  <c r="Q147" i="57" s="1"/>
  <c r="M147" i="57"/>
  <c r="K220" i="57"/>
  <c r="Q220" i="57" s="1"/>
  <c r="I220" i="57"/>
  <c r="M220" i="57" s="1"/>
  <c r="K292" i="57"/>
  <c r="Q292" i="57" s="1"/>
  <c r="I292" i="57"/>
  <c r="M292" i="57" s="1"/>
  <c r="K44" i="57"/>
  <c r="Q44" i="57" s="1"/>
  <c r="I44" i="57"/>
  <c r="M44" i="57" s="1"/>
  <c r="K222" i="57"/>
  <c r="I222" i="57"/>
  <c r="M222" i="57" s="1"/>
  <c r="K480" i="57"/>
  <c r="I480" i="57"/>
  <c r="M480" i="57" s="1"/>
  <c r="K400" i="57"/>
  <c r="I400" i="57"/>
  <c r="K123" i="57"/>
  <c r="Q123" i="57" s="1"/>
  <c r="I123" i="57"/>
  <c r="M123" i="57" s="1"/>
  <c r="K402" i="57"/>
  <c r="Q402" i="57" s="1"/>
  <c r="I402" i="57"/>
  <c r="M402" i="57" s="1"/>
  <c r="K87" i="57"/>
  <c r="Q87" i="57" s="1"/>
  <c r="I87" i="57"/>
  <c r="M87" i="57" s="1"/>
  <c r="K3" i="57"/>
  <c r="I3" i="57"/>
  <c r="B2" i="67" s="1" a="1"/>
  <c r="B2" i="67" s="1"/>
  <c r="K36" i="57"/>
  <c r="I36" i="57"/>
  <c r="K309" i="57"/>
  <c r="I309" i="57"/>
  <c r="M309" i="57" s="1"/>
  <c r="K398" i="57"/>
  <c r="Q398" i="57" s="1"/>
  <c r="I398" i="57"/>
  <c r="M398" i="57" s="1"/>
  <c r="I272" i="57"/>
  <c r="I275" i="57"/>
  <c r="I274" i="57"/>
  <c r="I277" i="57"/>
  <c r="I11" i="57"/>
  <c r="I9" i="57"/>
  <c r="I10" i="57"/>
  <c r="I210" i="57"/>
  <c r="I211" i="57"/>
  <c r="I16" i="57"/>
  <c r="I49" i="57"/>
  <c r="I51" i="57"/>
  <c r="I17" i="57"/>
  <c r="I191" i="57"/>
  <c r="I198" i="57"/>
  <c r="B47" i="67" s="1" a="1"/>
  <c r="B47" i="67" s="1"/>
  <c r="I199" i="57"/>
  <c r="B9" i="67" s="1" a="1"/>
  <c r="B9" i="67" s="1"/>
  <c r="I18" i="57"/>
  <c r="I19" i="57"/>
  <c r="I20" i="57"/>
  <c r="B10" i="67" s="1" a="1"/>
  <c r="B10" i="67" s="1"/>
  <c r="I22" i="57"/>
  <c r="I24" i="57"/>
  <c r="I21" i="57"/>
  <c r="M21" i="57" s="1"/>
  <c r="I23" i="57"/>
  <c r="M23" i="57" s="1"/>
  <c r="I33" i="57"/>
  <c r="I278" i="57"/>
  <c r="I279" i="57"/>
  <c r="I34" i="57"/>
  <c r="I35" i="57"/>
  <c r="I212" i="57"/>
  <c r="I213" i="57"/>
  <c r="I46" i="57"/>
  <c r="I47" i="57"/>
  <c r="I48" i="57"/>
  <c r="I50" i="57"/>
  <c r="I52" i="57"/>
  <c r="I53" i="57"/>
  <c r="I54" i="57"/>
  <c r="I55" i="57"/>
  <c r="I56" i="57"/>
  <c r="I57" i="57"/>
  <c r="I58" i="57"/>
  <c r="I59" i="57"/>
  <c r="I60" i="57"/>
  <c r="I62" i="57"/>
  <c r="I64" i="57"/>
  <c r="I66" i="57"/>
  <c r="I67" i="57"/>
  <c r="I68" i="57"/>
  <c r="I69" i="57"/>
  <c r="I63" i="57"/>
  <c r="I65" i="57"/>
  <c r="I71" i="57"/>
  <c r="I75" i="57"/>
  <c r="I78" i="57"/>
  <c r="I81" i="57"/>
  <c r="I82" i="57"/>
  <c r="I206" i="57"/>
  <c r="I204" i="57"/>
  <c r="I203" i="57"/>
  <c r="I321" i="57"/>
  <c r="I323" i="57"/>
  <c r="I325" i="57"/>
  <c r="I327" i="57"/>
  <c r="I83" i="57"/>
  <c r="I84" i="57"/>
  <c r="I85" i="57"/>
  <c r="I86" i="57"/>
  <c r="I280" i="57"/>
  <c r="I281" i="57"/>
  <c r="I89" i="57"/>
  <c r="I90" i="57"/>
  <c r="I91" i="57"/>
  <c r="I92" i="57"/>
  <c r="I93" i="57"/>
  <c r="I94" i="57"/>
  <c r="I95" i="57"/>
  <c r="I96" i="57"/>
  <c r="I97" i="57"/>
  <c r="I98" i="57"/>
  <c r="I99" i="57"/>
  <c r="I100" i="57"/>
  <c r="I101" i="57"/>
  <c r="I102" i="57"/>
  <c r="I103" i="57"/>
  <c r="I104" i="57"/>
  <c r="I105" i="57"/>
  <c r="I106" i="57"/>
  <c r="I112" i="57"/>
  <c r="B17" i="67" s="1" a="1"/>
  <c r="B17" i="67" s="1"/>
  <c r="I107" i="57"/>
  <c r="I108" i="57"/>
  <c r="I109" i="57"/>
  <c r="I110" i="57"/>
  <c r="I114" i="57"/>
  <c r="I111" i="57"/>
  <c r="B18" i="67" s="1" a="1"/>
  <c r="B18" i="67" s="1"/>
  <c r="I115" i="57"/>
  <c r="I113" i="57"/>
  <c r="I116" i="57"/>
  <c r="I117" i="57"/>
  <c r="I119" i="57"/>
  <c r="I118" i="57"/>
  <c r="B44" i="67" s="1" a="1"/>
  <c r="B44" i="67" s="1"/>
  <c r="I120" i="57"/>
  <c r="I121" i="57"/>
  <c r="B19" i="67" s="1" a="1"/>
  <c r="B19" i="67" s="1"/>
  <c r="I122" i="57"/>
  <c r="I177" i="57"/>
  <c r="I226" i="57"/>
  <c r="I125" i="57"/>
  <c r="I126" i="57"/>
  <c r="I127" i="57"/>
  <c r="I128" i="57"/>
  <c r="I129" i="57"/>
  <c r="I131" i="57"/>
  <c r="I130" i="57"/>
  <c r="I132" i="57"/>
  <c r="I133" i="57"/>
  <c r="I381" i="57"/>
  <c r="I382" i="57"/>
  <c r="I134" i="57"/>
  <c r="B20" i="67" s="1" a="1"/>
  <c r="B20" i="67" s="1"/>
  <c r="I137" i="57"/>
  <c r="I138" i="57"/>
  <c r="I139" i="57"/>
  <c r="I216" i="57"/>
  <c r="I217" i="57"/>
  <c r="I244" i="57"/>
  <c r="I159" i="57"/>
  <c r="I160" i="57"/>
  <c r="I161" i="57"/>
  <c r="I162" i="57"/>
  <c r="I166" i="57"/>
  <c r="I167" i="57"/>
  <c r="I168" i="57"/>
  <c r="I169" i="57"/>
  <c r="I170" i="57"/>
  <c r="I171" i="57"/>
  <c r="I172" i="57"/>
  <c r="I173" i="57"/>
  <c r="I163" i="57"/>
  <c r="I164" i="57"/>
  <c r="I165" i="57"/>
  <c r="I174" i="57"/>
  <c r="I175" i="57"/>
  <c r="I176" i="57"/>
  <c r="I178" i="57"/>
  <c r="I179" i="57"/>
  <c r="I383" i="57"/>
  <c r="I384" i="57"/>
  <c r="I229" i="57"/>
  <c r="I473" i="57"/>
  <c r="B54" i="67" s="1" a="1"/>
  <c r="B54" i="67" s="1"/>
  <c r="I475" i="57"/>
  <c r="I474" i="57"/>
  <c r="I476" i="57"/>
  <c r="I180" i="57"/>
  <c r="I181" i="57"/>
  <c r="I227" i="57"/>
  <c r="I228" i="57"/>
  <c r="I12" i="57"/>
  <c r="I182" i="57"/>
  <c r="I183" i="57"/>
  <c r="I184" i="57"/>
  <c r="I185" i="57"/>
  <c r="I186" i="57"/>
  <c r="I25" i="57"/>
  <c r="B24" i="67" s="1" a="1"/>
  <c r="B24" i="67" s="1"/>
  <c r="I26" i="57"/>
  <c r="I70" i="57"/>
  <c r="I72" i="57"/>
  <c r="I459" i="57"/>
  <c r="I462" i="57"/>
  <c r="I460" i="57"/>
  <c r="I463" i="57"/>
  <c r="I230" i="57"/>
  <c r="I187" i="57"/>
  <c r="I188" i="57"/>
  <c r="I74" i="57"/>
  <c r="I76" i="57"/>
  <c r="I197" i="57"/>
  <c r="I200" i="57"/>
  <c r="I202" i="57"/>
  <c r="I190" i="57"/>
  <c r="I194" i="57"/>
  <c r="I192" i="57"/>
  <c r="I195" i="57"/>
  <c r="I193" i="57"/>
  <c r="I196" i="57"/>
  <c r="I385" i="57"/>
  <c r="I386" i="57"/>
  <c r="I245" i="57"/>
  <c r="I61" i="57"/>
  <c r="I73" i="57"/>
  <c r="I77" i="57"/>
  <c r="I80" i="57"/>
  <c r="I366" i="57"/>
  <c r="I231" i="57"/>
  <c r="I233" i="57"/>
  <c r="I232" i="57"/>
  <c r="I234" i="57"/>
  <c r="I271" i="57"/>
  <c r="I431" i="57"/>
  <c r="I435" i="57"/>
  <c r="I432" i="57"/>
  <c r="I436" i="57"/>
  <c r="I286" i="57"/>
  <c r="B56" i="67" s="1" a="1"/>
  <c r="B56" i="67" s="1"/>
  <c r="I287" i="57"/>
  <c r="I237" i="57"/>
  <c r="I235" i="57"/>
  <c r="B25" i="67" s="1" a="1"/>
  <c r="B25" i="67" s="1"/>
  <c r="I236" i="57"/>
  <c r="I238" i="57"/>
  <c r="I239" i="57"/>
  <c r="I330" i="57"/>
  <c r="B26" i="67" s="1" a="1"/>
  <c r="B26" i="67" s="1"/>
  <c r="I332" i="57"/>
  <c r="I465" i="57"/>
  <c r="I467" i="57"/>
  <c r="I466" i="57"/>
  <c r="I468" i="57"/>
  <c r="I387" i="57"/>
  <c r="I248" i="57"/>
  <c r="I246" i="57"/>
  <c r="I247" i="57"/>
  <c r="I477" i="57"/>
  <c r="I478" i="57"/>
  <c r="I298" i="57"/>
  <c r="I300" i="57"/>
  <c r="I302" i="57"/>
  <c r="I303" i="57"/>
  <c r="I304" i="57"/>
  <c r="I305" i="57"/>
  <c r="I299" i="57"/>
  <c r="I301" i="57"/>
  <c r="I306" i="57"/>
  <c r="I307" i="57"/>
  <c r="I308" i="57"/>
  <c r="I388" i="57"/>
  <c r="I389" i="57"/>
  <c r="I334" i="57"/>
  <c r="B33" i="67" s="1" a="1"/>
  <c r="B33" i="67" s="1"/>
  <c r="I339" i="57"/>
  <c r="B34" i="67" s="1" a="1"/>
  <c r="B34" i="67" s="1"/>
  <c r="I338" i="57"/>
  <c r="I341" i="57"/>
  <c r="I333" i="57"/>
  <c r="I337" i="57"/>
  <c r="I340" i="57"/>
  <c r="I256" i="57"/>
  <c r="I254" i="57"/>
  <c r="I336" i="57"/>
  <c r="I312" i="57"/>
  <c r="I313" i="57"/>
  <c r="I135" i="57"/>
  <c r="I136" i="57"/>
  <c r="I288" i="57"/>
  <c r="I289" i="57"/>
  <c r="I241" i="57"/>
  <c r="I243" i="57"/>
  <c r="I253" i="57"/>
  <c r="B35" i="67" s="1" a="1"/>
  <c r="B35" i="67" s="1"/>
  <c r="I314" i="57"/>
  <c r="I255" i="57"/>
  <c r="I257" i="57"/>
  <c r="I316" i="57"/>
  <c r="I318" i="57"/>
  <c r="I320" i="57"/>
  <c r="I317" i="57"/>
  <c r="I319" i="57"/>
  <c r="I258" i="57"/>
  <c r="I27" i="57"/>
  <c r="I29" i="57"/>
  <c r="I28" i="57"/>
  <c r="M28" i="57" s="1"/>
  <c r="I30" i="57"/>
  <c r="M30" i="57" s="1"/>
  <c r="I362" i="57"/>
  <c r="I363" i="57"/>
  <c r="I364" i="57"/>
  <c r="I365" i="57"/>
  <c r="I367" i="57"/>
  <c r="I368" i="57"/>
  <c r="I370" i="57"/>
  <c r="I372" i="57"/>
  <c r="I369" i="57"/>
  <c r="I371" i="57"/>
  <c r="I79" i="57"/>
  <c r="I373" i="57"/>
  <c r="I374" i="57"/>
  <c r="I375" i="57"/>
  <c r="I376" i="57"/>
  <c r="I377" i="57"/>
  <c r="I378" i="57"/>
  <c r="I379" i="57"/>
  <c r="I380" i="57"/>
  <c r="I396" i="57"/>
  <c r="I397" i="57"/>
  <c r="I264" i="57"/>
  <c r="B37" i="67" s="1" a="1"/>
  <c r="B37" i="67" s="1"/>
  <c r="I266" i="57"/>
  <c r="I404" i="57"/>
  <c r="I405" i="57"/>
  <c r="I259" i="57"/>
  <c r="I265" i="57"/>
  <c r="I189" i="57"/>
  <c r="I260" i="57"/>
  <c r="I406" i="57"/>
  <c r="I214" i="57"/>
  <c r="I215" i="57"/>
  <c r="I282" i="57"/>
  <c r="Q282" i="57" s="1"/>
  <c r="I283" i="57"/>
  <c r="Q283" i="57" s="1"/>
  <c r="I284" i="57"/>
  <c r="I285" i="57"/>
  <c r="I218" i="57"/>
  <c r="I219" i="57"/>
  <c r="I224" i="57"/>
  <c r="I225" i="57"/>
  <c r="I407" i="57"/>
  <c r="I408" i="57"/>
  <c r="I409" i="57"/>
  <c r="I411" i="57"/>
  <c r="B58" i="67" s="1" a="1"/>
  <c r="B58" i="67" s="1"/>
  <c r="I410" i="57"/>
  <c r="I412" i="57"/>
  <c r="I413" i="57"/>
  <c r="I414" i="57"/>
  <c r="I415" i="57"/>
  <c r="B38" i="67" s="1" a="1"/>
  <c r="B38" i="67" s="1"/>
  <c r="I416" i="57"/>
  <c r="I417" i="57"/>
  <c r="I419" i="57"/>
  <c r="I421" i="57"/>
  <c r="I422" i="57"/>
  <c r="I418" i="57"/>
  <c r="I420" i="57"/>
  <c r="I433" i="57"/>
  <c r="I13" i="57"/>
  <c r="I14" i="57"/>
  <c r="I15" i="57"/>
  <c r="I423" i="57"/>
  <c r="I425" i="57"/>
  <c r="I427" i="57"/>
  <c r="I429" i="57"/>
  <c r="I428" i="57"/>
  <c r="I430" i="57"/>
  <c r="I434" i="57"/>
  <c r="I437" i="57"/>
  <c r="I424" i="57"/>
  <c r="I426" i="57"/>
  <c r="I438" i="57"/>
  <c r="I440" i="57"/>
  <c r="I439" i="57"/>
  <c r="I441" i="57"/>
  <c r="I442" i="57"/>
  <c r="B41" i="67" s="1" a="1"/>
  <c r="B41" i="67" s="1"/>
  <c r="I443" i="57"/>
  <c r="I445" i="57"/>
  <c r="I447" i="57"/>
  <c r="I444" i="57"/>
  <c r="I446" i="57"/>
  <c r="I267" i="57"/>
  <c r="I448" i="57"/>
  <c r="I450" i="57"/>
  <c r="I449" i="57"/>
  <c r="I451" i="57"/>
  <c r="I268" i="57"/>
  <c r="I452" i="57"/>
  <c r="I453" i="57"/>
  <c r="I454" i="57"/>
  <c r="I456" i="57"/>
  <c r="I390" i="57"/>
  <c r="I391" i="57"/>
  <c r="I457" i="57"/>
  <c r="I458" i="57"/>
  <c r="I455" i="57"/>
  <c r="I469" i="57"/>
  <c r="B43" i="67" s="1" a="1"/>
  <c r="B43" i="67" s="1"/>
  <c r="I471" i="57"/>
  <c r="I470" i="57"/>
  <c r="I472" i="57"/>
  <c r="I392" i="57"/>
  <c r="I393" i="57"/>
  <c r="I479" i="57"/>
  <c r="I394" i="57"/>
  <c r="I395" i="57"/>
  <c r="I140" i="57"/>
  <c r="I141" i="57"/>
  <c r="I142" i="57"/>
  <c r="I143" i="57"/>
  <c r="I482" i="57"/>
  <c r="I484" i="57"/>
  <c r="I486" i="57"/>
  <c r="I487" i="57"/>
  <c r="I488" i="57"/>
  <c r="I483" i="57"/>
  <c r="I485" i="57"/>
  <c r="I31" i="57"/>
  <c r="I32" i="57"/>
  <c r="I290" i="57"/>
  <c r="I291" i="57"/>
  <c r="B57" i="67" s="1" a="1"/>
  <c r="B57" i="67" s="1"/>
  <c r="I489" i="57"/>
  <c r="I490" i="57"/>
  <c r="I491" i="57"/>
  <c r="I492" i="57"/>
  <c r="I493" i="57"/>
  <c r="I494" i="57"/>
  <c r="I495" i="57"/>
  <c r="I250" i="57"/>
  <c r="I252" i="57"/>
  <c r="I269" i="57"/>
  <c r="I270" i="57"/>
  <c r="I249" i="57"/>
  <c r="I251" i="57"/>
  <c r="I311" i="57"/>
  <c r="I315" i="57"/>
  <c r="I399" i="57"/>
  <c r="M399" i="57" s="1"/>
  <c r="I310" i="57"/>
  <c r="M310" i="57" s="1"/>
  <c r="I40" i="57"/>
  <c r="M40" i="57" s="1"/>
  <c r="I4" i="57"/>
  <c r="M4" i="57" s="1"/>
  <c r="I88" i="57"/>
  <c r="M88" i="57" s="1"/>
  <c r="I403" i="57"/>
  <c r="M403" i="57" s="1"/>
  <c r="M148" i="57"/>
  <c r="I124" i="57"/>
  <c r="M124" i="57" s="1"/>
  <c r="I401" i="57"/>
  <c r="M401" i="57" s="1"/>
  <c r="I481" i="57"/>
  <c r="M481" i="57" s="1"/>
  <c r="I223" i="57"/>
  <c r="M223" i="57" s="1"/>
  <c r="I45" i="57"/>
  <c r="M45" i="57" s="1"/>
  <c r="I295" i="57"/>
  <c r="I221" i="57"/>
  <c r="M221" i="57" s="1"/>
  <c r="I209" i="57"/>
  <c r="M209" i="57" s="1"/>
  <c r="I207" i="57"/>
  <c r="M207" i="57" s="1"/>
  <c r="I205" i="57"/>
  <c r="M205" i="57" s="1"/>
  <c r="I208" i="57"/>
  <c r="B61" i="67" s="1" a="1"/>
  <c r="B61" i="67" s="1"/>
  <c r="I261" i="57"/>
  <c r="M261" i="57" s="1"/>
  <c r="I263" i="57"/>
  <c r="I262" i="57"/>
  <c r="M262" i="57" s="1"/>
  <c r="K399" i="57"/>
  <c r="Q399" i="57" s="1"/>
  <c r="K310" i="57"/>
  <c r="K40" i="57"/>
  <c r="K4" i="57"/>
  <c r="K88" i="57"/>
  <c r="K403" i="57"/>
  <c r="K148" i="57"/>
  <c r="Q148" i="57" s="1"/>
  <c r="K124" i="57"/>
  <c r="Q124" i="57" s="1"/>
  <c r="K401" i="57"/>
  <c r="K481" i="57"/>
  <c r="K223" i="57"/>
  <c r="K45" i="57"/>
  <c r="Q45" i="57" s="1"/>
  <c r="K295" i="57"/>
  <c r="Q295" i="57" s="1"/>
  <c r="K221" i="57"/>
  <c r="K275" i="57"/>
  <c r="Q275" i="57" s="1"/>
  <c r="K274" i="57"/>
  <c r="K277" i="57"/>
  <c r="Q277" i="57" s="1"/>
  <c r="K11" i="57"/>
  <c r="Q11" i="57" s="1"/>
  <c r="K9" i="57"/>
  <c r="Q9" i="57" s="1"/>
  <c r="K10" i="57"/>
  <c r="Q10" i="57" s="1"/>
  <c r="K210" i="57"/>
  <c r="Q210" i="57" s="1"/>
  <c r="K211" i="57"/>
  <c r="Q211" i="57" s="1"/>
  <c r="K16" i="57"/>
  <c r="Q16" i="57" s="1"/>
  <c r="K49" i="57"/>
  <c r="Q49" i="57" s="1"/>
  <c r="K51" i="57"/>
  <c r="Q51" i="57" s="1"/>
  <c r="K17" i="57"/>
  <c r="Q17" i="57" s="1"/>
  <c r="K191" i="57"/>
  <c r="Q191" i="57" s="1"/>
  <c r="K198" i="57"/>
  <c r="K199" i="57"/>
  <c r="Q199" i="57" s="1"/>
  <c r="K18" i="57"/>
  <c r="Q18" i="57" s="1"/>
  <c r="K19" i="57"/>
  <c r="Q19" i="57" s="1"/>
  <c r="K20" i="57"/>
  <c r="Q20" i="57" s="1"/>
  <c r="K22" i="57"/>
  <c r="Q22" i="57" s="1"/>
  <c r="K24" i="57"/>
  <c r="Q24" i="57" s="1"/>
  <c r="K21" i="57"/>
  <c r="Q21" i="57" s="1"/>
  <c r="K23" i="57"/>
  <c r="Q23" i="57" s="1"/>
  <c r="K33" i="57"/>
  <c r="Q33" i="57" s="1"/>
  <c r="K278" i="57"/>
  <c r="Q278" i="57" s="1"/>
  <c r="K279" i="57"/>
  <c r="Q279" i="57" s="1"/>
  <c r="K34" i="57"/>
  <c r="Q34" i="57" s="1"/>
  <c r="K35" i="57"/>
  <c r="Q35" i="57" s="1"/>
  <c r="K212" i="57"/>
  <c r="Q212" i="57" s="1"/>
  <c r="K213" i="57"/>
  <c r="Q213" i="57" s="1"/>
  <c r="K46" i="57"/>
  <c r="Q46" i="57" s="1"/>
  <c r="K47" i="57"/>
  <c r="Q47" i="57" s="1"/>
  <c r="K48" i="57"/>
  <c r="Q48" i="57" s="1"/>
  <c r="K50" i="57"/>
  <c r="Q50" i="57" s="1"/>
  <c r="K52" i="57"/>
  <c r="Q52" i="57" s="1"/>
  <c r="K53" i="57"/>
  <c r="Q53" i="57" s="1"/>
  <c r="K54" i="57"/>
  <c r="Q54" i="57" s="1"/>
  <c r="K55" i="57"/>
  <c r="Q55" i="57" s="1"/>
  <c r="K56" i="57"/>
  <c r="K57" i="57"/>
  <c r="Q57" i="57" s="1"/>
  <c r="K58" i="57"/>
  <c r="Q58" i="57" s="1"/>
  <c r="K59" i="57"/>
  <c r="Q59" i="57" s="1"/>
  <c r="K60" i="57"/>
  <c r="Q60" i="57" s="1"/>
  <c r="K62" i="57"/>
  <c r="Q62" i="57" s="1"/>
  <c r="K64" i="57"/>
  <c r="Q64" i="57" s="1"/>
  <c r="K66" i="57"/>
  <c r="Q66" i="57" s="1"/>
  <c r="K67" i="57"/>
  <c r="Q67" i="57" s="1"/>
  <c r="K68" i="57"/>
  <c r="Q68" i="57" s="1"/>
  <c r="K69" i="57"/>
  <c r="Q69" i="57" s="1"/>
  <c r="K63" i="57"/>
  <c r="Q63" i="57" s="1"/>
  <c r="K65" i="57"/>
  <c r="K71" i="57"/>
  <c r="Q71" i="57" s="1"/>
  <c r="K75" i="57"/>
  <c r="Q75" i="57" s="1"/>
  <c r="K78" i="57"/>
  <c r="Q78" i="57" s="1"/>
  <c r="K81" i="57"/>
  <c r="Q81" i="57" s="1"/>
  <c r="K82" i="57"/>
  <c r="Q82" i="57" s="1"/>
  <c r="K209" i="57"/>
  <c r="K207" i="57"/>
  <c r="K206" i="57"/>
  <c r="Q206" i="57" s="1"/>
  <c r="K204" i="57"/>
  <c r="Q204" i="57" s="1"/>
  <c r="K203" i="57"/>
  <c r="Q203" i="57" s="1"/>
  <c r="K321" i="57"/>
  <c r="Q321" i="57" s="1"/>
  <c r="K323" i="57"/>
  <c r="Q323" i="57" s="1"/>
  <c r="K205" i="57"/>
  <c r="K325" i="57"/>
  <c r="Q325" i="57" s="1"/>
  <c r="K327" i="57"/>
  <c r="Q327" i="57" s="1"/>
  <c r="K208" i="57"/>
  <c r="K83" i="57"/>
  <c r="Q83" i="57" s="1"/>
  <c r="K84" i="57"/>
  <c r="Q84" i="57" s="1"/>
  <c r="K85" i="57"/>
  <c r="K86" i="57"/>
  <c r="Q86" i="57" s="1"/>
  <c r="K280" i="57"/>
  <c r="Q280" i="57" s="1"/>
  <c r="K281" i="57"/>
  <c r="Q281" i="57" s="1"/>
  <c r="K89" i="57"/>
  <c r="K90" i="57"/>
  <c r="Q90" i="57" s="1"/>
  <c r="K91" i="57"/>
  <c r="Q91" i="57" s="1"/>
  <c r="K92" i="57"/>
  <c r="Q92" i="57" s="1"/>
  <c r="K93" i="57"/>
  <c r="Q93" i="57" s="1"/>
  <c r="K94" i="57"/>
  <c r="Q94" i="57" s="1"/>
  <c r="K95" i="57"/>
  <c r="Q95" i="57" s="1"/>
  <c r="K96" i="57"/>
  <c r="Q96" i="57" s="1"/>
  <c r="K97" i="57"/>
  <c r="K98" i="57"/>
  <c r="Q98" i="57" s="1"/>
  <c r="K99" i="57"/>
  <c r="Q99" i="57" s="1"/>
  <c r="K100" i="57"/>
  <c r="Q100" i="57" s="1"/>
  <c r="K101" i="57"/>
  <c r="K102" i="57"/>
  <c r="Q102" i="57" s="1"/>
  <c r="K103" i="57"/>
  <c r="Q103" i="57" s="1"/>
  <c r="K104" i="57"/>
  <c r="Q104" i="57" s="1"/>
  <c r="K105" i="57"/>
  <c r="Q105" i="57" s="1"/>
  <c r="K106" i="57"/>
  <c r="Q106" i="57" s="1"/>
  <c r="K112" i="57"/>
  <c r="Q112" i="57" s="1"/>
  <c r="K107" i="57"/>
  <c r="Q107" i="57" s="1"/>
  <c r="K108" i="57"/>
  <c r="K109" i="57"/>
  <c r="Q109" i="57" s="1"/>
  <c r="K110" i="57"/>
  <c r="Q110" i="57" s="1"/>
  <c r="K114" i="57"/>
  <c r="Q114" i="57" s="1"/>
  <c r="K111" i="57"/>
  <c r="K115" i="57"/>
  <c r="Q115" i="57" s="1"/>
  <c r="K113" i="57"/>
  <c r="Q113" i="57" s="1"/>
  <c r="K116" i="57"/>
  <c r="Q116" i="57" s="1"/>
  <c r="K117" i="57"/>
  <c r="Q117" i="57" s="1"/>
  <c r="K119" i="57"/>
  <c r="Q119" i="57" s="1"/>
  <c r="K118" i="57"/>
  <c r="Q118" i="57" s="1"/>
  <c r="K120" i="57"/>
  <c r="Q120" i="57" s="1"/>
  <c r="K121" i="57"/>
  <c r="K122" i="57"/>
  <c r="Q122" i="57" s="1"/>
  <c r="K177" i="57"/>
  <c r="Q177" i="57" s="1"/>
  <c r="K226" i="57"/>
  <c r="Q226" i="57" s="1"/>
  <c r="K125" i="57"/>
  <c r="K126" i="57"/>
  <c r="Q126" i="57" s="1"/>
  <c r="K127" i="57"/>
  <c r="Q127" i="57" s="1"/>
  <c r="K128" i="57"/>
  <c r="Q128" i="57" s="1"/>
  <c r="K129" i="57"/>
  <c r="Q129" i="57" s="1"/>
  <c r="K131" i="57"/>
  <c r="Q131" i="57" s="1"/>
  <c r="K130" i="57"/>
  <c r="Q130" i="57" s="1"/>
  <c r="K132" i="57"/>
  <c r="Q132" i="57" s="1"/>
  <c r="K133" i="57"/>
  <c r="K381" i="57"/>
  <c r="Q381" i="57" s="1"/>
  <c r="K382" i="57"/>
  <c r="Q382" i="57" s="1"/>
  <c r="K134" i="57"/>
  <c r="Q134" i="57" s="1"/>
  <c r="K137" i="57"/>
  <c r="K138" i="57"/>
  <c r="Q138" i="57" s="1"/>
  <c r="K139" i="57"/>
  <c r="Q139" i="57" s="1"/>
  <c r="K216" i="57"/>
  <c r="Q216" i="57" s="1"/>
  <c r="K217" i="57"/>
  <c r="Q217" i="57" s="1"/>
  <c r="K144" i="57"/>
  <c r="Q144" i="57" s="1"/>
  <c r="K145" i="57"/>
  <c r="Q145" i="57" s="1"/>
  <c r="K150" i="57"/>
  <c r="Q150" i="57" s="1"/>
  <c r="K244" i="57"/>
  <c r="Q244" i="57" s="1"/>
  <c r="K151" i="57"/>
  <c r="Q151" i="57" s="1"/>
  <c r="K152" i="57"/>
  <c r="Q152" i="57" s="1"/>
  <c r="K153" i="57"/>
  <c r="Q153" i="57" s="1"/>
  <c r="K154" i="57"/>
  <c r="Q154" i="57" s="1"/>
  <c r="K155" i="57"/>
  <c r="Q155" i="57" s="1"/>
  <c r="K156" i="57"/>
  <c r="Q156" i="57" s="1"/>
  <c r="K157" i="57"/>
  <c r="Q157" i="57" s="1"/>
  <c r="K158" i="57"/>
  <c r="Q158" i="57" s="1"/>
  <c r="K159" i="57"/>
  <c r="Q159" i="57" s="1"/>
  <c r="K160" i="57"/>
  <c r="Q160" i="57" s="1"/>
  <c r="K161" i="57"/>
  <c r="K162" i="57"/>
  <c r="K166" i="57"/>
  <c r="Q166" i="57" s="1"/>
  <c r="K167" i="57"/>
  <c r="Q167" i="57" s="1"/>
  <c r="K168" i="57"/>
  <c r="K169" i="57"/>
  <c r="Q169" i="57" s="1"/>
  <c r="K170" i="57"/>
  <c r="Q170" i="57" s="1"/>
  <c r="K171" i="57"/>
  <c r="Q171" i="57" s="1"/>
  <c r="K172" i="57"/>
  <c r="Q172" i="57" s="1"/>
  <c r="K173" i="57"/>
  <c r="Q173" i="57" s="1"/>
  <c r="K163" i="57"/>
  <c r="Q163" i="57" s="1"/>
  <c r="K164" i="57"/>
  <c r="Q164" i="57" s="1"/>
  <c r="K165" i="57"/>
  <c r="K174" i="57"/>
  <c r="K175" i="57"/>
  <c r="Q175" i="57" s="1"/>
  <c r="K176" i="57"/>
  <c r="Q176" i="57" s="1"/>
  <c r="K178" i="57"/>
  <c r="K179" i="57"/>
  <c r="Q179" i="57" s="1"/>
  <c r="K383" i="57"/>
  <c r="Q383" i="57" s="1"/>
  <c r="K384" i="57"/>
  <c r="Q384" i="57" s="1"/>
  <c r="K229" i="57"/>
  <c r="Q229" i="57" s="1"/>
  <c r="K473" i="57"/>
  <c r="Q473" i="57" s="1"/>
  <c r="K475" i="57"/>
  <c r="Q475" i="57" s="1"/>
  <c r="K474" i="57"/>
  <c r="Q474" i="57" s="1"/>
  <c r="K476" i="57"/>
  <c r="K180" i="57"/>
  <c r="K181" i="57"/>
  <c r="Q181" i="57" s="1"/>
  <c r="K227" i="57"/>
  <c r="Q227" i="57" s="1"/>
  <c r="K228" i="57"/>
  <c r="K12" i="57"/>
  <c r="Q12" i="57" s="1"/>
  <c r="K182" i="57"/>
  <c r="Q182" i="57" s="1"/>
  <c r="K183" i="57"/>
  <c r="Q183" i="57" s="1"/>
  <c r="K184" i="57"/>
  <c r="Q184" i="57" s="1"/>
  <c r="K185" i="57"/>
  <c r="Q185" i="57" s="1"/>
  <c r="K186" i="57"/>
  <c r="Q186" i="57" s="1"/>
  <c r="K25" i="57"/>
  <c r="Q25" i="57" s="1"/>
  <c r="K26" i="57"/>
  <c r="K70" i="57"/>
  <c r="K72" i="57"/>
  <c r="Q72" i="57" s="1"/>
  <c r="K459" i="57"/>
  <c r="Q459" i="57" s="1"/>
  <c r="K462" i="57"/>
  <c r="K460" i="57"/>
  <c r="Q460" i="57" s="1"/>
  <c r="K463" i="57"/>
  <c r="Q463" i="57" s="1"/>
  <c r="K230" i="57"/>
  <c r="Q230" i="57" s="1"/>
  <c r="K187" i="57"/>
  <c r="Q187" i="57" s="1"/>
  <c r="K188" i="57"/>
  <c r="Q188" i="57" s="1"/>
  <c r="K74" i="57"/>
  <c r="Q74" i="57" s="1"/>
  <c r="K76" i="57"/>
  <c r="Q76" i="57" s="1"/>
  <c r="K197" i="57"/>
  <c r="K200" i="57"/>
  <c r="K202" i="57"/>
  <c r="Q202" i="57" s="1"/>
  <c r="K190" i="57"/>
  <c r="Q190" i="57" s="1"/>
  <c r="K194" i="57"/>
  <c r="K192" i="57"/>
  <c r="Q192" i="57" s="1"/>
  <c r="K195" i="57"/>
  <c r="Q195" i="57" s="1"/>
  <c r="K193" i="57"/>
  <c r="Q193" i="57" s="1"/>
  <c r="K196" i="57"/>
  <c r="Q196" i="57" s="1"/>
  <c r="K385" i="57"/>
  <c r="Q385" i="57" s="1"/>
  <c r="K386" i="57"/>
  <c r="Q386" i="57" s="1"/>
  <c r="K245" i="57"/>
  <c r="Q245" i="57" s="1"/>
  <c r="K73" i="57"/>
  <c r="K77" i="57"/>
  <c r="Q77" i="57" s="1"/>
  <c r="K80" i="57"/>
  <c r="Q80" i="57" s="1"/>
  <c r="K366" i="57"/>
  <c r="Q366" i="57" s="1"/>
  <c r="K231" i="57"/>
  <c r="Q231" i="57" s="1"/>
  <c r="K233" i="57"/>
  <c r="Q233" i="57" s="1"/>
  <c r="K232" i="57"/>
  <c r="Q232" i="57" s="1"/>
  <c r="K234" i="57"/>
  <c r="Q234" i="57" s="1"/>
  <c r="K271" i="57"/>
  <c r="Q271" i="57" s="1"/>
  <c r="K431" i="57"/>
  <c r="Q431" i="57" s="1"/>
  <c r="K435" i="57"/>
  <c r="Q435" i="57" s="1"/>
  <c r="K432" i="57"/>
  <c r="Q432" i="57" s="1"/>
  <c r="K436" i="57"/>
  <c r="K286" i="57"/>
  <c r="Q286" i="57" s="1"/>
  <c r="K287" i="57"/>
  <c r="Q287" i="57" s="1"/>
  <c r="K237" i="57"/>
  <c r="Q237" i="57" s="1"/>
  <c r="K235" i="57"/>
  <c r="Q235" i="57" s="1"/>
  <c r="K236" i="57"/>
  <c r="Q236" i="57" s="1"/>
  <c r="K238" i="57"/>
  <c r="Q238" i="57" s="1"/>
  <c r="K239" i="57"/>
  <c r="Q239" i="57" s="1"/>
  <c r="K330" i="57"/>
  <c r="Q330" i="57" s="1"/>
  <c r="K332" i="57"/>
  <c r="Q332" i="57" s="1"/>
  <c r="K465" i="57"/>
  <c r="Q465" i="57" s="1"/>
  <c r="K467" i="57"/>
  <c r="Q467" i="57" s="1"/>
  <c r="K466" i="57"/>
  <c r="K468" i="57"/>
  <c r="Q468" i="57" s="1"/>
  <c r="K387" i="57"/>
  <c r="Q387" i="57" s="1"/>
  <c r="K248" i="57"/>
  <c r="Q248" i="57" s="1"/>
  <c r="K246" i="57"/>
  <c r="Q246" i="57" s="1"/>
  <c r="K247" i="57"/>
  <c r="Q247" i="57" s="1"/>
  <c r="K477" i="57"/>
  <c r="Q477" i="57" s="1"/>
  <c r="K478" i="57"/>
  <c r="Q478" i="57" s="1"/>
  <c r="K298" i="57"/>
  <c r="Q298" i="57" s="1"/>
  <c r="K300" i="57"/>
  <c r="Q300" i="57" s="1"/>
  <c r="K302" i="57"/>
  <c r="Q302" i="57" s="1"/>
  <c r="K303" i="57"/>
  <c r="Q303" i="57" s="1"/>
  <c r="K304" i="57"/>
  <c r="K305" i="57"/>
  <c r="Q305" i="57" s="1"/>
  <c r="K299" i="57"/>
  <c r="Q299" i="57" s="1"/>
  <c r="K301" i="57"/>
  <c r="Q301" i="57" s="1"/>
  <c r="K306" i="57"/>
  <c r="Q306" i="57" s="1"/>
  <c r="K307" i="57"/>
  <c r="Q307" i="57" s="1"/>
  <c r="K308" i="57"/>
  <c r="Q308" i="57" s="1"/>
  <c r="K388" i="57"/>
  <c r="Q388" i="57" s="1"/>
  <c r="K389" i="57"/>
  <c r="Q389" i="57" s="1"/>
  <c r="K334" i="57"/>
  <c r="Q334" i="57" s="1"/>
  <c r="K339" i="57"/>
  <c r="Q339" i="57" s="1"/>
  <c r="K338" i="57"/>
  <c r="Q338" i="57" s="1"/>
  <c r="K341" i="57"/>
  <c r="K333" i="57"/>
  <c r="Q333" i="57" s="1"/>
  <c r="K337" i="57"/>
  <c r="Q337" i="57" s="1"/>
  <c r="K340" i="57"/>
  <c r="Q340" i="57" s="1"/>
  <c r="K256" i="57"/>
  <c r="Q256" i="57" s="1"/>
  <c r="K254" i="57"/>
  <c r="Q254" i="57" s="1"/>
  <c r="K336" i="57"/>
  <c r="Q336" i="57" s="1"/>
  <c r="K312" i="57"/>
  <c r="Q312" i="57" s="1"/>
  <c r="K313" i="57"/>
  <c r="Q313" i="57" s="1"/>
  <c r="K135" i="57"/>
  <c r="Q135" i="57" s="1"/>
  <c r="K136" i="57"/>
  <c r="Q136" i="57" s="1"/>
  <c r="K288" i="57"/>
  <c r="Q288" i="57" s="1"/>
  <c r="K289" i="57"/>
  <c r="K241" i="57"/>
  <c r="Q241" i="57" s="1"/>
  <c r="K243" i="57"/>
  <c r="Q243" i="57" s="1"/>
  <c r="K253" i="57"/>
  <c r="Q253" i="57" s="1"/>
  <c r="K314" i="57"/>
  <c r="Q314" i="57" s="1"/>
  <c r="K255" i="57"/>
  <c r="Q255" i="57" s="1"/>
  <c r="K257" i="57"/>
  <c r="Q257" i="57" s="1"/>
  <c r="K316" i="57"/>
  <c r="Q316" i="57" s="1"/>
  <c r="K318" i="57"/>
  <c r="Q318" i="57" s="1"/>
  <c r="K320" i="57"/>
  <c r="Q320" i="57" s="1"/>
  <c r="K317" i="57"/>
  <c r="Q317" i="57" s="1"/>
  <c r="K319" i="57"/>
  <c r="Q319" i="57" s="1"/>
  <c r="K258" i="57"/>
  <c r="K27" i="57"/>
  <c r="Q27" i="57" s="1"/>
  <c r="K29" i="57"/>
  <c r="Q29" i="57" s="1"/>
  <c r="K28" i="57"/>
  <c r="Q28" i="57" s="1"/>
  <c r="K30" i="57"/>
  <c r="Q30" i="57" s="1"/>
  <c r="K261" i="57"/>
  <c r="K362" i="57"/>
  <c r="Q362" i="57" s="1"/>
  <c r="K363" i="57"/>
  <c r="Q363" i="57" s="1"/>
  <c r="K364" i="57"/>
  <c r="Q364" i="57" s="1"/>
  <c r="K365" i="57"/>
  <c r="Q365" i="57" s="1"/>
  <c r="K263" i="57"/>
  <c r="Q263" i="57" s="1"/>
  <c r="K367" i="57"/>
  <c r="Q367" i="57" s="1"/>
  <c r="K368" i="57"/>
  <c r="K370" i="57"/>
  <c r="K372" i="57"/>
  <c r="Q372" i="57" s="1"/>
  <c r="K369" i="57"/>
  <c r="Q369" i="57" s="1"/>
  <c r="K371" i="57"/>
  <c r="Q371" i="57" s="1"/>
  <c r="K79" i="57"/>
  <c r="K373" i="57"/>
  <c r="K374" i="57"/>
  <c r="Q374" i="57" s="1"/>
  <c r="K375" i="57"/>
  <c r="Q375" i="57" s="1"/>
  <c r="K376" i="57"/>
  <c r="Q376" i="57" s="1"/>
  <c r="K377" i="57"/>
  <c r="Q377" i="57" s="1"/>
  <c r="K378" i="57"/>
  <c r="Q378" i="57" s="1"/>
  <c r="K379" i="57"/>
  <c r="K380" i="57"/>
  <c r="K396" i="57"/>
  <c r="Q396" i="57" s="1"/>
  <c r="K397" i="57"/>
  <c r="Q397" i="57" s="1"/>
  <c r="K264" i="57"/>
  <c r="Q264" i="57" s="1"/>
  <c r="K266" i="57"/>
  <c r="K404" i="57"/>
  <c r="K405" i="57"/>
  <c r="Q405" i="57" s="1"/>
  <c r="K259" i="57"/>
  <c r="Q259" i="57" s="1"/>
  <c r="K265" i="57"/>
  <c r="Q265" i="57" s="1"/>
  <c r="K189" i="57"/>
  <c r="Q189" i="57" s="1"/>
  <c r="K260" i="57"/>
  <c r="Q260" i="57" s="1"/>
  <c r="K262" i="57"/>
  <c r="K406" i="57"/>
  <c r="K214" i="57"/>
  <c r="K215" i="57"/>
  <c r="Q215" i="57" s="1"/>
  <c r="K284" i="57"/>
  <c r="K285" i="57"/>
  <c r="K218" i="57"/>
  <c r="Q218" i="57" s="1"/>
  <c r="K219" i="57"/>
  <c r="Q219" i="57" s="1"/>
  <c r="K225" i="57"/>
  <c r="Q225" i="57" s="1"/>
  <c r="K407" i="57"/>
  <c r="Q407" i="57" s="1"/>
  <c r="K408" i="57"/>
  <c r="Q408" i="57" s="1"/>
  <c r="K409" i="57"/>
  <c r="Q409" i="57" s="1"/>
  <c r="K411" i="57"/>
  <c r="K410" i="57"/>
  <c r="Q410" i="57" s="1"/>
  <c r="K412" i="57"/>
  <c r="Q412" i="57" s="1"/>
  <c r="K413" i="57"/>
  <c r="Q413" i="57" s="1"/>
  <c r="K414" i="57"/>
  <c r="Q414" i="57" s="1"/>
  <c r="K415" i="57"/>
  <c r="Q415" i="57" s="1"/>
  <c r="K416" i="57"/>
  <c r="Q416" i="57" s="1"/>
  <c r="K417" i="57"/>
  <c r="Q417" i="57" s="1"/>
  <c r="K419" i="57"/>
  <c r="Q419" i="57" s="1"/>
  <c r="K421" i="57"/>
  <c r="Q421" i="57" s="1"/>
  <c r="K422" i="57"/>
  <c r="Q422" i="57" s="1"/>
  <c r="K418" i="57"/>
  <c r="Q418" i="57" s="1"/>
  <c r="K420" i="57"/>
  <c r="K433" i="57"/>
  <c r="Q433" i="57" s="1"/>
  <c r="K13" i="57"/>
  <c r="Q13" i="57" s="1"/>
  <c r="K14" i="57"/>
  <c r="Q14" i="57" s="1"/>
  <c r="K15" i="57"/>
  <c r="Q15" i="57" s="1"/>
  <c r="K423" i="57"/>
  <c r="K425" i="57"/>
  <c r="Q425" i="57" s="1"/>
  <c r="K427" i="57"/>
  <c r="Q427" i="57" s="1"/>
  <c r="K429" i="57"/>
  <c r="Q429" i="57" s="1"/>
  <c r="K428" i="57"/>
  <c r="Q428" i="57" s="1"/>
  <c r="K430" i="57"/>
  <c r="Q430" i="57" s="1"/>
  <c r="K434" i="57"/>
  <c r="Q434" i="57" s="1"/>
  <c r="K437" i="57"/>
  <c r="K424" i="57"/>
  <c r="Q424" i="57" s="1"/>
  <c r="K426" i="57"/>
  <c r="Q426" i="57" s="1"/>
  <c r="K438" i="57"/>
  <c r="Q438" i="57" s="1"/>
  <c r="K440" i="57"/>
  <c r="Q440" i="57" s="1"/>
  <c r="K439" i="57"/>
  <c r="K441" i="57"/>
  <c r="Q441" i="57" s="1"/>
  <c r="K442" i="57"/>
  <c r="Q442" i="57" s="1"/>
  <c r="K443" i="57"/>
  <c r="Q443" i="57" s="1"/>
  <c r="K445" i="57"/>
  <c r="Q445" i="57" s="1"/>
  <c r="K447" i="57"/>
  <c r="Q447" i="57" s="1"/>
  <c r="K444" i="57"/>
  <c r="Q444" i="57" s="1"/>
  <c r="K446" i="57"/>
  <c r="K267" i="57"/>
  <c r="Q267" i="57" s="1"/>
  <c r="K448" i="57"/>
  <c r="Q448" i="57" s="1"/>
  <c r="K450" i="57"/>
  <c r="Q450" i="57" s="1"/>
  <c r="K449" i="57"/>
  <c r="Q449" i="57" s="1"/>
  <c r="K451" i="57"/>
  <c r="K268" i="57"/>
  <c r="Q268" i="57" s="1"/>
  <c r="K452" i="57"/>
  <c r="Q452" i="57" s="1"/>
  <c r="K453" i="57"/>
  <c r="Q453" i="57" s="1"/>
  <c r="K454" i="57"/>
  <c r="Q454" i="57" s="1"/>
  <c r="K456" i="57"/>
  <c r="Q456" i="57" s="1"/>
  <c r="K390" i="57"/>
  <c r="Q390" i="57" s="1"/>
  <c r="K391" i="57"/>
  <c r="K457" i="57"/>
  <c r="Q457" i="57" s="1"/>
  <c r="K458" i="57"/>
  <c r="Q458" i="57" s="1"/>
  <c r="K455" i="57"/>
  <c r="Q455" i="57" s="1"/>
  <c r="K469" i="57"/>
  <c r="Q469" i="57" s="1"/>
  <c r="K471" i="57"/>
  <c r="K470" i="57"/>
  <c r="Q470" i="57" s="1"/>
  <c r="K472" i="57"/>
  <c r="Q472" i="57" s="1"/>
  <c r="K392" i="57"/>
  <c r="Q392" i="57" s="1"/>
  <c r="K393" i="57"/>
  <c r="Q393" i="57" s="1"/>
  <c r="K479" i="57"/>
  <c r="Q479" i="57" s="1"/>
  <c r="K394" i="57"/>
  <c r="Q394" i="57" s="1"/>
  <c r="K395" i="57"/>
  <c r="K140" i="57"/>
  <c r="Q140" i="57" s="1"/>
  <c r="K141" i="57"/>
  <c r="Q141" i="57" s="1"/>
  <c r="K142" i="57"/>
  <c r="Q142" i="57" s="1"/>
  <c r="K143" i="57"/>
  <c r="K482" i="57"/>
  <c r="K484" i="57"/>
  <c r="Q484" i="57" s="1"/>
  <c r="K486" i="57"/>
  <c r="Q486" i="57" s="1"/>
  <c r="K487" i="57"/>
  <c r="Q487" i="57" s="1"/>
  <c r="K488" i="57"/>
  <c r="Q488" i="57" s="1"/>
  <c r="K483" i="57"/>
  <c r="Q483" i="57" s="1"/>
  <c r="K485" i="57"/>
  <c r="Q485" i="57" s="1"/>
  <c r="K31" i="57"/>
  <c r="K32" i="57"/>
  <c r="Q32" i="57" s="1"/>
  <c r="K290" i="57"/>
  <c r="Q290" i="57" s="1"/>
  <c r="K291" i="57"/>
  <c r="Q291" i="57" s="1"/>
  <c r="K489" i="57"/>
  <c r="K490" i="57"/>
  <c r="K491" i="57"/>
  <c r="Q491" i="57" s="1"/>
  <c r="K492" i="57"/>
  <c r="Q492" i="57" s="1"/>
  <c r="K493" i="57"/>
  <c r="Q493" i="57" s="1"/>
  <c r="K494" i="57"/>
  <c r="Q494" i="57" s="1"/>
  <c r="K495" i="57"/>
  <c r="Q495" i="57" s="1"/>
  <c r="K250" i="57"/>
  <c r="Q250" i="57" s="1"/>
  <c r="K252" i="57"/>
  <c r="K269" i="57"/>
  <c r="Q269" i="57" s="1"/>
  <c r="K270" i="57"/>
  <c r="Q270" i="57" s="1"/>
  <c r="K249" i="57"/>
  <c r="Q249" i="57" s="1"/>
  <c r="K251" i="57"/>
  <c r="K272" i="57"/>
  <c r="Q272" i="57" s="1"/>
  <c r="L4" i="3"/>
  <c r="L7" i="3"/>
  <c r="L10" i="3"/>
  <c r="L13" i="3"/>
  <c r="L14" i="3"/>
  <c r="L21" i="3"/>
  <c r="L22" i="3"/>
  <c r="L24" i="3"/>
  <c r="L25" i="3"/>
  <c r="L27" i="3"/>
  <c r="L28" i="3"/>
  <c r="L29" i="3"/>
  <c r="L31" i="3"/>
  <c r="L32" i="3"/>
  <c r="L33" i="3"/>
  <c r="L34" i="3"/>
  <c r="L35" i="3"/>
  <c r="L36" i="3"/>
  <c r="L38" i="3"/>
  <c r="L39" i="3"/>
  <c r="L47" i="3"/>
  <c r="L49" i="3"/>
  <c r="L50" i="3"/>
  <c r="L51" i="3"/>
  <c r="L52" i="3"/>
  <c r="L53" i="3"/>
  <c r="L55" i="3"/>
  <c r="L56" i="3"/>
  <c r="L63" i="3"/>
  <c r="L64" i="3"/>
  <c r="L67" i="3"/>
  <c r="L69" i="3"/>
  <c r="L71" i="3"/>
  <c r="L72" i="3"/>
  <c r="L74" i="3"/>
  <c r="L77" i="3"/>
  <c r="L78" i="3"/>
  <c r="L82" i="3"/>
  <c r="L83" i="3"/>
  <c r="L84" i="3"/>
  <c r="L86" i="3"/>
  <c r="L87" i="3"/>
  <c r="L88" i="3"/>
  <c r="L90" i="3"/>
  <c r="L91" i="3"/>
  <c r="L92" i="3"/>
  <c r="L95" i="3"/>
  <c r="L97" i="3"/>
  <c r="L104" i="3"/>
  <c r="L105" i="3"/>
  <c r="L106" i="3"/>
  <c r="L109" i="3"/>
  <c r="L113" i="3"/>
  <c r="L114" i="3"/>
  <c r="L115" i="3"/>
  <c r="L116" i="3"/>
  <c r="L117" i="3"/>
  <c r="L118" i="3"/>
  <c r="L119" i="3"/>
  <c r="L121" i="3"/>
  <c r="L125" i="3"/>
  <c r="L129" i="3"/>
  <c r="L135" i="3"/>
  <c r="L136" i="3"/>
  <c r="L137" i="3"/>
  <c r="L138" i="3"/>
  <c r="L140" i="3"/>
  <c r="L141" i="3"/>
  <c r="L143" i="3"/>
  <c r="L144" i="3"/>
  <c r="L151" i="3"/>
  <c r="L152" i="3"/>
  <c r="L154" i="3"/>
  <c r="L156" i="3"/>
  <c r="L157" i="3"/>
  <c r="L158" i="3"/>
  <c r="L161" i="3"/>
  <c r="L163" i="3"/>
  <c r="L164" i="3"/>
  <c r="L167" i="3"/>
  <c r="L168" i="3"/>
  <c r="L170" i="3"/>
  <c r="L171" i="3"/>
  <c r="L172" i="3"/>
  <c r="L173" i="3"/>
  <c r="L186" i="3"/>
  <c r="L193" i="3"/>
  <c r="L194" i="3"/>
  <c r="L196" i="3"/>
  <c r="L197" i="3"/>
  <c r="L199" i="3"/>
  <c r="L200" i="3"/>
  <c r="L201" i="3"/>
  <c r="L202" i="3"/>
  <c r="L206" i="3"/>
  <c r="L209" i="3"/>
  <c r="L210" i="3"/>
  <c r="L212" i="3"/>
  <c r="L215" i="3"/>
  <c r="L216" i="3"/>
  <c r="L220" i="3"/>
  <c r="L222" i="3"/>
  <c r="L226" i="3"/>
  <c r="L231" i="3"/>
  <c r="L232" i="3"/>
  <c r="L233" i="3"/>
  <c r="L6" i="3"/>
  <c r="L9" i="3"/>
  <c r="L102" i="3"/>
  <c r="L159" i="3"/>
  <c r="L174" i="3"/>
  <c r="L195" i="3"/>
  <c r="L3" i="3"/>
  <c r="L8" i="3"/>
  <c r="L11" i="3"/>
  <c r="L12" i="3"/>
  <c r="L15" i="3"/>
  <c r="L16" i="3"/>
  <c r="L17" i="3"/>
  <c r="L23" i="3"/>
  <c r="L26" i="3"/>
  <c r="L30" i="3"/>
  <c r="L37" i="3"/>
  <c r="L40" i="3"/>
  <c r="L41" i="3"/>
  <c r="L42" i="3"/>
  <c r="L43" i="3"/>
  <c r="L45" i="3"/>
  <c r="L46" i="3"/>
  <c r="L48" i="3"/>
  <c r="L54" i="3"/>
  <c r="L57" i="3"/>
  <c r="L58" i="3"/>
  <c r="L59" i="3"/>
  <c r="L60" i="3"/>
  <c r="L61" i="3"/>
  <c r="L62" i="3"/>
  <c r="L65" i="3"/>
  <c r="L68" i="3"/>
  <c r="L70" i="3"/>
  <c r="L73" i="3"/>
  <c r="L79" i="3"/>
  <c r="L80" i="3"/>
  <c r="L81" i="3"/>
  <c r="L85" i="3"/>
  <c r="L89" i="3"/>
  <c r="L93" i="3"/>
  <c r="L94" i="3"/>
  <c r="L96" i="3"/>
  <c r="L98" i="3"/>
  <c r="L99" i="3"/>
  <c r="L100" i="3"/>
  <c r="L101" i="3"/>
  <c r="L103" i="3"/>
  <c r="L107" i="3"/>
  <c r="L108" i="3"/>
  <c r="L110" i="3"/>
  <c r="L111" i="3"/>
  <c r="L112" i="3"/>
  <c r="L120" i="3"/>
  <c r="L124" i="3"/>
  <c r="L123" i="3"/>
  <c r="L126" i="3"/>
  <c r="L127" i="3"/>
  <c r="L128" i="3"/>
  <c r="L130" i="3"/>
  <c r="L133" i="3"/>
  <c r="L134" i="3"/>
  <c r="L139" i="3"/>
  <c r="L142" i="3"/>
  <c r="L146" i="3"/>
  <c r="L148" i="3"/>
  <c r="L149" i="3"/>
  <c r="L150" i="3"/>
  <c r="L153" i="3"/>
  <c r="L155" i="3"/>
  <c r="L160" i="3"/>
  <c r="L162" i="3"/>
  <c r="L165" i="3"/>
  <c r="L166" i="3"/>
  <c r="L169" i="3"/>
  <c r="L176" i="3"/>
  <c r="L178" i="3"/>
  <c r="L179" i="3"/>
  <c r="L181" i="3"/>
  <c r="L182" i="3"/>
  <c r="L187" i="3"/>
  <c r="L188" i="3"/>
  <c r="L191" i="3"/>
  <c r="L189" i="3"/>
  <c r="L190" i="3"/>
  <c r="L192" i="3"/>
  <c r="L198" i="3"/>
  <c r="L203" i="3"/>
  <c r="L204" i="3"/>
  <c r="L205" i="3"/>
  <c r="L207" i="3"/>
  <c r="L208" i="3"/>
  <c r="L211" i="3"/>
  <c r="L213" i="3"/>
  <c r="L214" i="3"/>
  <c r="L217" i="3"/>
  <c r="L218" i="3"/>
  <c r="L219" i="3"/>
  <c r="L223" i="3"/>
  <c r="L224" i="3"/>
  <c r="L225" i="3"/>
  <c r="L227" i="3"/>
  <c r="L228" i="3"/>
  <c r="L229" i="3"/>
  <c r="L230" i="3"/>
  <c r="L177" i="3"/>
  <c r="L183" i="3"/>
  <c r="L184" i="3"/>
  <c r="L145" i="3"/>
  <c r="L18" i="3"/>
  <c r="L5" i="3"/>
  <c r="L44" i="3"/>
  <c r="L185" i="3"/>
  <c r="L75" i="3"/>
  <c r="L175" i="3"/>
  <c r="L180" i="3"/>
  <c r="L221" i="3"/>
  <c r="L122" i="3"/>
  <c r="L19" i="3"/>
  <c r="L132" i="3"/>
  <c r="L66" i="3"/>
  <c r="L2" i="3"/>
  <c r="H2" i="55"/>
  <c r="H3" i="55"/>
  <c r="H4" i="55"/>
  <c r="H5" i="55"/>
  <c r="H6" i="55"/>
  <c r="H7" i="55"/>
  <c r="H8" i="55"/>
  <c r="H9" i="55"/>
  <c r="H10" i="55"/>
  <c r="G3" i="55"/>
  <c r="G4" i="55"/>
  <c r="G5" i="55"/>
  <c r="G6" i="55"/>
  <c r="G7" i="55"/>
  <c r="G8" i="55"/>
  <c r="G9" i="55"/>
  <c r="G10" i="55"/>
  <c r="G2" i="55"/>
  <c r="F3" i="55"/>
  <c r="F4" i="55"/>
  <c r="F5" i="55"/>
  <c r="F6" i="55"/>
  <c r="F7" i="55"/>
  <c r="F8" i="55"/>
  <c r="F9" i="55"/>
  <c r="F10" i="55"/>
  <c r="F2" i="55"/>
  <c r="Q284" i="57" l="1"/>
  <c r="Q194" i="57"/>
  <c r="Q462" i="57"/>
  <c r="Q228" i="57"/>
  <c r="Q178" i="57"/>
  <c r="Q168" i="57"/>
  <c r="Q214" i="57"/>
  <c r="Q208" i="57"/>
  <c r="Q111" i="57"/>
  <c r="Q101" i="57"/>
  <c r="Q89" i="57"/>
  <c r="Q221" i="57"/>
  <c r="Q310" i="57"/>
  <c r="Q309" i="57"/>
  <c r="Q200" i="57"/>
  <c r="Q70" i="57"/>
  <c r="Q180" i="57"/>
  <c r="Q174" i="57"/>
  <c r="Q162" i="57"/>
  <c r="Q121" i="57"/>
  <c r="Q108" i="57"/>
  <c r="Q97" i="57"/>
  <c r="Q85" i="57"/>
  <c r="Q411" i="57"/>
  <c r="Q258" i="57"/>
  <c r="Q289" i="57"/>
  <c r="Q341" i="57"/>
  <c r="Q304" i="57"/>
  <c r="Q466" i="57"/>
  <c r="Q436" i="57"/>
  <c r="Q276" i="57"/>
  <c r="Q205" i="57"/>
  <c r="Q88" i="57"/>
  <c r="Q404" i="57"/>
  <c r="Q373" i="57"/>
  <c r="Q65" i="57"/>
  <c r="Q56" i="57"/>
  <c r="Q198" i="57"/>
  <c r="Q274" i="57"/>
  <c r="Q4" i="57"/>
  <c r="Q490" i="57"/>
  <c r="Q482" i="57"/>
  <c r="Q471" i="57"/>
  <c r="Q451" i="57"/>
  <c r="Q439" i="57"/>
  <c r="Q423" i="57"/>
  <c r="Q285" i="57"/>
  <c r="Q266" i="57"/>
  <c r="Q79" i="57"/>
  <c r="Q261" i="57"/>
  <c r="Q137" i="57"/>
  <c r="Q125" i="57"/>
  <c r="Q40" i="57"/>
  <c r="Q251" i="57"/>
  <c r="Q489" i="57"/>
  <c r="Q143" i="57"/>
  <c r="Q400" i="57"/>
  <c r="Q41" i="57"/>
  <c r="Q406" i="57"/>
  <c r="Q380" i="57"/>
  <c r="Q370" i="57"/>
  <c r="Q133" i="57"/>
  <c r="Q207" i="57"/>
  <c r="Q223" i="57"/>
  <c r="Q252" i="57"/>
  <c r="Q31" i="57"/>
  <c r="Q395" i="57"/>
  <c r="Q391" i="57"/>
  <c r="Q446" i="57"/>
  <c r="Q437" i="57"/>
  <c r="Q420" i="57"/>
  <c r="Q262" i="57"/>
  <c r="Q379" i="57"/>
  <c r="Q368" i="57"/>
  <c r="Q197" i="57"/>
  <c r="Q26" i="57"/>
  <c r="Q476" i="57"/>
  <c r="Q165" i="57"/>
  <c r="Q161" i="57"/>
  <c r="Q209" i="57"/>
  <c r="Q481" i="57"/>
  <c r="Q36" i="57"/>
  <c r="Q480" i="57"/>
  <c r="Q37" i="57"/>
  <c r="Q3" i="57"/>
  <c r="Q222" i="57"/>
  <c r="Q42" i="57"/>
  <c r="Q401" i="57"/>
  <c r="Q403" i="57"/>
  <c r="M400" i="57"/>
  <c r="B59" i="67" a="1"/>
  <c r="B59" i="67" s="1"/>
  <c r="B48" i="67" a="1"/>
  <c r="B48" i="67" s="1"/>
  <c r="B45" i="67" a="1"/>
  <c r="B45" i="67" s="1"/>
  <c r="B31" i="67" a="1"/>
  <c r="B31" i="67" s="1"/>
  <c r="B32" i="67" a="1"/>
  <c r="B32" i="67" s="1"/>
  <c r="M36" i="57"/>
  <c r="B11" i="67" a="1"/>
  <c r="B11" i="67" s="1"/>
  <c r="M208" i="57"/>
  <c r="B16" i="67" a="1"/>
  <c r="B16" i="67" s="1"/>
  <c r="B13" i="67" a="1"/>
  <c r="B13" i="67" s="1"/>
  <c r="B14" i="67" a="1"/>
  <c r="B14" i="67" s="1"/>
  <c r="M37" i="57"/>
  <c r="B12" i="67" a="1"/>
  <c r="B12" i="67" s="1"/>
  <c r="B6" i="67" a="1"/>
  <c r="B6" i="67" s="1"/>
  <c r="B7" i="67" a="1"/>
  <c r="B7" i="67" s="1"/>
  <c r="M273" i="57"/>
  <c r="M295" i="57"/>
  <c r="B29" i="67" a="1"/>
  <c r="B29" i="67" s="1"/>
  <c r="M263" i="57"/>
  <c r="B36" i="67" a="1"/>
  <c r="B36" i="67" s="1"/>
  <c r="Q73" i="57"/>
  <c r="M3" i="57"/>
  <c r="F2" i="67" a="1"/>
  <c r="F2" i="67" s="1"/>
  <c r="M146" i="57"/>
  <c r="B21" i="67" a="1"/>
  <c r="B21" i="67" s="1"/>
  <c r="M20" i="57"/>
  <c r="M278" i="57"/>
  <c r="M62" i="57"/>
  <c r="M83" i="57"/>
  <c r="M280" i="57"/>
  <c r="M89" i="57"/>
  <c r="M151" i="57"/>
  <c r="M227" i="57"/>
  <c r="M25" i="57"/>
  <c r="M187" i="57"/>
  <c r="M286" i="57"/>
  <c r="M238" i="57"/>
  <c r="M239" i="57"/>
  <c r="M298" i="57"/>
  <c r="M300" i="57"/>
  <c r="M306" i="57"/>
  <c r="M307" i="57"/>
  <c r="M367" i="57"/>
  <c r="M368" i="57"/>
  <c r="M370" i="57"/>
  <c r="M224" i="57"/>
  <c r="M225" i="57"/>
  <c r="M406" i="57"/>
  <c r="M413" i="57"/>
  <c r="M414" i="57"/>
  <c r="M13" i="57"/>
  <c r="M423" i="57"/>
  <c r="M425" i="57"/>
  <c r="M438" i="57"/>
  <c r="M440" i="57"/>
  <c r="M140" i="57"/>
  <c r="M141" i="57"/>
  <c r="M482" i="57"/>
  <c r="M484" i="57"/>
  <c r="M489" i="57"/>
  <c r="M490" i="57"/>
  <c r="M274" i="57"/>
  <c r="M210" i="57"/>
  <c r="M18" i="57"/>
  <c r="M212" i="57"/>
  <c r="M48" i="57"/>
  <c r="M54" i="57"/>
  <c r="M81" i="57"/>
  <c r="M321" i="57"/>
  <c r="M325" i="57"/>
  <c r="M85" i="57"/>
  <c r="M92" i="57"/>
  <c r="M100" i="57"/>
  <c r="M105" i="57"/>
  <c r="M107" i="57"/>
  <c r="M109" i="57"/>
  <c r="M113" i="57"/>
  <c r="M117" i="57"/>
  <c r="M121" i="57"/>
  <c r="M126" i="57"/>
  <c r="M129" i="57"/>
  <c r="M381" i="57"/>
  <c r="M216" i="57"/>
  <c r="M153" i="57"/>
  <c r="M155" i="57"/>
  <c r="M160" i="57"/>
  <c r="M170" i="57"/>
  <c r="M174" i="57"/>
  <c r="M176" i="57"/>
  <c r="M383" i="57"/>
  <c r="M473" i="57"/>
  <c r="M474" i="57"/>
  <c r="M180" i="57"/>
  <c r="M182" i="57"/>
  <c r="M460" i="57"/>
  <c r="M197" i="57"/>
  <c r="M190" i="57"/>
  <c r="M232" i="57"/>
  <c r="M330" i="57"/>
  <c r="M332" i="57"/>
  <c r="M466" i="57"/>
  <c r="M387" i="57"/>
  <c r="M246" i="57"/>
  <c r="M247" i="57"/>
  <c r="M477" i="57"/>
  <c r="M478" i="57"/>
  <c r="M302" i="57"/>
  <c r="M303" i="57"/>
  <c r="M304" i="57"/>
  <c r="M305" i="57"/>
  <c r="M308" i="57"/>
  <c r="M389" i="57"/>
  <c r="M338" i="57"/>
  <c r="M341" i="57"/>
  <c r="M312" i="57"/>
  <c r="M313" i="57"/>
  <c r="M135" i="57"/>
  <c r="M136" i="57"/>
  <c r="M288" i="57"/>
  <c r="M289" i="57"/>
  <c r="M241" i="57"/>
  <c r="M243" i="57"/>
  <c r="M314" i="57"/>
  <c r="M316" i="57"/>
  <c r="M318" i="57"/>
  <c r="M320" i="57"/>
  <c r="M27" i="57"/>
  <c r="M29" i="57"/>
  <c r="M362" i="57"/>
  <c r="M363" i="57"/>
  <c r="M365" i="57"/>
  <c r="M372" i="57"/>
  <c r="M373" i="57"/>
  <c r="M374" i="57"/>
  <c r="M375" i="57"/>
  <c r="M376" i="57"/>
  <c r="M377" i="57"/>
  <c r="M378" i="57"/>
  <c r="M379" i="57"/>
  <c r="M380" i="57"/>
  <c r="M396" i="57"/>
  <c r="M404" i="57"/>
  <c r="M405" i="57"/>
  <c r="M189" i="57"/>
  <c r="M214" i="57"/>
  <c r="M215" i="57"/>
  <c r="M282" i="57"/>
  <c r="M283" i="57"/>
  <c r="M284" i="57"/>
  <c r="M285" i="57"/>
  <c r="M218" i="57"/>
  <c r="M219" i="57"/>
  <c r="M408" i="57"/>
  <c r="M409" i="57"/>
  <c r="M411" i="57"/>
  <c r="M417" i="57"/>
  <c r="M419" i="57"/>
  <c r="M421" i="57"/>
  <c r="M422" i="57"/>
  <c r="M14" i="57"/>
  <c r="M15" i="57"/>
  <c r="M427" i="57"/>
  <c r="M429" i="57"/>
  <c r="M430" i="57"/>
  <c r="M442" i="57"/>
  <c r="M443" i="57"/>
  <c r="M445" i="57"/>
  <c r="M447" i="57"/>
  <c r="M448" i="57"/>
  <c r="M450" i="57"/>
  <c r="M452" i="57"/>
  <c r="M453" i="57"/>
  <c r="M454" i="57"/>
  <c r="M456" i="57"/>
  <c r="M391" i="57"/>
  <c r="M457" i="57"/>
  <c r="M458" i="57"/>
  <c r="M470" i="57"/>
  <c r="M392" i="57"/>
  <c r="M393" i="57"/>
  <c r="M479" i="57"/>
  <c r="M395" i="57"/>
  <c r="M142" i="57"/>
  <c r="M143" i="57"/>
  <c r="M486" i="57"/>
  <c r="M487" i="57"/>
  <c r="M488" i="57"/>
  <c r="M31" i="57"/>
  <c r="M32" i="57"/>
  <c r="M290" i="57"/>
  <c r="M291" i="57"/>
  <c r="M491" i="57"/>
  <c r="M493" i="57"/>
  <c r="M495" i="57"/>
  <c r="M269" i="57"/>
  <c r="M270" i="57"/>
  <c r="M437" i="57"/>
  <c r="M237" i="57"/>
  <c r="M250" i="57"/>
  <c r="M252" i="57"/>
  <c r="M254" i="57"/>
  <c r="M256" i="57"/>
  <c r="M257" i="57"/>
  <c r="M259" i="57"/>
  <c r="M260" i="57"/>
  <c r="M265" i="57"/>
  <c r="M266" i="57"/>
  <c r="M267" i="57"/>
  <c r="M268" i="57"/>
  <c r="F2" i="58"/>
  <c r="G2" i="58"/>
  <c r="I2" i="58" s="1"/>
  <c r="H2" i="58"/>
  <c r="J2" i="58"/>
  <c r="F3" i="58"/>
  <c r="G3" i="58"/>
  <c r="I3" i="58" s="1"/>
  <c r="H3" i="58"/>
  <c r="J3" i="58"/>
  <c r="F4" i="58"/>
  <c r="G4" i="58"/>
  <c r="I4" i="58" s="1"/>
  <c r="H4" i="58"/>
  <c r="J4" i="58"/>
  <c r="F5" i="58"/>
  <c r="G5" i="58"/>
  <c r="I5" i="58" s="1"/>
  <c r="H5" i="58"/>
  <c r="J5" i="58"/>
  <c r="F6" i="58"/>
  <c r="G6" i="58"/>
  <c r="H6" i="58"/>
  <c r="I6" i="58"/>
  <c r="J6" i="58"/>
  <c r="F7" i="58"/>
  <c r="G7" i="58"/>
  <c r="I7" i="58" s="1"/>
  <c r="H7" i="58"/>
  <c r="J7" i="58"/>
  <c r="F8" i="58"/>
  <c r="G8" i="58"/>
  <c r="I8" i="58" s="1"/>
  <c r="H8" i="58"/>
  <c r="J8" i="58"/>
  <c r="F9" i="58"/>
  <c r="G9" i="58"/>
  <c r="I9" i="58" s="1"/>
  <c r="H9" i="58"/>
  <c r="J9" i="58"/>
  <c r="F10" i="58"/>
  <c r="G10" i="58"/>
  <c r="H10" i="58"/>
  <c r="I10" i="58"/>
  <c r="J10" i="58"/>
  <c r="F11" i="58"/>
  <c r="G11" i="58"/>
  <c r="I11" i="58" s="1"/>
  <c r="H11" i="58"/>
  <c r="J11" i="58"/>
  <c r="F12" i="58"/>
  <c r="G12" i="58"/>
  <c r="I12" i="58" s="1"/>
  <c r="H12" i="58"/>
  <c r="J12" i="58"/>
  <c r="F13" i="58"/>
  <c r="G13" i="58"/>
  <c r="I13" i="58" s="1"/>
  <c r="H13" i="58"/>
  <c r="J13" i="58"/>
  <c r="F14" i="58"/>
  <c r="G14" i="58"/>
  <c r="H14" i="58"/>
  <c r="I14" i="58"/>
  <c r="J14" i="58"/>
  <c r="F15" i="58"/>
  <c r="G15" i="58"/>
  <c r="H15" i="58"/>
  <c r="I15" i="58"/>
  <c r="J15" i="58"/>
  <c r="F16" i="58"/>
  <c r="G16" i="58"/>
  <c r="H16" i="58"/>
  <c r="I16" i="58"/>
  <c r="J16" i="58"/>
  <c r="F17" i="58"/>
  <c r="G17" i="58"/>
  <c r="I17" i="58" s="1"/>
  <c r="H17" i="58"/>
  <c r="J17" i="58"/>
  <c r="F18" i="58"/>
  <c r="G18" i="58"/>
  <c r="I18" i="58" s="1"/>
  <c r="H18" i="58"/>
  <c r="J18" i="58"/>
  <c r="F19" i="58"/>
  <c r="G19" i="58"/>
  <c r="I19" i="58" s="1"/>
  <c r="H19" i="58"/>
  <c r="J19" i="58"/>
  <c r="F20" i="58"/>
  <c r="G20" i="58"/>
  <c r="H20" i="58"/>
  <c r="I20" i="58"/>
  <c r="J20" i="58"/>
  <c r="F21" i="58"/>
  <c r="G21" i="58"/>
  <c r="H21" i="58"/>
  <c r="I21" i="58"/>
  <c r="J21" i="58"/>
  <c r="F22" i="58"/>
  <c r="G22" i="58"/>
  <c r="H22" i="58"/>
  <c r="F23" i="58"/>
  <c r="G23" i="58"/>
  <c r="H23" i="58"/>
  <c r="F24" i="58"/>
  <c r="G24" i="58"/>
  <c r="H24" i="58"/>
  <c r="F25" i="58"/>
  <c r="G25" i="58"/>
  <c r="H25" i="58"/>
  <c r="F26" i="58"/>
  <c r="G26" i="58"/>
  <c r="H26" i="58"/>
  <c r="F27" i="58"/>
  <c r="G27" i="58"/>
  <c r="H27" i="58"/>
  <c r="F28" i="58"/>
  <c r="G28" i="58"/>
  <c r="H28" i="58"/>
  <c r="F29" i="58"/>
  <c r="G29" i="58"/>
  <c r="H29" i="58"/>
  <c r="F30" i="58"/>
  <c r="G30" i="58"/>
  <c r="H30" i="58"/>
  <c r="F31" i="58"/>
  <c r="G31" i="58"/>
  <c r="H31" i="58"/>
  <c r="F32" i="58"/>
  <c r="G32" i="58"/>
  <c r="H32" i="58"/>
  <c r="F33" i="58"/>
  <c r="G33" i="58"/>
  <c r="H33" i="58"/>
  <c r="F34" i="58"/>
  <c r="G34" i="58"/>
  <c r="H34" i="58"/>
  <c r="F35" i="58"/>
  <c r="G35" i="58"/>
  <c r="H35" i="58"/>
  <c r="F36" i="58"/>
  <c r="G36" i="58"/>
  <c r="H36" i="58"/>
  <c r="F37" i="58"/>
  <c r="G37" i="58"/>
  <c r="H37" i="58"/>
  <c r="F38" i="58"/>
  <c r="G38" i="58"/>
  <c r="H38" i="58"/>
  <c r="F39" i="58"/>
  <c r="G39" i="58"/>
  <c r="H39" i="58"/>
  <c r="F40" i="58"/>
  <c r="G40" i="58"/>
  <c r="H40" i="58"/>
  <c r="F41" i="58"/>
  <c r="G41" i="58"/>
  <c r="H41" i="58"/>
  <c r="F42" i="58"/>
  <c r="G42" i="58"/>
  <c r="H42" i="58"/>
  <c r="F43" i="58"/>
  <c r="G43" i="58"/>
  <c r="H43" i="58"/>
  <c r="F44" i="58"/>
  <c r="G44" i="58"/>
  <c r="H44" i="58"/>
  <c r="F45" i="58"/>
  <c r="G45" i="58"/>
  <c r="H45" i="58"/>
  <c r="F46" i="58"/>
  <c r="G46" i="58"/>
  <c r="H46" i="58"/>
  <c r="F47" i="58"/>
  <c r="G47" i="58"/>
  <c r="H47" i="58"/>
  <c r="M412" i="57" l="1"/>
  <c r="M231" i="57"/>
  <c r="M319" i="57"/>
  <c r="M120" i="57"/>
  <c r="M388" i="57"/>
  <c r="M103" i="57"/>
  <c r="M465" i="57"/>
  <c r="M258" i="57"/>
  <c r="M191" i="57"/>
  <c r="M49" i="57"/>
  <c r="M390" i="57"/>
  <c r="M468" i="57"/>
  <c r="M434" i="57"/>
  <c r="M385" i="57"/>
  <c r="M428" i="57"/>
  <c r="M112" i="57"/>
  <c r="M115" i="57"/>
  <c r="M334" i="57"/>
  <c r="M301" i="57"/>
  <c r="M459" i="57"/>
  <c r="M426" i="57"/>
  <c r="M299" i="57"/>
  <c r="M65" i="57"/>
  <c r="M337" i="57"/>
  <c r="M58" i="57"/>
  <c r="M455" i="57"/>
  <c r="M251" i="57"/>
  <c r="M111" i="57"/>
  <c r="M134" i="57"/>
  <c r="M97" i="57"/>
  <c r="M485" i="57"/>
  <c r="M424" i="57"/>
  <c r="M63" i="57"/>
  <c r="M340" i="57"/>
  <c r="M56" i="57"/>
  <c r="M435" i="57"/>
  <c r="M249" i="57"/>
  <c r="M193" i="57"/>
  <c r="M317" i="57"/>
  <c r="M114" i="57"/>
  <c r="M483" i="57"/>
  <c r="M420" i="57"/>
  <c r="M236" i="57"/>
  <c r="M35" i="57"/>
  <c r="M436" i="57"/>
  <c r="M431" i="57"/>
  <c r="M248" i="57"/>
  <c r="M463" i="57"/>
  <c r="M462" i="57"/>
  <c r="M364" i="57"/>
  <c r="M253" i="57"/>
  <c r="M451" i="57"/>
  <c r="M418" i="57"/>
  <c r="M202" i="57"/>
  <c r="M34" i="57"/>
  <c r="M168" i="57"/>
  <c r="M177" i="57"/>
  <c r="M432" i="57"/>
  <c r="M339" i="57"/>
  <c r="M233" i="57"/>
  <c r="M79" i="57"/>
  <c r="M166" i="57"/>
  <c r="M192" i="57"/>
  <c r="M255" i="57"/>
  <c r="M235" i="57"/>
  <c r="M196" i="57"/>
  <c r="M275" i="57"/>
  <c r="M195" i="57"/>
  <c r="M333" i="57"/>
  <c r="M472" i="57"/>
  <c r="M494" i="57"/>
  <c r="M433" i="57"/>
  <c r="M444" i="57"/>
  <c r="M397" i="57"/>
  <c r="M173" i="57"/>
  <c r="M492" i="57"/>
  <c r="M144" i="57"/>
  <c r="M336" i="57"/>
  <c r="M471" i="57"/>
  <c r="M264" i="57"/>
  <c r="M72" i="57"/>
  <c r="M76" i="57"/>
  <c r="M446" i="57"/>
  <c r="M164" i="57"/>
  <c r="M441" i="57"/>
  <c r="M371" i="57"/>
  <c r="M132" i="57"/>
  <c r="M407" i="57"/>
  <c r="M138" i="57"/>
  <c r="M67" i="57"/>
  <c r="M469" i="57"/>
  <c r="M203" i="57"/>
  <c r="M70" i="57"/>
  <c r="M415" i="57"/>
  <c r="M118" i="57"/>
  <c r="M449" i="57"/>
  <c r="M410" i="57"/>
  <c r="M199" i="57"/>
  <c r="M74" i="57"/>
  <c r="M439" i="57"/>
  <c r="M369" i="57"/>
  <c r="M130" i="57"/>
  <c r="M394" i="57"/>
  <c r="M467" i="57"/>
  <c r="M198" i="57"/>
  <c r="M51" i="57"/>
  <c r="M416" i="57"/>
  <c r="M104" i="57"/>
  <c r="M78" i="57"/>
  <c r="M152" i="57"/>
  <c r="M169" i="57"/>
  <c r="M244" i="57"/>
  <c r="M194" i="57"/>
  <c r="M163" i="57"/>
  <c r="M154" i="57"/>
  <c r="M127" i="57"/>
  <c r="M91" i="57"/>
  <c r="M75" i="57"/>
  <c r="M52" i="57"/>
  <c r="M211" i="57"/>
  <c r="M90" i="57"/>
  <c r="M175" i="57"/>
  <c r="M181" i="57"/>
  <c r="M128" i="57"/>
  <c r="M172" i="57"/>
  <c r="M106" i="57"/>
  <c r="M86" i="57"/>
  <c r="M71" i="57"/>
  <c r="M50" i="57"/>
  <c r="M245" i="57"/>
  <c r="M108" i="57"/>
  <c r="M167" i="57"/>
  <c r="M125" i="57"/>
  <c r="M9" i="57"/>
  <c r="M281" i="57"/>
  <c r="M271" i="57"/>
  <c r="M217" i="57"/>
  <c r="M122" i="57"/>
  <c r="M102" i="57"/>
  <c r="M327" i="57"/>
  <c r="M68" i="57"/>
  <c r="M47" i="57"/>
  <c r="M272" i="57"/>
  <c r="M200" i="57"/>
  <c r="M26" i="57"/>
  <c r="M165" i="57"/>
  <c r="M230" i="57"/>
  <c r="M234" i="57"/>
  <c r="M229" i="57"/>
  <c r="M162" i="57"/>
  <c r="M101" i="57"/>
  <c r="M66" i="57"/>
  <c r="M46" i="57"/>
  <c r="M277" i="57"/>
  <c r="M287" i="57"/>
  <c r="M386" i="57"/>
  <c r="M53" i="57"/>
  <c r="M69" i="57"/>
  <c r="M22" i="57"/>
  <c r="M384" i="57"/>
  <c r="M161" i="57"/>
  <c r="M137" i="57"/>
  <c r="M119" i="57"/>
  <c r="M323" i="57"/>
  <c r="M64" i="57"/>
  <c r="M213" i="57"/>
  <c r="M171" i="57"/>
  <c r="M226" i="57"/>
  <c r="M10" i="57"/>
  <c r="M366" i="57"/>
  <c r="M186" i="57"/>
  <c r="M382" i="57"/>
  <c r="M99" i="57"/>
  <c r="M60" i="57"/>
  <c r="M17" i="57"/>
  <c r="M475" i="57"/>
  <c r="M80" i="57"/>
  <c r="M185" i="57"/>
  <c r="M179" i="57"/>
  <c r="M159" i="57"/>
  <c r="M116" i="57"/>
  <c r="M96" i="57"/>
  <c r="M204" i="57"/>
  <c r="M59" i="57"/>
  <c r="M33" i="57"/>
  <c r="M156" i="57"/>
  <c r="M145" i="57"/>
  <c r="M139" i="57"/>
  <c r="M476" i="57"/>
  <c r="M77" i="57"/>
  <c r="M184" i="57"/>
  <c r="M178" i="57"/>
  <c r="M158" i="57"/>
  <c r="M133" i="57"/>
  <c r="M95" i="57"/>
  <c r="M206" i="57"/>
  <c r="M57" i="57"/>
  <c r="M24" i="57"/>
  <c r="M84" i="57"/>
  <c r="M16" i="57"/>
  <c r="M98" i="57"/>
  <c r="M61" i="57"/>
  <c r="M150" i="57"/>
  <c r="M73" i="57"/>
  <c r="M183" i="57"/>
  <c r="M157" i="57"/>
  <c r="M131" i="57"/>
  <c r="M110" i="57"/>
  <c r="M94" i="57"/>
  <c r="M82" i="57"/>
  <c r="M55" i="57"/>
  <c r="M19" i="57"/>
  <c r="M12" i="57"/>
  <c r="M93" i="57"/>
  <c r="M188" i="57"/>
  <c r="M228" i="57"/>
  <c r="M279" i="57"/>
  <c r="M11" i="57"/>
  <c r="I4" i="49" l="1"/>
  <c r="I147" i="49"/>
  <c r="I146" i="49"/>
  <c r="I145" i="49"/>
  <c r="I144" i="49"/>
  <c r="I143" i="49"/>
  <c r="I142" i="49"/>
  <c r="I141" i="49"/>
  <c r="I140" i="49"/>
  <c r="I139" i="49"/>
  <c r="I138" i="49"/>
  <c r="I137" i="49"/>
  <c r="I136" i="49"/>
  <c r="I135" i="49"/>
  <c r="I134" i="49"/>
  <c r="I133" i="49"/>
  <c r="I132" i="49"/>
  <c r="I131" i="49"/>
  <c r="I130" i="49"/>
  <c r="I129" i="49"/>
  <c r="I128" i="49"/>
  <c r="I127" i="49"/>
  <c r="I126" i="49"/>
  <c r="I125" i="49"/>
  <c r="I124" i="49"/>
  <c r="I123" i="49"/>
  <c r="I122" i="49"/>
  <c r="I121" i="49"/>
  <c r="I120" i="49"/>
  <c r="I119" i="49"/>
  <c r="I118" i="49"/>
  <c r="I117" i="49"/>
  <c r="I116" i="49"/>
  <c r="I115" i="49"/>
  <c r="I114" i="49"/>
  <c r="I113" i="49"/>
  <c r="I112" i="49"/>
  <c r="I111" i="49"/>
  <c r="I110" i="49"/>
  <c r="I109" i="49"/>
  <c r="I108" i="49"/>
  <c r="I107" i="49"/>
  <c r="I106" i="49"/>
  <c r="I105" i="49"/>
  <c r="I104" i="49"/>
  <c r="I103" i="49"/>
  <c r="I102" i="49"/>
  <c r="I101" i="49"/>
  <c r="I100" i="49"/>
  <c r="I99" i="49"/>
  <c r="I98" i="49"/>
  <c r="I97" i="49"/>
  <c r="I96" i="49"/>
  <c r="I95" i="49"/>
  <c r="I94" i="49"/>
  <c r="I93" i="49"/>
  <c r="I92" i="49"/>
  <c r="I91" i="49"/>
  <c r="I90" i="49"/>
  <c r="I89" i="49"/>
  <c r="I88" i="49"/>
  <c r="I87" i="49"/>
  <c r="I86" i="49"/>
  <c r="I85" i="49"/>
  <c r="I84" i="49"/>
  <c r="I83" i="49"/>
  <c r="I82" i="49"/>
  <c r="I81" i="49"/>
  <c r="I80" i="49"/>
  <c r="I79" i="49"/>
  <c r="I78" i="49"/>
  <c r="I77" i="49"/>
  <c r="I76" i="49"/>
  <c r="I75" i="49"/>
  <c r="I74" i="49"/>
  <c r="I73" i="49"/>
  <c r="I72" i="49"/>
  <c r="I71" i="49"/>
  <c r="I70" i="49"/>
  <c r="I69" i="49"/>
  <c r="I68" i="49"/>
  <c r="I67" i="49"/>
  <c r="I66" i="49"/>
  <c r="I65" i="49"/>
  <c r="I64" i="49"/>
  <c r="I63" i="49"/>
  <c r="I62" i="49"/>
  <c r="I61" i="49"/>
  <c r="I60" i="49"/>
  <c r="I59" i="49"/>
  <c r="I58" i="49"/>
  <c r="I57" i="49"/>
  <c r="H20" i="49"/>
  <c r="H19" i="49"/>
  <c r="H18" i="49"/>
  <c r="H17" i="49"/>
  <c r="H16" i="49"/>
  <c r="I29" i="49" l="1"/>
  <c r="I28" i="49"/>
  <c r="I27" i="49"/>
  <c r="I26" i="49"/>
  <c r="I25" i="49"/>
  <c r="I24" i="49"/>
  <c r="I23" i="49"/>
  <c r="I22" i="49"/>
  <c r="I21" i="49"/>
  <c r="I20" i="49"/>
  <c r="I19" i="49"/>
  <c r="I18" i="49"/>
  <c r="I17" i="49"/>
  <c r="I16" i="49"/>
  <c r="I15" i="49"/>
  <c r="I14" i="49"/>
  <c r="I13" i="49"/>
  <c r="I12" i="49"/>
  <c r="I11" i="49"/>
  <c r="I10" i="49"/>
  <c r="I9" i="49"/>
  <c r="I8" i="49"/>
  <c r="I7" i="49"/>
  <c r="I6" i="49"/>
  <c r="I5" i="4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tc={E464A48E-3EC4-432A-B162-F508CDECE189}</author>
  </authors>
  <commentList>
    <comment ref="K1" authorId="0" shapeId="0" xr:uid="{E464A48E-3EC4-432A-B162-F508CDECE189}">
      <text>
        <t>[Threaded comment]
Your version of Excel allows you to read this threaded comment; however, any edits to it will get removed if the file is opened in a newer version of Excel. Learn more: https://go.microsoft.com/fwlink/?linkid=870924
Comment:
    =XLOOKUP(TRUE, EXACT(F2, Sheet1!$E:$E), Sheet1!$F:$F, "not found")</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tc={C9198E25-06BB-4C19-9CBA-72746B69734C}</author>
  </authors>
  <commentList>
    <comment ref="L1" authorId="0" shapeId="0" xr:uid="{C9198E25-06BB-4C19-9CBA-72746B69734C}">
      <text>
        <t>[Threaded comment]
Your version of Excel allows you to read this threaded comment; however, any edits to it will get removed if the file is opened in a newer version of Excel. Learn more: https://go.microsoft.com/fwlink/?linkid=870924
Comment:
    ="&lt;a target="&amp;""""&amp;"_blank"&amp;""""&amp;" href="&amp;""""&amp;V2&amp;""""&amp;"&gt;"&amp;V2</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<sst xmlns="http://schemas.openxmlformats.org/spreadsheetml/2006/main" count="17331" uniqueCount="6107">
  <si>
    <t>term</t>
  </si>
  <si>
    <t>name</t>
  </si>
  <si>
    <t>Instantaneous sampling (IS)</t>
  </si>
  <si>
    <t>mod_is</t>
  </si>
  <si>
    <t>approach</t>
  </si>
  <si>
    <t>Space-to-event (STE)</t>
  </si>
  <si>
    <t>mod_ste</t>
  </si>
  <si>
    <t>Time-to-event (TTE)</t>
  </si>
  <si>
    <t>mod_tte</t>
  </si>
  <si>
    <t>Distance sampling (DS)</t>
  </si>
  <si>
    <t>mod_ds</t>
  </si>
  <si>
    <t>Time in front of the camera (TIFC)</t>
  </si>
  <si>
    <t>mod_tifc</t>
  </si>
  <si>
    <t>Random encounter and staying time (REST)</t>
  </si>
  <si>
    <t>mod_rest</t>
  </si>
  <si>
    <t>Random encounter model (REM)</t>
  </si>
  <si>
    <t>mod_rem</t>
  </si>
  <si>
    <t>N-mixture</t>
  </si>
  <si>
    <t>mod_nmixture</t>
  </si>
  <si>
    <t>Royle-Nichols</t>
  </si>
  <si>
    <t>mod_roylenichols</t>
  </si>
  <si>
    <t>mod_2flankspim</t>
  </si>
  <si>
    <t>mod_catspim</t>
  </si>
  <si>
    <t>mod_sc</t>
  </si>
  <si>
    <t xml:space="preserve">Spatial mark-resight </t>
  </si>
  <si>
    <t>mod_smr</t>
  </si>
  <si>
    <t>Mark-resight (MR)</t>
  </si>
  <si>
    <t>mod_mr</t>
  </si>
  <si>
    <t>mod_scr_secr</t>
  </si>
  <si>
    <t>mod_cr_cmr</t>
  </si>
  <si>
    <t>Behaviour</t>
  </si>
  <si>
    <t>mod_behaviour</t>
  </si>
  <si>
    <t>Relative abundance indices</t>
  </si>
  <si>
    <t>mod_rai</t>
  </si>
  <si>
    <t>mod_occupancy</t>
  </si>
  <si>
    <t>Species diversity &amp; richness</t>
  </si>
  <si>
    <t>mod_divers_rich</t>
  </si>
  <si>
    <t>Species inventory</t>
  </si>
  <si>
    <t>mod_inventory</t>
  </si>
  <si>
    <t>obj_behaviour</t>
  </si>
  <si>
    <t>objective</t>
  </si>
  <si>
    <t>Vital rates</t>
  </si>
  <si>
    <t>obj_vital_rate</t>
  </si>
  <si>
    <t>obj_abundance</t>
  </si>
  <si>
    <t>Relative abundance</t>
  </si>
  <si>
    <t>obj_rel_abund</t>
  </si>
  <si>
    <t>Occupancy</t>
  </si>
  <si>
    <t>obj_occupancy</t>
  </si>
  <si>
    <t>obj_divers_rich</t>
  </si>
  <si>
    <t>obj_inventory</t>
  </si>
  <si>
    <t>id</t>
  </si>
  <si>
    <t>NULL</t>
  </si>
  <si>
    <t>Zero-inflation</t>
  </si>
  <si>
    <t>A regression model for count data that both follows the Poisson distribution and contains excess zeros (Lambert, 1992). ZIP models are only appropriate for data for which the overdispersion is not solely due to zero-inflation. [relative abundance indices]</t>
  </si>
  <si>
    <t>Zero-inflated Poisson (ZIP) regression (Lambert, 1992)</t>
  </si>
  <si>
    <t>Zero-inflated negative binomial (ZINB) regression (McCullagh &amp; Nelder, 1989)</t>
  </si>
  <si>
    <t>walktest</t>
  </si>
  <si>
    <t>Walktest</t>
  </si>
  <si>
    <t>baitlure_visual_lure</t>
  </si>
  <si>
    <t>Visual lure</t>
  </si>
  <si>
    <t>visit_metadata</t>
  </si>
  <si>
    <t>Metadata that should be collected each time a camera location is visited to deploy, Service*/Retrieval Field Datasheet.</t>
  </si>
  <si>
    <t>Visit metadata</t>
  </si>
  <si>
    <t>visit</t>
  </si>
  <si>
    <t>When a crew has gone to a location to deploy, service, or retrieve a remote camera.</t>
  </si>
  <si>
    <t>Visit</t>
  </si>
  <si>
    <t>fov_viewshed</t>
  </si>
  <si>
    <t>The area visible to the camera as determined by its lens angle (in degrees) and trigger distance (Moeller et al., 2023).</t>
  </si>
  <si>
    <t>Viewshed</t>
  </si>
  <si>
    <t>settings_userlabel</t>
  </si>
  <si>
    <t>User label</t>
  </si>
  <si>
    <t>typeid_unmarked</t>
  </si>
  <si>
    <t xml:space="preserve">Unmarked individuals */ populations */ species </t>
  </si>
  <si>
    <t>trigger_speed</t>
  </si>
  <si>
    <t>Trigger speed</t>
  </si>
  <si>
    <t>trigger_event</t>
  </si>
  <si>
    <t>An activation of the camera detector(s) that initiates the capture of a single or multiple images, or the recording of video.</t>
  </si>
  <si>
    <t>Total number of camera days</t>
  </si>
  <si>
    <t>Time-to-event (TTE) model (Moeller et al., 2018)</t>
  </si>
  <si>
    <t>timelapse_image</t>
  </si>
  <si>
    <t>Time-lapse image</t>
  </si>
  <si>
    <t>Time in front of the camera (TIFC) (Huggard, 2018; Warbington &amp; Boyce, 2020; tested in Becker et al., 2022)</t>
  </si>
  <si>
    <t>test_image</t>
  </si>
  <si>
    <t>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t>
  </si>
  <si>
    <t>Test image</t>
  </si>
  <si>
    <t>sampledesign_targeted</t>
  </si>
  <si>
    <t>Camera locations or sample stations are placed in areas that are known or suspected to have higher activity levels (e.g., game trails, mineral licks).</t>
  </si>
  <si>
    <t>Targeted design</t>
  </si>
  <si>
    <t>sampledesign_systematic_random</t>
  </si>
  <si>
    <t>Camera locations are selected using a two-stage approach. Firstly, girds are selected systematically (to occur within a regular pattern) across the study area. The location of the camera within each grid is then selected randomly.</t>
  </si>
  <si>
    <t>Systematic random design</t>
  </si>
  <si>
    <t>sampledesign_systematic</t>
  </si>
  <si>
    <t>Camera locations occur in a regular pattern (e.g., a grid pattern) across the study area.</t>
  </si>
  <si>
    <t>Systematic design</t>
  </si>
  <si>
    <t>study_area</t>
  </si>
  <si>
    <t>Study area</t>
  </si>
  <si>
    <t>sampledesign_stratified_random</t>
  </si>
  <si>
    <t>The area of interest is divided into smaller strata (e.g., habitat type, disturbance levels), and then a proportional random sample of sites is selected within each stratum (e.g., 15%, 35% and 50% of sites within high, medium and low disturbance strata).</t>
  </si>
  <si>
    <t xml:space="preserve">Stratified random design </t>
  </si>
  <si>
    <t>sampledesign_stratified</t>
  </si>
  <si>
    <t>The area of interest is divided into smaller strata (e.g., habitat type, disturbance levels), and cameras are placed within each stratum (e.g., 15%, 35% and 50% of sites within high, medium, and low disturbance strata).</t>
  </si>
  <si>
    <t>Stratified design</t>
  </si>
  <si>
    <t>state_variable</t>
  </si>
  <si>
    <t>State variable</t>
  </si>
  <si>
    <t>Spatial partial identity model (2-flank SPIM) (Augustine et al., 2018)</t>
  </si>
  <si>
    <t>Spatial mark-resight (SMR) (Chandler &amp; Royle, 2013; Sollmann et al., 2013a, 2013b)</t>
  </si>
  <si>
    <t>spatial_autocorrelation</t>
  </si>
  <si>
    <t>The tendency for locations that are closer together to be more similar.</t>
  </si>
  <si>
    <t>Spatial autocorrelation</t>
  </si>
  <si>
    <t>Space-to-event (STE) model (Moeller et al., 2018)</t>
  </si>
  <si>
    <t>service_retrieval_visit</t>
  </si>
  <si>
    <t>When a crew has gone to a location to service or retrieve a remote camera.</t>
  </si>
  <si>
    <t>Service*/Retrieval visit</t>
  </si>
  <si>
    <t>service_retrieval_metadata</t>
  </si>
  <si>
    <t>Metadata that should be collected each time a camera location is visited to Service*/Retrieval Field Datasheet.</t>
  </si>
  <si>
    <t>Service*/Retrieval metadata</t>
  </si>
  <si>
    <t>service_retrieval</t>
  </si>
  <si>
    <t>Service*/Retrieval</t>
  </si>
  <si>
    <t>sequence</t>
  </si>
  <si>
    <t>Sequence</t>
  </si>
  <si>
    <t>baitlure_scent_lure</t>
  </si>
  <si>
    <t>Scent lure</t>
  </si>
  <si>
    <t>sample_station</t>
  </si>
  <si>
    <t>Sample station</t>
  </si>
  <si>
    <t>Royle-Nichols model (Royle &amp; Nichols, 2003; MacKenzie et al., 2006)</t>
  </si>
  <si>
    <t>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t>
  </si>
  <si>
    <t>fov_registration_area</t>
  </si>
  <si>
    <t>The area in which an animal entering has at least some probability of being captured on the image.</t>
  </si>
  <si>
    <t>Registration area</t>
  </si>
  <si>
    <t>recovery_time</t>
  </si>
  <si>
    <t>The time necessary for the camera to prepare to capture the next photo after the previous one has been recorded (Trolliet et al., 2014).</t>
  </si>
  <si>
    <t>Recovery time</t>
  </si>
  <si>
    <t>Random encounter model (REM) (Rowcliffe et al., 2008, 2013)</t>
  </si>
  <si>
    <t>A recent modification of the REM (Nakashima et al., 2018) that substitutes staying time (i.e., the cumulative time in the cameras' detection zone) for movement speed (staying time and movement speed are inversely proportional) (Cappelle et al., 2021).</t>
  </si>
  <si>
    <t>sampledesign_random</t>
  </si>
  <si>
    <t>Cameras occur at randomized camera locations (or sample stations) across the area of interest, sometimes with a predetermined minimum distance between camera locations (or sample stations).</t>
  </si>
  <si>
    <t>pseudoreplication</t>
  </si>
  <si>
    <t>When observations are not statistically independent (spatially or temporally) but are treated as if they are independent.</t>
  </si>
  <si>
    <t>Pseudoreplication</t>
  </si>
  <si>
    <t>project</t>
  </si>
  <si>
    <t>Project</t>
  </si>
  <si>
    <t>A regression model for count data used when data are not overdispersed or zero-inflated (Lambert, 1992). [relative abundance indices]</t>
  </si>
  <si>
    <t>Poisson regression</t>
  </si>
  <si>
    <t>typeid_partially_marked</t>
  </si>
  <si>
    <t>sampledesign_paired</t>
  </si>
  <si>
    <t>Paired design</t>
  </si>
  <si>
    <t>Overdispersion</t>
  </si>
  <si>
    <t>A modelling approach used to account for imperfect detection by first evaluating the detection probability of a species via detection histories (i.e., present or absent) to determine the probability of the true presence or absence of a species at a site (MacKenzie et al., 2002).</t>
  </si>
  <si>
    <t>Occupancy model (MacKenzie et al., 2002)</t>
  </si>
  <si>
    <t>occupancy</t>
  </si>
  <si>
    <t>N-mixture models</t>
  </si>
  <si>
    <t>A regression model used for count data with overdispersion but without zero-inflation. [relative abundance indices]</t>
  </si>
  <si>
    <t>Negative binomial (NB) regression (Mullahy, 1986)</t>
  </si>
  <si>
    <t>Modelling approach</t>
  </si>
  <si>
    <t>Model assumption</t>
  </si>
  <si>
    <t>metadata</t>
  </si>
  <si>
    <t>Data that provides information about other data (e.g., the number of images on an SD card).</t>
  </si>
  <si>
    <t>Metadata</t>
  </si>
  <si>
    <t>Mark-resight (MR) model (Arnason et al., 1991; McClintock et al., 2009)</t>
  </si>
  <si>
    <t>typeid_marked</t>
  </si>
  <si>
    <t>Individuals, populations, or species (varies with modelling approach and context) that can be identified using natural or artificial markings (e.g., coat patterns, scars, tags, collars).</t>
  </si>
  <si>
    <t>baitlure_lure</t>
  </si>
  <si>
    <t>Lure</t>
  </si>
  <si>
    <t>Inventory</t>
  </si>
  <si>
    <t>inter_detection_interval</t>
  </si>
  <si>
    <t>Inter-detection interval</t>
  </si>
  <si>
    <t>Intensity of use (Keim et al., 2019)</t>
  </si>
  <si>
    <t>Instantaneous sampling (IS) (Moeller et al., 2018)</t>
  </si>
  <si>
    <t>settings_infrared_illum</t>
  </si>
  <si>
    <t>Infrared illuminator</t>
  </si>
  <si>
    <t>independent_detections</t>
  </si>
  <si>
    <t>Detections that are deemed to be independent based on a user-defined threshold (e.g., 30 minutes).</t>
  </si>
  <si>
    <t>Independent detections</t>
  </si>
  <si>
    <t>imperfect_detection</t>
  </si>
  <si>
    <t>Imperfect detection</t>
  </si>
  <si>
    <t>The process of classifying an image according to the wildlife species, other entities (e.g., human, vehicle), or conditions within the image. Image tagging may follow image classification to further classify characteristics of the individuals (e.g., age class, sex class, or behaviour) or entities within the image.</t>
  </si>
  <si>
    <t>Image tagging</t>
  </si>
  <si>
    <t>Image Sequence</t>
  </si>
  <si>
    <t>The series of operations that are taken to extract information from images. In the case of remote camera data, it can include loading the images into a processing platform, extracting information from the image metadata (e.g., the date and time the image was taken), running an artificial intelligence (AI) algorithm to identify empty images, classifying animals or other entities within the image.</t>
  </si>
  <si>
    <t>Image processing</t>
  </si>
  <si>
    <t>The likelihood of an image containing an object of a certain class (Fennell et al., 2022).</t>
  </si>
  <si>
    <t xml:space="preserve">Image classification confidence </t>
  </si>
  <si>
    <t>Image classification</t>
  </si>
  <si>
    <t>image</t>
  </si>
  <si>
    <t>Image</t>
  </si>
  <si>
    <t>settings_flash_output</t>
  </si>
  <si>
    <t>The camera setting that provides the level of intensity of the flash (if enabled).</t>
  </si>
  <si>
    <t>Flash output</t>
  </si>
  <si>
    <t>field_of_view</t>
  </si>
  <si>
    <t>Field of View (FOV)</t>
  </si>
  <si>
    <t>false_trigger</t>
  </si>
  <si>
    <t>Blank images (no wildlife or human present). These images commonly occur when a camera is triggered by vegetation blowing in the wind.</t>
  </si>
  <si>
    <t>False trigger</t>
  </si>
  <si>
    <t>effective_detection_distance</t>
  </si>
  <si>
    <t>The distance from a camera that would give the same number of detections if all animals up to that distance are perfectly detected, and no animals that are farther away are detected; Buckland, 1987, Becker et al., 2022).</t>
  </si>
  <si>
    <t>Effective detection distance</t>
  </si>
  <si>
    <t>Distance sampling (DS) model (Howe et al., 2017)</t>
  </si>
  <si>
    <t>detection_zone</t>
  </si>
  <si>
    <t>The area (conical in shape) in which a remote camera can detect the heat signature and motion of an object (Rovero &amp; Zimmermann, 2016) (Figure 5).</t>
  </si>
  <si>
    <t>Detection zone</t>
  </si>
  <si>
    <t>detection_rate</t>
  </si>
  <si>
    <t>The frequency of independent detections within a specified time period.</t>
  </si>
  <si>
    <t>Detection rate</t>
  </si>
  <si>
    <t>detection_probability</t>
  </si>
  <si>
    <t>Detection probability (aka detectability)</t>
  </si>
  <si>
    <t>detection_distance</t>
  </si>
  <si>
    <t>Detection distance</t>
  </si>
  <si>
    <t>detection_event</t>
  </si>
  <si>
    <t>deployment_visit</t>
  </si>
  <si>
    <t>When a crew has gone to a location to deploy a remote camera.</t>
  </si>
  <si>
    <t>Deployment visit</t>
  </si>
  <si>
    <t>deployment_metadata</t>
  </si>
  <si>
    <t>Metadata that is collected each time a camera is deployed. Each deployment event should have its own Camera Deployment Field Datasheet. The relevant metadata fields that should be collected differ when a camera is deployed vs. serviced or retrieved.&lt;br&gt;&lt;br&gt;Refer to Appendix A - Table A5 and Camera Deployment Field Datasheet.</t>
  </si>
  <si>
    <t>Deployment metadata</t>
  </si>
  <si>
    <t>deployment_area_photos</t>
  </si>
  <si>
    <t>Deployment area photos</t>
  </si>
  <si>
    <t>deployment</t>
  </si>
  <si>
    <t>Deployment</t>
  </si>
  <si>
    <t>cumulative_det_probability</t>
  </si>
  <si>
    <t>Cumulative detection probability</t>
  </si>
  <si>
    <t>crew</t>
  </si>
  <si>
    <t>Crew</t>
  </si>
  <si>
    <t>sampledesign_convenience</t>
  </si>
  <si>
    <t>Convenience design</t>
  </si>
  <si>
    <t>sampledesign_clustered</t>
  </si>
  <si>
    <t>Clustered design</t>
  </si>
  <si>
    <t>Categorical partial identity model (catSPIM) (Augustine et al., 2019; Sun et al., 2022)</t>
  </si>
  <si>
    <t>Capture-recapture (CR) model */ Capture-mark-recapture (CMR) model (Karanth, 1995; Karanth &amp; Nichols, 1998)</t>
  </si>
  <si>
    <t>Camera spacing</t>
  </si>
  <si>
    <t>Camera location</t>
  </si>
  <si>
    <t>The number of days each camera was active and functioning during the period it was deployed (e.g., 24-hour periods or the difference in days between the Deployment Start Date Time and the Deployment End Date Time if there were no interruptions).</t>
  </si>
  <si>
    <t>Camera days per camera location</t>
  </si>
  <si>
    <t>The degree at which the camera is pointed toward the FOV Target Feature relative to the horizontal ground surface (with respect to slope, if applicable).</t>
  </si>
  <si>
    <t>Camera angle</t>
  </si>
  <si>
    <t>baitlure_bait</t>
  </si>
  <si>
    <t>Bait</t>
  </si>
  <si>
    <t>baitlure_audible_lure</t>
  </si>
  <si>
    <t>Audible lure</t>
  </si>
  <si>
    <t>settings_trigger_sensitivity</t>
  </si>
  <si>
    <t>settings_trigger_modes</t>
  </si>
  <si>
    <t>target_species</t>
  </si>
  <si>
    <t>tag</t>
  </si>
  <si>
    <t>**Tag**</t>
  </si>
  <si>
    <t>age_class_subadult</t>
  </si>
  <si>
    <t>**Subadult**</t>
  </si>
  <si>
    <t>age_class_subadult_youngofyear</t>
  </si>
  <si>
    <t>**Subadult - Young of Year**</t>
  </si>
  <si>
    <t>age_class_subadult_yearling</t>
  </si>
  <si>
    <t>**Subadult - Yearling**</t>
  </si>
  <si>
    <t>study_area_name</t>
  </si>
  <si>
    <t>study_area_description</t>
  </si>
  <si>
    <t>A description for each unique research or monitoring area including its location, the habitat type(s), land use(s) and habitat disturbances (where applicable).</t>
  </si>
  <si>
    <t>**Study Area Description**</t>
  </si>
  <si>
    <t>species</t>
  </si>
  <si>
    <t>**Species**</t>
  </si>
  <si>
    <t>sex_class</t>
  </si>
  <si>
    <t>service_retrieval_crew</t>
  </si>
  <si>
    <t>The first and last names of the individuals who collected data during the Service*/Retrieval visit.</t>
  </si>
  <si>
    <t>**Service*/Retrieval Crew**</t>
  </si>
  <si>
    <t>sequence_name</t>
  </si>
  <si>
    <t>sample_station_name</t>
  </si>
  <si>
    <t>settings_quiet_period</t>
  </si>
  <si>
    <t>purpose_of_visit</t>
  </si>
  <si>
    <t>**Purpose of Visit**</t>
  </si>
  <si>
    <t>project_name</t>
  </si>
  <si>
    <t>project_description</t>
  </si>
  <si>
    <t>A description of the project objective(s) and general methods.</t>
  </si>
  <si>
    <t>**Project Description**</t>
  </si>
  <si>
    <t>project_coordinator</t>
  </si>
  <si>
    <t>The first and last name of the primary contact for the project.</t>
  </si>
  <si>
    <t>**Project Coordinator**</t>
  </si>
  <si>
    <t>project_coordinator_email</t>
  </si>
  <si>
    <t>The email address of the Project Coordinator.</t>
  </si>
  <si>
    <t>**Project Coordinator Email**</t>
  </si>
  <si>
    <t>settings_photos_per_trigger</t>
  </si>
  <si>
    <t>The camera setting that describes the number of photos taken each time the camera is triggered.</t>
  </si>
  <si>
    <t>**New Camera Serial Number**</t>
  </si>
  <si>
    <t>**New Camera Model**</t>
  </si>
  <si>
    <t>**New Camera Make**</t>
  </si>
  <si>
    <t>**New Camera ID**</t>
  </si>
  <si>
    <t>age_class_juvenile</t>
  </si>
  <si>
    <t>Animals in their first summer, with clearly juvenile features (e.g., spots); mammals older than neonates but that still require parental care.</t>
  </si>
  <si>
    <t>**Juvenile**</t>
  </si>
  <si>
    <t>individual_count</t>
  </si>
  <si>
    <t>**Image*/Sequence Date Time (DD-MMM-YYYY HH:MM:SS)**</t>
  </si>
  <si>
    <t>gps_unit_accuracy</t>
  </si>
  <si>
    <t>fov_target</t>
  </si>
  <si>
    <t>**FOV Target Feature**</t>
  </si>
  <si>
    <t>event_type</t>
  </si>
  <si>
    <t>**Easting Camera Location**</t>
  </si>
  <si>
    <t>deployment_start_date_time</t>
  </si>
  <si>
    <t>The date and time that a camera was placed for a specific deployment (e.g., 17-Jan-2018 10:34:22). &lt;br&gt;&lt;br&gt;The Deployment Start Date Time may not coincide with when the first image or video was collected (i.e., the Image Set Start Date Time). Recording this field allows users to account for deployments where no images were captured and to confirm the first date and time a camera was active.</t>
  </si>
  <si>
    <t>deployment_name</t>
  </si>
  <si>
    <t>deployment_end_date_time</t>
  </si>
  <si>
    <t>The date and time that the data was retrieved for a specific deployment (e.g., 27-Jan-2019 23:00:00). The Deployment End Date Time may not coincide with when the last image or video was collected (i.e., the Image Set End Date Time). Recording this field allows users to account for deployments where no images were captured and to confirm the last date and time that the camera was active.</t>
  </si>
  <si>
    <t>deployment_crew</t>
  </si>
  <si>
    <t>The first and last names of the individuals who collected data during the deployment visit.</t>
  </si>
  <si>
    <t>A unique alphanumeric ID for the camera that distinguishes it from other cameras of the same make or model.</t>
  </si>
  <si>
    <t>The height from the ground (below snow) to the bottom of the lens (metres; to the nearest 0.05 m).</t>
  </si>
  <si>
    <t>baitlure_bait_lure_type</t>
  </si>
  <si>
    <t>analyst</t>
  </si>
  <si>
    <t>The first and last names of the individual who provided the observation data point (species identification and associated information). If there are multiple analysts for an observation, enter the primary analyst.</t>
  </si>
  <si>
    <t>age_class</t>
  </si>
  <si>
    <t>age_class_adult</t>
  </si>
  <si>
    <t>Animals that are old enough to breed; reproductively mature.</t>
  </si>
  <si>
    <t>walktest_height</t>
  </si>
  <si>
    <t>The vertical distance from the camera at which the crew performs the walktest (metres; to the nearest 0.05 m). Leave blank if not applicable.</t>
  </si>
  <si>
    <t>walktest_distance</t>
  </si>
  <si>
    <t>The horizontal distance from the camera at which the crew performs the walktest (metres; to the nearest 0.05 m). Leave blank if not applicable.</t>
  </si>
  <si>
    <t>walktest_complete</t>
  </si>
  <si>
    <t>visit_comments</t>
  </si>
  <si>
    <t>settings_video_length</t>
  </si>
  <si>
    <t>If applicable, describes the camera setting that specifies the minimum video duration (in seconds) that the camera will record when triggered. Leave blank if not applicable.</t>
  </si>
  <si>
    <t>Whether a test image (i.e., an image taken from a camera after it has been set up to provide a permanent record of the visit metadata) was taken. Arm the camera, from ~5 m in front, walk towards the camera while holding the Test Image Sheet.</t>
  </si>
  <si>
    <t>stake_distance</t>
  </si>
  <si>
    <t>The distance from the camera to a stake (in metres to the nearest 0.05 m). Leave blank if not applicable.</t>
  </si>
  <si>
    <t>service_retrieval_comments</t>
  </si>
  <si>
    <t>Comments describing additional details about the Service*/Retrieval.</t>
  </si>
  <si>
    <t>security</t>
  </si>
  <si>
    <t>sd_card_status</t>
  </si>
  <si>
    <t>The remaining storage capacity on an SD card; collected during a camera service or retrieval.</t>
  </si>
  <si>
    <t>sd_card_replaced</t>
  </si>
  <si>
    <t>Whether the SD card was replaced.</t>
  </si>
  <si>
    <t>sd_card_id</t>
  </si>
  <si>
    <t>remaining_battery_percent</t>
  </si>
  <si>
    <t>The remaining battery power (%) of batteries within a camera.</t>
  </si>
  <si>
    <t>key_id</t>
  </si>
  <si>
    <t>human_transport_mode_activity</t>
  </si>
  <si>
    <t>fov_target_distance</t>
  </si>
  <si>
    <t>The distance from the camera to the FOV Target Feature (in metres; to the nearest 0.5 m). Leave blank if not applicable.</t>
  </si>
  <si>
    <t>The total number of images collected during the deployment, including false triggers (i.e., empty images with no wildlife or human present species) and those triggered by a time-lapse setting (if applicable).</t>
  </si>
  <si>
    <t>deployment_comments</t>
  </si>
  <si>
    <t>Comments describing additional details about the deployment.</t>
  </si>
  <si>
    <t>deployment_area_photos_taken</t>
  </si>
  <si>
    <t>deployment_area_photo_numbers</t>
  </si>
  <si>
    <t>Comments describing additional details about a camera location.</t>
  </si>
  <si>
    <t>Whether the camera was damaged or malfunctioning; if there is any damage to the device (physical or mechanical), the crew should describe the damage in the Service*/Retrieval Comments.</t>
  </si>
  <si>
    <t>Whether a camera was functional upon departure.</t>
  </si>
  <si>
    <t>Whether a camera was functional upon arrival.</t>
  </si>
  <si>
    <t>behaviour</t>
  </si>
  <si>
    <t>batteries_replaced</t>
  </si>
  <si>
    <t>Whether the camera's batteries were replaced.</t>
  </si>
  <si>
    <t>animal_id</t>
  </si>
  <si>
    <t>A unique ID for an animal that can be uniquely identified (e.g., marked in some way). If multiple unique individuals are identified, enter an Animal ID for each as a unique row. Leave blank if not applicable.</t>
  </si>
  <si>
    <t>access_method</t>
  </si>
  <si>
    <t>number_of_images</t>
  </si>
  <si>
    <t>The number of images on an SD card.</t>
  </si>
  <si>
    <t>key</t>
  </si>
  <si>
    <t>mandatory</t>
  </si>
  <si>
    <t>blank</t>
  </si>
  <si>
    <t>definition</t>
  </si>
  <si>
    <t>cam_id_new</t>
  </si>
  <si>
    <t>sd_id_new</t>
  </si>
  <si>
    <t>The method used to reach the camera location (e.g., on 'Foot,' 'ATV,' 'Helicopter,' etc.).</t>
  </si>
  <si>
    <t xml:space="preserve">The age classification of individual(s) being categorized (e.g., 'Adult,' 'Juvenile,' 'Subadult,' 'Subadult - Young of Year,' 'Subadult - Yearling,' or 'Unknown'). </t>
  </si>
  <si>
    <t>Animals older than a 'Juvenile' but not yet an 'Adult'; a 'Subadult' may be further classified into 'Young of the Year' or 'Yearling.'</t>
  </si>
  <si>
    <t>Animals approximately one year old; has lived through one winter season; between 'Young of Year' and 'Adult.'</t>
  </si>
  <si>
    <t>Animals less than one year old; born in the previous year's spring, but has not yet lived through a winter season; between 'Juvenile' and 'Yearling.'</t>
  </si>
  <si>
    <t>The behaviour of the individual(s) being categorized (e.g., 'Standing,' 'Drinking,' 'Vigilant,' etc.).</t>
  </si>
  <si>
    <t>The cardinal direction that a camera faces. Ideally, cameras should face north (N; i.e. '0' degrees), or south (S; i.e. '180' degrees) if north is not possible. The Camera Direction should be chosen to ensure the field of view (FOV) is of the original FOV target feature.</t>
  </si>
  <si>
    <t>The location where a single camera was placed (recorded as 'Camera Location Name').</t>
  </si>
  <si>
    <t>A unique alphanumeric identifier for the location where a single camera was placed (e.g., 'bh1,' 'bh2').</t>
  </si>
  <si>
    <t>The make of a particular camera (i.e., the manufacturer, e.g., 'Reconyx' or 'Bushnell').</t>
  </si>
  <si>
    <t>The model number or name of a particular camera (e.g., 'PC900' or 'Trophy Cam HD').</t>
  </si>
  <si>
    <t>The serial number of a particular camera, which is usually found inside the camera cover (e.g., 'P900FF04152022').</t>
  </si>
  <si>
    <t>The first and last names of all the individuals who collected data during the deployment visit ('Deployment Crew') and Service*/Retrieval visit ('Service*/Retrieval Crew').</t>
  </si>
  <si>
    <t>The image numbers for the deployment area photos (if collected, e.g., 'DSC  100'). These are optionally documented on a Camera Deployment Field Datasheet for each set of camera deployment area photos. Leave blank if not applicable.</t>
  </si>
  <si>
    <t>A group of images or video clips that are considered independent from other images or video clips based on a certain time threshold (or 'inter-detection interval'). For example, 30 minutes (O’Brien et al., 2003; Gerber et al., 2010; Kitamura et al., 2010; Samejima et al., 2012) or 1 hour (e.g., Tobler et al., 2008; Rovero &amp; Marshall, 2009).</t>
  </si>
  <si>
    <t>The easting UTM coordinate of the camera location (e.g., '337875'). Record using the NAD83 datum. Leave blank if recording the Longitude instead.</t>
  </si>
  <si>
    <t>Whether detections were reported as an individual image captured by the camera ('Image'), a 'Sequence,' or 'Tag.'</t>
  </si>
  <si>
    <t>A specific man-made or natural feature at which the camera is aimed to maximize the detection of wildlife species or to measure the use of that feature. Record 'None' if a FOV Target Feature was not used and 'Unknown' if not known. If 'Other,' describe in the Camera Location Comments.</t>
  </si>
  <si>
    <t xml:space="preserve">The margin of error of the GPS unit used to record spatial information (e.g., '5' [m]), such as the coordinates of the camera location. On most GPS units (e.g., 'Garmin') this information is provided on the unit’s satellite information page. </t>
  </si>
  <si>
    <t>The activity performed or mode of transportation used by a human observed (e.g., hiker, skier, off-highway vehicle, etc.). This categorical field should be populated when data on humans (in addition to wildlife) are collected. Leave blank if not applicable and record 'Unknown' if not known.</t>
  </si>
  <si>
    <t>An individual image captured by a camera, which may be part of a multi-image sequence (recorded as 'Image Name').</t>
  </si>
  <si>
    <t>The process of assigning class labels to an image according to the wildlife species, other entities (e.g., human, vehicle), or conditions within the image. Image classification can be performed manually or automatically by an artificial intelligence (AI) algorithm. Image classification is sometimes used interchangeably with 'image tagging.'</t>
  </si>
  <si>
    <t>The Image Infrared Illuminator is an image metadata field indicating whether the infrared illuminator setting was enabled (if applicable; to obtain greater visibility at night by producing infrared light). Record as reported in the image Exif data (e.g., 'On' or 'Off'). This field is categorical; leave blank if not applicable and record 'Unknown' if not known.</t>
  </si>
  <si>
    <t>A unique alphanumeric identifier for the image. It is important to include (at a minimum) the camera location, date, time, and image number when generating an Image Name to avoid duplicate file names (e.g., 'bh1_17-Jul-2018_P900FF04152022_22-Jul-2018 10:34:22_img_100' or 'bh1_17-Jul-2018_22-Jul-2018_10:34:22_img_100').</t>
  </si>
  <si>
    <t>The order of the image in a rapid-fire sequence as reported in the image Exif data (text; e.g., '1 of 1' or '1 of 3'). Leave blank if not applicable.</t>
  </si>
  <si>
    <t>The date and time of the last image or video collected during a specific deployment (e.g., '17-Jan-2018 22:10:05').  &lt;br&gt; &lt;br&gt; The Image Set End Date Time may not coincide with the deployment end date time. Recording this field allows users to account for deployments that were conducted but for which no data was found and to confirm the last date and time a camera was active (if functioning) if no images or videos were captured prior to Service*/Retrieval (especially valuable if users did not collect Time-lapse images or if the camera malfunctioned).</t>
  </si>
  <si>
    <t>The date and time of the first image or video collected during a specific deployment (e.g., '17-Jan-2018 12:00:02'). &lt;br&gt;&lt;br&gt; The Image Set Start Date Time may not coincide with the Deployment Start Date Time. Recording this field allows users to confirm the first date and time a camera was active (reliable if Time-lapse images were collected; especially valuable if the user scheduled a start delay).</t>
  </si>
  <si>
    <t>The type of trigger mode used to capture the image as reported in the image Exif data (e.g., 'Time Lapse,' 'Motion Detection,' 'CodeLoc Not Entered,' 'External Sensor'). Record 'Unknown' if not known.</t>
  </si>
  <si>
    <t>Species are often detected 'imperfectly,' meaning that they are not always detected when they are present (e.g., due to cover of vegetation, cryptic nature or small size) (MacKenzie et al., 2004).</t>
  </si>
  <si>
    <t>The expected number of use events of a specific resource unit during a unit of time… [which characterizes] how frequently a particular resource unit is used' (Keim et al., 2019). The intensity of use differs from the probability of use (which characterizes 'the probability of at least one use event of that resource unit during a unit of time'; Keim et al., 2019).</t>
  </si>
  <si>
    <t>The latitude of the camera location in decimal degrees to five decimal places (e.g., '53.78136'). Leave blank if recording Northing instead.</t>
  </si>
  <si>
    <t>The longitude of the camera location in decimal degrees to five decimal places (e.g., '-113.46067'). Leave blank if recording Easting instead.</t>
  </si>
  <si>
    <t>A regression model used in the setting of excess zeros (zero-inflation) and overdispersion (Mullahy, 1986). Hurdle models (aka 'zero-altered' models) differ from zero-inflation models in that they are two-part models, and the zero and non-zero counts are modelling separately (thus, they are only adequate when the counting process cannot generate a zero value) (Blasco-Moreno et al., 2019). [relative abundance indices]</t>
  </si>
  <si>
    <t>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t>
  </si>
  <si>
    <t>An excess of zeros that is 'so large that those expected in standard distributions (e.g., normal, Poisson, binomial, negative binomial and beta)' (Heilbron, 1994) violate the assumptions of such distributions (Martin et al., 2005). Excess zeroes can be a result of ecological effects ('true' zeros) or due to sampling or observer error ('false zeros') (Martin et al., 2005). Excess zeroes contribute to overdispersion, but they don't necessarily account for all excess variability (Blasco-Moreno et al., 2019).</t>
  </si>
  <si>
    <t>A regression model used in the setting of excess zeros (zero-inflation) and overdispersion. This approach is a two-part model, where the zero-inflation is modelled separately from the counts and assumes that the count (abundance) is 'conditional' on the zero-inflation model (occurrence) model. [relative abundance indices]</t>
  </si>
  <si>
    <t>The northing UTM coordinate of the camera location (e.g., '5962006'). Record using the NAD83 datum. Leave blank if recording the Latitude instead.</t>
  </si>
  <si>
    <t>A scientific study, inventory or monitoring program that has a certain objective, defined methods, and a defined boundary in space and time (recorded as 'Project Name').</t>
  </si>
  <si>
    <t>A unique alphanumeric identifier for each project. Ideally, the Project Name should include an abbreviation for the organization, a brief project name, and the year the project began (e.g., 'uofa_oilsands_2018').</t>
  </si>
  <si>
    <t>A grouping of two or more non-independent camera locations, such as when cameras are clustered or paired (recorded as 'Sample Station Name').</t>
  </si>
  <si>
    <t>A sequential alphanumeric identifier for each grouping of two more non-independent camera locations (when cameras are deployed in clusters, pairs, or arrays; e.g., 'ss1' in 'ss1_bh1,' 'ss1_bh2,' 'ss1_bh3' etc.). Leave blank if not applicable.</t>
  </si>
  <si>
    <t>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t>
  </si>
  <si>
    <t>The ID label on an SD card (e.g., 'cmu_100').</t>
  </si>
  <si>
    <t>The equipment used to secure the camera (e.g., 'Security box,' 'Bracket,' 'Bracket + Screws,' or 'None').</t>
  </si>
  <si>
    <t xml:space="preserve">A unique alphanumeric identifier for a multi-image sequence. The Sequence Name should ideally consist of the Deployment Name and the names of the first and last images and videos in the sequence (separated by '_') (i.e., 'Deployment Name'_'img_#[name of first image in sequence]'_'img_#[name of last image in sequence] (e.g., 'bh1_22-Jul-2018_img_001-img_005'). Leave blank if not applicable. </t>
  </si>
  <si>
    <t>The camera setting that can be enabled (if applicable to the camera make and camera model) to obtain greater visibility at night by producing infrared light. This field is categorical; leave blank if not applicable and record 'Unknown' if not known.</t>
  </si>
  <si>
    <t>The time (in seconds) between images within a multi-image sequence that occur due to motion, heat, or activation of external detector devices. The Motion Image Interval is pre-set in the camera’s settings by the user, but the time at which the camera collects images because of this setting is influenced by the presence of movement or heat. For example, if the camera was set to take 3 images per event at a Motion Image Interval of 3 seconds when the camera detects motion or heat, the first image will be collected (e.g., at 09:00:00), the second image will be collected 3 seconds later (09:00:03), and the third will be collected 3 seconds after that (09:00:06).  &lt;br&gt; &lt;br&gt; This setting differs from the Quiet Period in that the delay occurs between images contained within a multi-image sequence, rather than between multi-image sequences (as in Quiet Period). If a Motion Image Interval was not set, enter '0' seconds (i.e., instantaneous).</t>
  </si>
  <si>
    <t>The user-defined camera setting which provides the time (in seconds) between shutter 'triggers' if the camera was programmed to pause between firing initially and firing a second time. If a Quiet Period was not set, enter '0.' &lt;br&gt; &lt;br&gt; Also known as 'time lag' (depending on the Camera Make and Camera Model; Palmer et al., 2018). The Quiet Period differs from the Motion Image Interval in that the delay occurs between multi-image sequences rather than between the images contained within multi-image sequences (as in the Motion Image Interval).</t>
  </si>
  <si>
    <t>The sex classification of individual(s) being categorized (e.g., 'Male,' 'Female,' or 'Unknown').</t>
  </si>
  <si>
    <t>The capitalized common name of the species being categorized ('tagged').</t>
  </si>
  <si>
    <t>A unique research, inventory or monitoring area (spatial boundary) within a project (there may be multiple study areas within a single project) (recorded as 'Study Area Name').</t>
  </si>
  <si>
    <t>The time delay necessary for the camera to shoot a photo once an animal has interrupted the infrared beam within the camera's detection zone (Trolliet et al., 2014). Trigger speed differs from Motion Image Interval (a camera setting specified by the user) in that the trigger speed is inherent to the Camera Make and Camera Model (e.g., two different cameras, models both with a Motion Image Interval set to 'no delay,' may not be able to capture images at the same speed).</t>
  </si>
  <si>
    <t>The number corresponding to the Universal Transverse Mercator (UTM) grid zone where the camera was placed (e.g., '12'). UTM is a coordinate system that divides the earth into grid zones that are identified with a number (representing a width of latitude) and letter (representing the hemisphere). &lt;br&gt; &lt;br&gt;In Alberta the UTM zones are either 11, 12, or TTM. Enter all other UTM zones in the Camera Location Comments field (e.g., zones 7-10 for British Columbia), or use Latitude and Longitude instead of UTM coordinates. &lt;br&gt; &lt;br&gt;</t>
  </si>
  <si>
    <t>The type of bait or lure used at a camera location. Record 'None' if a Bait*/Lure Type was not used and 'Unknown' if not known. If 'Other,' describe in the Deployment Comments.</t>
  </si>
  <si>
    <t>The method*/tools used to attach the camera (e.g., attached to a tree with a bungee cord; reported as codes such as 'Tree + Bungee*/Strap'). If 'Other,' describe in the Camera Location Comments.</t>
  </si>
  <si>
    <t>A unique placement of a camera in space and time (recorded as 'Deployment Name'). There may be multiple deployments for one camera location. Deployments are often considered as the time between visits (i.e., deployment to service, service to service, and service to retrieval). Any change to camera location, sampling period, camera equipment (e.g., Trigger Sensitivity setting, becomes non-functioning), and*/or conditions (e.g., not baited then baited later; camera SD card replaced) should be documented as a unique deployment.</t>
  </si>
  <si>
    <t>Photos of the area around the camera location, collected as a permanent, visual record of the FOV Target Features, Camera Location Characteristics, environmental conditions (e.g., vegetation, ecosite, weather) or other variables of interest. The recommendation includes collecting four photos taken from the centre of the target detection zone (Figure 5), facing each of the four cardinal directions. The documentation of the collection of these photos is recorded as 'Deployment Area Photos Taken' (Y*/N).</t>
  </si>
  <si>
    <t>Whether deployment area photos were taken (yes*/no; optional). The recommendation includes collecting four photos taken from the centre of the target detection zone (Figure 5), facing each of the four cardinal directions.</t>
  </si>
  <si>
    <t>The Image Flash Output is an image metadata field indicating the level of intensity of the flash [if enabled*/applicable]). Record as reported in the image Exif data (e.g., 'Flash Did Not Fire,' 'Auto'). This field is in text format; record 'Unknown' if not known; leave blank if not applicable.</t>
  </si>
  <si>
    <t>Comments describing additional details about the image*/sequence.</t>
  </si>
  <si>
    <t xml:space="preserve">The date and time of an image, or the image chosen to represent the sequence, recorded as 'DD-MMM-YYYY HH:MM:SS' (e.g., 22-Jul-2018 11:02:02).  &lt;br&gt; &lt;br&gt; Sequence date*/time information may be reported for a 'representative image' of a sequence (i.e., the image with the most information). For example, if three images were included in a sequence, but the Sex Class could only be discerned in the second image [all else remaining equal], the second image would be the best representative image of the sequence. &lt;br&gt; &lt;br&gt; The Image*/Sequence Date Time differs from the Image Set Start Date Time which refers to the first image or video collected during a deployment. </t>
  </si>
  <si>
    <t>The number of unique individuals being categorized. Depending on the Event Type, this may be recorded as the total number of individuals, or according to Age Class and*/or Sex Class.</t>
  </si>
  <si>
    <t>The unique ID for the specific key or set of keys used to lock*/secure the camera to the post, tree, etc.</t>
  </si>
  <si>
    <t>Explicitly stated (or implicitly premised) conventions, choices and other specifications (e.g., about the data, wildlife ecology*/behaviour, the relationships between variables, etc.) on which a particular modelling approach is based that allows the model to provide valid inference.</t>
  </si>
  <si>
    <t>The reason for visiting the camera location (i.e. to deploy the camera ['Deployment'], retrieve the camera ['Retrieve'] or to change batteries*/SD card or replace the camera ['Service']).</t>
  </si>
  <si>
    <t>Camera locations or sample stations are chosen based on logistic considerations (e.g., remoteness, access constraints, and*/or costs).</t>
  </si>
  <si>
    <t>The camera setting(s) that determine how the camera will trigger: by motion ('Motion Image'), at set intervals ('Time-lapse image'), and*/or by video ('Video'; possible with newer camera models, such as Reconyx HP2X).</t>
  </si>
  <si>
    <t xml:space="preserve">The camera setting responsible for how sensitive a camera is to activation (to 'triggering') via the infrared and*/or heat detectors (if applicable, e.g., Reconyx HyperFire cameras have a choice between 'Low,' 'Low*/Med,' 'Med,' 'Med*/High,' 'High,' 'Very high' and 'Unknown'). </t>
  </si>
  <si>
    <t>A label (up to 16 characters) that can be programmed in the camera’s settings, and that will be visible in the data band of all photos and videos taken by the camera (Reconyx, 2018). It is recommended that users program the Sample Station Name*/Camera Location Name as the user label, which serves as a means to confirm which Sample Station Name*/Camera Location Name is associated with the images*/videos.</t>
  </si>
  <si>
    <t>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t>
  </si>
  <si>
    <t>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t>
  </si>
  <si>
    <t>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t>
  </si>
  <si>
    <t>A test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t>
  </si>
  <si>
    <t>Whether a walktest was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t>
  </si>
  <si>
    <t>Comments describing additional details about the deployment and*/or Service*/Retrieval visits.</t>
  </si>
  <si>
    <t>key_type</t>
  </si>
  <si>
    <t>field</t>
  </si>
  <si>
    <t>field_option</t>
  </si>
  <si>
    <t>field_name_text</t>
  </si>
  <si>
    <t>mod_rai_poisson</t>
  </si>
  <si>
    <t>mod_divers_rich_beta</t>
  </si>
  <si>
    <t>mod_divers_rich_alpha</t>
  </si>
  <si>
    <t>mod_divers_rich_gamma</t>
  </si>
  <si>
    <t>from</t>
  </si>
  <si>
    <t>substitution2</t>
  </si>
  <si>
    <t>Capture-recapture (CR) / Capture-mark-recapture (CMR)</t>
  </si>
  <si>
    <t>Spatial capture-recapture (SCR) / Spatially explicit capture recapture (SECR)</t>
  </si>
  <si>
    <t>Spatial count (SC) model / Unmarked spatial capture-recapture</t>
  </si>
  <si>
    <t>Spatial count (SC) model / Unmarked spatial capture-recapture (Chandler &amp; Royle, 2013)</t>
  </si>
  <si>
    <t>Species richness</t>
  </si>
  <si>
    <t>Species diversity</t>
  </si>
  <si>
    <t>Poisson</t>
  </si>
  <si>
    <t>Hurdle</t>
  </si>
  <si>
    <t>mod_rai_hurdle</t>
  </si>
  <si>
    <t>mod_rai_zinb</t>
  </si>
  <si>
    <t>Negative binomial (NB)</t>
  </si>
  <si>
    <t>mod_rai_nb</t>
  </si>
  <si>
    <t>mod_rai_zip</t>
  </si>
  <si>
    <t>mod_divers_rich_rich</t>
  </si>
  <si>
    <t>Species inventory, presence</t>
  </si>
  <si>
    <t>key_order</t>
  </si>
  <si>
    <t>format_glossary</t>
  </si>
  <si>
    <t>Detection 'event'</t>
  </si>
  <si>
    <t>Random (or 'simple random') design</t>
  </si>
  <si>
    <t>Trigger 'event'</t>
  </si>
  <si>
    <t>sp_rarity</t>
  </si>
  <si>
    <t>mod_n_mixture</t>
  </si>
  <si>
    <t>mod_overdispersion</t>
  </si>
  <si>
    <t>mod_royle_nichols</t>
  </si>
  <si>
    <t>mod_zero_inflation</t>
  </si>
  <si>
    <t>clarke_et_al_2023</t>
  </si>
  <si>
    <t>overdispersion</t>
  </si>
  <si>
    <t>ref_bib_resource5_ref_id</t>
  </si>
  <si>
    <t>ref_bib_resource1_ref_id</t>
  </si>
  <si>
    <t>ref_bib_resource2_ref_id</t>
  </si>
  <si>
    <t>ref_bib_resource3_ref_id</t>
  </si>
  <si>
    <t>ref_bib_resource4_ref_id</t>
  </si>
  <si>
    <t>ref_bib_resource6_ref_id</t>
  </si>
  <si>
    <t>ref_bib_resource7_ref_id</t>
  </si>
  <si>
    <t>ref_bib_resource8_ref_id</t>
  </si>
  <si>
    <t>placeholder</t>
  </si>
  <si>
    <t>**\*Behaviour**</t>
  </si>
  <si>
    <t>**\*Camera Active On Arrival**</t>
  </si>
  <si>
    <t>**\*Camera Active On Departure**</t>
  </si>
  <si>
    <t>**\*Camera Attachment**</t>
  </si>
  <si>
    <t>**\*Camera Damaged**</t>
  </si>
  <si>
    <t>**\*Camera Direction (degrees)**</t>
  </si>
  <si>
    <t>**\*Camera Location Characteristic(s)**</t>
  </si>
  <si>
    <t>**\*Camera Location Comments**</t>
  </si>
  <si>
    <t>**\*Deployment Area Photo Numbers**</t>
  </si>
  <si>
    <t>**\*Deployment Area Photos Taken**</t>
  </si>
  <si>
    <t>**\*Deployment Comments**</t>
  </si>
  <si>
    <t>**\*Deployment Image Count**</t>
  </si>
  <si>
    <t>**\*FOV Target Feature Distance (m)**</t>
  </si>
  <si>
    <t>**\*Human Transport Mode*/Activity**</t>
  </si>
  <si>
    <t>**\*Image Flash Output**</t>
  </si>
  <si>
    <t>**\*Image Infrared Illuminator</t>
  </si>
  <si>
    <t>**\*Image Trigger Mode</t>
  </si>
  <si>
    <t>**\*Image*/Sequence Comments</t>
  </si>
  <si>
    <t>**\*Key ID</t>
  </si>
  <si>
    <t>**\*# Of Images**</t>
  </si>
  <si>
    <t>**\*Remaining Battery (%)</t>
  </si>
  <si>
    <t>**\*SD Card ID</t>
  </si>
  <si>
    <t>**\*SD Card Replaced</t>
  </si>
  <si>
    <t>**\*SD Card Status (% Full)</t>
  </si>
  <si>
    <t>**\*Security</t>
  </si>
  <si>
    <t>**\*Service*/Retrieval Comments</t>
  </si>
  <si>
    <t>**\*Stake Distance (m)</t>
  </si>
  <si>
    <t>**\*Test Image Taken</t>
  </si>
  <si>
    <t>**\*Video Length (seconds)</t>
  </si>
  <si>
    <t>**\*Visit Comments</t>
  </si>
  <si>
    <t>**\*Walktest Complete</t>
  </si>
  <si>
    <t>**\*Walktest Height (m)**</t>
  </si>
  <si>
    <t>ref_bib_resource9_ref_id</t>
  </si>
  <si>
    <t>ref_bib_resource10_ref_id</t>
  </si>
  <si>
    <t>ref_bib_resource11_ref_id</t>
  </si>
  <si>
    <t>ref_bib_resource12_ref_id</t>
  </si>
  <si>
    <t>ref_bib_resource13_ref_id</t>
  </si>
  <si>
    <t>embed_url</t>
  </si>
  <si>
    <t>[survey](/09_glossary.md#survey)</t>
  </si>
  <si>
    <t>survey</t>
  </si>
  <si>
    <t>survey_design</t>
  </si>
  <si>
    <t>survey_design_description</t>
  </si>
  <si>
    <t>survey_name</t>
  </si>
  <si>
    <t>survey_objectives</t>
  </si>
  <si>
    <t>density</t>
  </si>
  <si>
    <t>kernel_density_estimator</t>
  </si>
  <si>
    <t>Kernel density estimator</t>
  </si>
  <si>
    <t>fov_viewshed_density_estimators</t>
  </si>
  <si>
    <t>Viewshed density estimators</t>
  </si>
  <si>
    <t>**Survey Design**</t>
  </si>
  <si>
    <t>**\*Survey Design Description</t>
  </si>
  <si>
    <t>**Survey Name**</t>
  </si>
  <si>
    <t>**Survey Objectives**</t>
  </si>
  <si>
    <t>Density</t>
  </si>
  <si>
    <t>Survey</t>
  </si>
  <si>
    <t>note</t>
  </si>
  <si>
    <t>NEW</t>
  </si>
  <si>
    <t>Detection probability</t>
  </si>
  <si>
    <t>Density; Unmarked</t>
  </si>
  <si>
    <t>Population size / Absolute abundance / Vital rates / Density; Marked</t>
  </si>
  <si>
    <t>Density / population size; Marked</t>
  </si>
  <si>
    <t>Density; Marked</t>
  </si>
  <si>
    <t>Density / population size; Partially Marked</t>
  </si>
  <si>
    <t>obj_density</t>
  </si>
  <si>
    <t>mod_divers_rich_divers</t>
  </si>
  <si>
    <t>baitlure</t>
  </si>
  <si>
    <t>sampledesign</t>
  </si>
  <si>
    <t>cam_visit</t>
  </si>
  <si>
    <t>detection_fov</t>
  </si>
  <si>
    <t>cam_visit_placement</t>
  </si>
  <si>
    <t>cam_visit_equip</t>
  </si>
  <si>
    <t>cam_visit_deploy</t>
  </si>
  <si>
    <t>cam_visit_settings</t>
  </si>
  <si>
    <t>cam_loc_station</t>
  </si>
  <si>
    <t>cam_visit_equip_check</t>
  </si>
  <si>
    <t>cam_equip</t>
  </si>
  <si>
    <t>Spatially explicit capture-recapture (SECR) / Spatial capture-recapture (SCR) (Borchers &amp; Efford, 2008; Efford, 2004; Royle &amp; Young, 2008; Royle et al., 2009)</t>
  </si>
  <si>
    <t xml:space="preserve">Zero-inflated negative binomial (ZINB) </t>
  </si>
  <si>
    <t>Zero-inflated Poisson (ZIP)</t>
  </si>
  <si>
    <t>mod_appl</t>
  </si>
  <si>
    <t>name_mod_name</t>
  </si>
  <si>
    <t>term_mod_name</t>
  </si>
  <si>
    <t>***New SD Card ID</t>
  </si>
  <si>
    <t>***Animal ID**</t>
  </si>
  <si>
    <t>***Access Method**</t>
  </si>
  <si>
    <t>***Batteries Replaced**</t>
  </si>
  <si>
    <t>Probability of use</t>
  </si>
  <si>
    <t>Intensity of use</t>
  </si>
  <si>
    <t>use_intensity</t>
  </si>
  <si>
    <t>use_probability</t>
  </si>
  <si>
    <t>Absolute abundance / Population size</t>
  </si>
  <si>
    <t>{{ term_def_mod_2flankspim }}</t>
  </si>
  <si>
    <t>{{ term_def_mod_behaviour }}</t>
  </si>
  <si>
    <t>{{ term_def_mod_catspim }}</t>
  </si>
  <si>
    <t>{{ term_def_mod_cr_cmr }}</t>
  </si>
  <si>
    <t>{{ term_def_mod_ds }}</t>
  </si>
  <si>
    <t>{{ term_def_mod_inventory }}</t>
  </si>
  <si>
    <t>{{ term_def_mod_is }}</t>
  </si>
  <si>
    <t>{{ term_def_mod_occupancy }}</t>
  </si>
  <si>
    <t>{{ term_def_mod_rai }}</t>
  </si>
  <si>
    <t>{{ term_def_mod_rai_hurdle }}</t>
  </si>
  <si>
    <t>{{ term_def_mod_rai_nb }}</t>
  </si>
  <si>
    <t>{{ term_def_mod_rai_poisson }}</t>
  </si>
  <si>
    <t>{{ term_def_mod_rai_zinb }}</t>
  </si>
  <si>
    <t>{{ term_def_mod_rai_zip }}</t>
  </si>
  <si>
    <t>{{ term_def_mod_rem }}</t>
  </si>
  <si>
    <t>{{ term_def_mod_rest }}</t>
  </si>
  <si>
    <t>{{ term_def_mod_sc }}</t>
  </si>
  <si>
    <t>{{ term_def_mod_scr_secr }}</t>
  </si>
  <si>
    <t>{{ term_def_mod_smr }}</t>
  </si>
  <si>
    <t>{{ term_def_mod_ste }}</t>
  </si>
  <si>
    <t>{{ term_def_mod_tifc }}</t>
  </si>
  <si>
    <t>{{ term_def_mod_tte }}</t>
  </si>
  <si>
    <t>{{ term_def_mod_divers_rich }}</t>
  </si>
  <si>
    <t>{{ term_def_mod_mr }}</t>
  </si>
  <si>
    <t>{{ term_def_mod_nmixture }}</t>
  </si>
  <si>
    <t>{{ term_def_mod_roylenichols }}</t>
  </si>
  <si>
    <t>mod_divers_rich_rich2</t>
  </si>
  <si>
    <t>ref_bib_resource14_ref_id</t>
  </si>
  <si>
    <t>ref_bib_resource15_ref_id</t>
  </si>
  <si>
    <t>ref_bib_resource16_ref_id</t>
  </si>
  <si>
    <t>ref_bib_resource17_ref_id</t>
  </si>
  <si>
    <t>ref_bib_resource18_ref_id</t>
  </si>
  <si>
    <t>ref_bib_resource19_ref_id</t>
  </si>
  <si>
    <t>ref_bib_resource20_ref_id</t>
  </si>
  <si>
    <t>ref_bib_figure1_ref_id</t>
  </si>
  <si>
    <t>ref_bib_figure2_ref_id</t>
  </si>
  <si>
    <t>ref_bib_figure3_ref_id</t>
  </si>
  <si>
    <t>ref_bib_figure4_ref_id</t>
  </si>
  <si>
    <t>ref_bib_figure5_ref_id</t>
  </si>
  <si>
    <t>ref_bib_figure6_ref_id</t>
  </si>
  <si>
    <t>ref_bib_figure7_ref_id</t>
  </si>
  <si>
    <t>ref_bib_figure8_ref_id</t>
  </si>
  <si>
    <t>ref_bib_figure9_ref_id</t>
  </si>
  <si>
    <t>ref_bib_figure10_ref_id</t>
  </si>
  <si>
    <t>ref_bib_figure11_ref_id</t>
  </si>
  <si>
    <t>ref_bib_figure12_ref_id</t>
  </si>
  <si>
    <t>ref_bib_figure13_ref_id</t>
  </si>
  <si>
    <t>ref_bib_figure14_ref_id</t>
  </si>
  <si>
    <t>ref_bib_figure15_ref_id</t>
  </si>
  <si>
    <t>ref_bib_figure16_ref_id</t>
  </si>
  <si>
    <t>ref_bib_figure17_ref_id</t>
  </si>
  <si>
    <t>ref_bib_figure18_ref_id</t>
  </si>
  <si>
    <t>ref_bib_figure19_ref_id</t>
  </si>
  <si>
    <t>ref_bib_figure20_ref_id</t>
  </si>
  <si>
    <t>Gamma richness (γ)</t>
  </si>
  <si>
    <t>Beta-diversity (β)</t>
  </si>
  <si>
    <t>Alpha richness (α)</t>
  </si>
  <si>
    <t>intext</t>
  </si>
  <si>
    <t>intext2</t>
  </si>
  <si>
    <t>textbib</t>
  </si>
  <si>
    <t>definition_myst</t>
  </si>
  <si>
    <t>The maximum distance that a sensor can detect a target' (Wearn and Glover-Kapfer, 2017).</t>
  </si>
  <si>
    <t>Abundance</t>
  </si>
  <si>
    <t>Biodiversity</t>
  </si>
  <si>
    <t>Bias</t>
  </si>
  <si>
    <t>Data</t>
  </si>
  <si>
    <t>Delay period</t>
  </si>
  <si>
    <t>Detection</t>
  </si>
  <si>
    <t>Environmental monitoring</t>
  </si>
  <si>
    <t>Environmental variable</t>
  </si>
  <si>
    <t>Field of view</t>
  </si>
  <si>
    <t>Habitat</t>
  </si>
  <si>
    <t>Human development</t>
  </si>
  <si>
    <t>Land-based features</t>
  </si>
  <si>
    <t>Feature-based design</t>
  </si>
  <si>
    <t>Partial coverage design</t>
  </si>
  <si>
    <t>Population</t>
  </si>
  <si>
    <t>Relative abundance index (RAI)</t>
  </si>
  <si>
    <t>Sensitivity</t>
  </si>
  <si>
    <t>Species</t>
  </si>
  <si>
    <t>Species occurrence</t>
  </si>
  <si>
    <t>Species-specific</t>
  </si>
  <si>
    <t>Transect design</t>
  </si>
  <si>
    <t>Wildlife camera</t>
  </si>
  <si>
    <t>We have no analysis considerations to recommend based on your selections!&lt;br&gt;However, that doesn't mean that there aren't important aspects to consider. Please think through your design carefully to identify potential sources of bias and error.&lt;br&gt;&lt;br&gt;Here is an example of what you might see in this section:&lt;br&gt;&lt;b&gt;Because you chose...&lt;em&gt;&lt;br&gt;State variable:&lt;/b&gt; "Relative abundance" or "Unknown"&lt;/b&gt;&lt;/em&gt;&lt;br&gt;&lt;b&gt;&gt;&gt;&gt;&lt;/b&gt; Note that when you reach the analysis stage, you will want to select a count model method that most appropriately accounts for "Zero-inflation" and "Overdispersion" (see sections "Overdispersion/Zero-inflation [not yet present] and "Mixed models" [not yet present]).</t>
  </si>
  <si>
    <t xml:space="preserve">Based on your selections, none of the modeling approaches were appropriate, please review your selections to consider less restrictive options.&lt;br&gt;You can also refer to [Appendix A - Table A2](https://ab-rcsc.github.io/RCSC-WildCAM_Remote-Camera-Survey-Guidelines-and-Metadata-Standards/1_survey-guidelines/1_10.1_AppendixA-Tables.html) of the Remote Camera Survey Guidelines (RCSC et al., 2024) to determine what might be too restrictive (e.g., if you only have 10 cameras, you will see that few approaches are appropriate). </t>
  </si>
  <si>
    <t>kemp_et_al_2022</t>
  </si>
  <si>
    <t>In our third edition of the SEEC Stats Toolbox Seminars David Maphisa and Florian Weller explained how to conduct distance sampling. This method relies on either point counts or transect counts in which the distance from the observer to each animal or plant is recorded. These data are then used to estimate density or abundance while reducing observation bias.</t>
  </si>
  <si>
    <t>https://science.uct.ac.za/seec/stats-toolbox-seminars-spatial-and-species-distribution-toolboxes/distance-sampling</t>
  </si>
  <si>
    <t>Distance sampling</t>
  </si>
  <si>
    <t>Estimating survival from CMR data</t>
  </si>
  <si>
    <t>Altwegg, R. (2020). *SEEC Toolbox on estimating survival from CMR data.* &lt;https://science.uct.ac.za/seec/stats-toolbox-seminars-spatial-and-species-distribution-toolboxes/estimating-survival-cmr-data&gt;</t>
  </si>
  <si>
    <t>https://science.uct.ac.za/seec/stats-toolbox-seminars/spatial-and-species-distribution-toolboxes</t>
  </si>
  <si>
    <t>Accuracy</t>
  </si>
  <si>
    <t>Camera trap day</t>
  </si>
  <si>
    <t>Coefficient of variation (CV)</t>
  </si>
  <si>
    <t>Power</t>
  </si>
  <si>
    <t>Precision</t>
  </si>
  <si>
    <t>Sightability</t>
  </si>
  <si>
    <t>Variance</t>
  </si>
  <si>
    <t>Whitlock, Michael, and Dolph Schluter. The Analysis of Biological Data. Third. Book, Whole. New York;Austin;Plymouth;Boston; Macmillan Learning, 2020.</t>
  </si>
  <si>
    <t>Species rarity</t>
  </si>
  <si>
    <t>source</t>
  </si>
  <si>
    <t>rc_tool</t>
  </si>
  <si>
    <t>Home range</t>
  </si>
  <si>
    <t>Access Method</t>
  </si>
  <si>
    <t>Age Class</t>
  </si>
  <si>
    <t>Adult</t>
  </si>
  <si>
    <t>Juvenile</t>
  </si>
  <si>
    <t>Subadult</t>
  </si>
  <si>
    <t>Subadult - Yearling</t>
  </si>
  <si>
    <t>Subadult - Young of Year</t>
  </si>
  <si>
    <t>Analyst</t>
  </si>
  <si>
    <t>Animal ID</t>
  </si>
  <si>
    <t>Bait/Lure Type</t>
  </si>
  <si>
    <t>Batteries Replaced</t>
  </si>
  <si>
    <t>New Camera ID</t>
  </si>
  <si>
    <t>Camera ID</t>
  </si>
  <si>
    <t>Camera Location Name</t>
  </si>
  <si>
    <t>Camera Make</t>
  </si>
  <si>
    <t>New Camera Make</t>
  </si>
  <si>
    <t>Camera Model</t>
  </si>
  <si>
    <t>New Camera Model</t>
  </si>
  <si>
    <t>Camera Serial Number</t>
  </si>
  <si>
    <t>New Camera Serial Number</t>
  </si>
  <si>
    <t>Deployment Crew</t>
  </si>
  <si>
    <t>Deployment End Date Time (DD-MMM-YYYY HH:MM:SS)</t>
  </si>
  <si>
    <t>Deployment Name</t>
  </si>
  <si>
    <t>Deployment Start Date Time (DD-MMM-YYYY HH:MM:SS)</t>
  </si>
  <si>
    <t>Easting Camera Location</t>
  </si>
  <si>
    <t>Event Type</t>
  </si>
  <si>
    <t>FOV Target Feature</t>
  </si>
  <si>
    <t xml:space="preserve">GPS Unit Accuracy (m) </t>
  </si>
  <si>
    <t>Image Name</t>
  </si>
  <si>
    <t>Image/Sequence Date Time (DD-MMM-YYYY HH:MM:SS)</t>
  </si>
  <si>
    <t>Image Set End Date Time (DD-MMM-YYYY HH:MM:SS)</t>
  </si>
  <si>
    <t>Image Set Start Date Time (DD-MMM-YYYY HH:MM:SS)</t>
  </si>
  <si>
    <t>Individual Count</t>
  </si>
  <si>
    <t>Latitude Camera Location</t>
  </si>
  <si>
    <t>Longitude Camera Location</t>
  </si>
  <si>
    <t>Northing Camera Location</t>
  </si>
  <si>
    <t>Project Coordinator</t>
  </si>
  <si>
    <t>Project Coordinator Email</t>
  </si>
  <si>
    <t>Project Description</t>
  </si>
  <si>
    <t>Project Name</t>
  </si>
  <si>
    <t>Purpose of Visit</t>
  </si>
  <si>
    <t>Sample Station Name</t>
  </si>
  <si>
    <t>New SD Card ID</t>
  </si>
  <si>
    <t>Sequence Name</t>
  </si>
  <si>
    <t>Service/Retrieval</t>
  </si>
  <si>
    <t>Service/Retrieval Crew</t>
  </si>
  <si>
    <t>Service/Retrieval metadata</t>
  </si>
  <si>
    <t>Service/Retrieval visit</t>
  </si>
  <si>
    <t>Motion Image Interval (seconds)</t>
  </si>
  <si>
    <t>Photos Per Trigger</t>
  </si>
  <si>
    <t>Quiet Period (seconds)</t>
  </si>
  <si>
    <t>Trigger Sensitivity</t>
  </si>
  <si>
    <t>Sex Class</t>
  </si>
  <si>
    <t>Study Area Description</t>
  </si>
  <si>
    <t>Study Area Name</t>
  </si>
  <si>
    <t>Survey Design</t>
  </si>
  <si>
    <t>Survey Name</t>
  </si>
  <si>
    <t>Survey Objectives</t>
  </si>
  <si>
    <t>Tag</t>
  </si>
  <si>
    <t>Target Species</t>
  </si>
  <si>
    <t xml:space="preserve">Marked individuals / populations / species </t>
  </si>
  <si>
    <t xml:space="preserve">Partially marked individuals / populations / species </t>
  </si>
  <si>
    <t>UTM Zone Camera Location</t>
  </si>
  <si>
    <t>Camera Active On Arrival</t>
  </si>
  <si>
    <t>Camera Active On Departure</t>
  </si>
  <si>
    <t>Camera Attachment</t>
  </si>
  <si>
    <t>Camera Damaged</t>
  </si>
  <si>
    <t>Camera Direction (degrees)</t>
  </si>
  <si>
    <t>Camera Location Characteristic(s)</t>
  </si>
  <si>
    <t>Camera Location Comments</t>
  </si>
  <si>
    <t>Deployment Area Photo Numbers</t>
  </si>
  <si>
    <t>Deployment Area Photos Taken</t>
  </si>
  <si>
    <t>Deployment Comments</t>
  </si>
  <si>
    <t>Deployment Image Count</t>
  </si>
  <si>
    <t>FOV Target Feature Distance (m)</t>
  </si>
  <si>
    <t>Human Transport Mode/Activity</t>
  </si>
  <si>
    <t>Image Flash Output</t>
  </si>
  <si>
    <t>Image Infrared Illuminator</t>
  </si>
  <si>
    <t>Image/Sequence Comments</t>
  </si>
  <si>
    <t>Image Trigger Mode</t>
  </si>
  <si>
    <t>Key ID</t>
  </si>
  <si>
    <t># Of Images</t>
  </si>
  <si>
    <t>Remaining Battery (%)</t>
  </si>
  <si>
    <t>SD Card ID</t>
  </si>
  <si>
    <t>SD Card Replaced</t>
  </si>
  <si>
    <t>SD Card Status (% Full)</t>
  </si>
  <si>
    <t>Security</t>
  </si>
  <si>
    <t>Service/Retrieval Comments</t>
  </si>
  <si>
    <t>Video Length (seconds)</t>
  </si>
  <si>
    <t>Stake Distance (m)</t>
  </si>
  <si>
    <t>Survey Design Description</t>
  </si>
  <si>
    <t>Test Image Taken</t>
  </si>
  <si>
    <t>Visit Comments</t>
  </si>
  <si>
    <t>Walktest Complete</t>
  </si>
  <si>
    <t>Walktest Height (m)</t>
  </si>
  <si>
    <t>strata</t>
  </si>
  <si>
    <t>Strata</t>
  </si>
  <si>
    <t>surv_guide_meta</t>
  </si>
  <si>
    <t>other</t>
  </si>
  <si>
    <t>A method used to estimate the [density](#density) of partially marked populations in which the 'spatial locations of where partial identity samples are captured to probabilistically resolve their complete identities' (Augustine et al., 2018). Paired sampling design is commonly used to capture both the right and left flanks of an animal to resolve individual identities (Augustine et al., 2018). 2-flank SPIM is an extension of the SCR model (Borchers &amp; Efford, 2008; Efford, 2004; Royle &amp; Young, 2008; Royle et al., 2009).</t>
  </si>
  <si>
    <t>A method of estimating the abundance or [density](#density)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[density](#density) estimates (Blanc et al., 2013, Obbard et al., 2010, Sollmann et al., 2011).</t>
  </si>
  <si>
    <t>A method used to estimate the [density](#density) of unmarked populations; uses the rate of independent captures, an estimate of movement rate, average group size, and the area sampled by the remote camera.</t>
  </si>
  <si>
    <t>A method used to estimate population abundance or [density](#density), which assumes that individuals are counted only once per sampling occasion (Royle, 2004), but that does not require all individuals to be marked. Royle-Nichols models are a type of site-structured model (i.e., that 'treat each camera as though it samples... [a] distinct population within a larger meta-population' [Clarke et al., 2023]).</t>
  </si>
  <si>
    <t>The SECR (or SCR) method is used to estimate the [density](#density)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t>
  </si>
  <si>
    <t>A method used to estimate the [density](#density) of 'partially marked populations by combining... [detection] histories of marked [individuals] and counts of unmarked [individuals]' (Doran-Myers, 2018) over several occasions (Sollman et al., 2013a; Rich et al., 2014; Whittington et al., 2018). SMR models can be implemented using different statistical frameworks, including Bayesian estimation (Royle and Young, 2008; Morin et al., 2022).</t>
  </si>
  <si>
    <t>A method used to estimate [density](#density) that treats camera image data as quadrat samples (Becker et al., 2022).</t>
  </si>
  <si>
    <t>The probability of at least one, use event of that resource unit during a unit of time' (i.e.,  would a particular resource unit be used at least once) (Keim et al., 2019).</t>
  </si>
  <si>
    <t>abundance</t>
  </si>
  <si>
    <t>biodiversity</t>
  </si>
  <si>
    <t>bias</t>
  </si>
  <si>
    <t>data</t>
  </si>
  <si>
    <t>delay period</t>
  </si>
  <si>
    <t>detection</t>
  </si>
  <si>
    <t>habitat</t>
  </si>
  <si>
    <t>population</t>
  </si>
  <si>
    <t>sensitivity</t>
  </si>
  <si>
    <t>accuracy</t>
  </si>
  <si>
    <t>power</t>
  </si>
  <si>
    <t>precision</t>
  </si>
  <si>
    <t>sightability</t>
  </si>
  <si>
    <t>variance</t>
  </si>
  <si>
    <t>viewshed</t>
  </si>
  <si>
    <t>home_range</t>
  </si>
  <si>
    <t>occupancy2</t>
  </si>
  <si>
    <t>rai</t>
  </si>
  <si>
    <t>ss</t>
  </si>
  <si>
    <t>abundance2</t>
  </si>
  <si>
    <t>feature_based_design</t>
  </si>
  <si>
    <t>sp_specific</t>
  </si>
  <si>
    <t>delay_period</t>
  </si>
  <si>
    <t>species_richness</t>
  </si>
  <si>
    <t>relative_abundance_index_(rai)</t>
  </si>
  <si>
    <t>clustered_design</t>
  </si>
  <si>
    <t>stratified_design</t>
  </si>
  <si>
    <t>environmental_monitoring</t>
  </si>
  <si>
    <t>environmental_variable</t>
  </si>
  <si>
    <t>human_development</t>
  </si>
  <si>
    <t>land-based_features</t>
  </si>
  <si>
    <t>partial_coverage_design</t>
  </si>
  <si>
    <t>species_occurrence</t>
  </si>
  <si>
    <t>transect_design</t>
  </si>
  <si>
    <t>wildlife_camera</t>
  </si>
  <si>
    <t>coefficient_of_variation_(cv)</t>
  </si>
  <si>
    <t>nbckc_2024a</t>
  </si>
  <si>
    <t>field_name_text_format</t>
  </si>
  <si>
    <t>objective_approach</t>
  </si>
  <si>
    <t>The number of animals detected from one camera/area compared to another camera/area.</t>
  </si>
  <si>
    <t>objective_marked</t>
  </si>
  <si>
    <t>objective_statevar_obj</t>
  </si>
  <si>
    <t>The method used to analyze the camera data, which should depend on the state variable, e.g., occupancy models [MacKenzie et al., 2002], spatially explicit capture recapture (SECR) for [density](#density) estimation [Chandler &amp; Royle, 2013], etc. and the Target Species.</t>
  </si>
  <si>
    <t>Objective</t>
  </si>
  <si>
    <t>Occupancy model</t>
  </si>
  <si>
    <t>Absolute abundance</t>
  </si>
  <si>
    <t>ref</t>
  </si>
  <si>
    <t>Any significant features around the camera at the time of the visit. This may include for example, manmade or natural linear features (e.g., trails), habitat types (e.g., wetlands), wildlife structure (e.g., beaver dam). If 'Other,' describe in the Camera Location Comments. &lt;br&gt;&lt;br&gt;Camera Location Characteristics differ from FOV Target Features in that Camera Location Characteristics could include those not in the camera's Field of View. If 'Other,' describe in the Camera Location Comments.</t>
  </si>
  <si>
    <t>The probability of detecting a species at least once during the entire {{ tl_survey }} (Steenweg et al., 2019).</t>
  </si>
  <si>
    <t>A description of any additional details about the [Survey Design](#survey_design).</t>
  </si>
  <si>
    <t>Methods used to estimate the abundance of unmarked populations from observations of animals that relate animal observations to the space directly sampled by each camera’s viewshed (Moeller et al., 2023); they result in viewshed [density](#density) estimates that can be extrapolated to abundance within broader sampling frames (Gilbert et al., 2020; Moeller et al., 2023).</t>
  </si>
  <si>
    <t>A unique deployment period (temporal extent) within a project (recorded as '[Survey Name](#survey_name)').</t>
  </si>
  <si>
    <t>A user-defined threshold used to define a single 'detection event' (i.e., independent 'events') for group of images or video clips (e.g., 30 minutes or 1 hour). The threshold should be recorded in the [Survey Design Description](#survey_design_description).</t>
  </si>
  <si>
    <t>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Description](#survey_design_description)).</t>
  </si>
  <si>
    <t>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[density](#density) estimators' such as REM or time-to-event (TTE) models; see Moeller et al., [2018] for advantages and disadvantages).</t>
  </si>
  <si>
    <t>The distance between cameras (i.e., also referred to as 'inter-trap distance'). This will be influenced by the chosen sampling design, the [survey](#survey) Objectives, the Target Species and data analysis.</t>
  </si>
  <si>
    <t>A unique alphanumeric identifier for a unique camera deployed during a specific [survey](#survey) period (ideally recorded as: 'Camera Location Name'_'Deployment Start Date' (or …_'Deployment End Date') (e.g., 'bh1_17-Jul-2018' or 'bh1_17-Jul-2018_21-Jan-2019'). &lt;br&gt; &lt;br&gt; Alternative naming conventions may be used, but the goal should be to minimize duplicate Image Names.</t>
  </si>
  <si>
    <t>A method to estimate abundance by using distances at which animals are detected (from [survey](#survey) lines or points) to model abundance as a function of decreasing detection probability with animal distance from the camera (using a decay function) (Cappelle et al., 2021; Howe et al., 2017).</t>
  </si>
  <si>
    <t>A unique alphanumeric identifier for each study area (e.g.,'oilsands_ref1'). If only one area was [survey](#survey)ed, the Project Name and Study Area Name should be the same.</t>
  </si>
  <si>
    <t>The spatial arrangement of remote cameras within the study area for an individual [survey](#survey). If 'Hierarchical (multiple)*/*,' include additional details in the [Survey Design Description](#survey_design_description). &lt;br&gt; &lt;br&gt; Note that we refer to different configurations of cameras more generally as study design and sampling design; however, the term '[Survey Design](#survey_design)' refers to study design as it applies to an individual [survey](#survey). There may be multiple [Survey Designs](#survey_design) for [surveys](#survey) within a project; if this occurs, the [Survey Design](#survey). should be reported separately for each [survey](#survey).</t>
  </si>
  <si>
    <t>A unique alphanumeric identifier for each [survey](#survey) period (e.g., 'fortmc_001').</t>
  </si>
  <si>
    <t>The specific objectives of each [survey](#survey) within a project, including the [Target Species](#target_species), the state variables (e.g., occupancy, [density](#density)), and proposed modelling approach(es). Survey Objectives should be specific, measurable, achievable, relevant, and time-bound (i.e., SMART).</t>
  </si>
  <si>
    <t>The common name(s) of the species that the [survey](#survey) was designed to detect.</t>
  </si>
  <si>
    <t>The number of days that all cameras were active during the [survey](#survey).</t>
  </si>
  <si>
    <t>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t>
  </si>
  <si>
    <t>The number of individuals in a population (Wearn &amp; Glover-Kapfer, 2017).</t>
  </si>
  <si>
    <t>The differences between the communities or, more formally, the variance among the communities  (Wearn &amp; Glover-Kapfer, 2017).</t>
  </si>
  <si>
    <t>The number of species at the level of an individual camera location (Wearn &amp; Glover-Kapfer, 2017).</t>
  </si>
  <si>
    <t>Multiple cameras are deployed at a sample station (Figure 3d). A clustered design can be used within a systematic or stratified approach (i.e., systematic clustered design or as a clustered random design [Wearn &amp; Glover-Kapfer, 2017]).</t>
  </si>
  <si>
    <t>The number of individuals per unit area (Wearn &amp; Glover-Kapfer, 2017)</t>
  </si>
  <si>
    <t>The extent of a scene that is visible in an image; a large FOV is obtained by 'zooming out' from a scene, whilst 'zooming in' will result in a smaller FOV (Wearn &amp; Glover-Kapfer, 2017).</t>
  </si>
  <si>
    <t>The number of species across a whole study area (Wearn &amp; Glover-Kapfer, 2017).</t>
  </si>
  <si>
    <t>A method used to estimate the abundance of partially marked populations using the number of marked individuals, the number of unmarked individuals, and the detection probability from marked animals (Wearn &amp; Glover-Kapfer, 2017). MR is similar to capture-recapture (CR; Karanth, 1995; Karanth &amp; Nichols, 1998) models, except only a portion of animals are individually identified.</t>
  </si>
  <si>
    <t>A formal measure that summarizes the state of a community or population at a particular time (Wearn &amp; Glover-Kapfer, 2017), (e.g., species richness or population abundance).</t>
  </si>
  <si>
    <t>The probability of detecting a species at least once during the entire survey (Steenweg et al., 2019).</t>
  </si>
  <si>
    <t>The distance between cameras (i.e., also referred to as 'inter-trap distance'). This will be influenced by the chosen sampling design, the survey Objectives, the Target Species and data analysis.</t>
  </si>
  <si>
    <t>A unique alphanumeric identifier for a unique camera deployed during a specific survey period (ideally recorded as: 'Camera Location Name'_'Deployment Start Date' (or …_'Deployment End Date') (e.g., 'bh1_17-Jul-2018' or 'bh1_17-Jul-2018_21-Jan-2019'). &lt;br&gt; &lt;br&gt; Alternative naming conventions may be used, but the goal should be to minimize duplicate Image Names.</t>
  </si>
  <si>
    <t>A method to estimate abundance by using distances at which animals are detected (from survey lines or points) to model abundance as a function of decreasing detection probability with animal distance from the camera (using a decay function) (Cappelle et al., 2021; Howe et al., 2017).</t>
  </si>
  <si>
    <t>A unique alphanumeric identifier for each study area (e.g.,'oilsands_ref1'). If only one area was surveyed, the Project Name and Study Area Name should be the same.</t>
  </si>
  <si>
    <t>A unique alphanumeric identifier for each survey period (e.g., 'fortmc_001').</t>
  </si>
  <si>
    <t>The common name(s) of the species that the survey was designed to detect.</t>
  </si>
  <si>
    <t>The number of days that all cameras were active during the survey.</t>
  </si>
  <si>
    <t>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t>
  </si>
  <si>
    <t>The method used to analyze the camera data, which should depend on the state variable, e.g., occupancy models [MacKenzie et al., 2002], spatially explicit capture recapture (SECR) for density estimation [Chandler &amp; Royle, 2013], etc. and the Target Species.</t>
  </si>
  <si>
    <t>A method used to estimate the density of unmarked populations; uses the rate of independent captures, an estimate of movement rate, average group size, and the area sampled by the remote camera.</t>
  </si>
  <si>
    <t>A method used to estimate population abundance or density, which assumes that individuals are counted only once per sampling occasion (Royle, 2004), but that does not require all individuals to be marked. Royle-Nichols models are a type of site-structured model (i.e., that 'treat each camera as though it samples... [a] distinct population within a larger meta-population' [Clarke et al., 2023]).</t>
  </si>
  <si>
    <t>A method used to estimate the density of 'partially marked populations by combining... [detection] histories of marked [individuals] and counts of unmarked [individuals]' (Doran-Myers, 2018) over several occasions (Sollman et al., 2013a; Rich et al., 2014; Whittington et al., 2018). SMR models can be implemented using different statistical frameworks, including Bayesian estimation (Royle and Young, 2008; Morin et al., 2022).</t>
  </si>
  <si>
    <t>A method used to estimate the density of partially marked populations in which the 'spatial locations of where partial identity samples are captured to probabilistically resolve their complete identities' (Augustine et al., 2018). Paired sampling design is commonly used to capture both the right and left flanks of an animal to resolve individual identities (Augustine et al., 2018). 2-flank SPIM is an extension of the SCR model (Borchers &amp; Efford, 2008; Efford, 2004; Royle &amp; Young, 2008; Royle et al., 2009).</t>
  </si>
  <si>
    <t>The SECR (or SCR) method is used to estimate the 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t>
  </si>
  <si>
    <t>A method used to estimate density that treats camera image data as quadrat samples (Becker et al., 2022).</t>
  </si>
  <si>
    <t>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 estimators' such as REM or time-to-event (TTE) models; see Moeller et al., [2018] for advantages and disadvantages).</t>
  </si>
  <si>
    <t>Methods used to estimate the abundance of unmarked populations from observations of animals that relate animal observations to the space directly sampled by each camera’s viewshed (Moeller et al., 2023); they result in viewshed density estimates that can be extrapolated to abundance within broader sampling frames (Gilbert et al., 2020; Moeller et al., 2023).</t>
  </si>
  <si>
    <t>A method used to estimate the density of partially marked populations in which the 'spatial locations of where partial identity samples are captured to probabilistically resolve their complete identities' (Augustine et al., 2018, 2019). catSPIM models use partial identity traits (e.g., sex class, antler points) to help infer individual identities (Augustine et al., 2019; Sun et al., 2022). catSPIM is an extension of the SC model (Chandler &amp; Royle, 2013).</t>
  </si>
  <si>
    <t>The probability of 'utilization' (Jennrich &amp; Turner, 1969); describes the relative probability of use (Powell &amp; Mitchell, 2012).</t>
  </si>
  <si>
    <t>Rapid assessment surveys used to determine what species are present in a given area at a given point in time; there is no attempt made to quantify aspects of communities or populations (Wearn &amp; Glover-Kapfer, 2017).</t>
  </si>
  <si>
    <t>A user-defined threshold used to define a single 'detection event' (i.e., independent 'events') for group of images or video clips (e.g., 30 minutes or 1 hour). The threshold should be recorded in the Survey Design Description.</t>
  </si>
  <si>
    <t>A method used to estimate abundance or density from time-lapse images from randomly deployed cameras; the number of unique individuals (the count) is needed (Moeller et al., 2018).</t>
  </si>
  <si>
    <t>Any substance that draws animals closer; lures include scent (olfactory) lure, visual lure and audible lure (Schlexer, 2008).</t>
  </si>
  <si>
    <t>The probability a site is occupied by the species (Mackenzie et al., 2002). Occupancy is also highly suitable for evaluating broad-scale patterns of species distribution (Wearn &amp; Glover-Kapfer, 2017).</t>
  </si>
  <si>
    <t>The probability a site is occupied by the species (Mackenzie et al., 2002).</t>
  </si>
  <si>
    <t>A variance significantly larger than the mean (Bliss &amp; Fisher, 1953); greater variability in a set of data than predicted by the error structure of the model (Harrison et al., 2018); excess variability can be caused by zero inflation, non-independence of counts, or both (Zurr et al., 2009).</t>
  </si>
  <si>
    <t>The number of species found in the community/area measured (Pyron, 2010).</t>
  </si>
  <si>
    <t>The specific objectives of each survey within a project, including the Target Species, the state variables (e.g., occupancy, density), and proposed modelling approach(es). Survey Objectives should be specific, measurable, achievable, relevant, and time-bound (i.e., SMART).</t>
  </si>
  <si>
    <t>The species-specific factors of a population that, together, play a large role in the population's trend. These include the birth rate, recruitment rate, and probability of survival and mortality.' (NBCKC, 2024a)</t>
  </si>
  <si>
    <t>Any material that draws animals closer via their sense of sight (Schlexer, 2008).</t>
  </si>
  <si>
    <t>Any material that draws animals closer via their sense of smell (Schlexer, 2008).</t>
  </si>
  <si>
    <t>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t>
  </si>
  <si>
    <t>A method used to estimate abundance or density that accounts for variable detection probability through the use of time-lapse images and is unaffected by animal movement rates (collapses sampling intervals to an instant in time, and thus estimates are unaffected by animal movement rates) (Moeller et al., 2018).</t>
  </si>
  <si>
    <t>A method used to estimate abundance or density from the detection rate while accounting for animal movement rates (Moeller et al., 2018). The TTE model assumes perfect detection (though there is a model extension to account for imperfect detection that requires further testing).</t>
  </si>
  <si>
    <t>A description of any additional details about the Survey Design.</t>
  </si>
  <si>
    <t>The spatial arrangement of remote cameras within the study area for an individual survey. If 'Hierarchical (multiple)*/*,' include additional details in the Survey Design Description. &lt;br&gt; &lt;br&gt; Note that we refer to different configurations of cameras more generally as study design and sampling design; however, the term 'Survey Design' refers to study design as it applies to an individual survey. There may be multiple Survey Designs for surveys within a project; if this occurs, the Survey Design. should be reported separately for each survey.</t>
  </si>
  <si>
    <t>A unique deployment period (temporal extent) within a project (recorded as 'Survey Name').</t>
  </si>
  <si>
    <t>The total number of species in an assemblage or a sample' (Gotelli &amp; Chao, 2013).</t>
  </si>
  <si>
    <t>A measure of diversity that incorporates both the number of species in an assemblage and some measure of their relative abundances.' (Gotelli &amp; Chao, 2013)</t>
  </si>
  <si>
    <t>A method used to estimate the density of unmarked populations; similar to SECR (Borchers &amp; Efford, 2008; Efford, 2004; Royle &amp; Young, 2008; Royle et al., 2009); however, SC models account for individuals' unknown identities using the spatial pattern of detections (Chandler &amp; Royle, 2013; Sun et al., 2022). SC uses trap-specific counts to estimate the location and number of activity centres to estimate density.</t>
  </si>
  <si>
    <t>A food item (or other substance) that is placed to attract animals via the sense of taste and olfactory cues (Schlexer, 2008).</t>
  </si>
  <si>
    <t>Sounds imitating noises of prey or conspecifics that draw animals closer by eliciting curiosity (Schlexer, 2008).</t>
  </si>
  <si>
    <t>Vital rate</t>
  </si>
  <si>
    <t>xx</t>
  </si>
  <si>
    <t>\" target=\"_blank\" data-bs-toggle=\"tooltip\" data-bs-title=\"</t>
  </si>
  <si>
    <t>upper</t>
  </si>
  <si>
    <t>Spatial partial identity model (2-flank SPIM)</t>
  </si>
  <si>
    <t>Instantaneous sampling (IS) model (Moeller et al., 2018)</t>
  </si>
  <si>
    <t>species diversity &amp; richness</t>
  </si>
  <si>
    <t>alpha richness (α)</t>
  </si>
  <si>
    <t>audible lure</t>
  </si>
  <si>
    <t>bait</t>
  </si>
  <si>
    <t>beta-diversity (β)</t>
  </si>
  <si>
    <t>camera angle</t>
  </si>
  <si>
    <t>camera days per camera location</t>
  </si>
  <si>
    <t>camera spacing</t>
  </si>
  <si>
    <t>clustered design</t>
  </si>
  <si>
    <t>convenience design</t>
  </si>
  <si>
    <t>cumulative detection probability</t>
  </si>
  <si>
    <t>deployment area photos</t>
  </si>
  <si>
    <t>deployment metadata</t>
  </si>
  <si>
    <t>deployment visit</t>
  </si>
  <si>
    <t>detection distance</t>
  </si>
  <si>
    <t>detection 'event'</t>
  </si>
  <si>
    <t>detection probability (aka detectability)</t>
  </si>
  <si>
    <t>detection rate</t>
  </si>
  <si>
    <t>detection zone</t>
  </si>
  <si>
    <t>effective detection distance</t>
  </si>
  <si>
    <t>false trigger</t>
  </si>
  <si>
    <t>flash output</t>
  </si>
  <si>
    <t>gamma richness (γ)</t>
  </si>
  <si>
    <t>image classification</t>
  </si>
  <si>
    <t xml:space="preserve">image classification confidence </t>
  </si>
  <si>
    <t>image processing</t>
  </si>
  <si>
    <t>image tagging</t>
  </si>
  <si>
    <t>imperfect detection</t>
  </si>
  <si>
    <t>independent detections</t>
  </si>
  <si>
    <t>infrared illuminator</t>
  </si>
  <si>
    <t>intensity of use</t>
  </si>
  <si>
    <t>intensity of use (Keim et al., 2019)</t>
  </si>
  <si>
    <t>inter-detection interval</t>
  </si>
  <si>
    <t>inventory</t>
  </si>
  <si>
    <t>kernel density estimator</t>
  </si>
  <si>
    <t>lure</t>
  </si>
  <si>
    <t>model assumption</t>
  </si>
  <si>
    <t>modelling approach</t>
  </si>
  <si>
    <t>n-mixture</t>
  </si>
  <si>
    <t>n-mixture models</t>
  </si>
  <si>
    <t>paired design</t>
  </si>
  <si>
    <t>poisson regression</t>
  </si>
  <si>
    <t>probability of use</t>
  </si>
  <si>
    <t>random (or 'simple random') design</t>
  </si>
  <si>
    <t>recovery time</t>
  </si>
  <si>
    <t>registration area</t>
  </si>
  <si>
    <t>relative abundance</t>
  </si>
  <si>
    <t>relative abundance indices</t>
  </si>
  <si>
    <t>sample station</t>
  </si>
  <si>
    <t>scent lure</t>
  </si>
  <si>
    <t>spatial autocorrelation</t>
  </si>
  <si>
    <t>species diversity</t>
  </si>
  <si>
    <t>species inventory</t>
  </si>
  <si>
    <t>species richness</t>
  </si>
  <si>
    <t>state variable</t>
  </si>
  <si>
    <t>stratified design</t>
  </si>
  <si>
    <t xml:space="preserve">stratified random design </t>
  </si>
  <si>
    <t>study area</t>
  </si>
  <si>
    <t>systematic design</t>
  </si>
  <si>
    <t>systematic random design</t>
  </si>
  <si>
    <t>targeted design</t>
  </si>
  <si>
    <t>test image</t>
  </si>
  <si>
    <t>time-lapse image</t>
  </si>
  <si>
    <t>total number of camera days</t>
  </si>
  <si>
    <t>trigger 'event'</t>
  </si>
  <si>
    <t>trigger speed</t>
  </si>
  <si>
    <t>user label</t>
  </si>
  <si>
    <t>viewshed density estimators</t>
  </si>
  <si>
    <t>visit metadata</t>
  </si>
  <si>
    <t>visual lure</t>
  </si>
  <si>
    <t>vital rate</t>
  </si>
  <si>
    <t>zero-inflation</t>
  </si>
  <si>
    <t>service/retrieval</t>
  </si>
  <si>
    <t>service/retrieval metadata</t>
  </si>
  <si>
    <t>service/retrieval visit</t>
  </si>
  <si>
    <t>absolute abundance / population size</t>
  </si>
  <si>
    <t>sub_fieldname</t>
  </si>
  <si>
    <t>only_upper</t>
  </si>
  <si>
    <t>Capture-recapture (CR) / Capture-mark-recapture (CMR) (Karanth, 1995; Karanth &amp; Nichols, 1998)</t>
  </si>
  <si>
    <t>Categorical partial identity model (Categorical SPIM; catSPIM)</t>
  </si>
  <si>
    <t>Categorical partial identity model (Categorical SPIM; catSPIM) (Augustine et al., 2019; Sun et al., 2022)</t>
  </si>
  <si>
    <t>tip_f2</t>
  </si>
  <si>
    <t>tip_f3</t>
  </si>
  <si>
    <t>tip_f4</t>
  </si>
  <si>
    <t>-</t>
  </si>
  <si>
    <t>rarefaction</t>
  </si>
  <si>
    <t>A method used to estimate abundance or [density](#density) from the detection rate while accounting for animal movement rates ({{ rtxt_moeller_et_al_2018 }}). The TTE model assumes perfect detection (though there is a model extension to account for imperfect detection that requires further testing).</t>
  </si>
  <si>
    <t>A method used to estimate the [density](#density) of unmarked populations; similar to SECR (Borchers &amp; Efford, 2008; Efford, 2004; Royle &amp; Young, 2008; Royle et al., 2009); however, SC models account for individuals' unknown identities using the spatial pattern of detections ({{ rtxt_chandler_royle_2013 }}; Sun et al., 2022). SC uses trap-specific counts to estimate the location and number of activity centres to estimate [density](#density).</t>
  </si>
  <si>
    <t>A method used to estimate abundance or [density](#density) that accounts for variable detection probability through the use of time-lapse images and is unaffected by animal movement rates (collapses sampling intervals to an instant in time, and thus estimates are unaffected by animal movement rates) ({{ rtxt_moeller_et_al_2018 }}).</t>
  </si>
  <si>
    <t>A method used to estimate the abundance of partially marked populations using the number of marked individuals, the number of unmarked individuals, and the detection probability from marked animals ({{ rtxt_wearn_gloverkapfer_2017 }}). MR is similar to capture-recapture (CR; Karanth, 1995; Karanth &amp; Nichols, 1998) models, except only a portion of animals are individually identified.</t>
  </si>
  <si>
    <t>A method used to estimate abundance or [density](#density) from time-lapse images from randomly deployed cameras; the number of unique individuals (the count) is needed ({{ rtxt_moeller_et_al_2018 }}).</t>
  </si>
  <si>
    <t>The extent of a scene that is visible in an image; a large FOV is obtained by 'zooming out' from a scene, whilst 'zooming in' will result in a smaller FOV ({{ rtxt_wearn_gloverkapfer_2017 }}).</t>
  </si>
  <si>
    <t>A method used to estimate the [density](#density) of partially marked populations in which the 'spatial locations of where partial identity samples are captured to probabilistically resolve their complete identities' (Augustine et al., 2018, 2019). catSPIM models use partial identity traits (e.g., sex class, antler points) to help infer individual identities (Augustine et al., 2019; Sun et al., 2022). catSPIM is an extension of the SC model ({{ rtxt_chandler_royle_2013 }}).</t>
  </si>
  <si>
    <t>The species-specific factors of a population that, together, play a large role in the population's trend. These include the birth rate, recruitment rate, and probability of survival and mortality.' ({{ rtxt_nbckc_2024a }})</t>
  </si>
  <si>
    <t>Any material that draws animals closer via their sense of sight ({{ rtxt_schlexer_2008 }}).</t>
  </si>
  <si>
    <t>The total number of species in an assemblage or a sample' ({{ rtxt_gotelli_chao_2013 }}).</t>
  </si>
  <si>
    <t>The number of species found in the community/area measured ({{ rtxt_pyron_2010 }}).</t>
  </si>
  <si>
    <t>Rapid assessment [surveys](#survey) used to determine what species are present in a given area at a given point in time; there is no attempt made to quantify aspects of communities or populations ({{ rtxt_wearn_gloverkapfer_2017 }}).</t>
  </si>
  <si>
    <t>A measure of diversity that incorporates both the number of species in an assemblage and some measure of their relative abundances.' ({{ rtxt_gotelli_chao_2013 }})</t>
  </si>
  <si>
    <t>Any material that draws animals closer via their sense of smell ({{ rtxt_schlexer_2008 }}).</t>
  </si>
  <si>
    <t>The probability a site is occupied by the species ({{ rtxt_mackenzie_et_al_2002 }}). Occupancy is also highly suitable for evaluating broad-scale patterns of species distribution ({{ rtxt_wearn_gloverkapfer_2017 }}).</t>
  </si>
  <si>
    <t>The probability of 'utilization' ({{ rtxt_jennrich_turner_1969 }}); describes the relative probability of use (Powell &amp; Mitchell, 2012).</t>
  </si>
  <si>
    <t>The number of species across a whole study area ({{ rtxt_wearn_gloverkapfer_2017 }}).</t>
  </si>
  <si>
    <t>The number of individuals per unit area ({{ rtxt_wearn_gloverkapfer_2017 }})</t>
  </si>
  <si>
    <t>Multiple cameras are deployed at a sample station (Figure 3d). A clustered design can be used within a systematic or stratified approach (i.e., systematic clustered design or as a clustered random design [{{ rtxt_wearn_gloverkapfer_2017 }}]).</t>
  </si>
  <si>
    <t>The differences between the communities or, more formally, the variance among the communities ({{ rtxt_wearn_gloverkapfer_2017 }}).</t>
  </si>
  <si>
    <t>Sounds imitating noises of prey or conspecifics that draw animals closer by eliciting curiosity ({{ rtxt_schlexer_2008 }}).</t>
  </si>
  <si>
    <t>The number of species at the level of an individual camera location ({{ rtxt_wearn_gloverkapfer_2017 }}).</t>
  </si>
  <si>
    <t>The number of individuals in a population ({{ rtxt_wearn_gloverkapfer_2017 }}).</t>
  </si>
  <si>
    <t>A variance significantly larger than the mean ({{ rtxt_bliss_fisher_1953 }}); greater variability in a set of data than predicted by the error structure of the model (Harrison et al., 2018); excess variability can be caused by zero inflation, non-independence of counts, or both ({{ rtxt_zurr_et_al_2009 }}).</t>
  </si>
  <si>
    <t>The probability a site is occupied by the species ({{ rtxt_mackenzie_et_al_2002 }}).</t>
  </si>
  <si>
    <t>Any substance that draws animals closer; lures include scent (olfactory) lure, visual lure and audible lure ({{ rtxt_schlexer_2008 }}).</t>
  </si>
  <si>
    <t>Rapid assessment [surveys](#survey) to determine what species are present in a given area at a given point in time; there is no attempt made to quantify aspects of communities or populations ({{ rtxt_wearn_gloverkapfer_2017 }}).</t>
  </si>
  <si>
    <t>A food item (or other substance) that is placed to attract animals via the sense of taste and olfactory cues ({{ rtxt_schlexer_2008 }}).</t>
  </si>
  <si>
    <t>rtxt_figure1_ref_id</t>
  </si>
  <si>
    <t>rtxt_figure10_ref_id</t>
  </si>
  <si>
    <t>rtxt_figure11_ref_id</t>
  </si>
  <si>
    <t>rtxt_figure12_ref_id</t>
  </si>
  <si>
    <t>rtxt_figure13_ref_id</t>
  </si>
  <si>
    <t>rtxt_figure14_ref_id</t>
  </si>
  <si>
    <t>rtxt_figure15_ref_id</t>
  </si>
  <si>
    <t>rtxt_figure16_ref_id</t>
  </si>
  <si>
    <t>rtxt_figure17_ref_id</t>
  </si>
  <si>
    <t>rtxt_figure18_ref_id</t>
  </si>
  <si>
    <t>rtxt_figure19_ref_id</t>
  </si>
  <si>
    <t>rtxt_figure2_ref_id</t>
  </si>
  <si>
    <t>rtxt_figure20_ref_id</t>
  </si>
  <si>
    <t>rtxt_figure3_ref_id</t>
  </si>
  <si>
    <t>rtxt_figure4_ref_id</t>
  </si>
  <si>
    <t>rtxt_figure5_ref_id</t>
  </si>
  <si>
    <t>rtxt_figure6_ref_id</t>
  </si>
  <si>
    <t>rtxt_figure7_ref_id</t>
  </si>
  <si>
    <t>rtxt_figure8_ref_id</t>
  </si>
  <si>
    <t>rtxt_figure9_ref_id</t>
  </si>
  <si>
    <t>rtxt_resource1_ref_id</t>
  </si>
  <si>
    <t>rtxt_resource10_ref_id</t>
  </si>
  <si>
    <t>rtxt_resource11_ref_id</t>
  </si>
  <si>
    <t>rtxt_resource12_ref_id</t>
  </si>
  <si>
    <t>rtxt_resource13_ref_id</t>
  </si>
  <si>
    <t>rtxt_resource14_ref_id</t>
  </si>
  <si>
    <t>rtxt_resource15_ref_id</t>
  </si>
  <si>
    <t>rtxt_resource16_ref_id</t>
  </si>
  <si>
    <t>rtxt_resource17_ref_id</t>
  </si>
  <si>
    <t>rtxt_resource18_ref_id</t>
  </si>
  <si>
    <t>rtxt_resource19_ref_id</t>
  </si>
  <si>
    <t>rtxt_resource2_ref_id</t>
  </si>
  <si>
    <t>rtxt_resource20_ref_id</t>
  </si>
  <si>
    <t>rtxt_resource3_ref_id</t>
  </si>
  <si>
    <t>rtxt_resource4_ref_id</t>
  </si>
  <si>
    <t>rtxt_resource5_ref_id</t>
  </si>
  <si>
    <t>rtxt_resource6_ref_id</t>
  </si>
  <si>
    <t>rtxt_resource7_ref_id</t>
  </si>
  <si>
    <t>rtxt_resource8_ref_id</t>
  </si>
  <si>
    <t>rtxt_resource9_ref_id</t>
  </si>
  <si>
    <t>rtxt_vid1_ref_id</t>
  </si>
  <si>
    <t>rtxt_vid2_ref_id</t>
  </si>
  <si>
    <t>rtxt_vid3_ref_id</t>
  </si>
  <si>
    <t>rtxt_vid4_ref_id</t>
  </si>
  <si>
    <t>rtxt_vid5_ref_id</t>
  </si>
  <si>
    <t>rtxt_vid6_ref_id</t>
  </si>
  <si>
    <t>rtxt_vid7_ref_id</t>
  </si>
  <si>
    <t>rtxt_vid8_ref_id</t>
  </si>
  <si>
    <t>rtxt_vid9_ref_id</t>
  </si>
  <si>
    <t>tooltip</t>
  </si>
  <si>
    <t>variant</t>
  </si>
  <si>
    <t>Camera Height</t>
  </si>
  <si>
    <t>Camera Direction</t>
  </si>
  <si>
    <t>Deployment Start Date Time</t>
  </si>
  <si>
    <t>Deployment End Date Time</t>
  </si>
  <si>
    <t>catSPIM</t>
  </si>
  <si>
    <t>Camera Location Characteristics</t>
  </si>
  <si>
    <t>Camera locations</t>
  </si>
  <si>
    <t>Time-lapse images</t>
  </si>
  <si>
    <t>Test images</t>
  </si>
  <si>
    <t>Random design</t>
  </si>
  <si>
    <t>Motion Image Interval</t>
  </si>
  <si>
    <t>Image/Sequence Date Time</t>
  </si>
  <si>
    <t>Image Set Start Date Time</t>
  </si>
  <si>
    <t>Image Set End Date Time</t>
  </si>
  <si>
    <t>GPS Unit Accuracy</t>
  </si>
  <si>
    <t>FOV Target Feature Distance</t>
  </si>
  <si>
    <t>Video Length</t>
  </si>
  <si>
    <t>Walktest Height</t>
  </si>
  <si>
    <t>Walktest Distance</t>
  </si>
  <si>
    <t>Stake Distance</t>
  </si>
  <si>
    <t>SD Card Status</t>
  </si>
  <si>
    <t xml:space="preserve">Quiet Period </t>
  </si>
  <si>
    <t>[Study areas](#study_area)</t>
  </si>
  <si>
    <t>[Surveys](#survey)</t>
  </si>
  <si>
    <t>[Deployment End Date Time](#deployment_end_date_time)</t>
  </si>
  <si>
    <t>[Deployment Start Date Time](#deployment_start_date_time)</t>
  </si>
  <si>
    <t>[FOV Target Feature Distance](#fov_target_distance)</t>
  </si>
  <si>
    <t>[GPS Unit Accuracy](#gps_unit_accuracy)</t>
  </si>
  <si>
    <t>[SD Card Status](#sd_card_status)</t>
  </si>
  <si>
    <t>[Quiet Period ](#settings_quiet_period)</t>
  </si>
  <si>
    <t>[Video Length](#settings_video_length)</t>
  </si>
  <si>
    <t>[Stake Distance](#stake_distance)</t>
  </si>
  <si>
    <t>[Walktest Distance](#walktest_distance)</t>
  </si>
  <si>
    <t>[Walktest Height](#walktest_height)</t>
  </si>
  <si>
    <t>[Random design](#sampledesign_random)</t>
  </si>
  <si>
    <t>[detectability](#detection_probability)</t>
  </si>
  <si>
    <t>[Detection probability](#detection_probability)</t>
  </si>
  <si>
    <t>[FOV](#field_of_view)</t>
  </si>
  <si>
    <t>[False triggers](#false_trigger)</t>
  </si>
  <si>
    <t>[Behaviours](#behaviour)</t>
  </si>
  <si>
    <t>[Age Classes](#age_class)</t>
  </si>
  <si>
    <t>[Visits](#visit)</t>
  </si>
  <si>
    <t>[Time-lapse images](#timelapse_image)</t>
  </si>
  <si>
    <t>[Test images](#test_image)</t>
  </si>
  <si>
    <t>[Tags](#tag)</t>
  </si>
  <si>
    <t>[Survey Designs](#survey_design)</t>
  </si>
  <si>
    <t>[Objectives](#survey_objectives)</t>
  </si>
  <si>
    <t>[objectives](#survey_objectives)</t>
  </si>
  <si>
    <t>[study areas](#study_area)</t>
  </si>
  <si>
    <t>[surveys](#survey)</t>
  </si>
  <si>
    <t>[tags](#tag)</t>
  </si>
  <si>
    <t>[test images](#test_image)</t>
  </si>
  <si>
    <t>[time-lapse images](#timelapse_image)</t>
  </si>
  <si>
    <t>[visits](#visit)</t>
  </si>
  <si>
    <t>[behaviours](#behaviour)</t>
  </si>
  <si>
    <t>[false triggers](#false_trigger)</t>
  </si>
  <si>
    <t>[Sample stations](#sample_station)</t>
  </si>
  <si>
    <t>[Sequences](#sequence)</t>
  </si>
  <si>
    <t>[Sex Classes](#sex_class)</t>
  </si>
  <si>
    <t>[State variables](#state_variable)</t>
  </si>
  <si>
    <t>[Projects](#project)</t>
  </si>
  <si>
    <t>[Random](#sampledesign_random)</t>
  </si>
  <si>
    <t>[random](#sampledesign_random)</t>
  </si>
  <si>
    <t>[projects](#project)</t>
  </si>
  <si>
    <t>[sample stations](#sample_station)</t>
  </si>
  <si>
    <t>[sequences](#sequence)</t>
  </si>
  <si>
    <t>[state variables](#state_variable)</t>
  </si>
  <si>
    <t>[Occupancy models (MacKenzie et al., 2002)](#mod_occupancy)</t>
  </si>
  <si>
    <t>[catSPIM](#mod_catspim)</t>
  </si>
  <si>
    <t>[N-mixture](#mod_n_mixture)</t>
  </si>
  <si>
    <t>[ZINB](#mod_rai_zinb)</t>
  </si>
  <si>
    <t>[ZIP](#mod_rai_zip)</t>
  </si>
  <si>
    <t>[REM](#mod_rem)</t>
  </si>
  <si>
    <t>[REST](#mod_rest)</t>
  </si>
  <si>
    <t>[SC](#mod_sc)</t>
  </si>
  <si>
    <t>[SECR](#mod_scr_secr)</t>
  </si>
  <si>
    <t>[SCR](#mod_scr_secr)</t>
  </si>
  <si>
    <t>[SMR](#mod_smr)</t>
  </si>
  <si>
    <t>type2</t>
  </si>
  <si>
    <t>[CMR](#mod_cr_cmr)</t>
  </si>
  <si>
    <t>[CR](#mod_cr_cmr)</t>
  </si>
  <si>
    <t>[Poisson](#mod_rai_poisson)</t>
  </si>
  <si>
    <t>[Absolute abundance](#obj_abundance)</t>
  </si>
  <si>
    <t>Make</t>
  </si>
  <si>
    <t>Model</t>
  </si>
  <si>
    <t>Serial Number</t>
  </si>
  <si>
    <t>CMR</t>
  </si>
  <si>
    <t>ZINB</t>
  </si>
  <si>
    <t>ZIP</t>
  </si>
  <si>
    <t>REM</t>
  </si>
  <si>
    <t>REST</t>
  </si>
  <si>
    <t>SC</t>
  </si>
  <si>
    <t>SECR</t>
  </si>
  <si>
    <t>SMR</t>
  </si>
  <si>
    <t>Angle</t>
  </si>
  <si>
    <t>Objectives</t>
  </si>
  <si>
    <t>FOV</t>
  </si>
  <si>
    <t>Age Classes</t>
  </si>
  <si>
    <t>Behaviours</t>
  </si>
  <si>
    <t>False triggers</t>
  </si>
  <si>
    <t>Image Trigger Modes</t>
  </si>
  <si>
    <t>Modelling approaches</t>
  </si>
  <si>
    <t>Model assumptions</t>
  </si>
  <si>
    <t>Occupancy models (MacKenzie et al., 2002)</t>
  </si>
  <si>
    <t>Projects</t>
  </si>
  <si>
    <t>Sample stations</t>
  </si>
  <si>
    <t>Sequences</t>
  </si>
  <si>
    <t>Sex Classes</t>
  </si>
  <si>
    <t>State variables</t>
  </si>
  <si>
    <t>Study areas</t>
  </si>
  <si>
    <t>Surveys</t>
  </si>
  <si>
    <t>Survey Designs</t>
  </si>
  <si>
    <t>Tags</t>
  </si>
  <si>
    <t>Visits</t>
  </si>
  <si>
    <t>false triggers</t>
  </si>
  <si>
    <t>make</t>
  </si>
  <si>
    <t>model</t>
  </si>
  <si>
    <t>objectives</t>
  </si>
  <si>
    <t>projects</t>
  </si>
  <si>
    <t>sample stations</t>
  </si>
  <si>
    <t>state variables</t>
  </si>
  <si>
    <t>study areas</t>
  </si>
  <si>
    <t>surveys</t>
  </si>
  <si>
    <t>tags</t>
  </si>
  <si>
    <t>test images</t>
  </si>
  <si>
    <t>time-lapse images</t>
  </si>
  <si>
    <t>detection probability</t>
  </si>
  <si>
    <t>behaviours</t>
  </si>
  <si>
    <t>camera locations</t>
  </si>
  <si>
    <t>angle</t>
  </si>
  <si>
    <t>assumptions</t>
  </si>
  <si>
    <t>CR</t>
  </si>
  <si>
    <t>visits</t>
  </si>
  <si>
    <t>random</t>
  </si>
  <si>
    <t>Random</t>
  </si>
  <si>
    <t>detection probabilities</t>
  </si>
  <si>
    <t>[detection probabilities](#detection_probability)</t>
  </si>
  <si>
    <t>replace</t>
  </si>
  <si>
    <t>[Detection rates](#detection_rate)</t>
  </si>
  <si>
    <t>[detection rates](#detection_rate)</t>
  </si>
  <si>
    <t>Detection rates</t>
  </si>
  <si>
    <t>detection rates</t>
  </si>
  <si>
    <t>tl</t>
  </si>
  <si>
    <t>tu</t>
  </si>
  <si>
    <t>order</t>
  </si>
  <si>
    <t>type</t>
  </si>
  <si>
    <t>[triggers](#trigger_event)</t>
  </si>
  <si>
    <t>triggers</t>
  </si>
  <si>
    <t>~*~*&lt;font size=“4”&gt;&lt;span style=“color:#2F5496”&gt;How does this relate to study design?&lt;/font&gt;&lt;/span&gt;~*~*</t>
  </si>
  <si>
    <t>~*~*&lt;font size=“4”&gt;&lt;span style=“color:#2F5496”&gt;How does that work?&lt;/font&gt;&lt;/span&gt;~*~*</t>
  </si>
  <si>
    <t>~*~*&lt;font size=“4”&gt;&lt;span style=“color:#2F5496”&gt;Why do we care?&lt;/font&gt;&lt;/span&gt;~*~*</t>
  </si>
  <si>
    <t>Observed species richness</t>
  </si>
  <si>
    <t>Estimated species richness</t>
  </si>
  <si>
    <t>???</t>
  </si>
  <si>
    <t>{{ sub_header_</t>
  </si>
  <si>
    <t xml:space="preserve"> }}</t>
  </si>
  <si>
    <t>easting_cam_location</t>
  </si>
  <si>
    <t>latitude_cam_location</t>
  </si>
  <si>
    <t>longitude_cam_location</t>
  </si>
  <si>
    <t>northing_cam_location</t>
  </si>
  <si>
    <t>utm_zone_cam_location</t>
  </si>
  <si>
    <t>cam_active_on_arrival</t>
  </si>
  <si>
    <t>cam_active_on_departure</t>
  </si>
  <si>
    <t>cam_angle</t>
  </si>
  <si>
    <t>cam_attachment</t>
  </si>
  <si>
    <t>cam_damaged</t>
  </si>
  <si>
    <t>cam_days_per_cam_location</t>
  </si>
  <si>
    <t>cam_direction</t>
  </si>
  <si>
    <t>cam_height</t>
  </si>
  <si>
    <t>cam_id</t>
  </si>
  <si>
    <t>cam_location</t>
  </si>
  <si>
    <t>cam_location_characteristics</t>
  </si>
  <si>
    <t>cam_location_comments</t>
  </si>
  <si>
    <t>cam_location_name</t>
  </si>
  <si>
    <t>cam_make</t>
  </si>
  <si>
    <t>cam_make_new</t>
  </si>
  <si>
    <t>cam_model</t>
  </si>
  <si>
    <t>cam_model_new</t>
  </si>
  <si>
    <t>cam_serial_number</t>
  </si>
  <si>
    <t>cam_serial_number_new</t>
  </si>
  <si>
    <t>cam_spacing</t>
  </si>
  <si>
    <t>total_number_of_cam_days</t>
  </si>
  <si>
    <t>cam_trap_day</t>
  </si>
  <si>
    <t>:::{note}&lt;br&gt;**This content was adapted from: The Density Handbook**, "[Using Camera Traps to Estimate Medium and Large Mammal Density: Comparison of Methods and Recommendations for Wildlife Managers](https://www.researchgate.net/publication/368601884_Using_cam_Traps_to_Estimate_Medium_and_Large_Mammal_Density_Comparison_of_Methods_and_Recommendations_for_Wildlife_Managers)" (Clarke et al., 2023)&lt;br&gt;:::</t>
  </si>
  <si>
    <t>img_processing</t>
  </si>
  <si>
    <t>deployment_img_count</t>
  </si>
  <si>
    <t>img_classification</t>
  </si>
  <si>
    <t>img_classification_confidence</t>
  </si>
  <si>
    <t>img_exif</t>
  </si>
  <si>
    <t>img_flash_output</t>
  </si>
  <si>
    <t>img_infrared_illuminator</t>
  </si>
  <si>
    <t>img_name</t>
  </si>
  <si>
    <t>img_sequence</t>
  </si>
  <si>
    <t>img_sequence_comments</t>
  </si>
  <si>
    <t>img_sequence_date_time</t>
  </si>
  <si>
    <t>img_set</t>
  </si>
  <si>
    <t>img_set_end_date_time</t>
  </si>
  <si>
    <t>img_set_start_date_time</t>
  </si>
  <si>
    <t>img_tagging</t>
  </si>
  <si>
    <t>img_trigger_mode</t>
  </si>
  <si>
    <t>settings_motion_img_interval</t>
  </si>
  <si>
    <t>[Image/Sequence Date Time](#](#img_sequence_date_time)</t>
  </si>
  <si>
    <t>[Image Set End Date Time](#img_set_end_date_time)</t>
  </si>
  <si>
    <t>[Image Set Start Date Time](#img_set_start_date_time)</t>
  </si>
  <si>
    <t>[Image Trigger Modes](#img_trigger_mode)</t>
  </si>
  <si>
    <t>[Motion Image Interval](#settings_motion_img_interval)</t>
  </si>
  <si>
    <t>the manner in which a species is spatially arranged. The geographic limits of a particular taxon's distribution is its range, often represented as shaded areas on a map.</t>
  </si>
  <si>
    <t>Species distribution</t>
  </si>
  <si>
    <t>distribution</t>
  </si>
  <si>
    <t>The number of individuals within a species in a defined area. When you count the number of individuals within a set area, it is reported as just a number (ex. there are 10 bears in this territory). Abundance data can be challenging to obtain with camera data alone, but see Relative Abundance Index (RAI) for a suitable alternative.' (Kemp et al., 2022).</t>
  </si>
  <si>
    <t>A skewed or altered perspective. Biased data refers to data that may be inaccurate or unevenly portrayed (usually in favour of specific variables) and is therefore not as robust.' (Kemp et al., 2022).</t>
  </si>
  <si>
    <t>The variation of life in the natural world. In the context of this guide, biodiversity refers to the variety of different wildlife species found in an area.' (Kemp et al., 2022).</t>
  </si>
  <si>
    <t>A type of study design that focuses camera effort on specific places within the monitoring area using concentrated blocks of cameras. This approach can be used to highlight land-based features (for example roads), specific habitats (for example wetlands), areas with specific animal activity, or even as an application for land-use planning. See figure on page 14 for visual.' (Kemp et al., 2022).</t>
  </si>
  <si>
    <t>Information, commonly facts or numbers, that are collected and can be examined and/or measured to help guide decision-making.' (Kemp et al., 2022).</t>
  </si>
  <si>
    <t>Following a photo series being taken, how long the camera will be inactive before it can be triggered again. This feature prevents many photos being taken of the same individual(s), filling up space on SD cards.' (Kemp et al., 2022).</t>
  </si>
  <si>
    <t>The number of individuals within a species relative to a unit of area. This is reported as a rate, or function, of the area you observed (ex. there is 1 bear per km2). Density differs from abundance in that the number of individual animals will change with area (ex. 1 bear/km2 compared to 10 bears/10km2), while abundance is always defined for a set area (ex. 10 bears in this territory)' (Kemp et al., 2022).</t>
  </si>
  <si>
    <t>In the context of this guide, deployment refers to the act of setting up and activating a wildlife camera for monitoring.' (Kemp et al., 2022).</t>
  </si>
  <si>
    <t>The ability to sense or pick up on something. In this guide, detection refers to a camera’s ability to sense or photograph an animal.' (Kemp et al., 2022).</t>
  </si>
  <si>
    <t>The frequency of being able to detect, or sense something. In this guide, detection rate refers to how accurately a camera is able to sense or photograph an animal. This is affected by many different variables, such as the size, speed, and behaviours of an animal, the lighting, vegetation growth, and season.' (Kemp et al., 2022).</t>
  </si>
  <si>
    <t>A process that helps understand patterns, changes, and relationships within the land, water, and wildlife. It may be focused on better understanding the current state of the environment, investigating changes over time, or finding ways that humans can help protect and support the natural world.' (Kemp et al., 2022).</t>
  </si>
  <si>
    <t>A specific feature, condition, or element that may change. Examples include vegetation growth, habitat, and season.' (Kemp et al., 2022).</t>
  </si>
  <si>
    <t>A false trigger refers to any time that a camera takes a photo of a non-target event or species. For example, if there is tall grass or trees in the camera frame, movement from wind may cause the camera to capture photos even when there is no animal present. Plants are one of the primary causes of false triggers, which is why it is important to consider what seasons cameras will be out for, and how much vegetation growth is expected.' (Kemp et al., 2022).</t>
  </si>
  <si>
    <t>In the context of this guide, a feature-based design refers to a monitoring design (such as a camera grid) that is guided by specific land-based features (for example, roads or railways). This type of design is best suited for answering specific questions related to the features being highlighted. See figure on page 13 for a visual.' (Kemp et al., 2022).</t>
  </si>
  <si>
    <t>The actual area (in front and to the sides) in which a camera is able to detect movement.' (Kemp et al., 2022).</t>
  </si>
  <si>
    <t>A place within the environment where a specific species finds their needs being met, allowing them to survive and reproduce. This will vary between different species, as a suitable habitat will need to have conditions that fulfil species-specific biological needs. However, some species may have multiple different habitats – and may use different habitats for different purposes. For example, moose can be found in both forests and wetlands. Habitats may be classified broadly (for example, wetland) or more specifically (for example, Spruce Bog).' (Kemp et al., 2022).</t>
  </si>
  <si>
    <t>In the context of this guide, human development refers to any changes or alterations to the landscape and built environment by humans. Often refers to infrastructure or human activities that have a notable impact on natural systems.' (Kemp et al., 2022).</t>
  </si>
  <si>
    <t>Specific characteristics of the environment that can be isolated or mapped. Landbased features can include entire habitat types (for example, forests), water features (for example, rivers), human-made infrastructure (for example, roads), and more.' (Kemp et al., 2022).</t>
  </si>
  <si>
    <t>A measure of where different species are spending their time. This is sometimes presented as “presence or absence data", which indicates if a particular species is present in a particular area or not. Note that in the context of wildlife cameras, data can confirm the presence of a species but not the absence, and it is important to consider how this is affected by detection rates.' (Kemp et al., 2022).</t>
  </si>
  <si>
    <t>A type of monitoring design that only partially covers the study area. This approach can be used in either a random or targeted way, depending on monitoring goals. A partial coverage design may be applied over time on a rotating basis to cover a larger area or stay focused on the same area. This design may be a good option when resources or capacity are limited. See figure on page 13 for a visual.' (Kemp et al., 2022).</t>
  </si>
  <si>
    <t>A set and distinct group of individuals. In the context of this guide, a population refers to a unique grouping of individuals of a particular species. For example, a population of moose refers to all moose within a specific geographic area.' (Kemp et al., 2022).</t>
  </si>
  <si>
    <t>Uses detection rate as a measure of abundance by counting the number of times a specific species is captured on camera over a set period of time. For example, how many times a moose was photographed over 100 camera days.' (Kemp et al., 2022).</t>
  </si>
  <si>
    <t>How much movement detected by the camera’s sensor will trigger a photo to be taken. High sensitivity is more likely to pick up small movements by trees in the wind or long grass, resulting in more false triggers, while low sensitive might miss small animals or those that are further away.' (Kemp et al., 2022).</t>
  </si>
  <si>
    <t>Relating to one specific species. For example, focusing specifically on moose.' (Kemp et al., 2022).</t>
  </si>
  <si>
    <t>A specific kind of animal. For example, moose, white-tailed deer, and black bear are each a different species.' (Kemp et al., 2022).</t>
  </si>
  <si>
    <t>The presence or absence of a species at a given location.' (Kemp et al., 2022).</t>
  </si>
  <si>
    <t>The number of species found in a specific place.' (Kemp et al., 2022).</t>
  </si>
  <si>
    <t>In the context of this guide, a stratified design is a type of monitoring design in which sampled units are classified or organized categorically. These sampling units may be selected randomly or targeted, so long as all units are then grouped by commonalities for further analysis. For example, when thinking about a camera grid design, a stratified approach may categorize camera sites based on habitat to compare data from wetlands, forests, and rock outcrops. See page 13 for a visual.' (Kemp et al., 2022).</t>
  </si>
  <si>
    <t>A type of design in which sites or sampling follow a set pathway or line. Points may be selected randomly or uniformly along the transect (path). For example, if monitoring animal activity relative to hiking trails it may be beneficial to use a transect design, allowing cameras to be placed at various distances from the trail for comparison. See page 14 for a visual.' (Kemp et al., 2022).</t>
  </si>
  <si>
    <t>The amount of time between when the camera’s sensor detects movement and a photo is actually taken. This lag time can vary quite a bit across different brands and models of cameras, making consistency important.' (Kemp et al., 2022).</t>
  </si>
  <si>
    <t>A specially designed piece of equipment used to photograph different animals in their natural environments. Most wildlife cameras are made with medium-large mammals in mind, therefore these tend to be the best species to target when being used for monitoring purposes.' (Kemp et al., 2022).</t>
  </si>
  <si>
    <t>How close a measured or estimated value is to the true value' (Clarke et al., 2023).</t>
  </si>
  <si>
    <t>24-hour period during which a camera is functioning (Beirne, personal communication)' (Clarke et al., 2023).</t>
  </si>
  <si>
    <t>The likelihood an animal is captured by a camera trap; for some models, the probability that an animal is captured by a motion-triggered camera, given the animal is in the camera’s viewshed (Moeller et al. 2018)' (Clarke et al., 2023).</t>
  </si>
  <si>
    <t>The likelihood an effect is detected, given there is an effect to detect (Cohen 1992)' (Clarke et al., 2023).</t>
  </si>
  <si>
    <t>The ability to sight or spot animals' (Clarke et al., 2023).</t>
  </si>
  <si>
    <t>The spread of numbers in a dataset compared to the mean of the dataset' (Clarke et al., 2023).</t>
  </si>
  <si>
    <t>Depending on the method – the area within which an animal can trigger a camera trap to capture an image, or the total area a camera trap photographs (Gilbert et al. 2021). May also be referred to as the camera trap field-of-view' (Clarke et al., 2023).</t>
  </si>
  <si>
    <t>How close a measured or estimated value is to the true value' ({{ rtxt_clarke_et_al_2023 }}).</t>
  </si>
  <si>
    <t>24-hour period during which a camera is functioning (Beirne, personal communication)' ({{ rtxt_clarke_et_al_2023 }}).</t>
  </si>
  <si>
    <t>The likelihood an animal is captured by a camera trap; for some models, the probability that an animal is captured by a motion-triggered camera, given the animal is in the camera’s viewshed (Moeller et al. 2018)' ({{ rtxt_clarke_et_al_2023 }}).</t>
  </si>
  <si>
    <t>The likelihood an effect is detected, given there is an effect to detect (Cohen 1992)' ({{ rtxt_clarke_et_al_2023 }}).</t>
  </si>
  <si>
    <t>The ability to sight or spot animals' ({{ rtxt_clarke_et_al_2023 }}).</t>
  </si>
  <si>
    <t>The spread of numbers in a dataset compared to the mean of the dataset' ({{ rtxt_clarke_et_al_2023 }}).</t>
  </si>
  <si>
    <t>Depending on the method – the area within which an animal can trigger a camera trap to capture an image, or the total area a camera trap photographs (Gilbert et al. 2021). May also be referred to as the camera trap field-of-view' ({{ rtxt_clarke_et_al_2023 }}).</t>
  </si>
  <si>
    <t>The number of individuals within a species in a defined area. When you count the number of individuals within a set area, it is reported as just a number (ex. there are 10 bears in this territory). Abundance data can be challenging to obtain with camera data alone, but see Relative Abundance Index (RAI) for a suitable alternative.' ({{ rtxt_kemp_et_al_2022 }}).</t>
  </si>
  <si>
    <t>A skewed or altered perspective. Biased data refers to data that may be inaccurate or unevenly portrayed (usually in favour of specific variables) and is therefore not as robust.' ({{ rtxt_kemp_et_al_2022 }}).</t>
  </si>
  <si>
    <t>The variation of life in the natural world. In the context of this guide, biodiversity refers to the variety of different wildlife species found in an area.' ({{ rtxt_kemp_et_al_2022 }}).</t>
  </si>
  <si>
    <t>A type of study design that focuses camera effort on specific places within the monitoring area using concentrated blocks of cameras. This approach can be used to highlight land-based features (for example roads), specific habitats (for example wetlands), areas with specific animal activity, or even as an application for land-use planning. See figure on page 14 for visual.' ({{ rtxt_kemp_et_al_2022 }}).</t>
  </si>
  <si>
    <t>Information, commonly facts or numbers, that are collected and can be examined and/or measured to help guide decision-making.' ({{ rtxt_kemp_et_al_2022 }}).</t>
  </si>
  <si>
    <t>Following a photo series being taken, how long the camera will be inactive before it can be triggered again. This feature prevents many photos being taken of the same individual(s), filling up space on SD cards.' ({{ rtxt_kemp_et_al_2022 }}).</t>
  </si>
  <si>
    <t>The number of individuals within a species relative to a unit of area. This is reported as a rate, or function, of the area you observed (ex. there is 1 bear per km2). Density differs from abundance in that the number of individual animals will change with area (ex. 1 bear/km2 compared to 10 bears/10km2), while abundance is always defined for a set area (ex. 10 bears in this territory)' ({{ rtxt_kemp_et_al_2022 }}).</t>
  </si>
  <si>
    <t>In the context of this guide, deployment refers to the act of setting up and activating a wildlife camera for monitoring.' ({{ rtxt_kemp_et_al_2022 }}).</t>
  </si>
  <si>
    <t>The ability to sense or pick up on something. In this guide, detection refers to a camera’s ability to sense or photograph an animal.' ({{ rtxt_kemp_et_al_2022 }}).</t>
  </si>
  <si>
    <t>The frequency of being able to detect, or sense something. In this guide, detection rate refers to how accurately a camera is able to sense or photograph an animal. This is affected by many different variables, such as the size, speed, and behaviours of an animal, the lighting, vegetation growth, and season.' ({{ rtxt_kemp_et_al_2022 }}).</t>
  </si>
  <si>
    <t>A process that helps understand patterns, changes, and relationships within the land, water, and wildlife. It may be focused on better understanding the current state of the environment, investigating changes over time, or finding ways that humans can help protect and support the natural world.' ({{ rtxt_kemp_et_al_2022 }}).</t>
  </si>
  <si>
    <t>A specific feature, condition, or element that may change. Examples include vegetation growth, habitat, and season.' ({{ rtxt_kemp_et_al_2022 }}).</t>
  </si>
  <si>
    <t>A false trigger refers to any time that a camera takes a photo of a non-target event or species. For example, if there is tall grass or trees in the camera frame, movement from wind may cause the camera to capture photos even when there is no animal present. Plants are one of the primary causes of false triggers, which is why it is important to consider what seasons cameras will be out for, and how much vegetation growth is expected.' ({{ rtxt_kemp_et_al_2022 }}).</t>
  </si>
  <si>
    <t>In the context of this guide, a feature-based design refers to a monitoring design (such as a camera grid) that is guided by specific land-based features (for example, roads or railways). This type of design is best suited for answering specific questions related to the features being highlighted. See figure on page 13 for a visual.' ({{ rtxt_kemp_et_al_2022 }}).</t>
  </si>
  <si>
    <t>The actual area (in front and to the sides) in which a camera is able to detect movement.' ({{ rtxt_kemp_et_al_2022 }}).</t>
  </si>
  <si>
    <t>A place within the environment where a specific species finds their needs being met, allowing them to survive and reproduce. This will vary between different species, as a suitable habitat will need to have conditions that fulfil species-specific biological needs. However, some species may have multiple different habitats – and may use different habitats for different purposes. For example, moose can be found in both forests and wetlands. Habitats may be classified broadly (for example, wetland) or more specifically (for example, Spruce Bog).' ({{ rtxt_kemp_et_al_2022 }}).</t>
  </si>
  <si>
    <t>In the context of this guide, human development refers to any changes or alterations to the landscape and built environment by humans. Often refers to infrastructure or human activities that have a notable impact on natural systems.' ({{ rtxt_kemp_et_al_2022 }}).</t>
  </si>
  <si>
    <t>Specific characteristics of the environment that can be isolated or mapped. Landbased features can include entire habitat types (for example, forests), water features (for example, rivers), human-made infrastructure (for example, roads), and more.' ({{ rtxt_kemp_et_al_2022 }}).</t>
  </si>
  <si>
    <t>A measure of where different species are spending their time. This is sometimes presented as “presence or absence data", which indicates if a particular species is present in a particular area or not. Note that in the context of wildlife cameras, data can confirm the presence of a species but not the absence, and it is important to consider how this is affected by detection rates.' ({{ rtxt_kemp_et_al_2022 }}).</t>
  </si>
  <si>
    <t>A type of monitoring design that only partially covers the study area. This approach can be used in either a random or targeted way, depending on monitoring goals. A partial coverage design may be applied over time on a rotating basis to cover a larger area or stay focused on the same area. This design may be a good option when resources or capacity are limited. See figure on page 13 for a visual.' ({{ rtxt_kemp_et_al_2022 }}).</t>
  </si>
  <si>
    <t>A set and distinct group of individuals. In the context of this guide, a population refers to a unique grouping of individuals of a particular species. For example, a population of moose refers to all moose within a specific geographic area.' ({{ rtxt_kemp_et_al_2022 }}).</t>
  </si>
  <si>
    <t>Uses detection rate as a measure of abundance by counting the number of times a specific species is captured on camera over a set period of time. For example, how many times a moose was photographed over 100 camera days.' ({{ rtxt_kemp_et_al_2022 }}).</t>
  </si>
  <si>
    <t>How much movement detected by the camera’s sensor will trigger a photo to be taken. High sensitivity is more likely to pick up small movements by trees in the wind or long grass, resulting in more false triggers, while low sensitive might miss small animals or those that are further away.' ({{ rtxt_kemp_et_al_2022 }}).</t>
  </si>
  <si>
    <t>Relating to one specific species. For example, focusing specifically on moose.' ({{ rtxt_kemp_et_al_2022 }}).</t>
  </si>
  <si>
    <t>A specific kind of animal. For example, moose, white-tailed deer, and black bear are each a different species.' ({{ rtxt_kemp_et_al_2022 }}).</t>
  </si>
  <si>
    <t>The presence or absence of a species at a given location.' ({{ rtxt_kemp_et_al_2022 }}).</t>
  </si>
  <si>
    <t>The number of species found in a specific place.' ({{ rtxt_kemp_et_al_2022 }}).</t>
  </si>
  <si>
    <t>In the context of this guide, a stratified design is a type of monitoring design in which sampled units are classified or organized categorically. These sampling units may be selected randomly or targeted, so long as all units are then grouped by commonalities for further analysis. For example, when thinking about a camera grid design, a stratified approach may categorize camera sites based on habitat to compare data from wetlands, forests, and rock outcrops. See page 13 for a visual.' ({{ rtxt_kemp_et_al_2022 }}).</t>
  </si>
  <si>
    <t>A type of design in which sites or sampling follow a set pathway or line. Points may be selected randomly or uniformly along the transect (path). For example, if monitoring animal activity relative to hiking trails it may be beneficial to use a transect design, allowing cameras to be placed at various distances from the trail for comparison. See page 14 for a visual.' ({{ rtxt_kemp_et_al_2022 }}).</t>
  </si>
  <si>
    <t>The amount of time between when the camera’s sensor detects movement and a photo is actually taken. This lag time can vary quite a bit across different brands and models of cameras, making consistency important.' ({{ rtxt_kemp_et_al_2022 }}).</t>
  </si>
  <si>
    <t>A specially designed piece of equipment used to photograph different animals in their natural environments. Most wildlife cameras are made with medium-large mammals in mind, therefore these tend to be the best species to target when being used for monitoring purposes.' ({{ rtxt_kemp_et_al_2022 }}).</t>
  </si>
  <si>
    <t>Systematic inaccuracy in estimates ({{ rtxt_hammond_et_al_2021 }})' ({{ rtxt_clarke_et_al_2023 }}).</t>
  </si>
  <si>
    <t>The dispersion in a data set, expressed as a percentage of the mean; a measure of precision ({{ rtxt_whitlock_schluter_2020 }}). A high CV indicates more variability relative to the mean, and low precision; a low CV indicates less variability relative to the mean, and high precision' ({{ rtxt_clarke_et_al_2023 }}).</t>
  </si>
  <si>
    <t>Uncertainty in estimates ({{ rtxt_hammond_et_al_2021 }})' ({{ rtxt_clarke_et_al_2023 }}).</t>
  </si>
  <si>
    <t>Uncertainty in estimates (Hammond et al., 2021)' (Clarke et al., 2023).</t>
  </si>
  <si>
    <t>Systematic inaccuracy in estimates (Hammond et al., 2021)' (Clarke et al., 2023).</t>
  </si>
  <si>
    <t>The dispersion in a data set, expressed as a percentage of the mean; a measure of precision (Whitlock &amp; Schluter, 2020). A high CV indicates more variability relative to the mean, and low precision; a low CV indicates less variability relative to the mean, and high precision' (Clarke et al., 2023).</t>
  </si>
  <si>
    <t>Species-accumulation asymptote</t>
  </si>
  <si>
    <t>Species-accumulation curve</t>
  </si>
  <si>
    <t>Rarefaction</t>
  </si>
  <si>
    <t>Independence</t>
  </si>
  <si>
    <t>Covariate</t>
  </si>
  <si>
    <t>covariate</t>
  </si>
  <si>
    <t>Distribution</t>
  </si>
  <si>
    <t>sp_accum_curve</t>
  </si>
  <si>
    <t>sp_accum_asymptote</t>
  </si>
  <si>
    <t>Parametric distribution</t>
  </si>
  <si>
    <t>Poisson-distributed</t>
  </si>
  <si>
    <t>Demographic closure</t>
  </si>
  <si>
    <t xml:space="preserve">Geographic closure </t>
  </si>
  <si>
    <t>independence</t>
  </si>
  <si>
    <t>Home ranges</t>
  </si>
  <si>
    <t>mod_approach</t>
  </si>
  <si>
    <t>mod_assumption</t>
  </si>
  <si>
    <t>Walktest Distance (m)</t>
  </si>
  <si>
    <t>[Walktest Distance (m)](#walktest_distance)</t>
  </si>
  <si>
    <t>Survey Objective</t>
  </si>
  <si>
    <t xml:space="preserve">[Survey Objective](#survey_objectives) </t>
  </si>
  <si>
    <t>study objectives</t>
  </si>
  <si>
    <t>[study objectives](#survey_objectives)</t>
  </si>
  <si>
    <t>random design</t>
  </si>
  <si>
    <t>[random design](#sampledesign_random)</t>
  </si>
  <si>
    <t>spatially explicit capture-recapture (SECR) models</t>
  </si>
  <si>
    <t>[spatially explicit capture-recapture (SECR) models](#mod_scr_secr)</t>
  </si>
  <si>
    <t>[relative abundance](#mods_relative_abundance)</t>
  </si>
  <si>
    <t>[**relative abundance indices**](#mods_relative_abundance)</t>
  </si>
  <si>
    <t>occupancy models</t>
  </si>
  <si>
    <t>[occupancy models](#mod_occupancy)</t>
  </si>
  <si>
    <t>capture-recapture (CR)</t>
  </si>
  <si>
    <t>[capture-recapture (CR)](#mod_cr_smr)</t>
  </si>
  <si>
    <t>modelling approaches</t>
  </si>
  <si>
    <t xml:space="preserve">[modelling approaches](#modelling_approach) </t>
  </si>
  <si>
    <t>modelling approach(es)</t>
  </si>
  <si>
    <t>[modelling approach(es)](#modelling_approach)</t>
  </si>
  <si>
    <t>text</t>
  </si>
  <si>
    <t>test_image_taken</t>
  </si>
  <si>
    <t>target_species_tu</t>
  </si>
  <si>
    <t>Random encounter and staying time (REST) model (Nakashima et al., 2018)</t>
  </si>
  <si>
    <t>Hurdle model (Mullahy, 1986; Heilbron 1994)</t>
  </si>
  <si>
    <t>Camera Height (m)</t>
  </si>
  <si>
    <t>[Walktest Height (m)](#walktest_height)</t>
  </si>
  <si>
    <t>repl_link</t>
  </si>
  <si>
    <t>[Walktest Complete](#walktest_complete)</t>
  </si>
  <si>
    <t>[Walktest](#walktest)</t>
  </si>
  <si>
    <t>[walktest](#walktest)</t>
  </si>
  <si>
    <t>[Visit metadata](#visit_metadata)</t>
  </si>
  <si>
    <t>[visit metadata](#visit_metadata)</t>
  </si>
  <si>
    <t>[Visit Comments](#visit_comments)</t>
  </si>
  <si>
    <t>[Visit](#visit)</t>
  </si>
  <si>
    <t>[visit](#visit)</t>
  </si>
  <si>
    <t>[UTM Zone Camera Location](#utm_zone_camera_location)</t>
  </si>
  <si>
    <t>[Probability of use](#use_probability)</t>
  </si>
  <si>
    <t>[probability of use](#use_probability)</t>
  </si>
  <si>
    <t>[Intensity of use (Keim et al., 2019)](#intensity_of_use)</t>
  </si>
  <si>
    <t>[intensity of use (Keim et al., 2019)](#intensity_of_use)</t>
  </si>
  <si>
    <t>[Intensity of use](#use_intensity)</t>
  </si>
  <si>
    <t>[intensity of use](#use_intensity)</t>
  </si>
  <si>
    <t>Unmarked</t>
  </si>
  <si>
    <t>[Unmarked](#typeid_unmarked)</t>
  </si>
  <si>
    <t>unmarked</t>
  </si>
  <si>
    <t>[unmarked](#typeid_unmarked)</t>
  </si>
  <si>
    <t>Unmarked individuals / populations / species</t>
  </si>
  <si>
    <t>[Unmarked individuals / populations / species](#typeid_unmarked)</t>
  </si>
  <si>
    <t>unmarked individuals / populations / species</t>
  </si>
  <si>
    <t>[unmarked individuals / populations / species](#typeid_unmarked)</t>
  </si>
  <si>
    <t>Partially marked</t>
  </si>
  <si>
    <t>[Partially marked](#typeid_partially_marked)</t>
  </si>
  <si>
    <t>partially marked</t>
  </si>
  <si>
    <t>[partially marked](#typeid_partially_marked)</t>
  </si>
  <si>
    <t>Partially marked individuals / populations / species</t>
  </si>
  <si>
    <t>[Partially marked individuals / populations / species](#typeid_partially_marked)</t>
  </si>
  <si>
    <t>partially marked individuals / populations / species</t>
  </si>
  <si>
    <t>[partially marked individuals / populations / species](#typeid_partially_marked)</t>
  </si>
  <si>
    <t>Marked</t>
  </si>
  <si>
    <t>[Marked](#typeid_marked)</t>
  </si>
  <si>
    <t>marked</t>
  </si>
  <si>
    <t>[marked](#typeid_marked)</t>
  </si>
  <si>
    <t>Marked individuals / populations / species</t>
  </si>
  <si>
    <t>[Marked individuals / populations / species](#typeid_marked)</t>
  </si>
  <si>
    <t>marked individuals / populations / species</t>
  </si>
  <si>
    <t>[marked individuals / populations / species](#typeid_marked)</t>
  </si>
  <si>
    <t>[Trigger speed](#trigger_speed)</t>
  </si>
  <si>
    <t>[trigger speed](#trigger_speed)</t>
  </si>
  <si>
    <t>[Trigger 'event'](#trigger_event)</t>
  </si>
  <si>
    <t>[trigger 'event'](#trigger_event)</t>
  </si>
  <si>
    <t>[Total number of camera days](#total_number_of_camera_days)</t>
  </si>
  <si>
    <t>[total number of camera days](#total_number_of_camera_days)</t>
  </si>
  <si>
    <t>[Time-lapse image](#timelapse_image)</t>
  </si>
  <si>
    <t>[time-lapse image](#timelapse_image)</t>
  </si>
  <si>
    <t>[Test Image Taken](#test_img_taken)</t>
  </si>
  <si>
    <t>[Test image](#test_image)</t>
  </si>
  <si>
    <t>[test image](#test_image)</t>
  </si>
  <si>
    <t>[Target Species](#target_species)</t>
  </si>
  <si>
    <t>[Tag](#tag)</t>
  </si>
  <si>
    <t>[tag](#tag)</t>
  </si>
  <si>
    <t>[Survey Objectives](#survey_objectives)</t>
  </si>
  <si>
    <t>[Survey Name](#survey_name)</t>
  </si>
  <si>
    <t>[Survey Design Description](#survey_design_description)</t>
  </si>
  <si>
    <t>[Survey Design](#survey_design)</t>
  </si>
  <si>
    <t>[Survey](#survey)</t>
  </si>
  <si>
    <t>[survey](#survey)</t>
  </si>
  <si>
    <t>[Study Area Name](#study_area_name)</t>
  </si>
  <si>
    <t>[Study Area Description](#study_area_description)</t>
  </si>
  <si>
    <t>[Study area](#study_area)</t>
  </si>
  <si>
    <t>[study area](#study_area)</t>
  </si>
  <si>
    <t>[State variable](#state_variable)</t>
  </si>
  <si>
    <t>[state variable](#state_variable)</t>
  </si>
  <si>
    <t>[Stake Distance (m)](#stake_distance)</t>
  </si>
  <si>
    <t>[Species](#species)</t>
  </si>
  <si>
    <t>[Spatial autocorrelation](#spatial_autocorrelation)</t>
  </si>
  <si>
    <t>[spatial autocorrelation](#spatial_autocorrelation)</t>
  </si>
  <si>
    <t>[Sex Class](#sex_class)</t>
  </si>
  <si>
    <t>[Video Length (seconds)](#settings_video_length)</t>
  </si>
  <si>
    <t>[User label](#settings_userlabel)</t>
  </si>
  <si>
    <t>[user label](#settings_userlabel)</t>
  </si>
  <si>
    <t>[Trigger Sensitivity](#settings_trigger_sensitivity)</t>
  </si>
  <si>
    <t>[Quiet Period (seconds)](#settings_quiet_period)</t>
  </si>
  <si>
    <t>[Photos Per Trigger](#settings_photos_per_trigger)</t>
  </si>
  <si>
    <t>[Motion Image Interval (seconds)](#settings_motion_img_interval)</t>
  </si>
  <si>
    <t>[Infrared illuminator](#settings_infrared_illum)</t>
  </si>
  <si>
    <t>[infrared illuminator](#settings_infrared_illum)</t>
  </si>
  <si>
    <t>[Flash output](#settings_flash_output)</t>
  </si>
  <si>
    <t>[flash output](#settings_flash_output)</t>
  </si>
  <si>
    <t>[Service/Retrieval visit](#service_retrieval_visit)</t>
  </si>
  <si>
    <t>[service/retrieval visit](#service_retrieval_visit)</t>
  </si>
  <si>
    <t>[Service/Retrieval metadata](#service_retrieval_metadata)</t>
  </si>
  <si>
    <t>[service/retrieval metadata](#service_retrieval_metadata)</t>
  </si>
  <si>
    <t>[Service/Retrieval Crew](#service_retrieval_crew)</t>
  </si>
  <si>
    <t>[Service/Retrieval Comments](#service_retrieval_comments)</t>
  </si>
  <si>
    <t>[Service/Retrieval](#service_retrieval)</t>
  </si>
  <si>
    <t>[service/retrieval](#service_retrieval)</t>
  </si>
  <si>
    <t>[Sequence Name](#sequence_name)</t>
  </si>
  <si>
    <t>[Sequence](#sequence)</t>
  </si>
  <si>
    <t>[sequence](#sequence)</t>
  </si>
  <si>
    <t>[Security](#security)</t>
  </si>
  <si>
    <t>[New SD Card ID](#sd_id_new)</t>
  </si>
  <si>
    <t>[SD Card Status (% Full)](#sd_card_status)</t>
  </si>
  <si>
    <t>[SD Card Replaced](#sd_card_replaced)</t>
  </si>
  <si>
    <t>[SD Card ID](#sd_card_id)</t>
  </si>
  <si>
    <t>[Targeted design](#sampledesign_targeted)</t>
  </si>
  <si>
    <t>[targeted design](#sampledesign_targeted)</t>
  </si>
  <si>
    <t>[Systematic random design](#sampledesign_systematic_random)</t>
  </si>
  <si>
    <t>[systematic random design](#sampledesign_systematic_random)</t>
  </si>
  <si>
    <t>[Systematic design](#sampledesign_systematic)</t>
  </si>
  <si>
    <t>[systematic design](#sampledesign_systematic)</t>
  </si>
  <si>
    <t>[Stratified design](#sampledesign_stratified)</t>
  </si>
  <si>
    <t>[stratified design](#sampledesign_stratified)</t>
  </si>
  <si>
    <t>[Random (or 'simple random') design](#sampledesign_random)</t>
  </si>
  <si>
    <t>[random (or 'simple random') design](#sampledesign_random)</t>
  </si>
  <si>
    <t>[Paired design](#sampledesign_paired)</t>
  </si>
  <si>
    <t>[paired design](#sampledesign_paired)</t>
  </si>
  <si>
    <t>[Convenience design](#sampledesign_convenience)</t>
  </si>
  <si>
    <t>[convenience design](#sampledesign_convenience)</t>
  </si>
  <si>
    <t>[Clustered design](#sampledesign_clustered)</t>
  </si>
  <si>
    <t>[clustered design](#sampledesign_clustered)</t>
  </si>
  <si>
    <t>[Sample Station Name](#sample_station_name)</t>
  </si>
  <si>
    <t>[Sample station](#sample_station)</t>
  </si>
  <si>
    <t>[sample station](#sample_station)</t>
  </si>
  <si>
    <t>[Remaining Battery (%)](#remaining_battery_percent)</t>
  </si>
  <si>
    <t>[Recovery time](#recovery_time)</t>
  </si>
  <si>
    <t>[recovery time](#recovery_time)</t>
  </si>
  <si>
    <t>[Purpose of Visit](#purpose_of_visit)</t>
  </si>
  <si>
    <t>[Pseudoreplication](#pseudoreplication)</t>
  </si>
  <si>
    <t>[pseudoreplication](#pseudoreplication)</t>
  </si>
  <si>
    <t>[Project Name](#project_name)</t>
  </si>
  <si>
    <t>[Project Description](#project_description)</t>
  </si>
  <si>
    <t>[Project Coordinator Email](#project_coordinator_email)</t>
  </si>
  <si>
    <t>[Project Coordinator](#project_coordinator)</t>
  </si>
  <si>
    <t>[Project](#project)</t>
  </si>
  <si>
    <t>[project](#project)</t>
  </si>
  <si>
    <t>[Vital rate](#obj_vital_rate)</t>
  </si>
  <si>
    <t>[vital rate](#obj_vital_rate)</t>
  </si>
  <si>
    <t>[Relative abundance](#obj_rel_abund)</t>
  </si>
  <si>
    <t>[Occupancy](#obj_occupancy)</t>
  </si>
  <si>
    <t>[occupancy](#obj_occupancy)</t>
  </si>
  <si>
    <t>[Species inventory](#obj_inventory)</t>
  </si>
  <si>
    <t>[species inventory](#obj_inventory)</t>
  </si>
  <si>
    <t>[Species diversity &amp; richness](#obj_divers_rich)</t>
  </si>
  <si>
    <t>[species diversity &amp; richness](#obj_divers_rich)</t>
  </si>
  <si>
    <t>[Density](#obj_density)</t>
  </si>
  <si>
    <t>[density](#obj_density)</t>
  </si>
  <si>
    <t>[Behaviour](#obj_behaviour)</t>
  </si>
  <si>
    <t>[behaviour](#obj_behaviour)</t>
  </si>
  <si>
    <t>[Absolute abundance / Population size](#obj_abundance)</t>
  </si>
  <si>
    <t>[absolute abundance / population size](#obj_abundance)</t>
  </si>
  <si>
    <t>[# Of Images](#number_of_images)</t>
  </si>
  <si>
    <t>[Northing Camera Location](#northing_camera_location)</t>
  </si>
  <si>
    <t>[Zero-inflation](#mod_zero_inflation)</t>
  </si>
  <si>
    <t>[zero-inflation](#mod_zero_inflation)</t>
  </si>
  <si>
    <t>[Time-to-event (TTE) model (Moeller et al., 2018)](#mod_tte)</t>
  </si>
  <si>
    <t>[Time in front of the camera (TIFC) (Huggard, 2018; Warbington &amp; Boyce, 2020; tested in Becker et al., 2022)](#mod_tifc)</t>
  </si>
  <si>
    <t>[Space-to-event (STE) model (Moeller et al., 2018)](#mod_ste)</t>
  </si>
  <si>
    <t>[Spatial mark-resight (SMR) (Chandler &amp; Royle, 2013; Sollmann et al., 2013a, 2013b)](#mod_smr)</t>
  </si>
  <si>
    <t>[Spatially explicit capture-recapture (SECR) / Spatial capture-recapture (SCR) (Borchers &amp; Efford, 2008; Efford, 2004; Royle &amp; Young, 2008; Royle et al., 2009)](#mod_scr_secr)</t>
  </si>
  <si>
    <t>[Spatial count (SC) model / Unmarked spatial capture-recapture (Chandler &amp; Royle, 2013)](#mod_sc)</t>
  </si>
  <si>
    <t>[Royle-Nichols model (Royle &amp; Nichols, 2003; MacKenzie et al., 2006)](#mod_royle_nichols)</t>
  </si>
  <si>
    <t>[Random encounter and staying time (REST) model (Nakashima et al., 2018)](#mod_rest)</t>
  </si>
  <si>
    <t>[Random encounter model (REM) (Rowcliffe et al., 2008, 2013)](#mod_rem)</t>
  </si>
  <si>
    <t>[Zero-inflated Poisson (ZIP) regression (Lambert, 1992)](#mod_rai_zip)</t>
  </si>
  <si>
    <t>[Zero-inflated negative binomial (ZINB) regression (McCullagh &amp; Nelder, 1989)](#mod_rai_zinb)</t>
  </si>
  <si>
    <t>[Poisson regression](#mod_rai_poisson)</t>
  </si>
  <si>
    <t>[poisson regression](#mod_rai_poisson)</t>
  </si>
  <si>
    <t>[Negative binomial (NB) regression (Mullahy, 1986)](#mod_rai_nb)</t>
  </si>
  <si>
    <t>[Hurdle model (Mullahy, 1986; Heilbron 1994)](#mod_rai_hurdle)</t>
  </si>
  <si>
    <t>[Relative abundance indices](#mod_rai)</t>
  </si>
  <si>
    <t>[Overdispersion](#mod_overdispersion)</t>
  </si>
  <si>
    <t>[overdispersion](#mod_overdispersion)</t>
  </si>
  <si>
    <t>[Occupancy model (MacKenzie et al., 2002)](#mod_occupancy)</t>
  </si>
  <si>
    <t>[N-mixture models](#mod_n_mixture)</t>
  </si>
  <si>
    <t>[n-mixture models](#mod_n_mixture)</t>
  </si>
  <si>
    <t>[Mark-resight (MR) model (Arnason et al., 1991; McClintock et al., 2009)](#mod_mr)</t>
  </si>
  <si>
    <t>[Instantaneous sampling (IS) model (Moeller et al., 2018)](#mod_is)</t>
  </si>
  <si>
    <t>[Inventory](#mod_inventory)</t>
  </si>
  <si>
    <t>[inventory](#mod_inventory)</t>
  </si>
  <si>
    <t>[Distance sampling (DS) model (Howe et al., 2017)](#mod_ds)</t>
  </si>
  <si>
    <t>[Species richness](#mod_divers_rich_rich)</t>
  </si>
  <si>
    <t>[species richness](#mod_divers_rich_rich)</t>
  </si>
  <si>
    <t>[Gamma richness (γ)](#mod_divers_rich_gamma)</t>
  </si>
  <si>
    <t>[gamma richness (γ)](#mod_divers_rich_gamma)</t>
  </si>
  <si>
    <t>[Species diversity](#mod_divers_rich_divers)</t>
  </si>
  <si>
    <t>[species diversity](#mod_divers_rich_divers)</t>
  </si>
  <si>
    <t>[Beta-diversity (β)](#mod_divers_rich_beta)</t>
  </si>
  <si>
    <t>[beta-diversity (β)](#mod_divers_rich_beta)</t>
  </si>
  <si>
    <t>[Alpha richness (α)](#mod_divers_rich_alpha)</t>
  </si>
  <si>
    <t>[alpha richness (α)](#mod_divers_rich_alpha)</t>
  </si>
  <si>
    <t>[Capture-recapture (CR) / Capture-mark-recapture (CMR) (Karanth, 1995; Karanth &amp; Nichols, 1998)](#mod_cr_cmr)</t>
  </si>
  <si>
    <t>[Categorical partial identity model (Categorical SPIM; catSPIM) (Augustine et al., 2019; Sun et al., 2022)](#mod_catspim)</t>
  </si>
  <si>
    <t>[Model assumption](#mod_assumption)</t>
  </si>
  <si>
    <t>[model assumption](#mod_assumption)</t>
  </si>
  <si>
    <t>[Modelling approach](#mod_approach)</t>
  </si>
  <si>
    <t>[modelling approach](#mod_approach)</t>
  </si>
  <si>
    <t>[Spatial partial identity model (2-flank SPIM) (Augustine et al., 2018)](#mod_2flankspim)</t>
  </si>
  <si>
    <t>[Metadata](#metadata)</t>
  </si>
  <si>
    <t>[metadata](#metadata)</t>
  </si>
  <si>
    <t>[Longitude Camera Location](#longitude_camera_location)</t>
  </si>
  <si>
    <t>[Latitude Camera Location](#latitude_camera_location)</t>
  </si>
  <si>
    <t>[Key ID](#key_id)</t>
  </si>
  <si>
    <t>[Kernel density estimator](#kernel_density_estimator)</t>
  </si>
  <si>
    <t>[kernel density estimator](#kernel_density_estimator)</t>
  </si>
  <si>
    <t>[Inter-detection interval](#inter_detection_interval)</t>
  </si>
  <si>
    <t>[inter-detection interval](#inter_detection_interval)</t>
  </si>
  <si>
    <t>[Individual Count](#individual_count)</t>
  </si>
  <si>
    <t>Detections are independent</t>
  </si>
  <si>
    <t>[Independent detections](#independent_detections)</t>
  </si>
  <si>
    <t>[independent detections](#independent_detections)</t>
  </si>
  <si>
    <t>[Imperfect detection](#imperfect_detection)</t>
  </si>
  <si>
    <t>[imperfect detection](#imperfect_detection)</t>
  </si>
  <si>
    <t>[Image Trigger Mode](#img_trigger_mode)</t>
  </si>
  <si>
    <t>[Image tagging](#img_tagging)</t>
  </si>
  <si>
    <t>[image tagging](#img_tagging)</t>
  </si>
  <si>
    <t>[Image Set Start Date Time (DD-MMM-YYYY HH:MM:SS)](#img_set_start_date_time)</t>
  </si>
  <si>
    <t>[Image Set End Date Time (DD-MMM-YYYY HH:MM:SS)](#img_set_end_date_time)</t>
  </si>
  <si>
    <t>[Image/Sequence Date Time (DD-MMM-YYYY HH:MM:SS)](#img_sequence_date_time)</t>
  </si>
  <si>
    <t>[Image/Sequence Comments](#img_sequence_comments)</t>
  </si>
  <si>
    <t>[Image Sequence](#img_sequence)</t>
  </si>
  <si>
    <t>[Image processing](#img_processing)</t>
  </si>
  <si>
    <t>[image processing](#img_processing)</t>
  </si>
  <si>
    <t>[Image Name](#img_name)</t>
  </si>
  <si>
    <t>[Image Infrared Illuminator](#img_infrared_illuminator)</t>
  </si>
  <si>
    <t>[Image Flash Output](#img_flash_output)</t>
  </si>
  <si>
    <t>[Image classification](#img_classification)</t>
  </si>
  <si>
    <t>[image classification](#img_classification)</t>
  </si>
  <si>
    <t>[Image](#image)</t>
  </si>
  <si>
    <t>[image](#image)</t>
  </si>
  <si>
    <t>[Human Transport Mode/Activity](#human_transport_mode_activity)</t>
  </si>
  <si>
    <t>[GPS Unit Accuracy (m) ](#gps_unit_accuracy)</t>
  </si>
  <si>
    <t>[Viewshed density estimators](#fov_viewshed_density_estimators)</t>
  </si>
  <si>
    <t>[viewshed density estimators](#fov_viewshed_density_estimators)</t>
  </si>
  <si>
    <t>[Viewshed](#fov_viewshed)</t>
  </si>
  <si>
    <t>[viewshed](#fov_viewshed)</t>
  </si>
  <si>
    <t>[FOV Target Feature Distance (m)](#fov_target_distance)</t>
  </si>
  <si>
    <t>[FOV Target Feature](#fov_target)</t>
  </si>
  <si>
    <t>[Registration area](#fov_registration_area)</t>
  </si>
  <si>
    <t>[registration area](#fov_registration_area)</t>
  </si>
  <si>
    <t>[Field of View (FOV)](#field_of_view)</t>
  </si>
  <si>
    <t>[False trigger](#false_trigger)</t>
  </si>
  <si>
    <t>[false trigger](#false_trigger)</t>
  </si>
  <si>
    <t>[Event Type](#event_type)</t>
  </si>
  <si>
    <t>[Effective detection distance](#effective_detection_distance)</t>
  </si>
  <si>
    <t>[effective detection distance](#effective_detection_distance)</t>
  </si>
  <si>
    <t>[Easting Camera Location](#easting_camera_location)</t>
  </si>
  <si>
    <t>[Detection zone](#detection_zone)</t>
  </si>
  <si>
    <t>[detection zone](#detection_zone)</t>
  </si>
  <si>
    <t>[Detection rate](#detection_rate)</t>
  </si>
  <si>
    <t>[detection rate](#detection_rate)</t>
  </si>
  <si>
    <t>[Detection probability (aka detectability)](#detection_probability)</t>
  </si>
  <si>
    <t>[detection probability (aka detectability)](#detection_probability)</t>
  </si>
  <si>
    <t>[Detection 'event'](#detection_event)</t>
  </si>
  <si>
    <t>[detection 'event'](#detection_event)</t>
  </si>
  <si>
    <t>[Detection distance](#detection_distance)</t>
  </si>
  <si>
    <t>[detection distance](#detection_distance)</t>
  </si>
  <si>
    <t>[Deployment visit](#deployment_visit)</t>
  </si>
  <si>
    <t>[deployment visit](#deployment_visit)</t>
  </si>
  <si>
    <t>[Deployment Start Date Time (DD-MMM-YYYY HH:MM:SS)](#deployment_start_date_time)</t>
  </si>
  <si>
    <t>[Deployment Name](#deployment_name)</t>
  </si>
  <si>
    <t>[Deployment metadata](#deployment_metadata)</t>
  </si>
  <si>
    <t>[deployment metadata](#deployment_metadata)</t>
  </si>
  <si>
    <t>[Deployment Image Count](#deployment_img_count)</t>
  </si>
  <si>
    <t>[Deployment End Date Time (DD-MMM-YYYY HH:MM:SS)](#deployment_end_date_time)</t>
  </si>
  <si>
    <t>[Deployment Crew](#deployment_crew)</t>
  </si>
  <si>
    <t>[Deployment Comments](#deployment_comments)</t>
  </si>
  <si>
    <t>[Deployment Area Photos Taken](#deployment_area_photos_taken)</t>
  </si>
  <si>
    <t>[Deployment area photos](#deployment_area_photos)</t>
  </si>
  <si>
    <t>[deployment area photos](#deployment_area_photos)</t>
  </si>
  <si>
    <t>[Deployment Area Photo Numbers](#deployment_area_photo_numbers)</t>
  </si>
  <si>
    <t>[Deployment](#deployment)</t>
  </si>
  <si>
    <t>[deployment](#deployment)</t>
  </si>
  <si>
    <t>[Cumulative detection probability](#cumulative_det_probability)</t>
  </si>
  <si>
    <t>[cumulative detection probability](#cumulative_det_probability)</t>
  </si>
  <si>
    <t>[Crew](#crew)</t>
  </si>
  <si>
    <t>[crew](#crew)</t>
  </si>
  <si>
    <t>[Camera spacing](#camera_spacing)</t>
  </si>
  <si>
    <t>[camera spacing](#camera_spacing)</t>
  </si>
  <si>
    <t>[New Camera Serial Number](#camera_serial_number_new)</t>
  </si>
  <si>
    <t>[Camera Serial Number](#camera_serial_number)</t>
  </si>
  <si>
    <t>[New Camera Model](#camera_model_new)</t>
  </si>
  <si>
    <t>[Camera Model](#camera_model)</t>
  </si>
  <si>
    <t>[New Camera Make](#camera_make_new)</t>
  </si>
  <si>
    <t>[Camera Make](#camera_make)</t>
  </si>
  <si>
    <t>[Camera Location Name](#camera_location_name)</t>
  </si>
  <si>
    <t>[Camera Location Comments](#camera_location_comments)</t>
  </si>
  <si>
    <t>[Camera Location Characteristic(s)](#camera_location_characteristics)</t>
  </si>
  <si>
    <t>[Camera location](#camera_location)</t>
  </si>
  <si>
    <t>[New Camera ID](#cam_id_new)</t>
  </si>
  <si>
    <t>[Camera ID](#camera_id)</t>
  </si>
  <si>
    <t>[Camera Direction (degrees)](#camera_direction)</t>
  </si>
  <si>
    <t>[Camera days per camera location](#camera_days_per_camera_location)</t>
  </si>
  <si>
    <t>[Camera Damaged](#camera_damaged)</t>
  </si>
  <si>
    <t>[Camera Attachment](#camera_attachment)</t>
  </si>
  <si>
    <t>[Camera angle](#camera_angle)</t>
  </si>
  <si>
    <t>[camera angle](#camera_angle)</t>
  </si>
  <si>
    <t>[Camera Active On Departure](#camera_active_on_departure)</t>
  </si>
  <si>
    <t>[Camera Active On Arrival](#camera_active_on_arrival)</t>
  </si>
  <si>
    <t>[Batteries Replaced](#batteries_replaced)</t>
  </si>
  <si>
    <t>[Visual lure](#baitlure_visual_lure)</t>
  </si>
  <si>
    <t>[visual lure](#baitlure_visual_lure)</t>
  </si>
  <si>
    <t>[Scent lure](#baitlure_scent_lure)</t>
  </si>
  <si>
    <t>[scent lure](#baitlure_scent_lure)</t>
  </si>
  <si>
    <t>[Lure](#baitlure_lure)</t>
  </si>
  <si>
    <t>[lure](#baitlure_lure)</t>
  </si>
  <si>
    <t>[Bait/Lure Type](#baitlure_bait_lure_type)</t>
  </si>
  <si>
    <t>[Bait](#baitlure_bait)</t>
  </si>
  <si>
    <t>[bait](#baitlure_bait)</t>
  </si>
  <si>
    <t>[Audible lure](#baitlure_audible_lure)</t>
  </si>
  <si>
    <t>[audible lure](#baitlure_audible_lure)</t>
  </si>
  <si>
    <t>[Animal ID](#animal_id)</t>
  </si>
  <si>
    <t>[Analyst](#analyst)</t>
  </si>
  <si>
    <t>[Subadult - Young of Year](#age_class_subadult_youngofyear)</t>
  </si>
  <si>
    <t>[Subadult - Yearling](#age_class_subadult_yearling)</t>
  </si>
  <si>
    <t>[Subadult](#age_class_subadult)</t>
  </si>
  <si>
    <t>[Juvenile](#age_class_juvenile)</t>
  </si>
  <si>
    <t>[Adult](#age_class_adult)</t>
  </si>
  <si>
    <t>[Age Class](#age_class)</t>
  </si>
  <si>
    <t>[Access Method](#access_method)</t>
  </si>
  <si>
    <t>[Objective](#survey_objectives)</t>
  </si>
  <si>
    <t>[objective](#survey_objectives)</t>
  </si>
  <si>
    <t>sequences</t>
  </si>
  <si>
    <t>randomly placed</t>
  </si>
  <si>
    <t xml:space="preserve">[randomly placed](#sampledesign_random) </t>
  </si>
  <si>
    <t>SCR</t>
  </si>
  <si>
    <t>[n-mixture](#mod_n_mixture)</t>
  </si>
  <si>
    <t>[Model assumptions](#mod_assumption)</t>
  </si>
  <si>
    <t>[assumptions](#mod_assumption)</t>
  </si>
  <si>
    <t>assumption</t>
  </si>
  <si>
    <t>[assumption](#mod_assumption)</t>
  </si>
  <si>
    <t>[Modelling approaches](#mod_approach)</t>
  </si>
  <si>
    <t>[approach](#mod_approach)</t>
  </si>
  <si>
    <t>[detection probability](#detection_probability)</t>
  </si>
  <si>
    <t>detectability</t>
  </si>
  <si>
    <t>[Serial Number](#camera_serial_number)</t>
  </si>
  <si>
    <t>[Model](#camera_model)</t>
  </si>
  <si>
    <t>[model](#camera_model)</t>
  </si>
  <si>
    <t>[Make](#camera_make)</t>
  </si>
  <si>
    <t>[make](#camera_make)</t>
  </si>
  <si>
    <t>[Camera Location Characteristics](#camera_location_characteristics)</t>
  </si>
  <si>
    <t>[Camera locations](#camera_location)</t>
  </si>
  <si>
    <t>[camera locations](#camera_location)</t>
  </si>
  <si>
    <t>[camera location](#camera_location)</t>
  </si>
  <si>
    <t>[Camera Height](#camera_height)</t>
  </si>
  <si>
    <t>[Camera Direction](#camera_direction)</t>
  </si>
  <si>
    <t>[Angle](#camera_angle)</t>
  </si>
  <si>
    <t>[angle](#camera_angle)</t>
  </si>
  <si>
    <t>rtxt_</t>
  </si>
  <si>
    <t>rbib_</t>
  </si>
  <si>
    <t>var_type</t>
  </si>
  <si>
    <t>tl_ul</t>
  </si>
  <si>
    <t>text_single</t>
  </si>
  <si>
    <t>dd</t>
  </si>
  <si>
    <t>ddd</t>
  </si>
  <si>
    <t>camera location</t>
  </si>
  <si>
    <t xml:space="preserve">    - &lt;b&gt;Species diversity&lt;/b&gt;: 'A measure of diversity that incorporates both the number of species in an assemblage and some measure of their relative abundances.' (Gotelli &amp; Chao, 2013)&lt;br&gt;    - &lt;b&gt;Species richness&lt;/b&gt;: 'The total number of species in an assemblage or a sample' (Gotelli &amp; Chao, 2013).</t>
  </si>
  <si>
    <t>simp</t>
  </si>
  <si>
    <t>u</t>
  </si>
  <si>
    <t>abrv</t>
  </si>
  <si>
    <t>abrv2</t>
  </si>
  <si>
    <t>aka</t>
  </si>
  <si>
    <t>mod</t>
  </si>
  <si>
    <t>modtxt</t>
  </si>
  <si>
    <t>nu</t>
  </si>
  <si>
    <t>pl</t>
  </si>
  <si>
    <t>abrv_pl</t>
  </si>
  <si>
    <t>abrv_txt</t>
  </si>
  <si>
    <t>full</t>
  </si>
  <si>
    <t>[Camera Height (m)](#camera_height)</t>
  </si>
  <si>
    <t>or</t>
  </si>
  <si>
    <t>es</t>
  </si>
  <si>
    <t>Stratum</t>
  </si>
  <si>
    <t>stratum</t>
  </si>
  <si>
    <t>[stratified random design](#sampledesign_stratified_random)</t>
  </si>
  <si>
    <t>[Stratified random design](#sampledesign_stratified_random)</t>
  </si>
  <si>
    <t>[image classification confidence](#img_classification_confidence)</t>
  </si>
  <si>
    <t>[Image classification confidence](#img_classification_confidence)</t>
  </si>
  <si>
    <t>key_def</t>
  </si>
  <si>
    <t>mod_scr</t>
  </si>
  <si>
    <t>mod_secr</t>
  </si>
  <si>
    <t>mod_cmr</t>
  </si>
  <si>
    <t>mod_cr</t>
  </si>
  <si>
    <t>Trigger Mode(s) (camera settings)</t>
  </si>
  <si>
    <t>Capture-recapture (CR)</t>
  </si>
  <si>
    <t>Modelling approach(es)</t>
  </si>
  <si>
    <t>tip_id_lower</t>
  </si>
  <si>
    <t>tip_id_upper</t>
  </si>
  <si>
    <t>**\*Walktest Distance (m)**</t>
  </si>
  <si>
    <t>lookup_exact</t>
  </si>
  <si>
    <t>mod_divers_rich_rich_obs</t>
  </si>
  <si>
    <t>mod_divers_rich_rich_est</t>
  </si>
  <si>
    <t>distribution_species</t>
  </si>
  <si>
    <t>The total number of species in an assemblage or a sample. Species richness in an assemblage is difficult to estimate reliably from sample data because it is very sensitive to the number of individuals and the number of samples collected. Species richness is a diversity of order 0 (which means it is completely insensitive to species abundances).' (Gotelli &amp; Chao, 2013)</t>
  </si>
  <si>
    <t>The total number of species in an assemblage or a sample. Species richness in an assemblage is difficult to estimate reliably from sample data because it is very sensitive to the number of individuals and the number of samples collected. Species richness is a diversity of order 0 (which means it is completely insensitive to species abundances).' ({{ rtxt_gotelli_chao_2013 }})</t>
  </si>
  <si>
    <t>A measure of diversity that incorporates both the number of species in an assemblage and some measure of their relative abundances. Many species diversity indices can be converted by an algebraic transformation to Hill numbers.' ({{ rtxt_gotelli_chao_2013 }})</t>
  </si>
  <si>
    <t>A measure of diversity that incorporates both the number of species in an assemblage and some measure of their relative abundances. Many species diversity indices can be converted by an algebraic transformation to Hill numbers.' (Gotelli &amp; Chao, 2013)</t>
  </si>
  <si>
    <t>(plural of stratum) the 'division in an organized system based on the characteristics of that system' (Morrison et al., 2008)</t>
  </si>
  <si>
    <t>(plural of stratum) the 'division in an organized system based on the characteristics of that system' ({{ rtxt_morrison_et_al_2008 }})</t>
  </si>
  <si>
    <t>the area within which an animal normally lives and finds what it needs to survive and reproduce.</t>
  </si>
  <si>
    <t>Baits</t>
  </si>
  <si>
    <t>baits</t>
  </si>
  <si>
    <t>[Baits](#baitlure_bait)</t>
  </si>
  <si>
    <t>[baits](#baitlure_bait)</t>
  </si>
  <si>
    <t>Scent lures</t>
  </si>
  <si>
    <t>scent lures</t>
  </si>
  <si>
    <t>[Scent lures](#baitlure_scent_lure)</t>
  </si>
  <si>
    <t>[scent lures](#baitlure_scent_lure)</t>
  </si>
  <si>
    <t>from2</t>
  </si>
  <si>
    <t>field_text_upper</t>
  </si>
  <si>
    <t>field_text_lower</t>
  </si>
  <si>
    <t>the sum of the number of species seen' (e.g., Kitamura et al., 2010; Pettorelli et al., 2010; Ahumada et al., 2011; Aamejima et al., 2012)</t>
  </si>
  <si>
    <t>species-accumulation curve</t>
  </si>
  <si>
    <t>species-specific</t>
  </si>
  <si>
    <t>home range</t>
  </si>
  <si>
    <t>species distribution</t>
  </si>
  <si>
    <t>species rarity</t>
  </si>
  <si>
    <t>observed species richness</t>
  </si>
  <si>
    <t>in_find_replace</t>
  </si>
  <si>
    <t>key_pre</t>
  </si>
  <si>
    <t>estimated species richness</t>
  </si>
  <si>
    <t>home ranges</t>
  </si>
  <si>
    <t>tip_formula</t>
  </si>
  <si>
    <t>\"&gt;</t>
  </si>
  <si>
    <t>[Abundance](#obj_abundance)</t>
  </si>
  <si>
    <t>[abundance](#obj_abundance)</t>
  </si>
  <si>
    <t>marking</t>
  </si>
  <si>
    <t>Marking</t>
  </si>
  <si>
    <t>Biased</t>
  </si>
  <si>
    <t>biased</t>
  </si>
  <si>
    <t>mod2</t>
  </si>
  <si>
    <t>Biases</t>
  </si>
  <si>
    <t>biases</t>
  </si>
  <si>
    <t>relative abundance index</t>
  </si>
  <si>
    <t>Relative abundance index</t>
  </si>
  <si>
    <t xml:space="preserve">Animals’ activity centres </t>
  </si>
  <si>
    <t>[Trigger Mode(s) (camera settings)](#settings_trigger_modes)</t>
  </si>
  <si>
    <t>[camera days per camera location](#camera_days_per_camera_location)</t>
  </si>
  <si>
    <t>find_prev</t>
  </si>
  <si>
    <t>duplicates</t>
  </si>
  <si>
    <t>A curve of rising biodiversity in which the x-axis is the number of sampling units (individuals or samples) from an assemblage and the y-axis is the observed species richness. The species accumulation curve rises monotonically to an asymptotic maximum number of species.' ({{ rtxt_gotelli_chao_2013 }})</t>
  </si>
  <si>
    <t>A statistical interpolation method of rarefying or thinning a reference sample by drawing random subsets of individuals (or samples) in order to standardize the comparison of biological diversity on the basis of a common number of individuals or samples' ({{ rtxt_gotelli_chao_2013 }})</t>
  </si>
  <si>
    <t>A curve of rising biodiversity in which the x-axis is the number of sampling units (individuals or samples) from an assemblage and the y-axis is the observed species richness. The species accumulation curve rises monotonically to an asymptotic maximum number of species.' (Gotelli &amp; Chao, 2013)</t>
  </si>
  <si>
    <t>A statistical interpolation method of rarefying or thinning a reference sample by drawing random subsets of individuals (or samples) in order to standardize the comparison of biological diversity on the basis of a common number of individuals or samples' (Gotelli &amp; Chao, 2013)</t>
  </si>
  <si>
    <t>the number of individuals present of the species in question, relative to the total number of individuals of all species (or how 'represented' is the species when considering the total number of individuals of all species).</t>
  </si>
  <si>
    <t>when the 'sum of the number of species seen' is adjusted based on corrections for 'imperfect detection' (i.e. the fact that some species in a given sample may have been missed)' (Wearn &amp; Glover-Kapfer, 2017)</t>
  </si>
  <si>
    <t>substitution</t>
  </si>
  <si>
    <t xml:space="preserve">    mod_appl_mod_2flankspim: "Density / population size; Partially Marked"</t>
  </si>
  <si>
    <t xml:space="preserve">    mod_appl_mod_behaviour: "Behaviour"</t>
  </si>
  <si>
    <t xml:space="preserve">    mod_appl_mod_catspim: "Density / population size; Partially Marked"</t>
  </si>
  <si>
    <t xml:space="preserve">    mod_appl_mod_cr_cmr: "Population size / Absolute abundance / Vital rates / Density; Marked"</t>
  </si>
  <si>
    <t xml:space="preserve">    mod_appl_mod_divers_rich_alpha: "Alpha richness (α)"</t>
  </si>
  <si>
    <t xml:space="preserve">    mod_appl_mod_divers_rich_beta: "Beta-diversity (β)"</t>
  </si>
  <si>
    <t xml:space="preserve">    mod_appl_mod_divers_rich_divers: "Species diversity"</t>
  </si>
  <si>
    <t xml:space="preserve">    mod_appl_mod_divers_rich_gamma: "Gamma richness (γ)"</t>
  </si>
  <si>
    <t xml:space="preserve">    mod_appl_mod_divers_rich_rich: "Species richness"</t>
  </si>
  <si>
    <t xml:space="preserve">    mod_appl_mod_ds: "Density; Unmarked"</t>
  </si>
  <si>
    <t xml:space="preserve">    mod_appl_mod_inventory: "Species inventory, presence"</t>
  </si>
  <si>
    <t xml:space="preserve">    mod_appl_mod_is: "Density; Unmarked"</t>
  </si>
  <si>
    <t xml:space="preserve">    mod_appl_mod_occupancy: "Occupancy"</t>
  </si>
  <si>
    <t xml:space="preserve">    mod_appl_mod_rai: "Relative abundance"</t>
  </si>
  <si>
    <t xml:space="preserve">    mod_appl_mod_rai_hurdle: "Relative abundance"</t>
  </si>
  <si>
    <t xml:space="preserve">    mod_appl_mod_rai_nb: "Relative abundance"</t>
  </si>
  <si>
    <t xml:space="preserve">    mod_appl_mod_rai_zinb: "Relative abundance"</t>
  </si>
  <si>
    <t xml:space="preserve">    mod_appl_mod_rai_zip: "Relative abundance"</t>
  </si>
  <si>
    <t xml:space="preserve">    mod_appl_mod_rem: "Density; Unmarked"</t>
  </si>
  <si>
    <t xml:space="preserve">    mod_appl_mod_rest: "Density; Unmarked"</t>
  </si>
  <si>
    <t xml:space="preserve">    mod_appl_mod_sc: "Density; Unmarked"</t>
  </si>
  <si>
    <t xml:space="preserve">    mod_appl_mod_scr_secr: "Density / population size; Marked"</t>
  </si>
  <si>
    <t xml:space="preserve">    mod_appl_mod_smr: "Density; Marked"</t>
  </si>
  <si>
    <t xml:space="preserve">    mod_appl_mod_ste: "Density; Unmarked"</t>
  </si>
  <si>
    <t xml:space="preserve">    mod_appl_mod_tifc: "Density; Unmarked"</t>
  </si>
  <si>
    <t xml:space="preserve">    mod_appl_mod_tte: "Density; Unmarked"</t>
  </si>
  <si>
    <t xml:space="preserve">    name_mod_2flankspim: "Spatial Partial Identity Model (2-flank SPIM)"</t>
  </si>
  <si>
    <t xml:space="preserve">    name_mod_behaviour: "Behaviour"</t>
  </si>
  <si>
    <t xml:space="preserve">    name_mod_catspim: "Spatial Partial Identity Model (Categorical SPIM; catSPIM)"</t>
  </si>
  <si>
    <t xml:space="preserve">    name_mod_cr_cmr: "Capture-recapture (CR) / Capture-mark-recapture (CMR)"</t>
  </si>
  <si>
    <t xml:space="preserve">    name_mod_divers_rich: "Species diversity &amp; richness"</t>
  </si>
  <si>
    <t xml:space="preserve">    name_mod_ds: "Distance sampling (DS)"</t>
  </si>
  <si>
    <t xml:space="preserve">    name_mod_inventory: "Species inventory"</t>
  </si>
  <si>
    <t xml:space="preserve">    name_mod_is: "Instantaneous sampling (IS)"</t>
  </si>
  <si>
    <t xml:space="preserve">    name_mod_occupancy: "Occupancy"</t>
  </si>
  <si>
    <t xml:space="preserve">    name_mod_rai: "Relative abundance indices"</t>
  </si>
  <si>
    <t xml:space="preserve">    name_mod_rai_hurdle: "Hurdle"</t>
  </si>
  <si>
    <t xml:space="preserve">    name_mod_rai_nb: "Negative binomial (NB)"</t>
  </si>
  <si>
    <t xml:space="preserve">    name_mod_rai_zinb: "Zero-inflated negative binomial (ZINB) "</t>
  </si>
  <si>
    <t xml:space="preserve">    name_mod_rai_zip: "Zero-inflated Poisson (ZIP)"</t>
  </si>
  <si>
    <t xml:space="preserve">    name_mod_rem: "Random encounter model (REM)"</t>
  </si>
  <si>
    <t xml:space="preserve">    name_mod_rest: "Random encounter and staying time (REST)"</t>
  </si>
  <si>
    <t xml:space="preserve">    name_mod_sc: "Spatial count (SC) model / Unmarked spatial capture-recapture"</t>
  </si>
  <si>
    <t xml:space="preserve">    name_mod_scr_secr: "Spatial capture-recapture (SCR) / Spatially explicit capture recapture (SECR)"</t>
  </si>
  <si>
    <t xml:space="preserve">    name_mod_smr: "Spatial mark-resight "</t>
  </si>
  <si>
    <t xml:space="preserve">    name_mod_ste: "Space-to-event (STE)"</t>
  </si>
  <si>
    <t xml:space="preserve">    name_mod_tifc: "Time in front of the camera (TIFC)"</t>
  </si>
  <si>
    <t xml:space="preserve">    name_mod_tte: "Time-to-event (TTE)"</t>
  </si>
  <si>
    <t xml:space="preserve">    name_obj_abundance: "Absolute abundance / Population size"</t>
  </si>
  <si>
    <t xml:space="preserve">    name_obj_behaviour: "Behaviour"</t>
  </si>
  <si>
    <t xml:space="preserve">    name_obj_density: "Density"</t>
  </si>
  <si>
    <t xml:space="preserve">    name_obj_divers_rich: "Species diversity &amp; richness"</t>
  </si>
  <si>
    <t xml:space="preserve">    name_obj_inventory: "Species inventory"</t>
  </si>
  <si>
    <t xml:space="preserve">    name_obj_occupancy: "Occupancy"</t>
  </si>
  <si>
    <t xml:space="preserve">    name_obj_rel_abund: "Relative abundance"</t>
  </si>
  <si>
    <t xml:space="preserve">    name_obj_vital_rate: "Vital rates"</t>
  </si>
  <si>
    <t>moeller_lukacs_2021</t>
  </si>
  <si>
    <t>brooks_et_al_2017</t>
  </si>
  <si>
    <t>cremmural_nd</t>
  </si>
  <si>
    <t>https://doi.org/10.1111/j.1751-5823.2007.00030_17.x</t>
  </si>
  <si>
    <t>Zuur, A. K., Ieno, E. N., &amp; Smith, G. M. (2007). Generalised linear modelling. In, M. Gail, K. Krickeberg, J. Samet, A. Tsiatis, &amp; W. Wong (Eds.), *Analysing Ecological Data* (pp 79-96). Springer. &lt;https://doi.org/10.1111/j.1751-5823.2007.00030_17.x&gt;</t>
  </si>
  <si>
    <t xml:space="preserve">Zuur, Ieno, &amp; Smith, 2007 </t>
  </si>
  <si>
    <t>Zuur et al., 2007</t>
  </si>
  <si>
    <t>zuur_et_al_2007</t>
  </si>
  <si>
    <t>Article</t>
  </si>
  <si>
    <t>https://doi.org/10.1007/s40823-020-00059-4</t>
  </si>
  <si>
    <t>Zuckerberg, B., Cohen, J. M., Nunes, L. A., Bernath-Plaisted, J., Clare, J. D. J., Gilbert, N. A., Kozidis, S. S., Maresh Nelson, S. B., Shipley, A. A., Thompson, K. L., &amp; Desrochers, A. (2020). A Review of Overlapping Landscapes: Pseudoreplication or a Red Herring in Landscape Ecology? *Current Landscape Ecology Reports, 5*(4), 140-148. &lt;https://doi.org/10.1007/s40823-020-00059-4&gt;</t>
  </si>
  <si>
    <t>Zuckerberg et al., 2020</t>
  </si>
  <si>
    <t>zuckerberg_et_al_2020</t>
  </si>
  <si>
    <t>https://doi.org/10.1177/0049124198026003004</t>
  </si>
  <si>
    <t>Zorn, C. J. W. (1998). An Analytic and Empirical Examination of Zero-inflated and Hurdle Poisson Specifications. *Sociological Methods and Research 26*(3), 368-400. &lt;https://doi.org/10.1177/0049124198026003004&gt;</t>
  </si>
  <si>
    <t>Zorn, 1998</t>
  </si>
  <si>
    <t>zorn_1998</t>
  </si>
  <si>
    <t>https://doi.org/10.18637/jss.v027.i08</t>
  </si>
  <si>
    <t>Zeileis, A., Kleiber, C., &amp; Jackman, S. (2008). Regression Models for Count Data in R. *Journal of Statistical Software, 27*(8). &lt;https://doi.org/10.18637/jss.v027.i08&gt;</t>
  </si>
  <si>
    <t>Zeileis et al., 2008</t>
  </si>
  <si>
    <t>zeileis_et_al_2008</t>
  </si>
  <si>
    <t>https://doi.org/10.1890/14-1928.1</t>
  </si>
  <si>
    <t>Yue, S., Brodie, J. F., Zipkin, E. F., &amp; Bernard, H. (2015). Oil palm plantations fail to support mammal diversity. *Ecological Applications, 25*(8), 2285-2292. &lt;https://doi.org/10.1890/14-1928.1&gt;</t>
  </si>
  <si>
    <t>Yue et al., 2015</t>
  </si>
  <si>
    <t>yue_et_al_2015</t>
  </si>
  <si>
    <t>https://doi.org/10.1002/ece3.11434</t>
  </si>
  <si>
    <t>Yu, H., Lin, Z., &amp; F. Xiao. (2024). Role of Body Size and Shape in Animal Camouflage. *Ecology and Evolution, 14*(5), e11434. &lt;https://doi.org/10.1002/ece3.11434&gt;</t>
  </si>
  <si>
    <t>Yu et al., 2024</t>
  </si>
  <si>
    <t>yu_et_al_2024</t>
  </si>
  <si>
    <t>https://doi.org/10.1002/ece3.4464</t>
  </si>
  <si>
    <t>Young, S., Rode-Margono, J., &amp; Amin, R. (2018). Software to facilitate and streamline camera trap data management: A review. *Ecology and Evolution, 8*(19), 9947-9957. &lt;https://doi.org/10.1002/ece3.4464&gt;</t>
  </si>
  <si>
    <t>Young, Rode-Margono &amp; Amin, 2018</t>
  </si>
  <si>
    <t>Young et al., 2018</t>
  </si>
  <si>
    <t>young_et_al_2018</t>
  </si>
  <si>
    <t>https://doi.org/10.3398/064.079.0401</t>
  </si>
  <si>
    <t>Windell, R. M., Lewis, J. S., Gramza, A. R., &amp; Crooks, K. R. (2019). Carnivore Carrying Behavior as Documented with Wildlife Camera Traps. *Western North American Naturalist, 79*(4), 471. &lt;https://doi.org/10.3398/064.079.0401&gt;</t>
  </si>
  <si>
    <t>Windell et al., 2019</t>
  </si>
  <si>
    <t>windell_et_al_2019</t>
  </si>
  <si>
    <t>https://go.exlibris.link/qSfqP9dC</t>
  </si>
  <si>
    <t>Williams, B. K., Nichols, J. D., &amp; Conroy, M. J. (2002). *Analysis and Management of Animal Populations: Modeling, Estimation, and Decision Making*. Book, Whole. San Diego: Academic Press. &lt;https://go.exlibris.link/qSfqP9dC&gt;</t>
  </si>
  <si>
    <t>Williams, Nichols, &amp; Conroy, 2002</t>
  </si>
  <si>
    <t>Williams et al., 2002</t>
  </si>
  <si>
    <t>williams_et_al_2002</t>
  </si>
  <si>
    <t>Book/Book section</t>
  </si>
  <si>
    <t>https://www.youtube.com/watch?v=h3MLWK9IJ4A</t>
  </si>
  <si>
    <t>https://www.youtube.com/embed/h3MLWK9IJ4A?si=qOKB8jyALD3cwgAe</t>
  </si>
  <si>
    <t>The Wildlife Degree (2022, Feb 3). *Rarefied Species Accumulation Curves (the simple way) tutorial.* [Video]. YouTube. &lt;https://www.youtube.com/watch?v=h3MLWK9IJ4A&gt;</t>
  </si>
  <si>
    <t>The Wildlife Degree (2022)</t>
  </si>
  <si>
    <t>wildlifedegree_2022</t>
  </si>
  <si>
    <t>Video</t>
  </si>
  <si>
    <t>https://www.wildlabs.net/event/how-do-i-get-started-megadetector</t>
  </si>
  <si>
    <t>The WILDLABS Partnership (2021). *How do I get started with Megadetector?* Siyu Y. &lt;https://www.wildlabs.net/event/how-do-i-get-started-megadetector&gt;</t>
  </si>
  <si>
    <t>The WILDLABS Partnership, 2021</t>
  </si>
  <si>
    <t>wildlabs_2021</t>
  </si>
  <si>
    <t>Tutorial/code</t>
  </si>
  <si>
    <t>https://bookdown.org/c_w_beirne/wildCo-Data-Analysis/activity.html</t>
  </si>
  <si>
    <r>
      <t>WildCo Lab (2021d). *</t>
    </r>
    <r>
      <rPr>
        <sz val="12"/>
        <color rgb="FF000000"/>
        <rFont val="Calibri"/>
        <family val="2"/>
      </rPr>
      <t>Chapter 12 Activity*. &lt;</t>
    </r>
    <r>
      <rPr>
        <sz val="12"/>
        <color theme="1"/>
        <rFont val="Calibri"/>
        <family val="2"/>
      </rPr>
      <t>https://bookdown.org/c_w_beirne/wildCo-Data-Analysis/activity.html</t>
    </r>
    <r>
      <rPr>
        <sz val="12"/>
        <color rgb="FF000000"/>
        <rFont val="Calibri"/>
        <family val="2"/>
      </rPr>
      <t>&gt;</t>
    </r>
  </si>
  <si>
    <t>WildCo Lab, 2021d</t>
  </si>
  <si>
    <t>wildco_lab_2021d</t>
  </si>
  <si>
    <t>https://bookdown.org/c_w_beirne/wildCo-Data-Analysis/behavior.html</t>
  </si>
  <si>
    <t>https://bookdown.org/c_w_beirne/wildCo-Data-Analysis/occupancy.html</t>
  </si>
  <si>
    <t>WildCo Lab (2021c). *Chapter 11 Occupancy*. &lt;https://bookdown.org/c_w_beirne/wildCo-Data-Analysis/occupancy.html&gt;</t>
  </si>
  <si>
    <t>WildCo Lab, 2021c</t>
  </si>
  <si>
    <t>wildco_lab_2021c</t>
  </si>
  <si>
    <t>https://bookdown.org/c_w_beirne/wildCo-Data-Analysis/#what-this-guide-is</t>
  </si>
  <si>
    <t>WildCo Lab (2021b). *WildCo: Reproducible camera trap data exploration and analysis examples in R*. University of British Columbia. &lt;https://bookdown.org/c_w_beirne/wildCo-Data-Analysis/#what-this-guide-is&gt;</t>
  </si>
  <si>
    <t>WildCo Lab, 2021b</t>
  </si>
  <si>
    <t>wildco_lab_2021b</t>
  </si>
  <si>
    <t>https://github.com/WildCoLab/WildCo_Face_Blur</t>
  </si>
  <si>
    <t>WildCo Lab (2021a). *WildCo-FaceBlur.* &lt;https://github.com/WildCoLab/WildCo_Face_Blur&gt;</t>
  </si>
  <si>
    <t>WildCo Lab, 2021a</t>
  </si>
  <si>
    <t>wildco_lab_2021a</t>
  </si>
  <si>
    <t>https://github.com/WildCoLab/WildCo_Image_Renamer</t>
  </si>
  <si>
    <t>WildCo Lab (2020). *WildCo_Image_Renamer.* &lt;https://github.com/WildCoLab/WildCo_Image_Renamer&gt;</t>
  </si>
  <si>
    <t>WildCo Lab, 2020</t>
  </si>
  <si>
    <t>wildco_2020</t>
  </si>
  <si>
    <t>https://wildcams.ca/site/assets/files/1390/wildcam_network_camera_trapping_best_practices_literature_synthesis.pdf</t>
  </si>
  <si>
    <t>WildCAM Network (2019). *WildCAM Network Camera Trapping Best Practices Literature Synthesis.* &lt;https://wildcams.ca/site/assets/files/1390/wildcam_network_camera_trapping_best_practices_literature_synthesis.pdf&gt;</t>
  </si>
  <si>
    <t>WildCAM Network, 2019</t>
  </si>
  <si>
    <t>wildcam_network_2019</t>
  </si>
  <si>
    <t>https://www.nature.com/articles/s41598-019-40581-y</t>
  </si>
  <si>
    <t>Whittington, J., Low, P., &amp; Hunt, B. (2019). Temporal road closures improve habitat quality for wildlife. *Scientific Reports, 9* (1), 3772. &lt;https://www.nature.com/articles/s41598-019-40581-y&gt;</t>
  </si>
  <si>
    <t>Whittington, Low &amp; Hunt, 2019</t>
  </si>
  <si>
    <t>Whittington et al., 2019</t>
  </si>
  <si>
    <t>whittington_et_al_2019</t>
  </si>
  <si>
    <t>https://doi.org/10.1111/1365-2664.12954</t>
  </si>
  <si>
    <t>Whittington, J., Hebblewhite, M., Chandler, R. B., &amp; Lentini, P. (2018). Generalized spatial mark-resight models with an application to grizzly bears. *Journal of Applied Ecology, 55*(1), 157-168. &lt;https://doi.org/10.1111/1365-2664.12954&gt;</t>
  </si>
  <si>
    <t>Whittington et al., 2018</t>
  </si>
  <si>
    <t>whittington_et_al_2018</t>
  </si>
  <si>
    <t>https://doi.org/10.1111/j.0006-341X.2000.00022.x</t>
  </si>
  <si>
    <t>Welsh, A. H., Cunningham, R. B., &amp; Chambers, R. L. (2000). Methodology for estimating the abundance of rare animals: Seabird nesting on North East Herald Cay. *Biometrics, 56*(1), 22-30. &lt;https://doi.org/10.1111/j.0006-341X.2000.00022.x&gt;</t>
  </si>
  <si>
    <t>Welsh et al., 2000</t>
  </si>
  <si>
    <t>welsh_et_al_2000</t>
  </si>
  <si>
    <t>https://doi.org/10.1002/wsb.425</t>
  </si>
  <si>
    <t>Wellington, K., Bottom, C., Merrill, C., &amp; Litvaitis, J. A. (2014). Identifying performance differences among trail cameras used to monitor forest mammals. *Wildlife Society Bulletin, 38*(3), 634-638. &lt;https://doi.org/10.1002/wsb.425&gt;</t>
  </si>
  <si>
    <t>Wellington et al., 2014</t>
  </si>
  <si>
    <t>wellington_et_al_2014</t>
  </si>
  <si>
    <t>MAYBE</t>
  </si>
  <si>
    <t>https://doi.or/10.1002/rse2.20</t>
  </si>
  <si>
    <t>Welbourne, D. J., Claridge, A. W., Paul, D. J., &amp; Lambert, A. (2016). How do passive infrared triggered camera traps operate and why does it matter? Breaking down common misconceptions. *Remote Sensing in Ecology and Conservation*, 77-83. &lt;https://doi.or/10.1002/rse2.20&gt;</t>
  </si>
  <si>
    <t>Welbourne et al., 2016</t>
  </si>
  <si>
    <t>welbourne_et_al_2016</t>
  </si>
  <si>
    <t>https://doi.org/10.1017/S1367943004001441</t>
  </si>
  <si>
    <t>Wegge, P., C. P. Pokheral, &amp; Jnawali, S. R. (2004). Effects of trapping effort and trap shyness on estimates of tiger abundance from camera trap studies. *Animal Conservation, 7*, 251-256. &lt;https://doi.org/10.1017/S1367943004001441&gt;</t>
  </si>
  <si>
    <t>Wegge et al., 2004</t>
  </si>
  <si>
    <t>wegge_et_al_2004</t>
  </si>
  <si>
    <t>https://www.youtube.com/watch?v=0VObf2rMrI8</t>
  </si>
  <si>
    <t>https://www.youtube.com/embed/0VObf2rMrI8?si=g2v0XDwVp9WktP9D</t>
  </si>
  <si>
    <t>weecology (2020, Oct 30). *Introduction to Species Distribution Modeling Using R.* [Video]. YouTube. &lt;https://www.youtube.com/watch?v=0VObf2rMrI8&gt;</t>
  </si>
  <si>
    <t>weecology (2020)</t>
  </si>
  <si>
    <t>weecology_2020</t>
  </si>
  <si>
    <t>https://doi.org/10.1002/wsb.1011</t>
  </si>
  <si>
    <t>Webster, S. C., &amp; Beasley, J. C. (2019). Influence of lure choice and Survey duration on scent stations for carnivore Surveys. *Wildlife Society Bulletin, 43*(4), 661-668. &lt;https://doi.org/10.1002/wsb.1011&gt;</t>
  </si>
  <si>
    <t>Webster et al., 2019</t>
  </si>
  <si>
    <t>webster_et_al_2019</t>
  </si>
  <si>
    <t>https://doi.org/10.1098/rsos.181748</t>
  </si>
  <si>
    <t>Wearn, O. R., &amp; Glover-Kapfer, P. (2019). Snap happy: Camera traps are an effective sampling tool when compared with alternative methods. *Royal Society Open Science, 6*(3), 181748. &lt;https://doi.org/10.1098/rsos.181748&gt;</t>
  </si>
  <si>
    <t>Wearn &amp; Glover-Kapfer, 2019</t>
  </si>
  <si>
    <t>wearn_gloverkapfer_2019</t>
  </si>
  <si>
    <t>http://dx.doi.org/10.13140/RG.2.2.23409.17767</t>
  </si>
  <si>
    <t>Wearn, O. R., &amp; Glover-Kapfer, P. (2017). Camera-Trapping for Conservation: A Guide to Best-ractices. *WWF conservation technology series, 1*, 1-181. &lt;http://dx.doi.org/10.13140/RG.2.2.23409.17767&gt;</t>
  </si>
  <si>
    <t>Wearn &amp; Glover-Kapfer, 2017</t>
  </si>
  <si>
    <t>wearn_gloverkapfer_2017</t>
  </si>
  <si>
    <t>https://doi.org/10.1890/15-1363</t>
  </si>
  <si>
    <t>Wearn, O. R., Carbone, C., Rowcliffe, J. M., Bernard, H. &amp; Ewers, R. M. (2016). Grain-dependent responses of mammalian diversity to land-use and the implications for conservation set-aside. *Ecological Applications, 26*(5), 1409-1420. &lt;https://doi.org/10.1890/15-1363&gt;</t>
  </si>
  <si>
    <t>Wearn et al., 2016</t>
  </si>
  <si>
    <t>wearn_et_al_2016</t>
  </si>
  <si>
    <t>https://doi.org/10.1371/journal.pone.0077598</t>
  </si>
  <si>
    <t>Wearn, O. R., Rowcliffe, J. M., Carbone, C., Bernard, H., &amp; Ewers, R. M. (2013). Assessing the status of wild felids in a highly-disturbed commercial forest reserve in Borneo and the implications for camera trap Survey design. *PLoS One, 8*(11), e77598. &lt;https://doi.org/10.1371/journal.pone.0077598&gt;</t>
  </si>
  <si>
    <t>Wearn et al., 2013</t>
  </si>
  <si>
    <t>wearn_et_al_2013</t>
  </si>
  <si>
    <t>https://doi.org/10.1016/j.gecco.2020.e01212</t>
  </si>
  <si>
    <t>Warbington, C. H., &amp; Boyce, M. S. (2020). Population Density of sitatunga in riverine wetland habitats. *Global Ecology and Conservation, 24*. &lt;https://doi.org/10.1016/j.gecco.2020.e01212&gt;</t>
  </si>
  <si>
    <t>Warbington &amp; Boyce, 2020</t>
  </si>
  <si>
    <t>warbington_boyce_2020</t>
  </si>
  <si>
    <t>https://doi.org/10.1111/j.2005.0906-7590.04112.x</t>
  </si>
  <si>
    <t>Walther, B. A., &amp; Moore, J. L. (2005). The Concepts of Bias, Precision and Accuracy, and Their Use in Testing the Performance of Species Richness Estimators, with a Literature Review of Estimator Performance. *Ecography, 28*, 815-829. &lt;https://doi.org/10.1111/j.2005.0906-7590.04112.x&gt;</t>
  </si>
  <si>
    <t>Walther &amp; Moore, 2005</t>
  </si>
  <si>
    <t>walther_moore_2005</t>
  </si>
  <si>
    <t>https://www.youtube.com/watch?v=wBx7f4PP8RE</t>
  </si>
  <si>
    <t>VSN International (2022, Jul 13). *Species abundance tools in Genstat* [Video]. YouTube. &lt;https://www.youtube.com/watch?v=wBx7f4PP8RE&gt;</t>
  </si>
  <si>
    <t>VSN International, 2022</t>
  </si>
  <si>
    <t>vsn_international_2022</t>
  </si>
  <si>
    <t>https://doi.org/10.1093/jmammal/gyv150</t>
  </si>
  <si>
    <t>Villette et al., 2016</t>
  </si>
  <si>
    <t>villette_et_al_2016</t>
  </si>
  <si>
    <t>https://academic.oup.com/icb/article/61/3/900/6288456</t>
  </si>
  <si>
    <t>Vidal, M., Wolf, N., Rosenberg, B., Harris, B. P., &amp; Mathis, A. (2021). Perspectives on Individual Animal Identification from Biology and Computer Vision. *Integrative and Comparative Biology, 61*(3), 900-916. &lt;https://academic.oup.com/icb/article/61/3/900/6288456&gt;</t>
  </si>
  <si>
    <t>Vidal et al., 2021</t>
  </si>
  <si>
    <t>vidal_et_al_2021</t>
  </si>
  <si>
    <t>https://doi.org/10.1111/2041-210X.14044</t>
  </si>
  <si>
    <t>Velez, J., McShea, W., Shamon, H., Castiblanco-Camacho, P. J., Tabak, M. A., Chalmers, C., Fergus, P., &amp; Fieberg, J. (2023). An Evaluation of Platforms for Processing Camera-Trap Data using Artificial Intelligence. *Methods in Ecology and Evolution, 145*, 459-477. &lt;https://doi.org/10.1111/2041-210X.14044&gt;</t>
  </si>
  <si>
    <t>Velez et al., 2023</t>
  </si>
  <si>
    <t>velez_et_al_2023</t>
  </si>
  <si>
    <t>https://journals.plos.org/plosone/article?id=10.1371/journal.pone.0234494</t>
  </si>
  <si>
    <t>Van Wilgenburg, S. L., Mahon, C. L., Campbell, G., McLeod, L., Campbell, M., Evans, D., Easton, W., Francis, C. M., Hache, S., Machtans, C. S., Mader, C., Pankratz, R. F., Russell, R., Smith, A. C., Thomas, P., Toms, J. D., &amp; Tremblay, J. A. (2020). A Cost Efficient Spatially Balanced Hierarchical Sampling Design for Monitoring Boreal Birds Incorporating Access Costs and Habitat Stratification. *PLoS ONE, 15*(6). &lt;https://journals.plos.org/plosone/article?id=10.1371/journal.pone.0234494&gt;</t>
  </si>
  <si>
    <t>Van Wilgenburg et al., 2020</t>
  </si>
  <si>
    <t>vanwilgenburg_et_al_2020</t>
  </si>
  <si>
    <t>https://doi.org/10.3897/natureconservation.15.9616</t>
  </si>
  <si>
    <t>Van Dooren, T. J. M. (2016). Pollinator species richness: Are the declines slowing down? *Nature Conservation, 15*, 11-22. &lt;https://doi.org/10.3897/natureconservation.15.9616&gt;</t>
  </si>
  <si>
    <t>Van Dooren, 2016</t>
  </si>
  <si>
    <t>vandooren_2016</t>
  </si>
  <si>
    <t>https://www.researchgate.net/publication/339271024_Expedition_Field_Techniques_Camera_Trapping</t>
  </si>
  <si>
    <t>Van Berkel, T. (2014). *Camera trapping for wildlife conservation: Expedition field techniques*. Geography Outdoors. &lt;https://www.researchgate.net/publication/339271024_Expedition_Field_Techniques_Camera_Trapping&gt;</t>
  </si>
  <si>
    <t>Van Berkel, 2014</t>
  </si>
  <si>
    <t>van_berkel_2014</t>
  </si>
  <si>
    <t>https://science.uct.ac.za/seec/stats-toolbox-seminars-spatial-and-species-distribution-toolboxes/single-season-occupancy-models-using-bayesian-approach</t>
  </si>
  <si>
    <t>University of Cape Town. (2024d). *Single-season occupancy models using a Bayesian approach.* &lt;https://science.uct.ac.za/seec/stats-toolbox-seminars-spatial-and-species-distribution-toolboxes/single-season-occupancy-models-using-bayesian-approach&gt;</t>
  </si>
  <si>
    <t>University of Cape Town, 2024d</t>
  </si>
  <si>
    <t>u_capetown_2024d</t>
  </si>
  <si>
    <t>https://science.uct.ac.za/seec/stats-toolbox-seminars-spatial-and-species-distribution-toolboxes/species-distribution-modelling</t>
  </si>
  <si>
    <t>University of Cape Town. (2024c). *Species Distribution Modelling.* &lt;https://science.uct.ac.za/seec/stats-toolbox-seminars-spatial-and-species-distribution-toolboxes/species-distribution-modelling&gt;</t>
  </si>
  <si>
    <t>University of Cape Town, 2024c</t>
  </si>
  <si>
    <t>u_capetown_2024c</t>
  </si>
  <si>
    <t>https://science.uct.ac.za/seec/stats-toolbox-seminars-spatial-and-species-distribution-toolboxes/spatial-capture-recapture-scr-modelling</t>
  </si>
  <si>
    <t>University of Cape Town. (2024b). *SEEC Toolbox seminars - Spatial Capture-Recapture (SCR) models.* &lt;https://science.uct.ac.za/seec/stats-toolbox-seminars-spatial-and-species-distribution-toolboxes/spatial-capture-recapture-scr-modelling&gt;</t>
  </si>
  <si>
    <t>University of Cape Town, 2024b</t>
  </si>
  <si>
    <t>u_capetown_2024b</t>
  </si>
  <si>
    <t>https://science.uct.ac.za/seec/stats-toolbox-seminars</t>
  </si>
  <si>
    <t>University of Cape Town. (2024a). *SEEC Toolbox seminars* &lt;https://science.uct.ac.za/seec/stats-toolbox-seminars&gt;</t>
  </si>
  <si>
    <t>University of Cape Town, 2024a</t>
  </si>
  <si>
    <t>u_capetown_2024a</t>
  </si>
  <si>
    <t>https://science.uct.ac.za/sites/default/files/content_migration/science_uct_ac_za/708/files/SEEC%2520Stats%2520Toolbox%2520-%2520Spatial%2520capture%2520recapture%2520slides.pdf</t>
  </si>
  <si>
    <t>University of Cape Town. (2017). *SEEC Toolbox seminars.* [Powerpoint]. &lt;https://science.uct.ac.za/sites/default/files/content_migration/science_uct_ac_za/708/files/SEEC%2520Stats%2520Toolbox%2520-%2520Spatial%2520capture%2520recapture%2520slides.pdf&gt;</t>
  </si>
  <si>
    <t>University of Cape Town, 2017</t>
  </si>
  <si>
    <t>u_capetown_2017</t>
  </si>
  <si>
    <t>https://doi.org/10.1002/ecs2.4165</t>
  </si>
  <si>
    <t>Twining, J. P., McFarlane, C., O'Meara, D., O'Reilly, C., Reyne, M., Montgomery, W. I., Helyar, S., Tosh, D. G., &amp; Augustine, B. C. (2022) A Comparison of Density Estimation Methods for Monitoring Marked and Unmarked Animal Populations. *Ecosphere, 13*(10), e4165. &lt;https://doi.org/10.1002/ecs2.4165&gt;</t>
  </si>
  <si>
    <t>Twining et al., 2022</t>
  </si>
  <si>
    <t>twining_et_al_2022</t>
  </si>
  <si>
    <t>https://www.youtube.com/watch?v=WBgWOQBlNoI</t>
  </si>
  <si>
    <t>https://www.youtube.com/embed/WBgWOQBlNoI?si=h16_LVMHmwT0ntPd</t>
  </si>
  <si>
    <t>Turlapaty, A. (2014, Jun 15). *Probability of Detection: Eg 01.* [Video]. YouTube. &lt;https://www.youtube.com/watch?v=WBgWOQBlNoI&gt;</t>
  </si>
  <si>
    <t>Turlapaty, 2014</t>
  </si>
  <si>
    <t>turlapaty_2014</t>
  </si>
  <si>
    <t>https://doi.org/10.1007/s00442-018-4242-z</t>
  </si>
  <si>
    <t>Tschumi, M., Ekroos, J., Hjort, C., Smith, H. G., &amp; Birkhofer, K. (2018). Rodents, not birds, dominate predation-related ecosystem services and disservices in vertebrate communities of agricultural landscapes. *Oecologia, 188* (3), 863-873. &lt;https://doi.org/10.1007/s00442-018-4242-z&gt;</t>
  </si>
  <si>
    <t>Tschumi et al., 2018</t>
  </si>
  <si>
    <t>tschumi_et_al_2018</t>
  </si>
  <si>
    <t>https://www.researchgate.net/publication/266381944_Use_of_camera_traps_for_wildlife_studies_A_review</t>
  </si>
  <si>
    <t>Trolliet, F., Huynen, M., Vermeulen, C., &amp; Hambuckers, A. (2014). Use of Camera Traps for Wildlife Studies. A Review. *Biotechnology, Agronomy and Society and Environment 18*(3), 446-54. &lt;https://www.researchgate.net/publication/266381944_Use_of_camera_traps_for_wildlife_studies_A_review&gt;</t>
  </si>
  <si>
    <t>Trolliet et al., 2014</t>
  </si>
  <si>
    <t>trolliet_et_al_2014</t>
  </si>
  <si>
    <t>https://doi.org/10.1111/jzo.12828</t>
  </si>
  <si>
    <t>Tourani, M., Brøste, E. N., Bakken, S., Odden, J., Bischof, R., &amp; Hayward, M. (2020). Sooner, closer, or longer: Detectability of mesocarnivores at camera traps. *Journal of Zoology, 312*(4), 259-270. &lt;https://doi.org/10.1111/jzo.12828&gt;</t>
  </si>
  <si>
    <t>Tourani et al., 2020</t>
  </si>
  <si>
    <t>tourani_et_al_2020</t>
  </si>
  <si>
    <t>https://doi.org/10.1002/ece3.8468</t>
  </si>
  <si>
    <t>Tourani, M. (2022). A review of spatial capture-recapture: Ecological insights, limitations, and prospects. *Ecology and Evolution, 12*, e8468. &lt;https://doi.org/10.1002/ece3.8468&gt;</t>
  </si>
  <si>
    <t>Tourani, 2022</t>
  </si>
  <si>
    <t>tourani_2022</t>
  </si>
  <si>
    <t>https://doi.org/10.1016/j.biocon.2012.12.009</t>
  </si>
  <si>
    <t>Tobler, M. W. &amp; Powell, G. V. N. (2013). Estimating jaguar densities with camera traps: problems with current designs and recommendations for future studies. *Biological Conservation, 159*, 109-118. &lt;https://doi.org/10.1016/j.biocon.2012.12.009&gt;</t>
  </si>
  <si>
    <t>Tobler &amp; Powell, 2013</t>
  </si>
  <si>
    <t>tobler_powell_2013</t>
  </si>
  <si>
    <t>https://doi.org/10.1111/j.1469-1795.2008.00169.x</t>
  </si>
  <si>
    <t>Tobler, M. W., Pitman, R. L., Mares, R. &amp; Powell, G. (2008). An Evaluation of Camera Traps for Inventorying Large- and Medium-Sized Terrestrial Rainforest Mammals. *Animal Conservation, 11*, 169-178. &lt;https://doi.org/10.1111/j.1469-1795.2008.00169.x&gt;</t>
  </si>
  <si>
    <t>Tobler et al., 2008</t>
  </si>
  <si>
    <t>tobler_et_al_2008</t>
  </si>
  <si>
    <t>https://www.youtube.com/watch?v=ztNQvAabgtU</t>
  </si>
  <si>
    <t>https://www.youtube.com/embed/ztNQvAabgtU?si=9rY7DVbBWN_ByPvf</t>
  </si>
  <si>
    <t>TileStats (2021, Apr 18). *Zero-inflated Poisson (ZIP) regression.* [Video]. YouTube. &lt;https://www.youtube.com/watch?v=ztNQvAabgtU&gt;</t>
  </si>
  <si>
    <t>TileStats, 2021</t>
  </si>
  <si>
    <t>tilestats_2021</t>
  </si>
  <si>
    <t>https://doi.org/10.1002/jwmg.664</t>
  </si>
  <si>
    <t>Tigner, J., Bayne, E. M., &amp; Boutin, S. (2014). Black bear use of seismic lines in Northern Canada. *Journal of Wildlife Management, 78* (2), 282-292. &lt;https://doi.org/10.1002/jwmg.664&gt;</t>
  </si>
  <si>
    <t>Tigner, Bayne &amp; Boutin, 2014</t>
  </si>
  <si>
    <t>Tigner et al., 2014</t>
  </si>
  <si>
    <t>tigner_et_al_2014</t>
  </si>
  <si>
    <t>https://doi.org/10.3957/056.039.0101</t>
  </si>
  <si>
    <t>Thorn, M., Scott, D. M., Green, M., Bateman, P. W., &amp; Cameron, E. Z. (2009). Estimating Brown Hyaena Occupancy using Baited Camera Traps. *South African Journal of Wildlife Research, 39*(1), 1-10. &lt;https://doi.org/10.3957/056.039.0101&gt;</t>
  </si>
  <si>
    <t>Thorn et al., 2009</t>
  </si>
  <si>
    <t>thorn_et_al_2009</t>
  </si>
  <si>
    <t>https://doi.org/10.1016/B978-0126889604/50003-4</t>
  </si>
  <si>
    <t>Thompson, W. L., White, G. C., &amp; Gowan, C. (1998). “Chapter 3 - Enumeration Methods.” In *Monitoring Vertebrate Populations*, edited by Thompson, W. L., White, G. C., &amp; Gowan, C., 75-121. San Diego: Academic Press. &lt;https://doi.org/10.1016/B978-0126889604/50003-4&gt;</t>
  </si>
  <si>
    <t>Thompson, White, &amp; Gowan, 1998</t>
  </si>
  <si>
    <t>Thompson et al., 1998</t>
  </si>
  <si>
    <t>thompson_et_al_1998</t>
  </si>
  <si>
    <t>https://pthompson234.shinyapps.io/calculate-zoi/</t>
  </si>
  <si>
    <t>Thompson, P. R. (2024) *Zone of Influence Effect Size and Buffer Distance Calculator*. University of Alberta, Canada. &lt;https://pthompson234.shinyapps.io/calculate-zoi/&gt;</t>
  </si>
  <si>
    <t>Thompson, 2024</t>
  </si>
  <si>
    <t>thompson_2024</t>
  </si>
  <si>
    <t>R shiny</t>
  </si>
  <si>
    <t>https://doi.org/10.1038/s41598-021-02459-w</t>
  </si>
  <si>
    <t>Tanwar, K. S., Sadhu, A., &amp; Jhala, Y. V. (2021). Camera trap placement for evaluating species richness, abundance, and activity. *Scientific Reports, 11*(1), 23050. &lt;https://doi.org/10.1038/s41598-021-02459-w&gt;</t>
  </si>
  <si>
    <t>Tanwar, Sadhu &amp; Jhala, 2021</t>
  </si>
  <si>
    <t>Tanwar et al., 2021</t>
  </si>
  <si>
    <t>tanwar_et_al_2021</t>
  </si>
  <si>
    <t>https://doi.org/10.1111/2041-210x.13120</t>
  </si>
  <si>
    <t>Tabak, M. A., Norouzzadeh, M. S., Wolfson, D. W., Sweeney, S. J., Vercauteren, K. C., Snow, N. P., Halseth, J. M., Di Salvo, P. A., Lewis, J. S., White, M. D., Teton, B., Beasley, J. C., Schlichting, P. E., Boughton, R. K., Wight, B., Newkirk, E. S., Ivan, J. S., Odell, E. A., Brook, R. K., . . . Photopoulou, T. (2018). Machine Learning to Classify Animal Species in Camera Trap Images: Applications in Ecology. *Methods in Ecology and Evolution, 10*(4), 585-590. &lt;https://doi.org/10.1111/2041-210x.13120&gt;</t>
  </si>
  <si>
    <t>Tabak et al., 2018</t>
  </si>
  <si>
    <t>tabak_et_al_2018</t>
  </si>
  <si>
    <t>https://www.sciencedirect.com/science/article/pii/S2351989415000116</t>
  </si>
  <si>
    <t>Suwanrat, S., Ngoprasert, D., Sutherland, C., Suwanwareea, P., Savini, T. (2015). Estimating Density of secretive terrestrial birds (Siamese Fireback) in pristine and degraded forest using camera traps and distance sampling. *Global Ecology and Conservation, 3*, 596-606. &lt;https://www.sciencedirect.com/science/article/pii/S2351989415000116&gt;</t>
  </si>
  <si>
    <t>Suwanrat et al., 2015</t>
  </si>
  <si>
    <t>suwanrat_et_al_2015</t>
  </si>
  <si>
    <t>https://doi.org/10.1111/ecog.04551</t>
  </si>
  <si>
    <t>Sutherland, C., Royle, J. A., &amp; Linden, D. W. (2019). oSCR: A spatial capture-recapture R package for inference about spatial ecological processes. *Ecography, 42*(9), 1459-1469. &lt;https://doi.org/10.1111/ecog.04551&gt;</t>
  </si>
  <si>
    <t>Sutherland, Royle, &amp; Linden, 2019</t>
  </si>
  <si>
    <t>Sutherland et al., 2019</t>
  </si>
  <si>
    <t>sutherland_et_al_2019</t>
  </si>
  <si>
    <t>https://doi.org/10.1016/j.gecco.2022.e02268</t>
  </si>
  <si>
    <t>Sun, C., Burgar, J. M., Fisher, J. T., &amp; Burton, A. C. (2022). A Cautionary Tale Comparing Spatial Count and Partial Identity Models for Estimating Densities of Threatened and Unmarked Populations. *Global Ecology and Conservation, 38*, e02268. &lt;https://doi.org/10.1016/j.gecco.2022.e02268&gt;</t>
  </si>
  <si>
    <t>Sun et al., 2022</t>
  </si>
  <si>
    <t>sun_et_al_2022</t>
  </si>
  <si>
    <t>https://doi.org/10.1002/rse2.222</t>
  </si>
  <si>
    <t>Sun, C., Beirne, C., Burgar, J. M., Howey, T., Fisher, J. T., Burton, A. C., Rowcliffe, M., &amp; Hofmeester, T. (2021). Simultaneous Monitoring of Vegetation Dynamics and Wildlife Activity with Camera Traps to Assess Habitat Change. *Remote Sensing in Ecology and Conservation, 7*(4), 666-684. &lt;https://doi.org/10.1002/rse2.222&gt;</t>
  </si>
  <si>
    <t>Sun et al., 2021</t>
  </si>
  <si>
    <t>sun_et_al_2021</t>
  </si>
  <si>
    <t>https://doi.org/10.1371/journal.pone.0088025</t>
  </si>
  <si>
    <t>Sun, C. C., Fuller, A. K., &amp; Royle., J. A. (2014). Trap Configuration and Spacing Influences Parameter Estimates in Spatial Capture-Recapture Models. *PLoS One, 9*(2): e88025. &lt;https://doi.org/10.1371/journal.pone.0088025&gt;</t>
  </si>
  <si>
    <t>Sun, Fuller &amp; Royle., 2014</t>
  </si>
  <si>
    <t>Sun et al., 2014</t>
  </si>
  <si>
    <t>sun_et_al_2014</t>
  </si>
  <si>
    <t>https://doi.org/10.1007/s10344-017-1150-1</t>
  </si>
  <si>
    <t>Suárez-Tangil, B. D., &amp; Rodríguez, A. (2017). Detection of Iberian terrestrial mammals employing olfactory, visual and auditory attractants. *European Journal of Wildlife Research, 63*(6). &lt;https://doi.org/10.1007/s10344-017-1150-1&gt;</t>
  </si>
  <si>
    <t>Suárez-Tangil et al., 2017</t>
  </si>
  <si>
    <t>suarez_tangil_et_al_2017</t>
  </si>
  <si>
    <t>https://www.youtube.com/watch?reload=9&amp;app=desktop&amp;v=OEWdPm3zg9I</t>
  </si>
  <si>
    <t>https://www.youtube.com/embed/OEWdPm3zg9I?si=2RG41LmTRvWfMiEr</t>
  </si>
  <si>
    <t>Styring, 2020b</t>
  </si>
  <si>
    <t>styring_2020b</t>
  </si>
  <si>
    <t>https://www.youtube.com/watch?v=KBByV3kR3IA</t>
  </si>
  <si>
    <t>https://www.youtube.com/embed/KBByV3kR3IA?si=RPcG1lFQ-v0Shwaw</t>
  </si>
  <si>
    <t>Styring, A. (2020a, May 4). *Field Ecology - Diversity Metrics in R.* [Video]. YouTube. &lt;https://www.youtube.com/watch?v=KBByV3kR3IA&gt;</t>
  </si>
  <si>
    <t>Styring, 2020a</t>
  </si>
  <si>
    <t>styring_2020a</t>
  </si>
  <si>
    <t>https://doi.org/10.5281/zenodo.3620739</t>
  </si>
  <si>
    <t xml:space="preserve">https://ebird.github.io/ebird-best-practices. Cornell Lab of Ornithology, Ithaca, New York. </t>
  </si>
  <si>
    <t>Strimas-Mackey, M., Hochachka, W. M., Ruiz-Gutierrez, V., Robinson, O. J., Miller, E. T., Auer, T., Kelling, S., Fink, D., &amp; Johnston, A. (2023). *Best Practices for Using eBird Data. Version 2.0*. Cornell Lab of Ornithology, Ithaca, New York. &lt;https://ebird.github.io/ebird-best-practices&gt;; &lt;https://doi.org/10.5281/zenodo.3620739&gt;</t>
  </si>
  <si>
    <t>Strimas-Mackey et al., 2023</t>
  </si>
  <si>
    <t>strimasmackey_et_al_2023</t>
  </si>
  <si>
    <t>https://doi.org/10.1071/WR15083</t>
  </si>
  <si>
    <t>Stokeld, D., Frank, A. S., Hill, B., Choy, J. L., Mahney, T., Stevens, A., &amp; Gillespie, G. R. (2016). Multiple Cameras Required to Reliably Detect Feral Cats in Northern Australian Tropical Savannah: An Evaluation of Sampling Design When Using Camera Traps. *Wildlife Research, 42*(8), 642-649. &lt;https://doi.org/10.1071/WR15083&gt;</t>
  </si>
  <si>
    <t>Stokeld et al., 2016</t>
  </si>
  <si>
    <t>stokeld_et_al_2016</t>
  </si>
  <si>
    <t>https://doi.org/10.1002/jwmg.21657</t>
  </si>
  <si>
    <t>Stewart, F. E. C., Volpe, J. P., &amp; Fisher, J. T. (2019b). The Debate About Bait: A Red Herring in Wildlife Research. *The Journal of Wildlife Management, 83*(4), 985-992. &lt;https://doi.org/10.1002/jwmg.21657&gt;</t>
  </si>
  <si>
    <t>Stewart et al., 2019b</t>
  </si>
  <si>
    <t>stewart_et_al_2019b</t>
  </si>
  <si>
    <t>https://doi.org/10.1016/j.biocon.2019.108252</t>
  </si>
  <si>
    <t>Stewart, F. E. C., Volpe, J. P., Eaton, B. R., Hood, G. A., Vujnovic, D., &amp; Fisher, J. T. (2019b). Protected areas alone rarely predict mammalian biodiversity across spatial scales in an Albertan working landscape. *Biological Conservation, 240*, 108252. &lt;https://doi.org/10.1016/j.biocon.2019.108252&gt;</t>
  </si>
  <si>
    <t>Stewart et al., 2019a</t>
  </si>
  <si>
    <t>stewart_et_al_2019a</t>
  </si>
  <si>
    <t>https://doi.org/10.1002/ecs2.2112</t>
  </si>
  <si>
    <t>Stewart, F. E. C., Fisher, J. T., Burton, A. C., &amp; Volpe, J. P. (2018). Species occurrence data reflect the magnitude of animal movements better than the proximity of animal space use. *Ecosphere, 9*(2), e02112. &lt;https://doi.org/10.1002/ecs2.2112&gt;</t>
  </si>
  <si>
    <t>Stewart et al., 2018</t>
  </si>
  <si>
    <t>stewart_et_al_2018</t>
  </si>
  <si>
    <t>https://doi.org/10.1093/jmammal/gyy175</t>
  </si>
  <si>
    <t>Steinbeiser, C. M., Kioko, J., Maresi, A., Kaitilia, R., &amp; Kiffner, C. (2019). Relative Abundance and Activity Patterns Explain Method-Related Differences in Mammalian Species Richness Estimates. *Journal of Mammalogy, 100*(1), 192-201. &lt;https://doi.org/10.1093/jmammal/gyy175&gt;</t>
  </si>
  <si>
    <t>Steinbeiser et al., 2019</t>
  </si>
  <si>
    <t>steinbeiser_et_al_2019</t>
  </si>
  <si>
    <t>https://doi.org/10.1002/ecs2.2639</t>
  </si>
  <si>
    <t>Steenweg, R., Hebblewhite, M., Whittington, J., &amp; Mckelvey, K. (2019). Species‐specific Differences in Detection and Occupancy Probabilities Help Drive Ability to Detect Trends in Occupancy. *Ecosphere, 10*(4), Article e02639. &lt;https://doi.org/10.1002/ecs2.2639&gt;</t>
  </si>
  <si>
    <t>Steenweg et al., 2019</t>
  </si>
  <si>
    <t>steenweg_et_al_2019</t>
  </si>
  <si>
    <t>https://doi.org/10.1002/ecy.2054</t>
  </si>
  <si>
    <t>Steenweg, R., Hebblewhite, M., Whittington, J., Lukacs, P., &amp; McKelvey, K. (2018). Sampling scales define occupancy and underlying occupancy-abundance relationships in animals. *Ecology, 99*(1), 172-183. &lt;https://doi.org/10.1002/ecy.2054&gt;</t>
  </si>
  <si>
    <t>Steenweg et al., 2018</t>
  </si>
  <si>
    <t>steenweg_et_al_2018</t>
  </si>
  <si>
    <t>https://doi.org/10.1002/fee.l448</t>
  </si>
  <si>
    <t>Steenweg, R., Hebblewhite, M., Kays, R., Ahumada, J., Fisher, J. T., Burton, C., Townsend, S. E., Carbone, C., Rowcliffe, J. M., Whittington, J., Brodie, J., Royle, J. A., Switalski, A., Clevenger, A. P., Heim, N., &amp; Rich, L. N. (2017). Scaling‐up Camera Traps: Monitoring the Planet’s Biodiversity with Networks of Remote Sensors. *Frontiers in Ecology and the Environment, 15*(1), 26-34. &lt;https://doi.org/10.1002/fee.l448&gt;</t>
  </si>
  <si>
    <t>Steenweg et al., 2017</t>
  </si>
  <si>
    <t>steenweg_et_al_2017</t>
  </si>
  <si>
    <t>http://parkscanadahistory.com/wildlife/steenweg-2015.pdf</t>
  </si>
  <si>
    <t>Steenweg, R., Whittington, J., &amp; Hebblewhite, M. (2015). *Canadian Rockies remote camera multi-species occupancy project: Examining trends in carnivore populations and their prey*. University of Montana. &lt;http://parkscanadahistory.com/wildlife/steenweg-2015.pdf&gt;</t>
  </si>
  <si>
    <t>Steenweg, Whittington &amp; Hebblewhite, 2015</t>
  </si>
  <si>
    <t>Steenweg et al., 2015</t>
  </si>
  <si>
    <t>steenweg_et_al_2015</t>
  </si>
  <si>
    <t>https://doi.org/10.1016/j.applanim.2015.04.001</t>
  </si>
  <si>
    <t>Stanton, L. A., Sullivan, M. S., &amp; Fazio, J. M. (2015). A standardized ethogram for the felidae: A tool for behavioral researchers. *Applied Animal Behaviour Science, 173*, 3-16. &lt;https://doi.org/10.1016/j.applanim.2015.04.001&gt;</t>
  </si>
  <si>
    <t>Stanton et al., 2015</t>
  </si>
  <si>
    <t>stanton_et_al_2015</t>
  </si>
  <si>
    <t>https://doi.org/10.1644/12-MAMM-S-061.1</t>
  </si>
  <si>
    <t>Spencer, W. D. (2012). Home ranges and the value of spatial information. *Journal of Mammalogy, 93*(4), 929-947. &lt;https://doi.org/10.1644/12-MAMM-S-061.1&gt;</t>
  </si>
  <si>
    <t>Spencer, 2012</t>
  </si>
  <si>
    <t>spencer_2012</t>
  </si>
  <si>
    <t>https://doi.org/10.1002/eap.1950</t>
  </si>
  <si>
    <t>Southwell, D. M., Einoder, L. D., Lahoz‐Monfort, J. J., Fisher, A., Gillespie, G. R., &amp; Wintle, B. A. (2019). Spatially explicit power analysis for detecting occupancy trends for multiple species. *Ecological Applications, 29*, e01950. &lt;https://doi.org/10.1002/eap.1950&gt;</t>
  </si>
  <si>
    <t>Southwell et al., 2019</t>
  </si>
  <si>
    <t>southwell_et_al_2019</t>
  </si>
  <si>
    <t>https://doi.org/10.1163/157075610X523251</t>
  </si>
  <si>
    <t>Soria-Díaz, L., Monroy-Vilchis, O., Rodríguez-Soto, C., Zarco-González, M., &amp; Urios, V. (2010). Variation of Abundance and Density of *Puma concolor* in Zones of High and Low Concentration of Camera Traps in Central Mexico. *Animal Biology, 60*(4), 361-371. &lt;https://doi.org/10.1163/157075610X523251&gt;</t>
  </si>
  <si>
    <t>Soria-Díaz et al., 2010</t>
  </si>
  <si>
    <t>soria_diaz_et_al_2010</t>
  </si>
  <si>
    <t>https://github.com/psolymos/detect</t>
  </si>
  <si>
    <t>Solymos, P., Moreno M., &amp; Lele, S. R. (2024). *detect: Analyzing Wildlife Data with Detection Error*. R package version 0.5-0, &lt;https://github.com/psolymos/detect&gt;</t>
  </si>
  <si>
    <t>Solymos, Moreno &amp; Lele, 2024</t>
  </si>
  <si>
    <t>Solymos et al., 2024</t>
  </si>
  <si>
    <t>solymos_et_al_2024</t>
  </si>
  <si>
    <t>R package</t>
  </si>
  <si>
    <t>https://cran.r-project.org/web/packages/detect/detect.pdf</t>
  </si>
  <si>
    <t>Solymos, P. (2023). *Package ‘detect': Analyzing Wildlife Data with Detection Error.* R package version 0.4-6. &lt;https://cran.r-project.org/web/packages/detect/detect.pdf&gt;</t>
  </si>
  <si>
    <t>Guillera-Arroita, Ridout &amp; Morgan, 2010</t>
  </si>
  <si>
    <t>Solymos, 2024</t>
  </si>
  <si>
    <t>solymos_2023</t>
  </si>
  <si>
    <t>https://doi.org/10.1016/j.biocon.2012.12.025</t>
  </si>
  <si>
    <t>Sollmann, R., Mohamed, A., Samejima, H., &amp; Wilting, A. (2013c). Risky Business or Simple Solution - Relative Abundance Indices from Camera-Trapping. *Biological Conservation, 159*, 405-412. &lt;https://doi.org/10.1016/j.biocon.2012.12.025&gt;</t>
  </si>
  <si>
    <t>Sollmann et al., 2013c</t>
  </si>
  <si>
    <t>sollmann_et_al_2013c</t>
  </si>
  <si>
    <t>https://doi.org/10.1890/12-1256.1</t>
  </si>
  <si>
    <t>Sollmann, R., Gardner, B., Parsons, A. W., Stocking, J. J., McClintock, B. T., Simons, T. R., Pollock, K. H., &amp; O'Connell, A. F. (2013b). A Spatial Mark-Resight Model Augmented with Telemetry Data. *Ecology, 94*(3), 553-559. &lt;https://doi.org/10.1890/12-1256.1&gt;</t>
  </si>
  <si>
    <t>Sollmann et al., 2013b</t>
  </si>
  <si>
    <t>sollmann_et_al_2013b</t>
  </si>
  <si>
    <t>https://doi.org/10.1111/1365-2664.12098</t>
  </si>
  <si>
    <t>Sollmann, R., Gardner, B., Chandler, R. B., Shindle, D. B., Onorato, D. P., Royle, J. A., O'Connell, A. F., &amp; Lukacs, P. (2013a). Using multiple data sources provides Density estimates for endangered Florida panther. *Journal of Applied Ecology, 50*(4), 961-968. &lt;https://doi.org/10.1111/1365-2664.12098&gt;</t>
  </si>
  <si>
    <t>Sollmann et al., 2013a</t>
  </si>
  <si>
    <t>sollmann_et_al_2013a</t>
  </si>
  <si>
    <t>https://doi.org/10.1371/journal.pone.0034575</t>
  </si>
  <si>
    <t>Sollmann, R., Gardner, B., &amp; Belant, J. L. (2012). How does Spatial Study Design Influence Density Estimates from Spatial capture-recapture models? *PLoS One, 7*, e34575. &lt;https://doi.org/10.1371/journal.pone.0034575&gt;</t>
  </si>
  <si>
    <t>Sollmann et al., 2012</t>
  </si>
  <si>
    <t>sollmann_et_al_2012</t>
  </si>
  <si>
    <t>https://doi.org/10.1016/j.biocon.2010.12.011</t>
  </si>
  <si>
    <t>Sollmann, R., Furtado, M. M., Gardner, B., Hofer, H., Jácomo, A. T. A., Tôrres, N. M., &amp; Silveira, L. (2011). Improving Density Estimates for Elusive Carnivores: Accounting for Sex-Specific Detection and Movements Using Spatial Capture-Recapture Models for Jaguars in Central Brazil. *Biological Conservation*, 144(3), 1017-24. &lt;https://doi.org/10.1016/j.biocon.2010.12.011&gt;</t>
  </si>
  <si>
    <t>Sollmann et al., 2011</t>
  </si>
  <si>
    <t>sollmann_et_al_2011</t>
  </si>
  <si>
    <t>https://doi.org/10.1111/aje.12557</t>
  </si>
  <si>
    <t>Sollmann, R. (2018). A gentle introduction to camera‐trap data analysis. *African Journal of Ecology,* 56, 740-749. &lt;https://doi.org/10.1111/aje.12557&gt;</t>
  </si>
  <si>
    <t>Sollmann et al., 2018</t>
  </si>
  <si>
    <t>sollmann_2018</t>
  </si>
  <si>
    <t>https://doi.org/10.1046/j.1523-1739.1993.07030480.x</t>
  </si>
  <si>
    <t>Soberón, J., &amp; Llorente, J. (1993). The Use of Species Accumulation Functions for the Prediction of Species Richness. *Conservation Biology, 7*(3), 480-488. &lt;https://doi.org/10.1046/j.1523-1739.1993.07030480.x&gt;</t>
  </si>
  <si>
    <t>Soberón &amp; Llorente, 1993</t>
  </si>
  <si>
    <t>soberon_lorente_1993</t>
  </si>
  <si>
    <t>https://www.youtube.com/embed/IHVez1a_hqg</t>
  </si>
  <si>
    <t>Snow Leopard Network, 2020b</t>
  </si>
  <si>
    <t>snow_leopard_network_2020b</t>
  </si>
  <si>
    <t>https://www.youtube.com/watch?v=aTbk-jWyMcU</t>
  </si>
  <si>
    <t>https://www.youtube.com/embed/IHVez1a_hqg?si=1ePCJKv0v1SiKwSi</t>
  </si>
  <si>
    <r>
      <t>Snow Leopard Network. (2020a, Aug 1). *PAWS: Spatial Capture Recapture Data Analysis Part 1.*</t>
    </r>
    <r>
      <rPr>
        <sz val="12"/>
        <color rgb="FF000000"/>
        <rFont val="Calibri"/>
        <family val="2"/>
      </rPr>
      <t xml:space="preserve"> [Video]. YouTube. &lt;https://www.youtube.com/watch?v=aTbk-jWyMcU&gt;</t>
    </r>
  </si>
  <si>
    <t>Snow Leopard Network, 2020a</t>
  </si>
  <si>
    <t>snow_leopard_network_2020a</t>
  </si>
  <si>
    <t>https://doi.org/10.1002/rse2.85</t>
  </si>
  <si>
    <t>Sirén, A. P. K., Somos‐Valenzuela, M., Callahan, C., Kilborn, J. R., Duclos, T., Tragert, C., &amp; Morelli., T. L. (2018) Looking beyond Wildlife: Using Remote Cameras to Evaluate Accuracy of Gridded Snow Data. Edited by Marcus Rowcliffe and Sadie Ryan. *Remote Sensing in Ecology and Conservation, 4*(4), 375-86. &lt;https://doi.org/10.1002/rse2.85&gt;</t>
  </si>
  <si>
    <t>Sirén et al., 2018</t>
  </si>
  <si>
    <t>siren_et_al_2018</t>
  </si>
  <si>
    <t>https://www.mbr-pwrc.usgs.gov/software/spacecap.html</t>
  </si>
  <si>
    <t>Singh, P., Gopalaswamy, A. M., Royle, A. J., Kumar, N. S. &amp; Karanth, K. U. (2010). SPACECAP: A Program to Estimate Animal Abundance and Density using Bayesian Spatially-Explicit Capture-Recapture Models. *Wildlife Conservation Society - India Program*, Centre for Wildlife Studies, Bangalure, India. Version 1.0. &lt;https://www.mbr-pwrc.usgs.gov/software/spacecap.html&gt;</t>
  </si>
  <si>
    <t>Singh et al., 2010</t>
  </si>
  <si>
    <t>singh_et_al_2010</t>
  </si>
  <si>
    <t>Software/program</t>
  </si>
  <si>
    <t>https://doi.org/10.7717/peerj.374</t>
  </si>
  <si>
    <t>Si, X., Kays, R., &amp; Ding, P. (2014). How long is enough to detect terrestrial animals? Estimating the minimum trapping effort on camera traps. *PeerJ, 2*, e374. &lt;https://doi.org/10.7717/peerj.374&gt;</t>
  </si>
  <si>
    <t>Si, Kays &amp; Ding, 2014</t>
  </si>
  <si>
    <t>Si et al., 2014</t>
  </si>
  <si>
    <t>si_et_al_2014</t>
  </si>
  <si>
    <t>https://doi.org/10.7717/peerj.9982</t>
  </si>
  <si>
    <t>Shirane, Y., Mori, F., Yamanaka, M., Nakanishi, M., Ishinazaka, T., Mano, T., Jimbo, M., Sashika, M., Tsubota, T., &amp; Shimozuru, M. (2020). Development of a noninvasive photograph-based method for the evaluation of body condition in free-ranging brown bears. *PeerJ, 8*, e9982. &lt;https://doi.org/10.7717/peerj.9982&gt;</t>
  </si>
  <si>
    <t>Shirane et al., 2020</t>
  </si>
  <si>
    <t>shirane_et_al_2020</t>
  </si>
  <si>
    <t>https://doi.org/10.1111/j.1469-1795.2009.00305.x</t>
  </si>
  <si>
    <t>Sharma, R.K., Jhala, Y., Qureshi, Q., Vattakaven, J., Gopal, R. &amp; Nayak, K. (2010). Evaluating capture-recapture population and Density estimation of tigers in a population with known parameters. *Animal Conservation, 13*(1), 94-103. &lt;https://doi.org/10.1111/j.1469-1795.2009.00305.x&gt;</t>
  </si>
  <si>
    <t>Sharma et al., 2010</t>
  </si>
  <si>
    <t>sharma_et_al_2010</t>
  </si>
  <si>
    <t>https://doi.org/10.7717/peerj.532</t>
  </si>
  <si>
    <t>Shannon, G., Lewis, J. S. &amp; Gerber, B. D. (2014). Recommended Survey Designs for Occupancy Modelling using Motion-activated Cameras: Insights from Empirical Wildlife Data. *PeerJ, 2*, e532. &lt;https://doi.org/10.7717/peerj.532&gt;</t>
  </si>
  <si>
    <t>Shannon et al., 2014</t>
  </si>
  <si>
    <t>shannon_et_al_2014</t>
  </si>
  <si>
    <t>https://doi.org/10.1139/z03-204</t>
  </si>
  <si>
    <t>Séquin, E. S., Jaeger M. M., Brussard P. F., &amp; Barrett, R. H. (2003). Wariness of Coyotes to Camera Traps Relative to Social Status and Territory Boundaries. Lincoln, NE, USA: University of Nebraska-Lincoln. &lt;https://doi.org/10.1139/z03-204&gt;</t>
  </si>
  <si>
    <t>Séquin, Jaeger &amp; Barrett, 2003</t>
  </si>
  <si>
    <t>Séquin et al., 2003</t>
  </si>
  <si>
    <t>sequin_et_al_2003</t>
  </si>
  <si>
    <t>https://www.wildlabs.net/sites/default/files/community/files/zsl_trail_camera_comparison_for_external_use.pdf</t>
  </si>
  <si>
    <t>Seccombe, S. (2017). *ZSL Trail Camera Comparison Testing.* Zoological Society of London: Conservation Technology Unit. &lt;https://www.wildlabs.net/sites/default/files/community/files/zsl_trail_camera_comparison_for_external_use.pdf&gt;</t>
  </si>
  <si>
    <t>Seccombe, 2017</t>
  </si>
  <si>
    <t>seccombe_2017</t>
  </si>
  <si>
    <t>https://doi.org/10.1002/rse2.54</t>
  </si>
  <si>
    <t>Scotson, L., Johnston, L. R., Lannarilli, F., Wearn, O. R., Mohd‐Azlan, J., Wong, W. M., Gray, T. N. E., Dinata, Y., Suzuki, A., Willard, C. E., Frechette, J., Loken, B., Steinmetz, R., Moßbrucker, A. M., Clements, G. R., &amp; Fieberg, J. (2017). Best Practices and Software for the Management and Sharing of Camera Trap Data for Small and Large Scales Studies. *Remote Sensing in Ecology and Conservation*, 3(3), 158-172. &lt;https://doi.org/10.1002/rse2.54&gt;</t>
  </si>
  <si>
    <t>Scotson et al., 2017</t>
  </si>
  <si>
    <t>scotson_et_al_2017</t>
  </si>
  <si>
    <t>https://doi.org/10.1007/978-3-030-33157-3_15</t>
  </si>
  <si>
    <t>Schweiger, A. K. (2020). Spectral Field Campaigns: Planning and Data Collection. In Cavender-Bares, J., Gamon, J. A., &amp; Townsend, P. A (Eds.), *Remote Sensing of Plant Biodiversity* (pp. 385-423). &lt;https://doi.org/10.1007/978-3-030-33157-3_15&gt;</t>
  </si>
  <si>
    <t>Schweiger, 2020</t>
  </si>
  <si>
    <t>schweiger_2020</t>
  </si>
  <si>
    <t>https://doi.org/10.1002/eap.2618</t>
  </si>
  <si>
    <t>Schmidt, G. M., Graves, T. A., Pederson, J. C., &amp; Carroll, S. L. (2022). Precision and bias of spatial capture-recapture estimates: A multi‐site, multi‐year Utah black bear case study. *Ecological Applications, 32*(5), e2618. &lt;https://doi.org/10.1002/eap.2618&gt;</t>
  </si>
  <si>
    <t>Schmidt et al., 2022</t>
  </si>
  <si>
    <t>schmidt_et_al_2022</t>
  </si>
  <si>
    <t>https://www.gwern.net/docs/cat/biology/2008-schlexer.pdf</t>
  </si>
  <si>
    <t>Schlexer, F. V. (2008). Attracting Animals to Detection Devices. In R. A. Long, P. MacKay, W. J. Zielinski, &amp; J. C. Ray (Eds.), *Noninvasive Survey Methods for Carnivores* (pp. 263-292). Island Press. &lt;https://www.gwern.net/docs/cat/biology/2008-schlexer.pdf&gt;</t>
  </si>
  <si>
    <t>Schlexer, 2008</t>
  </si>
  <si>
    <t>schlexer_2008</t>
  </si>
  <si>
    <t>https://besjournals. onlinelibrary. wiley.com/doi/epdf/10.1111/2041-210X. 13133</t>
  </si>
  <si>
    <t>Schenider, S., Taylor, G. W., Linquist, S., &amp; Kremer, S. C. (2018). Past, Present, and Future Approaches Using Computer Vision for Animal Re-Identification from Camera Trap Data. *Methods in Ecology and Evolution, 10*, 461-470. &lt;https://besjournals. onlinelibrary. wiley.com/doi/epdf/10.1111/2041-210X. 13133&gt;</t>
  </si>
  <si>
    <t>Schenider et al., 2018</t>
  </si>
  <si>
    <t>schenider_et_al_2018</t>
  </si>
  <si>
    <t>https://doi.org/10.1002/rse2.153</t>
  </si>
  <si>
    <t>Schaus, J., Uzal, A., Gentle, L. K., Baker, P. J., Bearman‐Brown, L., Bullion, S., Gazzard, A., Lockwood, H., North, A., Reader, T., Scott, D. M., Sutherland, C. S., &amp; Yarnell, R. W. (2020). Application of the Random Encounter Model in citizen science projects to monitor animal densities. *Remote Sensing in Ecology and Conservation, 6*(4), 514-528. &lt;https://doi.org/10.1002/rse2.153&gt;</t>
  </si>
  <si>
    <t>Schaus et al., 2020</t>
  </si>
  <si>
    <t>schaus_et_al_2020</t>
  </si>
  <si>
    <t>https://doi.org/10.1016/j.baae.2022.03.007</t>
  </si>
  <si>
    <t>Santini, G., Abolaffio, M., Ossi, F., Franzetti, B., Cagnacci, F., &amp; Focardi, S. (2022) Population Assessment without Individual Identification Using Camera-Traps: A Comparison of Four Methods. *Basic and Applied Ecology, 61*, 68-81. &lt;https://doi.org/10.1016/j.baae.2022.03.007&gt;</t>
  </si>
  <si>
    <t>Santini et al., 2020</t>
  </si>
  <si>
    <t>santini_et_al_2020</t>
  </si>
  <si>
    <t>https://doi.org/10.1016/j.foreco.2012.01.013</t>
  </si>
  <si>
    <t>Samejima, H., Ong, R., Lagan, P. &amp; Kitayama, K. (2012). Camera-trapping rates of mammals and birds in a Bornean tropical rainforest under sustainable forest management. *Forest Ecology and Management, 270*, 248-256. &lt;https://doi.org/10.1016/j.foreco.2012.01.013&gt;</t>
  </si>
  <si>
    <t>Samejima et al., 2012</t>
  </si>
  <si>
    <t>samejima_et_al_2012</t>
  </si>
  <si>
    <t>https://www.youtube.com/watch?v=cD9V1ApYqCk</t>
  </si>
  <si>
    <t>https://www.youtube.com/embed/cD9V1ApYqCk?si=m-K4I94w4lL3yZDx</t>
  </si>
  <si>
    <t>Russell, M. (2020, Nov 29). *Fitting Poisson and zero-inflated Poisson models.* [Video]. YouTube. &lt;https://www.youtube.com/watch?v=cD9V1ApYqCk&gt;</t>
  </si>
  <si>
    <t>Russell, 2020</t>
  </si>
  <si>
    <t>russel_2020</t>
  </si>
  <si>
    <t>https://doi.org/10.1890/07-0601.1</t>
  </si>
  <si>
    <t>Royle, J. A., &amp; Young, K. V. (2008). A hierarchical model for spatial capture-recapture data. *Ecology, 89*(8), 2281-2289. &lt;https://doi.org/10.1890/07-0601.1&gt;</t>
  </si>
  <si>
    <t>Royle &amp; Young, 2008</t>
  </si>
  <si>
    <t>royle_young_2008</t>
  </si>
  <si>
    <t>https://doi.org/10.1890/0012-9658(2003)084[0777:EAFRPA]2.0.CO;2</t>
  </si>
  <si>
    <t>Royle, J. A., &amp; Nichols, J. D. (2003). Estimating abundance from repeated presence-absence data or point counts. *Ecology, 84*, 777-790. &lt;https://doi.org/10.1890/0012-9658(2003)084[0777:EAFRPA]2.0.CO;2&gt;</t>
  </si>
  <si>
    <t>Royle &amp; Nichols, 2003</t>
  </si>
  <si>
    <t>royle_nichols_2003</t>
  </si>
  <si>
    <t>https://doi.org/10.1111/2041-210x.12135</t>
  </si>
  <si>
    <t>Royle, J. A., Converse, S. J., &amp; Freckleton, R. (2014). Hierarchical spatial capture-recapture models: modelling population Density in stratified populations. *Methods in Ecology and Evolution, 5*(1), 37-43. &lt;https://doi.org/10.1111/2041-210x.12135&gt;</t>
  </si>
  <si>
    <t>Royle, Converse &amp; Freckleton, 2014</t>
  </si>
  <si>
    <t>Royle et al., 2014</t>
  </si>
  <si>
    <t>royle_et_al_2014</t>
  </si>
  <si>
    <t>https://pubs.usgs.gov/publication/70048654</t>
  </si>
  <si>
    <t>Royle, J. Chandler, R. B., Sollmann, R., Gardner, B. (2013). *Spatial capture-recapture*. Academic Press, Waltham, MA, USA. 612 pp., ISBN: 978-0-12-405939-9. &lt;https://pubs.usgs.gov/publication/70048654&gt;</t>
  </si>
  <si>
    <t>Royle et al., 2013</t>
  </si>
  <si>
    <t>royle_et_al_2013</t>
  </si>
  <si>
    <t>https://doi.org/10.1111/j.1365-2664.2008.01578.x</t>
  </si>
  <si>
    <t>Royle, J. A., Nichols, J. D., Karanth, K. U., &amp; Gopalaswamy, A. M. (2009). A hierarchical model for estimating Density in camera-trap studies. *Journal of Applied Ecology, 46*(1), 118-127. &lt;https://doi.org/10.1111/j.1365-2664.2008.01578.x&gt;</t>
  </si>
  <si>
    <t>Royle et al., 2009</t>
  </si>
  <si>
    <t>royle_et_al_2009</t>
  </si>
  <si>
    <t>https://doi.org/10.1007/s10336-010-0619-4</t>
  </si>
  <si>
    <t>Royle, J. A., &amp; Dorazio, R. M. (2012). Parameter-expanded data augmentation for Bayesian analysis of capture-recapture models. *Journal of Ornithology, 152*(S2), 521-537. &lt;https://doi.org/10.1007/s10336-010-0619-4&gt;</t>
  </si>
  <si>
    <t>Royle &amp; Dorazio, 2012</t>
  </si>
  <si>
    <t>royle_dorazio_2012</t>
  </si>
  <si>
    <t>https://doi.org/10.1016/B978-0-12-374097-7.50001-5</t>
  </si>
  <si>
    <t>Royle, J. A., &amp; Dorazio, R. M. (2008). *Hierarchical Modeling and Inference in Ecology: The Analysis of Data from Populations, Metapopulations and Communities.* 1st ed. Academic Press, Amsterdam; Boston. &lt;https://doi.org/10.1016/B978-0-12-374097-7.50001-5&gt;</t>
  </si>
  <si>
    <t>Royle &amp; Dorazio, 2008</t>
  </si>
  <si>
    <t>royle_dorazio_2008</t>
  </si>
  <si>
    <t>https://www.youtube.com/watch?v=yRRDi07FtPg</t>
  </si>
  <si>
    <t>https://www.youtube.com/embed/yRRDi07FtPg?si=vmGQslB9Wv9MnkYC</t>
  </si>
  <si>
    <r>
      <t xml:space="preserve">Royle, A. J. (2020, Oct 26) *Introduction to Spatial Capture-Recapture. oSCR Package*, </t>
    </r>
    <r>
      <rPr>
        <sz val="12"/>
        <color rgb="FF000000"/>
        <rFont val="Calibri"/>
        <family val="2"/>
      </rPr>
      <t>[Video]. YouTube</t>
    </r>
    <r>
      <rPr>
        <sz val="12"/>
        <color theme="1"/>
        <rFont val="Calibri"/>
        <family val="2"/>
      </rPr>
      <t>. &lt;https://www.youtube.com/watch?v=yRRDi07FtPg&gt;</t>
    </r>
  </si>
  <si>
    <t>Royle, 2020</t>
  </si>
  <si>
    <t>royle_2020</t>
  </si>
  <si>
    <t>https://www.youtube.com/watch?v=4HKFimATq9E</t>
  </si>
  <si>
    <t>https://www.youtube.com/embed/4HKFimATq9E</t>
  </si>
  <si>
    <r>
      <t>Royle, A. J. (2016, Oct 17). *'Spatial Capture-Recapture Modelling.’ CompSustNet*</t>
    </r>
    <r>
      <rPr>
        <sz val="12"/>
        <color rgb="FF000000"/>
        <rFont val="Calibri"/>
        <family val="2"/>
      </rPr>
      <t xml:space="preserve"> [Video]. YouTube. &lt;https://www.youtube.com/watch?v=4HKFimATq9E&gt;</t>
    </r>
  </si>
  <si>
    <t>CompSustNet, 2016</t>
  </si>
  <si>
    <t>Royle, 2016</t>
  </si>
  <si>
    <t>royle_2016</t>
  </si>
  <si>
    <t>https://www.jstor.org/stable/3695558</t>
  </si>
  <si>
    <t>Royle, J. A. (2004). N-mixture Models for estimating population size from spatially Repeated Counts. *International Biometric Society, 60*(1), 108-115. &lt;https://www.jstor.org/stable/3695558&gt;</t>
  </si>
  <si>
    <t>Royle, 2004</t>
  </si>
  <si>
    <t>royle_2004</t>
  </si>
  <si>
    <t>https://doi.org/10.1002/rse2.17</t>
  </si>
  <si>
    <t>Rowcliffe, J. M., Jansen, P. A., Kays, R., Kranstauber, B., &amp; Carbone, C. (2016). Wildlife speed cameras: measuring animal travel speed and day range using camera traps. *Remote Sensing in Ecology and Conservation, 2*, 84-94. &lt;https://doi.org/10.1002/rse2.17&gt;</t>
  </si>
  <si>
    <t>Rowcliffe et al., 2016</t>
  </si>
  <si>
    <t>rowcliffe_et_al_2016</t>
  </si>
  <si>
    <t>https://doi.org/10.1111/2041-210x.12278</t>
  </si>
  <si>
    <t>Rowcliffe, J. M., Kays, R., Kranstauber, B., Carbone, C., Jansen, P. A., &amp; Fisher, D. (2014). Quantifying levels of animal activity using camera trap data. *Methods in Ecology and Evolution, 5*(11), 1170-1179. &lt;https://doi.org/10.1111/2041-210x.12278&gt;</t>
  </si>
  <si>
    <t>Rowcliffe et al., 2014</t>
  </si>
  <si>
    <t>rowcliffe_et_al_2014</t>
  </si>
  <si>
    <t>https://doi.org/10.1002/jwmg.533</t>
  </si>
  <si>
    <t>Rowcliffe, J. M., Kays, R., Carbone, C., &amp; Jansen, P. A. (2013). Clarifying assumptions behind the estimation of animal Density from camera trap rates. *The Journal of Wildlife Management, 77*(5), 876-876. &lt;https://doi.org/10.1002/jwmg.533&gt;</t>
  </si>
  <si>
    <t>Rowcliffe et al., 2013</t>
  </si>
  <si>
    <t>rowcliffe_et_al_2013</t>
  </si>
  <si>
    <t>https://doi.org/10.1111/j.2041-210X.2011.00094.x</t>
  </si>
  <si>
    <t>Rowcliffe, M. J., Carbone, C., Jansen, P. A., Kays, R., &amp; Kranstauber, B. (2011). Quantifying the sensitivity of camera traps: an adapted distance sampling approach. *Methods in Ecology and Evolution, 2*(5), 464-476. &lt;https://doi.org/10.1111/j.2041-210X.2011.00094.x&gt;</t>
  </si>
  <si>
    <t>Rowcliffe et al., 2011</t>
  </si>
  <si>
    <t>rowcliffe_et_al_2011</t>
  </si>
  <si>
    <t>https://doi.org/10.1111/j.1365-2664.2008.01473.x</t>
  </si>
  <si>
    <t>Rowcliffe, J. M., Field, J., Turvey, S. T., &amp; Carbone, C. (2008). Estimating animal Density using camera traps without the need for individual recognition. *Journal of Applied Ecology, 45*(4), 1228-1236. &lt;https://doi.org/10.1111/j.1365-2664.2008.01473.x&gt;</t>
  </si>
  <si>
    <t>Rowcliffe et al., 2008</t>
  </si>
  <si>
    <t>rowcliffe_et_al_2008</t>
  </si>
  <si>
    <t>https://doi.org/10.1111/j.1469-1795.2008.00180.x</t>
  </si>
  <si>
    <t>Rowcliffe, J. M., &amp; Carbone, C. (2008). Surveys Using Camera Traps: Are We Looking to a Brighter Future? *Animal Conservation, 11*(3), 185-86. &lt;https://doi.org/10.1111/j.1469-1795.2008.00180.x&gt;</t>
  </si>
  <si>
    <t>Rowcliffe &amp; Carbone, 2008</t>
  </si>
  <si>
    <t>rowcliffe_carbone_2008</t>
  </si>
  <si>
    <t>https://cran.r-project.org/web/packages/activity/index.html</t>
  </si>
  <si>
    <t>Rowcliffe, M. (2023). *Package ‘activity. * R package version 1.3.4. &lt;https://cran.r-project.org/web/packages/activity/index.html&gt;</t>
  </si>
  <si>
    <t>Rowcliffe, 2023</t>
  </si>
  <si>
    <t>rowcliffe_2023</t>
  </si>
  <si>
    <t>https://doi.org/10.32614/CRAN.package.activity</t>
  </si>
  <si>
    <t>Rowcliffe, M. (2014). *Package 'activity': Animal Activity Statistics.* R package version 1.3.4. &lt;https://doi.org/10.32614/CRAN.package.activity&gt;</t>
  </si>
  <si>
    <t>Rowcliffe, 2014</t>
  </si>
  <si>
    <t>rowcliffe_2014</t>
  </si>
  <si>
    <t>https://pelagicpublishing.com/products/camera-trapping-for-wildlife-research?srsltid=AfmBOormKSlIbYKZ6LlpHlQzLw42FEe5mrOp7fnjFBfe1ncktqb9B10H</t>
  </si>
  <si>
    <t>Rovero, F., &amp; Zimmermann, F. (2016). *Camera Trapping for Wildlife Research*. Exeter: Pelagic Publishing, UK. &lt;https://pelagicpublishing.com/products/camera-trapping-for-wildlife-research?srsltid=AfmBOormKSlIbYKZ6LlpHlQzLw42FEe5mrOp7fnjFBfe1ncktqb9B10H&gt;</t>
  </si>
  <si>
    <t>Rovero &amp; Zimmermann, 2016</t>
  </si>
  <si>
    <t>rovero_zimmermann_2016</t>
  </si>
  <si>
    <t>https://www.researchgate.net/publication/229057405_Camera_trapping_for_inventorying_terrestrial_vertebrates</t>
  </si>
  <si>
    <t>Rovero, F., &amp; Tobler, M., (2010). Camera trapping for inventorying terrestrial vertebrates. *Manual on Field Recording Techniques and Protocols for All Taxa Biodiversity Inventories and Monitoring*. &lt;https://www.researchgate.net/publication/229057405_Camera_trapping_for_inventorying_terrestrial_vertebrates&gt;</t>
  </si>
  <si>
    <t>Rovero &amp; Tobler, 2010</t>
  </si>
  <si>
    <t>rovero_tobler_2010</t>
  </si>
  <si>
    <t>https://www.jstor.org/stable/25623081</t>
  </si>
  <si>
    <t>Rovero, F., &amp; Marshall, A. R. (2009). Camera Trapping Photographic Rate as an Index of Density in Forest Ungulates. *Journal of Applied Ecology, 46*(5), 1011-1017. &lt;https://www.jstor.org/stable/25623081&gt;</t>
  </si>
  <si>
    <t>Rovero &amp; Marshall, 2009</t>
  </si>
  <si>
    <t>rovero_marshall_2009</t>
  </si>
  <si>
    <t>https://doi.org/10.4404/hystrix-24.2-6316</t>
  </si>
  <si>
    <t>Rovero, F., Zimmermann, F., Berzi, D., &amp; Meek, P. (2013). “Which camera trap type and how many do I need?” A review of camera features and study designs for a range of wildlife research applications. *Hystrix, the Italian Journal of Mammalogy, 24*(2), 148-156. &lt;https://doi.org/10.4404/hystrix-24.2-6316&gt;</t>
  </si>
  <si>
    <t>Rovero et al., 2013</t>
  </si>
  <si>
    <t>rovero_et_al_2013</t>
  </si>
  <si>
    <t>https://doi.org/10.2981/0909-6396(2008)14[358:EOFMUT]2.0.CO;2</t>
  </si>
  <si>
    <t>Rönnegård, L., Sand, H., Andrén, H., Månsson, J., &amp; Pehrson, Å. (2008). Evaluation of four methods used to estimate population density of moose Alces alces. *Wildlife Biology, 14*(3), 358-371. &lt;https://doi.org/10.2981/0909-6396(2008)14[358:EOFMUT]2.0.CO;2&gt;</t>
  </si>
  <si>
    <t>Rönnegård et al., 2008</t>
  </si>
  <si>
    <t>ronnegard_et_al_2008</t>
  </si>
  <si>
    <t>https://doi.org/10.1371/journal.pone.0198766</t>
  </si>
  <si>
    <t>Romairone, J., Jiménez, J., Luque-Larena, J. J., &amp; Mougeot, F. (2018). Spatial capture-recapture design and modelling for the study of small mammals. *PLOS ONE, 13*(6), e0198766. &lt;https://doi.org/10.1371/journal.pone.0198766&gt;</t>
  </si>
  <si>
    <t>Romairone et al., 2018</t>
  </si>
  <si>
    <t>romairone_et_al_2018</t>
  </si>
  <si>
    <t>https://doi.org/10.1525/bio.2009.59.2.9</t>
  </si>
  <si>
    <t>Roemer, G. W., Gompper, M. E., &amp; Van Valkenburgh, B. (2009). The Ecological Role of the Mammalian Mesocarnivore. *BioScience, 59*(2), 165-173. &lt;https://doi.org/10.1525/bio.2009.59.2.9&gt;</t>
  </si>
  <si>
    <t>Roemer et al., 2009</t>
  </si>
  <si>
    <t>roemer_et_al_2009</t>
  </si>
  <si>
    <t>https://rpubs.com/Roeland-KINDT/694021</t>
  </si>
  <si>
    <t>Roeland Kindt, R. (2020). *Species Accumulation Curves with vegan, BiodiversityR and ggplot2.* &lt;https://rpubs.com/Roeland-KINDT/694021&gt;</t>
  </si>
  <si>
    <t>Roeland, 2020</t>
  </si>
  <si>
    <t>roeland_2020</t>
  </si>
  <si>
    <t>https://doi.org/10.1002/wsb.1055</t>
  </si>
  <si>
    <t>Robinson, S. G., Weithman, C. E., Bellman, H. A., Prisley, S. P., Fraser, J. D., Catlin, D. H., &amp; Karpanty, S. M. (2020). Assessing Error in Locations of Conspicuous Wildlife Using Handheld GPS Units and Location Offset Methods. *Wildlife Society Bulletin, 44*(1), 163-172. &lt;https://doi.org/10.1002/wsb.1055&gt;</t>
  </si>
  <si>
    <t>Robinson et al., 2020</t>
  </si>
  <si>
    <t>robinson_et_al_2020</t>
  </si>
  <si>
    <t>https://www.youtube.com/watch?v=Jj7LYrU_6RA&amp;t=3s</t>
  </si>
  <si>
    <t>Rob K Statistics (2018, Oct 16). *Species Accumulation Curves* [Video]. YouTube. &lt;https://www.youtube.com/watch?v=Jj7LYrU_6RA&amp;t=3s&gt;</t>
  </si>
  <si>
    <t>Rob K Statistics, 2018</t>
  </si>
  <si>
    <t>rk_stats_2018</t>
  </si>
  <si>
    <t>https://www2.gov.bc.ca/assets/download/DABCE3A5C7934410A8307285070C24EA</t>
  </si>
  <si>
    <t>Resources Information Standards Committee [RISC]. (2019). *Camera trap Metadata Protocol: Standards for Components of British Columbia’s Biodiversity No. 44*. Province of British Columbia Knowledge Management Branch, Ministry of Environment and Climate Change Strategy, and Ministry of Forests, Lands, Natural Resource Operations and Rural Development. Victoria, B. C. &lt;https://www2.gov.bc.ca/assets/download/DABCE3A5C7934410A8307285070C24EA&gt;</t>
  </si>
  <si>
    <t>Resources Information Standards Committee [RISC], 2019</t>
  </si>
  <si>
    <t>risc_2019</t>
  </si>
  <si>
    <t>Protocol/Manual</t>
  </si>
  <si>
    <t>https://www.youtube.com/watch?v=ywHVb0Q-qsM</t>
  </si>
  <si>
    <t>Riffomonas Project (2022b, Mar 24). *Generating a rarefaction curve from collector's curves in R within the tidyverse (CC198)* [Video]. YouTube. &lt;https://www.youtube.com/watch?v=ywHVb0Q-qsM&gt;</t>
  </si>
  <si>
    <t>Riffomonas Project, 2022</t>
  </si>
  <si>
    <t>Riffomonas Project, 2022b</t>
  </si>
  <si>
    <t>riffomonas_project_2022b</t>
  </si>
  <si>
    <t>https://www.youtube.com/watch?v=wq1SXGQYgCs</t>
  </si>
  <si>
    <t>Riffomonas Project (2022a, Mar 17). *Using vegan to calculate alpha diversity metrics within the tidyverse in R (CC196)* [Video]. YouTube. &lt;https://www.youtube.com/watch?v=wq1SXGQYgCs&gt;</t>
  </si>
  <si>
    <t>Riffomonas Project, 2022a</t>
  </si>
  <si>
    <t>riffomonas_project_2022a</t>
  </si>
  <si>
    <t>https://doi.org/10.1198/jabes.2009.08038</t>
  </si>
  <si>
    <t>Ridout, M. S., &amp; Linkie, M. (2009). Estimating overlap of daily activity patterns from camera trap data. *Journal of Agricultural, Biological, and Environmental Statistics, 14*(3), 322-337. &lt;https://doi.org/10.1198/jabes.2009.08038&gt;</t>
  </si>
  <si>
    <t>Ridout &amp; Linkie, 2009</t>
  </si>
  <si>
    <t>ridout_linkie_2009</t>
  </si>
  <si>
    <t>https://doi.org/10.1644/13-mamm-a-126</t>
  </si>
  <si>
    <t>Rich, L. N., Kelly, M. J., Sollmann, R., Noss, A. J., Maffei, L., Arispe, R. L., Paviolo, A., De Angelo, C. D., Di Blanco, Y. E., &amp; Di Bitetti, M. S. (2014).comparing capture-recapture, mark-resight, and spatial mark-resight models for estimating puma densities via camera traps. *Journal of Mammalogy, 95*(2), 382-391. &lt;https://doi.org/10.1644/13-mamm-a-126&gt;</t>
  </si>
  <si>
    <t>Rich et al., 2014</t>
  </si>
  <si>
    <t>rich_et_al_2014</t>
  </si>
  <si>
    <t>https://doi.org/10.1111/emr.12444</t>
  </si>
  <si>
    <t>Rendall, A. R., White, J. G., Cooke, R., Whisson, D. A., Schneider, T., Beilharz, L., Poelsma, E., Ryeland, J., &amp; Weston, M. A. (2021). Taking the bait: The influence of attractants and microhabitat on detections of fauna by remote‐sensing cameras. *Ecological Management &amp; Restoration, 22*(1), 72-79. &lt;https://doi.org/10.1111/emr.12444&gt;</t>
  </si>
  <si>
    <t>Rendall et al., 2021</t>
  </si>
  <si>
    <t>rendall_et_al_2021</t>
  </si>
  <si>
    <t>https://www.reconyx.com/img/file/HyperFire_2_User_Guide_2018_07_05_v5.pdf</t>
  </si>
  <si>
    <t>Reconyx Inc. (2018). *Hyperfire Professional/Outdoor Instruction Manual*. Holmen, WI, USA. &lt;https://www.reconyx.com/img/file/HyperFire_2_User_Guide_2018_07_05_v5.pdf&gt;</t>
  </si>
  <si>
    <t>Reconyx Inc., 2018</t>
  </si>
  <si>
    <t>reconyx_inc_2018</t>
  </si>
  <si>
    <t>https://ab-rcsc.github.io/RCSC-WildCAM_Remote-Camera-Survey-Guidelines-and-Metadata-Standards/1_Survey-guidelines/1_0.1_Citation-and-Info.html</t>
  </si>
  <si>
    <t>Alberta Remote Camera Steering Committee [RCSC], Stevenson, C., Hubbs, A., &amp; Wildlife Cameras for Adaptive Management (WildCAM). (2024). *Remote Camera Survey Guidelines: Guidelines for Western Canada*. Version 3.0. Edmonton, Alberta. &lt;https://ab-rcsc.github.io/RCSC-WildCAM_Remote-Camera-Survey-Guidelines-and-Metadata-Standards/1_Survey-guidelines/1_0.1_Citation-and-Info.html&gt;</t>
  </si>
  <si>
    <t>Alberta Remote Camera Steering Committee [RCSC] et al., 2024</t>
  </si>
  <si>
    <t>RCSC, 2024, personal communications</t>
  </si>
  <si>
    <t>rcsc_2024b</t>
  </si>
  <si>
    <t>Alberta Remote Camera Steering Committee [RCSC], 2024b</t>
  </si>
  <si>
    <t>https://ab-rcsc.github.io/RCSC-WildCAM_Remote-Camera-Survey-Guidelines-and-Metadata-Standards/2_metadata-standards/2_0.1_Citation-and-Info.html</t>
  </si>
  <si>
    <t>Alberta Remote Camera Steering Committee [RCSC]. (2024a). *Remote Camera Metadata Standards: Standards for Alberta*. Version 2.0. Edmonton, Alberta. &lt;https://ab-rcsc.github.io/RCSC-WildCAM_Remote-Camera-Survey-Guidelines-and-Metadata-Standards/2_metadata-standards/2_0.1_Citation-and-Info.html&gt;</t>
  </si>
  <si>
    <t>Alberta Remote Camera Steering Committee [RCSC], 2024</t>
  </si>
  <si>
    <t>Alberta Remote Camera Steering Committee [RCSC], 2024a</t>
  </si>
  <si>
    <t>rcsc_2024a</t>
  </si>
  <si>
    <t>https://onlinelibrary.wiley.com/doi/pdf/10.1002/ece3.4240</t>
  </si>
  <si>
    <t>Randler, C., &amp; Kalb, N. (2018). Distance and size matters: A comparison of six wildlife camera traps and their usefulness for wild birds. *Ecology and Evolution*, 1-13. &lt;https://onlinelibrary.wiley.com/doi/pdf/10.1002/ece3.4240&gt;</t>
  </si>
  <si>
    <t>Randler &amp; Kalb, 2018</t>
  </si>
  <si>
    <t>randler_kalb_2018</t>
  </si>
  <si>
    <t>https://www.jstor.org/stable/23525262</t>
  </si>
  <si>
    <t>Ramage, B. S., Sheil, D., Salim, H. M. W., Fletcher, C., Mustafa, N. -Z. A., Luruthusamay, J. C., Harrison, R. D., Butod, E., Dzulkiply, A. D., Kassim, A. R., &amp; Potts, M. D. (2013). Pseudoreplication in tropical forests and the resulting effects on biodiversity conservation. *Conservation Biology, 27*(2), 364-372. &lt;https://www.jstor.org/stable/23525262&gt;</t>
  </si>
  <si>
    <t>Ramage et al., 2013</t>
  </si>
  <si>
    <t>ramage_et_al_2013</t>
  </si>
  <si>
    <t>https://www.nature.com/scitable/knowledge/library/characterizing-communities-13241173/</t>
  </si>
  <si>
    <t>Pyron, M. (2010) Characterizing Communities. *Nature Education Knowledge, 3*(10):39. &lt;https://www.nature.com/scitable/knowledge/library/characterizing-communities-13241173/&gt;</t>
  </si>
  <si>
    <t>Pyron, 2010</t>
  </si>
  <si>
    <t>pyron_2010</t>
  </si>
  <si>
    <t>https://www.proteus.co.nz/news-tips-and-tricks/occupancy-modelling-more-than-species-presenceabsence</t>
  </si>
  <si>
    <t>Proteus (N.D.). *Occupancy modelling - more than species presence/absence!* [Webpage]. &lt;https://www.proteus.co.nz/news-tips-and-tricks/occupancy-modelling-more-than-species-presenceabsence&gt;</t>
  </si>
  <si>
    <t>Proteus, N.D.</t>
  </si>
  <si>
    <t>proteus_nd</t>
  </si>
  <si>
    <t>Website</t>
  </si>
  <si>
    <t>https://www.youtube.com/watch?v=tCh7rTu6fvQ</t>
  </si>
  <si>
    <t>Proteus. (2019b, Aug 22). *Occupancy models - how many covariates can I include?* [Video]. YouTube. &lt;https://www.youtube.com/watch?v=tCh7rTu6fvQ&gt;</t>
  </si>
  <si>
    <t>Proteus, 2019b</t>
  </si>
  <si>
    <t>proteus_2019b</t>
  </si>
  <si>
    <t>https://www.youtube.com/watch?v=zKQFY8W4ceU</t>
  </si>
  <si>
    <t>Proteus. (2019a, May 30). *Occupancy modelling - the difference between probability and proportion of units occupied* [Video]. YouTube. &lt;https://www.youtube.com/watch?v=zKQFY8W4ceU&gt;</t>
  </si>
  <si>
    <t>Proteus, 2019a</t>
  </si>
  <si>
    <t>proteus_2019a</t>
  </si>
  <si>
    <t>https://www.youtube.com/watch?v=Sp4kb4_TiBA&amp;t=2s</t>
  </si>
  <si>
    <t>https://www.youtube.com/embed/Sp4kb4_TiBA?si=HfYJ3DgqOJfiJ4Z4l</t>
  </si>
  <si>
    <t>Proteus (2018, Mar 19). *Occupancy modelling - more than species presence/absence!* [Video]. YouTube. &lt;https://www.youtube.com/watch?v=Sp4kb4_TiBA&amp;t=2s&gt;</t>
  </si>
  <si>
    <t>Proteus, 2018</t>
  </si>
  <si>
    <t>proteus_2018</t>
  </si>
  <si>
    <t>https://www.youtube.com/watch?v=ghhZClDRK_g&amp;source_ve_path=OTY3MTQbqI</t>
  </si>
  <si>
    <t>Project Dragonfly. (2019, Jan 24). *Abundance, species richness, and diversity* [Video]. YouTube. &lt;https://www.youtube.com/watch?v=ghhZClDRK_g&amp;source_ve_path=OTY3MTQbqI&gt;</t>
  </si>
  <si>
    <t>Project Dragonfly, 2019</t>
  </si>
  <si>
    <t>project_dragonfly_2019</t>
  </si>
  <si>
    <t>https://doi.org/10.1016/j.gecco.2022.e02080</t>
  </si>
  <si>
    <t>Proctor, M. F., Garshelis, D. L., Thatte, P., Steinmetz, R., Crudge, B., McLellan, B. N., McShea, W. J., Ngoprasert, D., Nawaz, M. A., Te Wong, S., Sharma, S., Fuller, A. K., Dharaiya, N., Pigeon, K. E., Fredriksson, G., Wang, D., Li, S., &amp; Hwang, M. (2022). Review of field methods for monitoring Asian bears. *Global Ecology and Conservation, 35*, e02080. &lt;https://doi.org/10.1016/j.gecco.2022.e02080&gt;</t>
  </si>
  <si>
    <t>Proctor et al., 2022</t>
  </si>
  <si>
    <t>proctor_et_al_2022</t>
  </si>
  <si>
    <t>https://doi.org/10.1644/11-mamm-s-177.1</t>
  </si>
  <si>
    <t>Powell, R. A., &amp; Mitchell, M. S. (2012). What is a home range? *Journal of Mammalogy, 93*(4), 948-958. &lt;https://doi.org/10.1644/11-mamm-s-177.1&gt;</t>
  </si>
  <si>
    <t>Powell &amp; Mitchell, 2012</t>
  </si>
  <si>
    <t>powell_mitchell_2012</t>
  </si>
  <si>
    <t>https://doi.org/10.1002/rse2.67</t>
  </si>
  <si>
    <t>Pfeffer, S. E., Spitzer, R., Allen, A. M., Hofmeester, T. R., Ericsson, G., Widemo, F., Singh, N. J., &amp; Cromsigt, J. P. G. M. (2018). Pictures or pellets? Comparing camera trapping and dung counts as methods for estimating population densities of ungulates. *Remote Sensing in Ecology and Conservation, 4*(2), 173-183. &lt;https://doi.org/10.1002/rse2.67&gt;</t>
  </si>
  <si>
    <t>Pfeffer et al., 2018</t>
  </si>
  <si>
    <t>pfeffer_et_al_2018</t>
  </si>
  <si>
    <t>https://doi.org/10.1111/j.1469-1795.2009.00309.x</t>
  </si>
  <si>
    <t>Pettorelli, N., Lobora, A. L., Msuha, M. J., Foley, C., &amp; Durant, S. M. (2010). Carnivore biodiversity in Tanzania: Revealing the distribution patterns of secretive mammals using camera traps. *Animal Conservation, 13*(2), 131-139. &lt;https://doi.org/10.1111/j.1469-1795.2009.00309.x&gt;</t>
  </si>
  <si>
    <t>Pettorelli et al., 2010</t>
  </si>
  <si>
    <t>pettorelli_et_al_2010</t>
  </si>
  <si>
    <t>https://doi.org/10.1002/ece3.7619</t>
  </si>
  <si>
    <t>Pettigrew, P., Sigouin, D., &amp; St‐Laurent, M. (2021). Testing the precision and sensitivity of density estimates obtained with a camera‐trap method revealed limitations and opportunities. *Ecology and Evolution, 11*(12), 7879-7889. &lt;https://doi.org/10.1002/ece3.7619&gt;</t>
  </si>
  <si>
    <t>Pettigrew, Sigouin, &amp; St‐Laurent, 2021</t>
  </si>
  <si>
    <t>Pettigrew et al., 2021</t>
  </si>
  <si>
    <t>pettigrew_et_al_2021</t>
  </si>
  <si>
    <t>https://doi.org/10.1371/journal.pone.0166689</t>
  </si>
  <si>
    <t>Pease, B. S., Nielsen, C. K., &amp; Holzmueller, E. J. (2016). Single-Camera Trap Survey Designs Miss Detections: Impacts on Estimates of Occupancy and Community Metrics. *PloS One, 11*(11), e0166689. &lt;https://doi.org/10.1371/journal.pone.0166689&gt;</t>
  </si>
  <si>
    <t>Pease, Nielsen &amp; Holzmueller, 2016</t>
  </si>
  <si>
    <t>Pease et al., 2016</t>
  </si>
  <si>
    <t>pease_et_al_2016</t>
  </si>
  <si>
    <t>https://jamesepaterson.github.io/jamespatersonblog/2024-06-02_implicitdynamicsoccupancy.html</t>
  </si>
  <si>
    <t>Paterson, J. (2024). *Implicit dynamics occupancy models in R.* &lt;https://jamesepaterson.github.io/jamespatersonblog/2024-06-02_implicitdynamicsoccupancy.html&gt;</t>
  </si>
  <si>
    <t>Paterson, 2024</t>
  </si>
  <si>
    <t>paterson_2024</t>
  </si>
  <si>
    <t>https://doi.org/10.1111/2041-210X.13501.</t>
  </si>
  <si>
    <t>https://conservation-decisions.shinyapps.io/smsPOMDP/</t>
  </si>
  <si>
    <t>Pascal, L., Memarzadeh, M., Boettiger, C., Lloyd, H., &amp; Chadès, I. (2020). A Shiny R app to solve the problem of when to stop managing or surveying species under imperfect detection. Methods in *Ecology and Evolution, 11*(12), 1707-1715. &lt;https://doi.org/10.1111/2041-210X.13501&gt;.</t>
  </si>
  <si>
    <t>Pascal et al., 2020</t>
  </si>
  <si>
    <t>pascal_et_al_2020</t>
  </si>
  <si>
    <t>https://doi.org/10.1111/brv.12334</t>
  </si>
  <si>
    <t>Parsons, M. H., Apfelbach, R., Banks, P. B., Cameron, E. Z., Dickman, C. R., Frank, A. S. K., Jones, M. E., McGregor, I. S., McLean, S., Muller-Schwarze, D., Sparrow, E. E., &amp; Blumstein, D. T. (2018). Biologically meaningful scents: A framework for understanding predator-prey research across disciplines. *Biological reviews of the Cambridge Philosophical Society, 93*(1), 98-114. &lt;https://doi.org/10.1111/brv.12334&gt;</t>
  </si>
  <si>
    <t>Parsons et al., 2018</t>
  </si>
  <si>
    <t>parsons_et_al_2018</t>
  </si>
  <si>
    <t>https://doi.org/10.1093/jmammal/gyx128</t>
  </si>
  <si>
    <t>Parsons, A. W., Forrester, T., McShea, W. J., Baker-Whatton, M. C., Millspaugh, J. J., &amp; Kays, R. (2017). Do occupancy or detection rates from camera traps reflect deer density? *Journal of Mammalogy, 98*(6), 1547-1557. &lt;https://doi.org/10.1093/jmammal/gyx128&gt;</t>
  </si>
  <si>
    <t>Parsons et al., 2017</t>
  </si>
  <si>
    <t>parsons_et_al_2017</t>
  </si>
  <si>
    <t>https://doi.org/10.1890/0012-9615(2003)073[0001:Smdeaf]2.0.Co;2</t>
  </si>
  <si>
    <t>Parmenter, R. R., Yates, T. L., Anderson, D. R., Burnham, K. P., Dunnum, J. L., Franklin, A. B., Friggens, M. T., Lubow, B. C., Miller, M., Olson, G. S., Parmenter, C. A., Pollard, J., Rexstad, E., Shenk, T. M., Stanley, T. R., &amp; White, G. C. (2003). Small-mammal Density estimation: A field comparison of grid-based vs. web-based Density estimators. *Ecological Monographs, 73*(1), 1-26. &lt;https://doi.org/10.1890/0012-9615(2003)073[0001:Smdeaf]2.0.Co;2&gt;</t>
  </si>
  <si>
    <t>Parmenter et al., 2003</t>
  </si>
  <si>
    <t>parmenter_et_al_2003</t>
  </si>
  <si>
    <t>https://onlinelibrary.wiley.com/doi/abs/10.1111/aje.12566</t>
  </si>
  <si>
    <t>Palmer, M. S., Swanson, A., Kosmala, M., Arnold, T., &amp; Packer, C. (2018). Evaluating relative abundance indices for terrestrial herbivores from large‐scale camera trap Surveys. *African Journal of Ecology*, 56, 791-803. &lt;https://onlinelibrary.wiley.com/doi/abs/10.1111/aje.12566&gt;</t>
  </si>
  <si>
    <t>Palmer et al., 2018</t>
  </si>
  <si>
    <t>palmer_et_al_2018</t>
  </si>
  <si>
    <t>https://doi.org/10.1002/rse2.269</t>
  </si>
  <si>
    <t>Palencia, P., Barroso, P., Vicente, J., Hofmeester, T. R., Ferreres, J., &amp; Acevedo, P. (2022b). Random encounter model is a reliable method for estimating population density of multiple species using camera traps. *Remote Sensing in Ecology and Conservation, 8*(5), 670-682. &lt;https://doi.org/10.1002/rse2.269&gt;</t>
  </si>
  <si>
    <t>Palencia et al., 2022b</t>
  </si>
  <si>
    <t>palencia_et_al_2022b</t>
  </si>
  <si>
    <t>https://doi.org/10.1111/jzo.12945</t>
  </si>
  <si>
    <t>Palencia, P., Vicente, J., Soriguer, R. C., &amp; Acevedo, P. (2022). Towards a best‐practices guide for camera trapping: assessing differences among camera trap models and settings under field conditions. *Journal of Zoology, 316*(3), 197-208. &lt;https://doi.org/10.1111/jzo.12945&gt;</t>
  </si>
  <si>
    <t>Palencia et al., 2022</t>
  </si>
  <si>
    <t>palencia_et_al_2022</t>
  </si>
  <si>
    <t>https://doi.org/10.1111/1365-2664.13913</t>
  </si>
  <si>
    <t>Palencia, P., Rowcliffe, J. M., Vicente, J., &amp; Acevedo, P. (2021). Assessing the camera trap methodologies used to estimate Density of unmarked populations. *Journal of Applied Ecology, 58*(8), 1583-1592. &lt;https://doi.org/10.1111/1365-2664.13913&gt;</t>
  </si>
  <si>
    <t>Palencia et al., 2021</t>
  </si>
  <si>
    <t>palencia_et_al_2021</t>
  </si>
  <si>
    <t>https://www.youtube.com/watch?v=NUW4oLGeQwk</t>
  </si>
  <si>
    <t>https://www.youtube.com/embed/NUW4oLGeQwk?si=isAJ3uO31eANSkDv</t>
  </si>
  <si>
    <t>Palencia &amp; Project ENETWILD, 2022</t>
  </si>
  <si>
    <t>palencia_enetwild_2022</t>
  </si>
  <si>
    <t>https://doi.org/10.1111/2041-210x.12499</t>
  </si>
  <si>
    <t>Pacifici, K., Reich, B. J., Dorazio, R. M., Conroy, M. J., &amp; McPherson, J. (2016). Occupancy estimation for rare species using a spatially‐adaptive sampling design. *Methods in Ecology and Evolution, 7*(3), 285-293. &lt;https://doi.org/10.1111/2041-210x.12499&gt;</t>
  </si>
  <si>
    <t>Pacifici et al., 2016</t>
  </si>
  <si>
    <t>pacifici_et_al_2016</t>
  </si>
  <si>
    <t>https://pubs.usgs.gov/publication/70119899</t>
  </si>
  <si>
    <t>Otis, D. L., Burnham, K. P., White, G. C.. &amp; Anderson, D. R. (1978). Statistical Inference from Capture Data on Closed Animal Populations. *Wildlife Monographs, 62*, 3-135. &lt;https://pubs.usgs.gov/publication/70119899&gt;</t>
  </si>
  <si>
    <t>Otis et al., 1978</t>
  </si>
  <si>
    <t>otis_et_al_1978</t>
  </si>
  <si>
    <t>https://www.youtube.com/channel/UCc87aAzhX7EUOalyCohzqsQ</t>
  </si>
  <si>
    <t>oscrpackage206 (2020) *oSCR Package.* [Channel]. YouTube. &lt;https://www.youtube.com/channel/UCc87aAzhX7EUOalyCohzqsQ&gt;</t>
  </si>
  <si>
    <t>oscrpackage206, 2020</t>
  </si>
  <si>
    <t>oscrpackage206</t>
  </si>
  <si>
    <t>https://doi.org/10.32614/CRAN.package.vegan</t>
  </si>
  <si>
    <t>Oksanen, J., Simpson, G. L., Blanchet, F. G., Kindt, R., Legendre, P., Minchin, P. R., O'Hara, R. B., Solymos, P., Stevens, M. H. H., Szoecs, E., Wagner, H., Barbour, M., Bedward, M., Bolker, B., Borcard, D., Carvalho, G., Chirico, M., De Caceres, M., Durand, S., … Weedon, J. (2024). *vegan: Community Ecology Package*. R package Version 2.6-6.1. &lt;https://doi.org/10.32614/CRAN.package.vegan</t>
  </si>
  <si>
    <t>Oksanen et al., 2024</t>
  </si>
  <si>
    <t>oksanen_et_al_2024</t>
  </si>
  <si>
    <t>https://doi.org/10.1098/rspb.2016.1234</t>
  </si>
  <si>
    <t>Ofstad, E. G., Herfindal, I., Solberg, E. J., &amp; Saether, B. E. (2016). Home ranges, habitat and body mass: Simple correlates of home range size in ungulates. *Proceedings of the Royal Society B: Biological Sciences, 283* (1845), 20161234. &lt;https://doi.org/10.1098/rspb.2016.1234&gt;</t>
  </si>
  <si>
    <t>Ofstad, 2016</t>
  </si>
  <si>
    <t>ofstad_2016</t>
  </si>
  <si>
    <t>https://doi.org/10.1371/journal.pone.0175684</t>
  </si>
  <si>
    <t>O'Connor, K. M., Nathan, L. R., Liberati, M. R., Tingley, M. W., Vokoun, J. C., &amp; Rittenhouse, T. A. G. (2017). Camera trap arrays improve detection probability of wildlife: Investigating study design considerations using an empirical dataset. *PloS One, 12*(4), e0175684. &lt;https://doi.org/10.1371/journal.pone.0175684&gt;</t>
  </si>
  <si>
    <t>Obbard, Howe &amp; Kyle, 2010</t>
  </si>
  <si>
    <t>O'Connor et al., 2017</t>
  </si>
  <si>
    <t>oconnor_et_al_2017</t>
  </si>
  <si>
    <t>https://doi.org/10.2193/0022-541X(2006)70[1625:ESOADP]2.0.CO;2</t>
  </si>
  <si>
    <t>O'Connell, A. F., Talancy, N. W., Bailey, L. L., Sauer, J. R., Cook, R., &amp; Gilbert, A. T. (2006). Estimating Site Occupancy and Detection Probability Parameters for Meso- And Large Mammals in a Coastal Ecosystem. *Journal of Wildlife Management, 70*(6), 1625-1633. &lt;https://doi.org/10.2193/0022-541X(2006)70[1625:ESOADP]2.0.CO;2&gt;</t>
  </si>
  <si>
    <t>O'Connell et al., 2011</t>
  </si>
  <si>
    <t>oconnell_et_al_2011</t>
  </si>
  <si>
    <t>https://doi.org/10.1007/978-4-431-99495-4_6</t>
  </si>
  <si>
    <t>O'Connell, A. F., &amp; Bailey, L. L. (2011a). Inference for Occupancy and Occupancy Dynamics. In O'Connell, A. F. Nichols, J. D. &amp; Karanth, K. U. (Eds.), *Camera Traps In Animal Ecology: Methods and Analyses* (pp. 191-206). Springer. &lt;https://doi.org/10.1007/978-4-431-99495-4_6&gt;</t>
  </si>
  <si>
    <t>O'Connell et al., 2006</t>
  </si>
  <si>
    <t>oconnell_et_al_2006</t>
  </si>
  <si>
    <t>https://doi.org/10.1007/978-4-431-99495-4</t>
  </si>
  <si>
    <t>O'Connell, A. F., Nichols, J. D., &amp; Karanth, K. U. (Eds. ). (2010). *Camera traps in Animal Ecology: Methods and Analyses*. Springer. &lt;https://doi.org/10.1007/978-4-431-99495-4&gt;</t>
  </si>
  <si>
    <t>O'Connell &amp; Bailey, 2011a</t>
  </si>
  <si>
    <t>oconnell_bailey_2011a</t>
  </si>
  <si>
    <t>O'Brien, T. G. (2011). Abundance, Density and Relative Abundance: A Conceptual Framework. In A. F. O'Connell, J. D. Nichols, &amp; K. U. Karanth (Eds.), *Camera Traps In Animal Ecology: Methods and Analyses* (pp. 71-96). Springer. &lt;https://doi.org/10.1007/978-4-431-99495-4_6&gt;</t>
  </si>
  <si>
    <t>O'Brien, 2010</t>
  </si>
  <si>
    <t>O'Brien &amp; Kinnaird, 2011</t>
  </si>
  <si>
    <t>obrien_kinnaird_2011</t>
  </si>
  <si>
    <t>O'Brien, T. G., Kinnaird, M. F., &amp; Wibisono, H. T. (2011). Estimation of Species Richness of Large Vertebrates Using Camera Traps: An Example from an Indonesian Rainforest. In A. F. O'Connell, J. D. Nichols, &amp; K. U. Karanth (Eds.), *Camera Traps In Animal Ecology: Methods and Analyses* (pp. 233-252). Springer. &lt;https://doi.org/10.1007/978-4-431-99495-4_6&gt;</t>
  </si>
  <si>
    <t>O'Brien et al., 2013</t>
  </si>
  <si>
    <t>obrien_et_al_2013</t>
  </si>
  <si>
    <t>https://www.jstor.org/stable/41417102</t>
  </si>
  <si>
    <t>O'Brien, T. G., &amp; Kinnaird, M. F. (2011). Density estimation of sympatric carnivores using spatially explicit capture-recapture methods and standard trapping grid. *Ecological Applications, 21*(8), 2908-2916. &lt;https://www.jstor.org/stable/41417102&gt;</t>
  </si>
  <si>
    <t>O'Brien, Kinnaird &amp; Wibisono, 2013</t>
  </si>
  <si>
    <t>O'Brien et al., 2011</t>
  </si>
  <si>
    <t>obrien_et_al_2011</t>
  </si>
  <si>
    <t>https://doi.org/10.1017/s1367943003003172</t>
  </si>
  <si>
    <t>O'Brien, T. G., Kinnaird, M. F., &amp; Wibisono, H. T. (2003). Crouching tigers, hidden prey: Sumatran tiger and prey populations in a tropical forest landscape. *Animal Conservation, 6*(2), 131-139. &lt;https://doi.org/10.1017/s1367943003003172&gt;</t>
  </si>
  <si>
    <t>O'Brien, Kinnaird &amp; Wibisono, 2011</t>
  </si>
  <si>
    <t>O'Brien, 2011</t>
  </si>
  <si>
    <t>obrien_2011</t>
  </si>
  <si>
    <t>https://library.wcs.org/doi/ctl/view/mid/33065/pubid/DMX534800000.aspx</t>
  </si>
  <si>
    <t>O'Brien, K. M. (2010). *Wildlife Picture Index: Implementation Manual Version 1. 0.* WCS Working Paper No. 39. &lt;https://library.wcs.org/doi/ctl/view/mid/33065/pubid/DMX534800000.aspx&gt;</t>
  </si>
  <si>
    <t>obrien_2010</t>
  </si>
  <si>
    <t>https://doi.org/10.1111/j.1365-2664.2009.01758.x</t>
  </si>
  <si>
    <t>Obbard, M. E., Howe, E. J., &amp; Kyle, C. J. (2010). Empirical Comparison of Density Estimators for Large Carnivores. *Journal of Applied Ecology*, 47(1), 76-84. &lt;https://doi.org/10.1111/j.1365-2664.2009.01758.x&gt;</t>
  </si>
  <si>
    <t>Obbard et al., 2010</t>
  </si>
  <si>
    <t>obbard_et_al_2010</t>
  </si>
  <si>
    <t>https://doi.org/10.1111/j.1469-1795.2012.00545.x</t>
  </si>
  <si>
    <t>Noss, A. J., Gardner, B., Maffei, L., Cuéllar, E., Montaño, R., Romero-Muñoz, A., Sollman, R., O'Connell, A. F., &amp; Altwegg, R. (2012).comparison of Density estimation methods for mammal populations with camera traps in the Kaa-Iya del Gran Chaco landscape. *Animal Conservation, 15*(5), 527-535. &lt;https://doi.org/10.1111/j.1469-1795.2012.00545.x&gt;</t>
  </si>
  <si>
    <t>Noss et al., 2012</t>
  </si>
  <si>
    <t>noss_et_al_2012</t>
  </si>
  <si>
    <t>https://www.researchgate.net/publication/228541823_A_Camera_trapping_and_radio_telemetry_study_of_lowland_tapir_Tapirus_terrestris_in_Bolivian_dry_forests</t>
  </si>
  <si>
    <t>Noss, A., Cuéllar, R., Barrientos, J., Maffei, L., Cuéllar, E., Arispe, R., Rumiz, D., &amp; Rivero, K. (2003). A Camera trapping and radio telemetry study of lowland tapir (*Tapirus terrestris*) in Bolivian dry forests. *Tapir Conservation, 12*, 24-32. &lt;https://www.researchgate.net/publication/228541823_A_Camera_trapping_and_radio_telemetry_study_of_lowland_tapir_Tapirus_terrestris_in_Bolivian_dry_forests&gt;</t>
  </si>
  <si>
    <t>Noss et al., 2003</t>
  </si>
  <si>
    <t>noss_et_al_2003</t>
  </si>
  <si>
    <t>https://doi.org/10.1111/2041-210x.1350</t>
  </si>
  <si>
    <t>Norouzzadeh, M. S., Morris, D., Beery, S., Joshi, N., Jojic, N., Clune, J., &amp; Schofield, M. (2020). A deep active learning system for species identification and counting in camera trap images. *Methods in Ecology and Evolution, 12*(1), 150-161. &lt;https://doi.org/10.1111/2041-210x.1350&gt;</t>
  </si>
  <si>
    <t>Norouzzadeh et al., 2020</t>
  </si>
  <si>
    <t>norouzzadeh_et_al_2020</t>
  </si>
  <si>
    <t>https://doi.org/10.1111/j.1523-1739.2012.01855.x.</t>
  </si>
  <si>
    <t>Noon, B. R., Bailey, L. L., Sisk, T. D., &amp; McKelvey, K. S. (2012). Efficient Species-Level Monitoring at the Landscape Scale. *Conservation Biology, 26*(3), 432-41. &lt;https://doi.org/10.1111/j.1523-1739.2012.01855.x.&gt;</t>
  </si>
  <si>
    <t>Noon et al., 2012</t>
  </si>
  <si>
    <t>noon_et_al_2012</t>
  </si>
  <si>
    <t>https://doi.org/10.1071/WR08083</t>
  </si>
  <si>
    <t>Newbold, H. G., &amp; King, C. M. (2009). Can a predator see invisible light? Infrared vision in ferrets (*Mustelo furo*). *Wildlife Research, 36*(4), 309-318. &lt;https://doi.org/10.1071/WR08083&gt;</t>
  </si>
  <si>
    <t>Newbold &amp; King, 2009</t>
  </si>
  <si>
    <t>newbold_king_2009</t>
  </si>
  <si>
    <t>https://doi.org/10.1002/ecs2.2092</t>
  </si>
  <si>
    <t>Neilson, E. W., Avgar, T., Burton, A. C., Broadley, K., &amp; Boutin, S. (2018). Animal movement affects interpretation of occupancy models from camera‐trap Surveys of unmarked animals. *Ecosphere, 9*(1). &lt;https://doi.org/10.1002/ecs2.2092&gt;</t>
  </si>
  <si>
    <t>Neilson et al., 2018</t>
  </si>
  <si>
    <t>neilson_et_al_2018</t>
  </si>
  <si>
    <r>
      <t>National Boreal Caribou Knowledge Consortium [NBCKC / CNSCB]. (2024). *</t>
    </r>
    <r>
      <rPr>
        <i/>
        <sz val="12"/>
        <color theme="1"/>
        <rFont val="Calibri"/>
        <family val="2"/>
      </rPr>
      <t>National Boreal Caribou Knowledge Consortium Glossary: Creating a common language</t>
    </r>
    <r>
      <rPr>
        <sz val="12"/>
        <color theme="1"/>
        <rFont val="Calibri"/>
        <family val="2"/>
      </rPr>
      <t>.* National Boreal Caribou Knowledge Consortium (NBCKC / CNSCB). &lt;https://www.cclmportal.ca/resource/creating-common-language-glossary#:~:text=The%20goal%20of%20the%20National,A%20Toolkit%20for%20Respectful%20Collaboration&gt;</t>
    </r>
  </si>
  <si>
    <t>NBCKC / CNSCB, 2024</t>
  </si>
  <si>
    <t>https://doi.org/10.1038/s41598-021-92361-2</t>
  </si>
  <si>
    <t>Nawaz, M. A., Khan, B. U., Mahmood, A., Younas, M., Din, J. U., &amp; Sutherland, C. (2021). An empirical demonstration of the effect of study design on density estimations. *Scientific Reports, 11*(1), 13104. PubMed-not-MEDLINE. &lt;https://doi.org/10.1038/s41598-021-92361-2&gt;</t>
  </si>
  <si>
    <t>Nawaz et al., 2021</t>
  </si>
  <si>
    <t>nawaz_et_al_2021</t>
  </si>
  <si>
    <t>https://open.alberta.ca/publications/0778545725</t>
  </si>
  <si>
    <t>Natural Regions Committee. (2006). *Natural regions and subregions of Alberta* (T/852; p. 264). Government of Alberta. &lt;https://open.alberta.ca/publications/0778545725&gt;</t>
  </si>
  <si>
    <t>Natural Regions Committee., 2006</t>
  </si>
  <si>
    <t>natural_regions_committee._2006</t>
  </si>
  <si>
    <t>https://doi.org/10.1016/j.biocon.2019.108381</t>
  </si>
  <si>
    <t>Nakashima, Y., Hongo, S., &amp; Akomo-Okoue, E. F. (2020). Landscape-scale estimation of forest ungulate density and biomass using camera traps: Applying the REST model. *Biological Conservation, 241*, 108381. &lt;https://doi.org/10.1016/j.biocon.2019.108381&gt;</t>
  </si>
  <si>
    <t>Nakashima, Hongo, &amp; Akomo-Okoue, 2020</t>
  </si>
  <si>
    <t>Nakashima et al., 2020</t>
  </si>
  <si>
    <t>nakashima_et_al_2020</t>
  </si>
  <si>
    <t>https://doi.org/10.1111/1365-2664.13059</t>
  </si>
  <si>
    <t>Nakashima, Y., Fukasawa, &amp; K., Samejima, H. (2017). Estimating Animal Density Without Individual Recognition Using Information Derivable Exclusively from Camera Traps. *Journal of Applied Ecology, 55*(2), 735-744. &lt;https://doi.org/10.1111/1365-2664.13059&gt;</t>
  </si>
  <si>
    <t>Nakashima et al., 2017</t>
  </si>
  <si>
    <t>nakashima_et_al_2017</t>
  </si>
  <si>
    <t>https://www.youtube.com/watch?v=s-d81K72yWs&amp;list=PLNlLe3RjftYun9Xh2pJOAuisHaTVyEwAB&amp;index=3</t>
  </si>
  <si>
    <t>https://www.youtube.com/embed/s-d81K72yWs?si=PqWOR_dvvkCfoLY7</t>
  </si>
  <si>
    <t>Nakajima. (2021d, Jul 1). *Density Estimation with the REST Model &gt; REST_03_MeasureStayingTime.* [Video]. YouTube. &lt;https://www.youtube.com/watch?v=s-d81K72yWs&amp;list=PLNlLe3RjftYun9Xh2pJOAuisHaTVyEwAB&amp;index=3&gt;</t>
  </si>
  <si>
    <t>中島啓裕, 2021d</t>
  </si>
  <si>
    <t>Nakajima, 2021d</t>
  </si>
  <si>
    <t>nakajima_2021d</t>
  </si>
  <si>
    <t>https://www.youtube.com/watch?v=wqEF_up7EGs&amp;list=PLNlLe3RjftYun9Xh2pJOAuisHaTVyEwAB&amp;index=2</t>
  </si>
  <si>
    <t>https://www.youtube.com/embed/wqEF_up7EGs?si=IL2_moYR0XpdR-Fk</t>
  </si>
  <si>
    <t>Nakajima. (2021c, Jul 1). *Density Estimation with the REST Model &gt; REST_02_Set_Up_Emv.* [Video]. YouTube. &lt;https://www.youtube.com/watch?v=wqEF_up7EGs&amp;list=PLNlLe3RjftYun9Xh2pJOAuisHaTVyEwAB&amp;index=2&gt;</t>
  </si>
  <si>
    <t>中島啓裕, 2021c</t>
  </si>
  <si>
    <t>Nakajima, 2021c</t>
  </si>
  <si>
    <t>nakajima_2021c</t>
  </si>
  <si>
    <t>https://www.youtube.com/watch?v=pUa9rgxSGVA&amp;list=PLNlLe3RjftYun9Xh2pJOAuisHaTVyEwAB&amp;index=1</t>
  </si>
  <si>
    <t>https://www.youtube.com/embed/pUa9rgxSGVA?si=pOIqFPL6AxNuUYJt</t>
  </si>
  <si>
    <t>Nakajima. (2021b, Jul 1). *Density Estimation with the REST Model &gt; REST_01_Set_Focal_Area* [Video]. YouTube. &lt;https://www.youtube.com/watch?v=pUa9rgxSGVA&amp;list=PLNlLe3RjftYun9Xh2pJOAuisHaTVyEwAB&amp;index=1&gt;</t>
  </si>
  <si>
    <t>中島啓裕, 2021b</t>
  </si>
  <si>
    <t>Nakajima, 2021b</t>
  </si>
  <si>
    <t>nakajima_2021b</t>
  </si>
  <si>
    <t>https://www.youtube.com/playlist?list=PLNlLe3RjftYun9Xh2pJOAuisHaTVyEwAB</t>
  </si>
  <si>
    <t>Nakajima. (2021a, Jul 1). *Density Estimation with the REST Model.* [Playlist]. YouTube. &lt;https://www.youtube.com/playlist?list=PLNlLe3RjftYun9Xh2pJOAuisHaTVyEwAB&gt;</t>
  </si>
  <si>
    <t>中島啓裕, 2021a</t>
  </si>
  <si>
    <t>Nakajima, 2021a</t>
  </si>
  <si>
    <t>nakajima_2021a</t>
  </si>
  <si>
    <t>https://doi.org/10.1111/1365-2656.13515</t>
  </si>
  <si>
    <t>Murray, M. H., Fidino, M., Lehrer, E. W., Simonis, J. L., &amp; Magle, S. B. (2021). A multi-state occupancy model to non-invasively monitor visible signs of wildlife health with camera traps that accounts for image quality. *Journal of Animal Ecology, 90*(8), 1973-1984. &lt;https://doi.org/10.1111/1365-2656.13515&gt;</t>
  </si>
  <si>
    <t>Murray et al., 2021</t>
  </si>
  <si>
    <t>murray_et_al_2021</t>
  </si>
  <si>
    <t>https://www.ncbi.nlm.nih.gov/pubmed/27106524</t>
  </si>
  <si>
    <t>Murray, M. H., Hill, J., Whyte, P., &amp; St Clair, C. C. (2016) Urban Compost Attracts Coyotes, Contains Toxins, and may Promote Disease in Urban-Adapted Wildlife. *EcoHealth, 13*(2):285-92. &lt;https://www.ncbi.nlm.nih.gov/pubmed/27106524&gt;</t>
  </si>
  <si>
    <t>Murray et al., 2016</t>
  </si>
  <si>
    <t>murray_et_al_2016</t>
  </si>
  <si>
    <t>https://doi.org/10.1016/0304-4076(86)90002-3</t>
  </si>
  <si>
    <t>Mullahy, J. (1986). Specification and Testing of Some Modified Count Data Models. *Journal of Econometrics, 3*3(3), 341-365. &lt;https://doi.org/10.1016/0304-4076(86)90002-3&gt;</t>
  </si>
  <si>
    <t>Mullahy, 1986</t>
  </si>
  <si>
    <t>mullahy_1986</t>
  </si>
  <si>
    <t>https://doi.org/10.1371/journal.pone.0136933</t>
  </si>
  <si>
    <t>Muhly, T., Serrouya, R., Neilson, E., Li, H., &amp; Boutin, S. (2015). Influence of In-Situ Oil Sands Development on Caribou (*Rangifer tarandus*) Movement. *PloS One, 10*(9), e0136933. &lt;https://doi.org/10.1371/journal.pone.0136933&gt;</t>
  </si>
  <si>
    <t>Muhly et al., 2015</t>
  </si>
  <si>
    <t>muhly_et_al_2015</t>
  </si>
  <si>
    <t>https://doi.org/10.1371/journal.pone.0017050</t>
  </si>
  <si>
    <t>Muhly, T. B., Semeniuk, C., Massolo, A., Hickman, L., &amp; Musiani, M. (2011). Human activity helps prey win the predator-prey space race. *PloS One, 6*(3), e17050. &lt;https://doi.org/10.1371/journal.pone.0017050&gt;</t>
  </si>
  <si>
    <t>Muhly et al., 2011</t>
  </si>
  <si>
    <t>muhly_et_al_2011</t>
  </si>
  <si>
    <t>https://doi.org/10.1007/978-0-387-75528-1</t>
  </si>
  <si>
    <t>Morrison, M. L., Block, W. M., Strickland, M. D., Collier, B. A. &amp; Peterson, M. J. (2008). *Wildlife Study Design*. Springer, New York. &lt;https://doi.org/10.1007/978-0-387-75528-1&gt;</t>
  </si>
  <si>
    <t>Morrison et al., 2018</t>
  </si>
  <si>
    <t>morrison_et_al_2018</t>
  </si>
  <si>
    <t>https://agentmorris.github.io/camera-trap-ml-Survey/</t>
  </si>
  <si>
    <t>Morris, D. (2022). *Everything I know about machine learning and camera traps.* &lt;https://agentmorris.github.io/camera-trap-ml-Survey/&gt;</t>
  </si>
  <si>
    <t>Morris, 2022</t>
  </si>
  <si>
    <t>morris_2022</t>
  </si>
  <si>
    <t>https://doi.org/10.1016/j.gecco.2022.e02058</t>
  </si>
  <si>
    <t>Morin, D. J., Boulanger, J., Bischof, R., Lee, D. C., Ngoprasert, D., Fuller, A. K., McLellan, B., Steinmetz, R., Sharma, S., Garshelis, D., Gopalaswamy, A., Nawaz, M. A., &amp; Karanth, U. (2022).comparison of methods for estimating Density and population trends for low-Density Asian bears. *Global Ecology and Conservation, 35*, e02058 &lt;https://doi.org/10.1016/j.gecco.2022.e02058&gt;</t>
  </si>
  <si>
    <t>Morin et al., 2022</t>
  </si>
  <si>
    <t>morin_et_al_2022</t>
  </si>
  <si>
    <t>https://doi.org/10.1007/s10980-021-01283-x</t>
  </si>
  <si>
    <t>Moqanaki, E. S., Milleret, C., Tourani, M., Dupont, P., &amp; Bischof, R. (2021). Consequences of ignoring variable and spatially autocorrelated detection probability in spatial capture- recapture. *Landscape Ecology, 36, 2879-2895*. &lt;https://doi.org/10.1007/s10980-021-01283-x&gt;</t>
  </si>
  <si>
    <t>Moqanaki et al., 2021</t>
  </si>
  <si>
    <t>moqanaki_et_al_2021</t>
  </si>
  <si>
    <t>https://doi.org/10.13140/RG.2.2.28025.57449</t>
  </si>
  <si>
    <t>Molloy, S. W. (2018). *A Practical Guide to Using Camera Traps for Wildlife Monitoring in Natural Resource Management Projects*. &lt;https://doi.org/10.13140/RG.2.2.28025.57449&gt;</t>
  </si>
  <si>
    <t>Molloy, 2018</t>
  </si>
  <si>
    <t>molloy_2018</t>
  </si>
  <si>
    <t>https://doi.org/10.1071/wr19004</t>
  </si>
  <si>
    <t>Moll, R. J., Ortiz-Calo, W., Cepek, J. D., Lorch, P. D., Dennis, P. M., Robison, T., &amp; Montgomery, R. A. (2020). The effect of camera-trap viewshed obstruction on wildlife detection: implications for inference. *Wildlife Research, 47*(2). &lt;https://doi.org/10.1071/wr19004&gt;</t>
  </si>
  <si>
    <t>Moll et al., 2020</t>
  </si>
  <si>
    <t>moll_et_al_2020</t>
  </si>
  <si>
    <t>https://doi.org/10.1007/s42991-021-00181-8</t>
  </si>
  <si>
    <t>Moeller &amp; Lukacs, 2021</t>
  </si>
  <si>
    <t>https://doi.org/10.1002/rse2.300</t>
  </si>
  <si>
    <t>Moeller, A. K., Waller, S. J., DeCesare, N. J., Chitwood, M. C., &amp; Lukacs, P. M. (2023). Best practices to account for capture probability and viewable area in camera‐based abundance estimation. *Remote Sensing in Ecology and Conservation.* &lt;https://doi.org/10.1002/rse2.300&gt;</t>
  </si>
  <si>
    <t>Moeller et al., 2023</t>
  </si>
  <si>
    <t>moeller_et_al_2023</t>
  </si>
  <si>
    <t>https://doi.org/10.1002/ecs2.2331</t>
  </si>
  <si>
    <t>Moeller, A. K., Lukacs, P. M., &amp; Horne, J. S. (2018). Three Novel Methods to Estimate Abundance of Unmarked Animals using Remote Cameras. *Ecosphere, 9*(8), Article e02331. &lt;https://doi.org/10.1002/ecs2.2331&gt;</t>
  </si>
  <si>
    <t>Moeller, Lukacs &amp; Horne, 2018</t>
  </si>
  <si>
    <t>Moeller et al., 2018</t>
  </si>
  <si>
    <t>moeller_et_al_2018</t>
  </si>
  <si>
    <t>https://doi.org/10.1371/journal.pone.0216447</t>
  </si>
  <si>
    <t>Mills, D., Fattebert, J., Hunter, L., &amp; Slotow, R. (2019). Maximising camera trap data: Using attractants to improve detection of elusive species in multi-species Surveys. *PLoS ONE, 14(5)*, e0216447. &lt;https://doi.org/10.1371/journal.pone.0216447&gt;</t>
  </si>
  <si>
    <t>Mills et al., 2019</t>
  </si>
  <si>
    <t>mills_et_al_2019</t>
  </si>
  <si>
    <t>https://doi.org/10.1371/journal.pone.0146142</t>
  </si>
  <si>
    <t>Mills, C. A., Godley, B. J., &amp; Hodgson, D. J. (2016). Take Only Photographs, Leave Only Footprints: Novel Applications of Non-Invasive Survey Methods for Rapid Detection of Small, Arboreal Animals. *PloS One, 11*(1), e0146142. &lt;https://doi.org/10.1371/journal.pone.0146142&gt;</t>
  </si>
  <si>
    <t>Mills, Godley &amp; Hodgson, 2016</t>
  </si>
  <si>
    <t>Mills et al., 2016</t>
  </si>
  <si>
    <t>mills_et_al_2016</t>
  </si>
  <si>
    <t>https://detcal-shiny.2.rahtiapp.fi/</t>
  </si>
  <si>
    <t>https://detcal-shiny.2.rahtiapp.fi</t>
  </si>
  <si>
    <t>Mikkelä, A. (2024). *Probabilistic detection calculator (online application).* R shiny version v2. &lt;https://detcal-shiny.2.rahtiapp.fi/&gt;</t>
  </si>
  <si>
    <t>Mikkelä, 2024</t>
  </si>
  <si>
    <t>mikkela_2024</t>
  </si>
  <si>
    <t>https://doi.org/10.1002/rse2.28</t>
  </si>
  <si>
    <t>Meek, P. D., Ballard, G. A., &amp; Falzon, G. (2016). The Higher You Go the Less You Will Know: Placing Camera Traps High to Avoid Theft Will Affect Detection. *Remote Sensing in Ecology and Conservation, 2*(4), 204-211. &lt;https://doi.org/10.1002/rse2.28&gt;</t>
  </si>
  <si>
    <t>Meek, Ballard &amp; Falzon, 2016</t>
  </si>
  <si>
    <t>Meek et al., 2016</t>
  </si>
  <si>
    <t>meek_et_al_2016</t>
  </si>
  <si>
    <t>https://doi.org/10.1371/journal.pone.0110832</t>
  </si>
  <si>
    <t>Meek, P. D., Ballard, G. A., Fleming, P. J. S., Schaefer, M., Williams, W., &amp; Falzon, G. (2014a). Camera Traps Can Be Heard and Seen by Animals. *PLoS One, 9*(10), e110832. &lt;https://doi.org/10.1371/journal.pone.0110832&gt;</t>
  </si>
  <si>
    <t>Meek et al., 2014b</t>
  </si>
  <si>
    <t>meek_et_al_2014b</t>
  </si>
  <si>
    <t>https://doi.org/10.1007/s10531-014-0712-8</t>
  </si>
  <si>
    <t>Meek, P. D., Ballard, G., Claridge, A., Kays, R., Moseby, K., O'Brien, T., O'Connell, A., Sanderson, J., Swann, D. E., Tobler, M., &amp; Townsend, S. (2014a). Recommended Guiding Principles for Reporting on Camera trap Trapping Research. *Biodiversity and Conservation, 23*(9), 2321-2343. &lt;https://doi.org/10.1007/s10531-014-0712-8&gt;</t>
  </si>
  <si>
    <t>Meek et al., 2014a</t>
  </si>
  <si>
    <t>meek_et_al_2014a</t>
  </si>
  <si>
    <t>https://www.youtube.com/watch?v=4gcmAUpo9TU</t>
  </si>
  <si>
    <t>mecks100 (2018, Feb 7). *Species accumulation and rarefaction curves* [Video]. YouTube. &lt;https://www.youtube.com/watch?v=4gcmAUpo9TU&gt;</t>
  </si>
  <si>
    <t>mecks100, 2018</t>
  </si>
  <si>
    <t>mecks100_2018</t>
  </si>
  <si>
    <t>https://doi.org/10.1007/s10980-015-0262-9</t>
  </si>
  <si>
    <t>McShea, W. J., Forrester, T., Costello, R., He, Z., &amp; Kays, R. (2015). Volunteer-Run Cameras as Distributed Sensors for Macrosystem Mammal Research. *Landscape Ecology, 31,* 1-13. &lt;https://doi.org/10.1007/s10980-015-0262-9&gt;</t>
  </si>
  <si>
    <t>McShea et al., 2015</t>
  </si>
  <si>
    <t>mcshea_et_al_2015</t>
  </si>
  <si>
    <t>https://darinjmcneil.weebly.com/multi-season-occupancy.html</t>
  </si>
  <si>
    <t>McNeil, D. (n.d.). *Multi-season Occupancy Models*. &lt;https://darinjmcneil.weebly.com/multi-season-occupancy.html&gt;</t>
  </si>
  <si>
    <t>McNeil (n.d.)</t>
  </si>
  <si>
    <t>mcneil_nd</t>
  </si>
  <si>
    <t>https://doi.org/10.1002/wsb.1390</t>
  </si>
  <si>
    <t>McMurry, S., Moeller, A. K., Goerz, J., &amp; Robinson, H. S. (2023). Using space to event modeling to estimate density of multiple species in northeastern Washington. *Wildlife Society Bulletin, 47*(1). &lt;https://doi.org/10.1002/wsb.1390&gt;</t>
  </si>
  <si>
    <t>McMurry et al., 2023</t>
  </si>
  <si>
    <t>mcmurray_et_al_2023</t>
  </si>
  <si>
    <t>https://doi.org/10.1002/ece3.6797</t>
  </si>
  <si>
    <t>McFarlane, S., Manseau, M., Steenweg, R., Hervieux, D., Hegel, T., Slater, S., &amp; Wilson, P. J. (2020). An assessment of sampling designs using SCR analyses to estimate abundance of boreal caribou. *Ecology and Evolution, 10*(20), 11631-11642. &lt;https://doi.org/10.1002/ece3.6797&gt;</t>
  </si>
  <si>
    <t>McFarlane et al., 2020</t>
  </si>
  <si>
    <t>mcfarlane_et_al_2020</t>
  </si>
  <si>
    <t>http://dx.doi.org/10.1007/978-1-4899-3242-6</t>
  </si>
  <si>
    <t>McCullagh, P., &amp; Nelder, J. A. (1989). *Generalised Linear Models,* 2nd edn. Chapman and Hall, London. &lt;http://dx.doi.org/10.1007/978-1-4899-3242-6&gt;</t>
  </si>
  <si>
    <t>McCullagh &amp; Nelder, 1989</t>
  </si>
  <si>
    <t>mccullagh_nelder_1989</t>
  </si>
  <si>
    <t>https://openlibrary-repo.ecampusontario.ca/xmlui/bitstream/handle/123456789/850/Monitoring-Animal-Populations-and-Their-Habitats-A-Practitioner039s-Guide-1598474504._print.pdf?sequence=4&amp;isAllowed=y</t>
  </si>
  <si>
    <t>Mccomb, B., Vesely, D., &amp; Jordan, C. (2010). *Monitoring Animal Populations and Their Habitats: A Practitioner’s Guide*. Oregon State University. &lt;https://openlibrary-repo.ecampusontario.ca/xmlui/bitstream/handle/123456789/850/Monitoring-Animal-Populations-and-Their-Habitats-A-Practitioner039s-Guide-1598474504._print.pdf?sequence=4&amp;isAllowed=y&gt;</t>
  </si>
  <si>
    <t>Mccomb, Vesely &amp; Jordan, 2010</t>
  </si>
  <si>
    <t>Mccomb et al., 2010</t>
  </si>
  <si>
    <t>mccomb_et_al_2010</t>
  </si>
  <si>
    <t>https://doi.org/10.1002/ece3.1676</t>
  </si>
  <si>
    <t>McClintock, B. T. (2015). multimark: An R package for analysis of capture-recapture data consisting of multiple 'noninvasive' marks. *Ecology and Evolution, 5*(21), 4920-4931. &lt;https://doi.org/10.1002/ece3.1676&gt;</t>
  </si>
  <si>
    <t>McClintock et al., 2015</t>
  </si>
  <si>
    <t>mcclintock_et_al_2015</t>
  </si>
  <si>
    <t>https://doi.org/10.1111/j.1541-0420.2008.01047.x</t>
  </si>
  <si>
    <t>McClintock, B. T., White, G. C., Antolin, M. F., &amp; Tripp, D. W. (2009). Estimating abundance using mark-resight when sampling is with replacement or the number of marked individuals is unknown. *Biometrics, 65*(1), 237-246. &lt;https://doi.org/10.1111/j.1541-0420.2008.01047.x&gt;</t>
  </si>
  <si>
    <t>McClintock et al., 2009</t>
  </si>
  <si>
    <t>mcclintock_et_al_2009</t>
  </si>
  <si>
    <t>https://doi.org/10.1111/j.1461-0248.2005.00826.x</t>
  </si>
  <si>
    <t>Martin, T. G., Wintle, B. A., Rhodes, J. R., Kuhnert, P. M., Field, S. A., Low-Choy, S. J., Tyre, A. J., &amp; Possingham, H. P. (2005). Zero Tolerance Ecology: Improving Ecological Inference by Modelling the Source of Zero Observations. *Ecology Letters, 8*(11), 1235-1246. &lt;https://doi.org/10.1111/j.1461-0248.2005.00826.x&gt;</t>
  </si>
  <si>
    <t>Martin et al., 2005</t>
  </si>
  <si>
    <t>martin_et_al_2005</t>
  </si>
  <si>
    <t>https://doi.org/10.1016/j.ijpara.2020.02.001</t>
  </si>
  <si>
    <t>Markle, D. F., Janik, A., Peterson, J. T., Choudhury, A., Simon, D. C., Tkach, V. V., Terwilliger, M. R., Sanders, J. L., &amp; Kent, M. L. (2020). Odds Ratios and Hurdle Models: A Long-Term Analysis of Parasite Infection Patterns in Endangered Young-Of-The-Year Suckers from Upper Klamath Lake, Oregon, USA. *International Journal for Parasitology, 50*(4), 315-330. &lt;https://doi.org/10.1016/j.ijpara.2020.02.001&gt;</t>
  </si>
  <si>
    <t>Markle et al., 2020</t>
  </si>
  <si>
    <t>markle_et_al_2020</t>
  </si>
  <si>
    <t>https://www.youtube.com/watch?v=eIY--zc5f24</t>
  </si>
  <si>
    <t>https://www.youtube.com/embed/eIY--zc5f24?si=dgtSF_vfwUxuG1Mi</t>
  </si>
  <si>
    <t>MarinStatsLectures-R Programming &amp; Statistics (2020b, Mar 17). *Poisson Regression: Zero Inflation (Excessive Zeros).* [Video]. YouTube. &lt;https://www.youtube.com/watch?v=eIY--zc5f24&gt;</t>
  </si>
  <si>
    <t>MarinStatsLectures-R Programming &amp; Statistics, 2020b</t>
  </si>
  <si>
    <t>marinstats_2020b</t>
  </si>
  <si>
    <t>https://www.youtube.com/watch?v=A8H6gc9Eq0w</t>
  </si>
  <si>
    <t>https://www.youtube.com/embed/A8H6gc9Eq0w?si=Ade-D5-J5JtCZwil</t>
  </si>
  <si>
    <t>MarinStatsLectures-R Programming &amp; Statistics (2020a, Mar 17). *Poisson Regression Review.* [Video]. YouTube. &lt;https://www.youtube.com/watch?v=A8H6gc9Eq0w&gt;</t>
  </si>
  <si>
    <t>MarinStatsLectures-R Programming &amp; Statistics, 2020a</t>
  </si>
  <si>
    <t>marinstats_2020a</t>
  </si>
  <si>
    <t>https://doi.org/10.1007/0-306-48151-0</t>
  </si>
  <si>
    <t>Manly, B. F. J., McDonald, L. L., &amp; Thomas, D. L. (1993). *Resource Selection by Animals: Statistical Design and Analysis for Field Studies*. Chapman &amp; Hall, London, p. 177. &lt;https://doi.org/10.1007/0-306-48151-0&gt;</t>
  </si>
  <si>
    <t>Manly, McDonald &amp; Thomas, 1993</t>
  </si>
  <si>
    <t>Manly et al., 1993</t>
  </si>
  <si>
    <t>manly_et_al_1993</t>
  </si>
  <si>
    <t>https://doi.org/10.1111/j.1744-7429.2007.00341.x</t>
  </si>
  <si>
    <t>Maffei, L., &amp; Noss, A. J. (2008). How Small Is Too Small? Camera Trap Survey Areas and Density Estimates for Ocelots in the Bolivian Chaco. *Biotropica, 40*(1), 71-75. &lt;https://doi.org/10.1111/j.1744-7429.2007.00341.x&gt;</t>
  </si>
  <si>
    <t>Maffei &amp; Noss, 2008</t>
  </si>
  <si>
    <t>maffei_noss_2008</t>
  </si>
  <si>
    <t>https://doi.org/10.1111/j.1365-2664.2005.01098.x</t>
  </si>
  <si>
    <t>Mackenzie, D. I., &amp; Royle, J. A. (2005). Designing occupancy studies: general advice and allocating Survey effort. *Journal of Applied Ecology, 42*, 1105-1114. &lt;https://doi.org/10.1111/j.1365-2664.2005.01098.x&gt;</t>
  </si>
  <si>
    <t>Mackenzie &amp; Royle, 2005</t>
  </si>
  <si>
    <t>mackenzie_royle_2005</t>
  </si>
  <si>
    <t>https://doi.org/10.1890/0012-9658(2002)083[2387:HSDPBI]2.0.CO;2</t>
  </si>
  <si>
    <t>MacKenzie, D. I., &amp; Kendall, W. L. (2002) How Should Detection Probability Be Incorporated into Estimates of Relative Abundance? *Ecology, 83*(9), 2387-93. &lt;https://doi.org/10.1890/0012-9658(2002)083[2387:HSDPBI]2.0.CO;2&gt;</t>
  </si>
  <si>
    <t>MacKenzie &amp; Kendall, 2002</t>
  </si>
  <si>
    <t>mackenzie_kendall_2002</t>
  </si>
  <si>
    <t>https://www.sciencedirect.com/book/9780124071971/occupancy-estimation-and-modeling.</t>
  </si>
  <si>
    <t>MacKenzie, D. I., Nichols, J. D., Royle, J. A., Pollock, K. H., Bailey, L. L., &amp; Hines, J. E. (2017). *Occupancy Estimation and Modeling: Inferring Patterns and Dynamics of Species Occurrence*. 2nd ed. Academic Press, San Diego. &lt;https://www.sciencedirect.com/book/9780124071971/occupancy-estimation-and-modeling&gt;.</t>
  </si>
  <si>
    <t>MacKenzie et al., 2017</t>
  </si>
  <si>
    <t>mackenzie_et_al_2017</t>
  </si>
  <si>
    <t>https://www.sciencedirect.com/book/9780124071971/occupancy-estimation-and-modeling</t>
  </si>
  <si>
    <t>MacKenzie, D. I., Nichols, J. D., Royle, J. A., Pollock, K. H., Bailey, L. L., &amp; Hines, J. E. (2006). *Occupancy Estimation and Modeling: Inferring Patterns and Dynamics of Species Occurrence*. Academic Press, USA. &lt;https://www.sciencedirect.com/book/9780124071971/occupancy-estimation-and-modeling&gt;</t>
  </si>
  <si>
    <t>MacKenzie et al., 2006</t>
  </si>
  <si>
    <t>mackenzie_et_al_2006</t>
  </si>
  <si>
    <t>https://doi.org/10.1111/j.0021-8790.2004.00828.x</t>
  </si>
  <si>
    <t>MacKenzie, D. I., Bailey, L. L., &amp; Nichols, J. D. (2004). Investigating Species Co-Occurrence Patterns When Species Are Detected Imperfectly. *Journal of Animal Ecology, 73*(3), 546-555. &lt;https://doi.org/10.1111/j.0021-8790.2004.00828.x&gt;</t>
  </si>
  <si>
    <t>MacKenzie, Bailey &amp; Nichols, 2004</t>
  </si>
  <si>
    <t>MacKenzie et al., 2004</t>
  </si>
  <si>
    <t>mackenzie_et_al_2004</t>
  </si>
  <si>
    <t>https://doi.org/10.1890/02-3090</t>
  </si>
  <si>
    <t>MacKenzie, D. I., Nichols, J. D., Hines, J. E., Knutson, M. G., &amp; Franklin, A. B. (2003). Estimating site occupancy, colonization, and local extinction when a species is detected imperfectly. *Ecology, 84*(8), 2200-2207. &lt;https://doi.org/10.1890/02-3090&gt;</t>
  </si>
  <si>
    <t>MacKenzie et al., 2003</t>
  </si>
  <si>
    <t>mackenzie_et_al_2003</t>
  </si>
  <si>
    <t>https://doi.org/10.2307/3072056</t>
  </si>
  <si>
    <t>MacKenzie, D. I., Nichols, J. D., Lachman, G. B., Droege, S., Royle, J. A., &amp; Langtimm, C. A. (2002). Estimating Site Occupancy Rates When Detection Probabilities Are Less Than One. *Ecology, 83*(8), 2248-2255. &lt;https://doi.org/10.2307/3072056&gt;</t>
  </si>
  <si>
    <t>MacKenzie et al., 2002</t>
  </si>
  <si>
    <t>mackenzie_et_al_2002</t>
  </si>
  <si>
    <t>https://doi.org/10.1111/2041-210X.12339</t>
  </si>
  <si>
    <t>Lynch, T. P., Alderman, R., &amp; Hobday, A. J. (2015). A high-resolution panorama camera system for monitoring colony-wide seabird nesting behaviour. *Methods in Ecology and Evolution, 6*(5), 491-499. &lt;https://doi.org/10.1111/2041-210X.12339&gt;</t>
  </si>
  <si>
    <t>Lynch, Alderman &amp; Hobday, 2015</t>
  </si>
  <si>
    <t>Lynch et al., 2015</t>
  </si>
  <si>
    <t>lynch_et_al_2015</t>
  </si>
  <si>
    <t>https://umontana.zoom.us/rec/play/eY6_CAjDNUjCAfFrmRvJH8NtrL4J38I46T5idY4gO3i1YHqxBnDUrDeufvgAps-D-aFJFJ_F9AMuE6k.VjerQ5kRpa5HsybV</t>
  </si>
  <si>
    <t>Lukacs, 2021</t>
  </si>
  <si>
    <t>lukacs_2021</t>
  </si>
  <si>
    <t>Presentation</t>
  </si>
  <si>
    <t>https://www.researchgate.net/publication/285953769_The_challenges_of_biodiversity_science</t>
  </si>
  <si>
    <t>Loreau, M. (2010). Estimating Species Richness Using Species Accumulation and Rarefaction Curves. In O. Kinne (Ed.), *The Challenges of Biodiversity Science* (17th ed., Vol. 1, pp. 20-21). International Ecology Institute. &lt;https://www.researchgate.net/publication/285953769_The_challenges_of_biodiversity_science&gt;</t>
  </si>
  <si>
    <t>Loreau, 2010</t>
  </si>
  <si>
    <t>loreau_2010</t>
  </si>
  <si>
    <t>https://doi.org/10.1002/eap.2388</t>
  </si>
  <si>
    <t>Loonam, K. E., Lukacs, P. M., Ausband, D. E., Mitchell, M. S., &amp; Robinson, H. S. (2021b). Assessing the robustness of time-to-event models for estimating unmarked wildlife abundance using remote cameras. *Ecological Applications, 31*(6), Article e02388. &lt;https://doi.org/10.1002/eap.2388&gt;</t>
  </si>
  <si>
    <t>Loonam et al., 2021b</t>
  </si>
  <si>
    <t>loonam_et_al_2021b</t>
  </si>
  <si>
    <t>https://doi.org/10.1002/jwmg.21950</t>
  </si>
  <si>
    <t>Loonam, K. E., Ausband, D. E., Lukacs, P. M., Mitchell, M. S., &amp; Robinson, H. S. (2021a). Estimating Abundance of an Unmarked, Low‐Density Species using Cameras. *The Journal of Wildlife Management, 85*(1), 87-96. &lt;https://doi.org/10.1002/jwmg.21950&gt;</t>
  </si>
  <si>
    <t>Loonam et al., 2021a</t>
  </si>
  <si>
    <t>loonam_et_al_2021a</t>
  </si>
  <si>
    <t>https://scholarworks.umt.edu/cgi/viewcontent.cgi?article=12550&amp;context=etd</t>
  </si>
  <si>
    <t>Loonam, K. E. (2019). *Assessing the Robustness of Time-to-Event Abundance Estimation* [Thesis: Master of Science in Wildlife Biology, University of Montana]. &lt;https://scholarworks.umt.edu/cgi/viewcontent.cgi?article=12550&amp;context=etd&gt;</t>
  </si>
  <si>
    <t>Loonam, 2019</t>
  </si>
  <si>
    <t>loonam_2019</t>
  </si>
  <si>
    <t>Thesis</t>
  </si>
  <si>
    <t>https://doi.org/10.1111/1365-2664.12883</t>
  </si>
  <si>
    <t>Linden, D. W., Fuller, A. K., Royle, J. A., &amp; Hare, M. P. (2017). Examining the occupancy-Density relationship for a low‐Density carnivore. *Journal of Applied Ecology, 54*(6), 2043-2052. &lt;https://doi.org/10.1111/1365-2664.12883&gt;</t>
  </si>
  <si>
    <t>Linden et al., 2017</t>
  </si>
  <si>
    <t>linden_et_al_2017</t>
  </si>
  <si>
    <t>https://doi.org/10.1002/wsb.161</t>
  </si>
  <si>
    <t>Li, S., McShea, W. J., Wang, D. J., Huang, J. Z., &amp; Shao, L. K. (2012). A Direct Comparison of Camera-Trapping and Sign Transects for Monitoring Wildlife in the Wanglang National Nature Reserve, China. *Wildlife Society Bulletin, 36*(3), 538-545. &lt;https://doi.org/10.1002/wsb.161&gt;</t>
  </si>
  <si>
    <t>Li et al., 2012</t>
  </si>
  <si>
    <t>li_et_al_2012</t>
  </si>
  <si>
    <t>https://doi.org/10.1016/j.anbehav.2009.03.018</t>
  </si>
  <si>
    <t>Levitis, D. A., Lidicker, W. Z., &amp; Freund, G. (2009). Behavioural biologists don't agree on what constitutes behaviour. *Animal Behaviour, 78* (1), 103-110. &lt;https://doi.org/10.1016/j.anbehav.2009.03.018&gt;</t>
  </si>
  <si>
    <t>Levitis et al., 2009</t>
  </si>
  <si>
    <t>levitis_et_al_2009</t>
  </si>
  <si>
    <t>https://borisleroy.com/en/research/rarity-indices/</t>
  </si>
  <si>
    <t>Leroy, B. (2024). *Rarity Indices.* &lt;https://borisleroy.com/en/research/rarity-indices/&gt;</t>
  </si>
  <si>
    <t>Leroy, 2024</t>
  </si>
  <si>
    <t>leroy_2024</t>
  </si>
  <si>
    <t>https://cran.r-project.org/web/packages/Rarity/</t>
  </si>
  <si>
    <t>Leroy, B. (2023). *Package ‘Rarity’: Calculation of Rarity Indices for Species and Assemblages of Species.* R package version 1.3-8, &lt;https://cran.r-project.org/web/packages/Rarity/&gt;</t>
  </si>
  <si>
    <t>Leroy, 2023</t>
  </si>
  <si>
    <t>leroy_2023</t>
  </si>
  <si>
    <t>https://doi.org/10.1111/1365-2656.12141</t>
  </si>
  <si>
    <t>Lele, S. R., Merrill, E. H., Keim, J., &amp; Boyce, M. S. (2013). Selection, use, choice and occupancy: Clarifying concepts in resource selection studies. *Journal of Animal Ecology, 82*(6), 1183-1191. &lt;https://doi.org/10.1111/1365-2656.12141&gt;</t>
  </si>
  <si>
    <t>Lele et al., 2013</t>
  </si>
  <si>
    <t>lele_et_al_2013</t>
  </si>
  <si>
    <t>https://doi.org/10.2307/2661</t>
  </si>
  <si>
    <t>Le Cren, E. D. (1965). A Note on the History of Mark-Recapture Population Estimates. *The Journal of Animal Ecology, 34*(2),453-54. &lt;https://doi.org/10.2307/2661&gt;</t>
  </si>
  <si>
    <t>Le Cren, 1965</t>
  </si>
  <si>
    <t>lecren_1965</t>
  </si>
  <si>
    <t>https://doi.org/10.1890/ES14-00522.1</t>
  </si>
  <si>
    <t>Lazenby, B. T., Mooney, N. J., &amp; Dickman, C. R. (2015). Detecting species interactions using remote cameras: Effects on small mammals of predators, conspecifics, and climate. *Ecosphere, 6*(12), 1-18. &lt;https://doi.org/10.1890/ES14-00522.1&gt;</t>
  </si>
  <si>
    <t>Lazenby, Mooney &amp; Dickman, 2015</t>
  </si>
  <si>
    <t>Lazenby et al., 2015</t>
  </si>
  <si>
    <t>lazenby_et_al_2015</t>
  </si>
  <si>
    <t>https://doi.org/10.2307/1269547</t>
  </si>
  <si>
    <t>Lambert, D. (1992). Zero-Inflated Poisson Regression, with an application to Defects in Manufacturing. *Technometrics, 34*(1), 1-14. &lt;https://doi.org/10.2307/1269547&gt;</t>
  </si>
  <si>
    <t>Lambert, 1992</t>
  </si>
  <si>
    <t>lambert_1992</t>
  </si>
  <si>
    <t>https://doi.org/10.1093/biosci/biab073</t>
  </si>
  <si>
    <t>Lahoz-Monfort, J. J., &amp; Magrath, M. J. L. (2021). A Comprehensive Overview of Technologies for Species and Habitat Monitoring and Conservation. *Bioscience, 71*(10), 1038-1062. &lt;https://doi.org/10.1093/biosci/biab073&gt;</t>
  </si>
  <si>
    <t>Lahoz-Monfort &amp; Magrath, 2021</t>
  </si>
  <si>
    <t>lahoz_monfort_magrath_2021</t>
  </si>
  <si>
    <t>https://doi.org/10.1071/WR22055</t>
  </si>
  <si>
    <t>Ladd, R., Meek, P., &amp; Leung, L. K.-P. (2022). The influence of camera-trap flash type on the behavioural response, detection rate and individual recognition of Eld's deer. *Wildlife Research, 50*(6), 475-483. &lt;https://doi.org/10.1071/WR22055&gt;</t>
  </si>
  <si>
    <t>Ladd et al., 2022</t>
  </si>
  <si>
    <t>ladd_et_al_2022</t>
  </si>
  <si>
    <t>https://doi.org/10.1146/annurev.es.20.110189.000525</t>
  </si>
  <si>
    <t>LaBarbera, M. (2003). Analyzing Body Size as a Factor in Ecology and Evolution. *Annual Review of Ecology and Systematics, 20*(1), 97-117. &lt;https://doi.org/10.1146/annurev.es.20.110189.000525&gt;</t>
  </si>
  <si>
    <t>LaBarbera, 2003</t>
  </si>
  <si>
    <t>labarbera_1989</t>
  </si>
  <si>
    <t>https://doi.org/10.1111/csp2.165</t>
  </si>
  <si>
    <t>Kusi, N., Sillero‐Zubiri, C., Macdonald, D. W., Johnson, P. J., &amp; Werhahn, G. (2019). Perspectives of traditional Himalayan communities on fostering coexistence with Himalayan wolf and snow leopard. *Conservation Science and Practice, 2*(3). &lt;https://doi.org/10.1111/csp2.165&gt;</t>
  </si>
  <si>
    <t>Kusi et al., 2019</t>
  </si>
  <si>
    <t>kusi_et_al_2019</t>
  </si>
  <si>
    <t>https://link.springer.com/book/10.1007/978-94-011-5874-9</t>
  </si>
  <si>
    <t>Kunin, W. K. (1997). Introduction: on the causes and consequences of rare-common differences. In Kunin, W. K., &amp; Kevin, J. G. (Eds) *The Biology of Rarity. * (pp. 3-4). Chapman &amp; Hall. &lt;https://link.springer.com/book/10.1007/978-94-011-5874-9&gt;</t>
  </si>
  <si>
    <t>Kucera &amp; Barrett., 2011</t>
  </si>
  <si>
    <t>Kunin, 1997</t>
  </si>
  <si>
    <t>kunin_1997</t>
  </si>
  <si>
    <t>Kucera, T. E., &amp; R. H. Barrett. (2011). A History of Camera Trapping. In A. F. O'Connell, J. D. Nichols, &amp; K. U. Karanth (Eds.), *Camera Traps In Animal Ecology: Methods and Analyses* (pp. 9-26). Springer. &lt;https://doi.org/10.1007/978-4-431-99495-4_6&gt;</t>
  </si>
  <si>
    <t>kucera_barrett._2011</t>
  </si>
  <si>
    <t>https://doi.org/10.1007/s10344-018-1233-7</t>
  </si>
  <si>
    <t>Kruger, H., Vaananen, V. -M., Holopainen, S., &amp; Nummi, P. (2018). The new faces of nest predation in agricultural landscapes - a camera trap Survey with artificial nests. European *Journal of Wildlife Research, 64*(6), 76. &lt;https://doi.org/10.1007/s10344-018-1233-7&gt;</t>
  </si>
  <si>
    <t>Kruger et al., 2018</t>
  </si>
  <si>
    <t>kruger_et_al_2018</t>
  </si>
  <si>
    <t>https://doi.org/10.1644/10-M</t>
  </si>
  <si>
    <t>Krebs, C. J., Boonstra, R., Gilbert, S., Reid, D., Kenney, A. J., Hofer, E. J., &amp; an Vuren, D. H. (2011). Density estimation for small mammals from livetrapping grids: rodents in northern Canada. *Journal of Mammalogy, 92*(5), 974-981. &lt;https://doi.org/10.1644/10-M&gt;</t>
  </si>
  <si>
    <t>Krebs et al., 2011</t>
  </si>
  <si>
    <t>krebs_et_al_2011</t>
  </si>
  <si>
    <t>https://doi.org/10.1139/z87-087</t>
  </si>
  <si>
    <t>Krebs, C. J., Gilbert, B. S., Boutin, S., &amp; Boonstra, R. (1987). Estimation of snowshoe hare population density from turd transects. *Canadian Journal of Zoology, 65*(3), 565-567. &lt;https://doi.org/10.1139/z87-087&gt;</t>
  </si>
  <si>
    <t>Krebs et al., 1987</t>
  </si>
  <si>
    <t>krebs_et_al_1987</t>
  </si>
  <si>
    <t>https://doi.org/10.1080/00031305.2016.1173590</t>
  </si>
  <si>
    <t>Kleiber, C., &amp; Zeileis, A. (2016). Visualizing Count Data Regressions Using Rootograms. *The American Statistician, 70*(3), 296-303. &lt;https://doi.org/10.1080/00031305.2016.1173590&gt;</t>
  </si>
  <si>
    <t>Kleiber &amp; Zeileis, 2016</t>
  </si>
  <si>
    <t>kleiber_zeileis_2016</t>
  </si>
  <si>
    <t>https://www.pangolinsg.org/wp-content/uploads/sites/4/2018/06/Kitamura-et-al._2010_Mammal-diversity-in-small-forest-of-Southern-Thailand.pdf</t>
  </si>
  <si>
    <t>Kitamura, S., Thong-Aree, S., Madsri, S., &amp; Poonswad, P. (2010). Mammal diversity and conservation in a small isolated forest of southern Thailand. *Raffles Bulletin of Zoology, 58*(1), 145-156. &lt;https://www.pangolinsg.org/wp-content/uploads/sites/4/2018/06/Kitamura-et-al._2010_Mammal-diversity-in-small-forest-of-Southern-Thailand.pdf&gt;</t>
  </si>
  <si>
    <t>Kitamura et al., 2010</t>
  </si>
  <si>
    <t>kitamura_et_al_2010</t>
  </si>
  <si>
    <t>Kinnaird, M. F., &amp; O'Brien, T. G. (2011). Density estimation of sympatric carnivores using spatially explicit capture-recapture methods and standard trapping grid. *Ecological Applications, 21*(8), 2908-2916. &lt;https://www.jstor.org/stable/41417102&gt;</t>
  </si>
  <si>
    <t>Kinnaird &amp; O'Brien, 2012</t>
  </si>
  <si>
    <t>kinnaird_obrien_2012</t>
  </si>
  <si>
    <t>https://wildcams.ca/site/assets/files/1386/cbm_wildlife_camera_guide-_aug2022.pdf</t>
  </si>
  <si>
    <t>Kemp, C., Yarchuk, K., Menzies, A., &amp; Popp, J. (2022). *A Guide to Using Wildlife Cameras for Ecological Monitoring in a Community-based Context*. WISE Lab. &lt;https://wildcams.ca/site/assets/files/1386/cbm_wildlife_camera_guide-_aug2022.pdf&gt;</t>
  </si>
  <si>
    <t>Kemp et al., 2022</t>
  </si>
  <si>
    <t>https://doi.org/10.1644/06-MAMM-A-424R.1</t>
  </si>
  <si>
    <t>Kelly, M. J., Noss, A. J., Bitetti, M. S., Maffei, L., Arispe, R. L., Paviolo, A., Angelo, C. D. D., &amp; Di Blanco, Y. E. (2008). Estimating Puma Densities from Camera Trapping Across Three Study Sites: Bolivia, Argentina, And Belize. *Journal of Mammalogy, 89*(2), 408-418. &lt;https://doi.org/10.1644/06-MAMM-A-424R.1&gt;</t>
  </si>
  <si>
    <t>Kelly et al., 2008</t>
  </si>
  <si>
    <t>kelly_et_al_2008</t>
  </si>
  <si>
    <t>https://www.jstatsoft.org/v43/i10</t>
  </si>
  <si>
    <t>Fiske, I. &amp; Chandler, R. (2011). unmarked: An R Package for Fitting Hierarchical Models of Wildlife Occurrence and Abundance. *Journal of Statistical Software, 43* (10), 1-23. &lt;https://www.jstatsoft.org/v43/i10&gt;</t>
  </si>
  <si>
    <t>Kellner et al., 2023</t>
  </si>
  <si>
    <t>kellner_et_al_2023</t>
  </si>
  <si>
    <t>https://doi.org/10.1023/A:1007707430416</t>
  </si>
  <si>
    <t>Kelejian, H. H., &amp; Prucha, I. R. (1998). A Generalized Spatial Two-Stage Least Squares Procedure for Estimating a Spatial Autoregressive Model with Autoregressive Disturbances. *Journal of Real Estate Finance and Economics, 17*, 99-121. &lt;https://doi.org/10.1023/A:1007707430416&gt;</t>
  </si>
  <si>
    <t>Kelejian &amp; Prucha, 1998</t>
  </si>
  <si>
    <t>kelejian_prucha_1998</t>
  </si>
  <si>
    <t>https://esajournals.onlinelibrary.wiley.com/doi/10.1002/fee.2358</t>
  </si>
  <si>
    <t>Keim, J. L., DeWitt, P. D., Wilson, S. F., Fitzpatrick, J. J., Jenni, N. S., &amp; Lele, S. R. (2021). Managing animal movement conserves predator-prey dynamics. *Frontiers in Ecology and the Environment, 19*(7), 379-385. &lt;https://esajournals.onlinelibrary.wiley.com/doi/10.1002/fee.2358&gt;</t>
  </si>
  <si>
    <t>Keim et al., 2021</t>
  </si>
  <si>
    <t>keim_et_al_2021</t>
  </si>
  <si>
    <t>https://doi.org/10.1111/1365-2656.12960</t>
  </si>
  <si>
    <t>Keim, J. L., Lele, S. R., DeWitt, P. D., Fitzpatrick, J. J., Jenni, N. S. (2019). Estimating the intensity of use by interacting predators and prey using camera traps. *Journal of Animal Ecology, 88*, 690-701. &lt;https://doi.org/10.1111/1365-2656.12960&gt;</t>
  </si>
  <si>
    <t>Keim et al., 2019</t>
  </si>
  <si>
    <t>keim_et_al_2019</t>
  </si>
  <si>
    <t>https://doi.org/10.1890/10-0949.1</t>
  </si>
  <si>
    <t>Keim, J. L., DeWitt, P. D., &amp; Lele, S. R. (2011). Predators choose prey over prey habitats: Evidence from a lynx-hare system. *Ecological Applications, 21*(4), 1011-1016. &lt;https://doi.org/10.1890/10-0949.1&gt;</t>
  </si>
  <si>
    <t>Keim et al., 2011</t>
  </si>
  <si>
    <t>keim_et_al_2011</t>
  </si>
  <si>
    <t>https://doi.org/10.1186/s40462-021-00277-3.</t>
  </si>
  <si>
    <t>Kays, R., Hody, A., Jachowski, D. S., &amp; Parsons, A. W. (2021). Empirical Evaluation of the Spatial Scale and Detection Process of Camera Trap Surveys. *Movement Ecology, 9*, 41. &lt;https://doi.org/10.1186/s40462-021-00277-3.&gt;</t>
  </si>
  <si>
    <t>Kays et al., 2021</t>
  </si>
  <si>
    <t>kays_et_al_2021</t>
  </si>
  <si>
    <t>https://doi.org/10.1111/2041-210x.13370</t>
  </si>
  <si>
    <t>Kays, R., Arbogast, B. S., Baker‐Whatton, M., Beirne, C., Boone, H. M., Bowler, M., Burneo, S. F., Cove, M. V., Ding, P., Espinosa, S., Gonçalves, A. L. S., Hansen, C. P., Jansen, P. A., Kolowski, J. M., Knowles, T. W., Lima, M. G. M., Millspaugh, J., McShea, W. J., Pacifici, K., &amp; Spironello, W. R. (2020). An Empirical Evaluation of Camera Trap Study Design: How Many, How Long and When? *Methods in Ecology and Evolution, 11*(6), 700-713. &lt;https://doi.org/10.1111/2041-210x.13370&gt;</t>
  </si>
  <si>
    <t>Kays et al., 2020</t>
  </si>
  <si>
    <t>kays_et_al_2020</t>
  </si>
  <si>
    <t>https://arxiv.org/pdf/1009.5718</t>
  </si>
  <si>
    <t>Kays, R., Tilak, S., Kranstauber, B., Jansen, P. A., Carbone, C., Rowcliffe, M. J., &amp; He, Z. (2010). Monitoring wild animal communities with arrays of motion sensitive camera traps. *arXiv Preprint*, arXiv:1009. 5718. &lt;https://arxiv.org/pdf/1009.5718&gt;</t>
  </si>
  <si>
    <t>Kays et al., 2010</t>
  </si>
  <si>
    <t>kays_et_al_2010</t>
  </si>
  <si>
    <t>https://doi.org/10.1109/lcn.2009.5355046</t>
  </si>
  <si>
    <t>Kays, R., Kranstauber, B., Jansen, P., Carbone, C., Rowcliffe, M., Fountain, T., &amp; Tilak, S. (2009). Camera traps as sensor networks for monitoring animal communities. *2009 IEEE 34th Conference on Local Computer Networks*, 811-818. &lt;https://doi.org/10.1109/lcn.2009.5355046&gt;</t>
  </si>
  <si>
    <t>Kays et al., 2009</t>
  </si>
  <si>
    <t>kays_et_al_2009</t>
  </si>
  <si>
    <t>https://doi.org/10.1007/s10344-021-01530-1</t>
  </si>
  <si>
    <t>Kavčić, K., Palencia, P., Apollonio, M., Vicente, J., &amp; Šprem, N. (2021). Random encounter model to estimate density of mountain-dwelling ungulate. *European Journal of Wildlife Research, 67*(5), 87. &lt;https://doi.org/10.1007/s10344-021-01530-1&gt;</t>
  </si>
  <si>
    <t>Kavčić et al., 2021</t>
  </si>
  <si>
    <t>kavcic_et_al_2021</t>
  </si>
  <si>
    <t>https://doi.org/10.1890/0012-9658(1998)079[2852:EOTDII]2.0.CO;2</t>
  </si>
  <si>
    <t>Karanth, K. U., &amp; Nichols, J. D. (1998). Estimation of tiger densities in India using photographic captures and recaptures. *Ecology, 79*(8), 2852-2862. &lt;https://doi.org/10.1890/0012-9658(1998)079[2852:EOTDII]2.0.CO;2&gt;</t>
  </si>
  <si>
    <t>Karanth &amp; Nichols, 1998</t>
  </si>
  <si>
    <t>karanth_nichols_1998</t>
  </si>
  <si>
    <t>Karanth, K. U., Nichols, J. D., &amp; Kumar, N. S. (2011). Estimating tiger abundance from camera trap data: field Surveys and analytical issues. In A. F. O'Connell, J. D. Nichols, &amp; K. U. Karanth (Eds.), *Camera Traps In Animal Ecology: Methods and Analyses* (pp. 9-117). Springer. &lt;https://doi.org/10.1007/978-4-431-99495-4&gt;</t>
  </si>
  <si>
    <t>Karanth, Nichols &amp; Kumar, 2011</t>
  </si>
  <si>
    <t>Karanth et al., 2011</t>
  </si>
  <si>
    <t>karanth_et_al_2011</t>
  </si>
  <si>
    <t>https://doi.org/10.1890/0012-9658(2006)87[2925:ATPDUP]2.0.CO;2</t>
  </si>
  <si>
    <t>Karanth, K. U., Nichols, J. D., Kumar, N. S., &amp; Hines, J. E. (2006). Assessing Tiger Population Dynamics Using Photographic Capture-Recapture Sampling. *Ecology, 87*(11), 2925-2937. &lt;https://doi.org/10.1890/0012-9658(2006)87[2925:ATPDUP]2.0.CO;2&gt;</t>
  </si>
  <si>
    <t>Karanth et al., 2006</t>
  </si>
  <si>
    <t>karanth_et_al_2006</t>
  </si>
  <si>
    <t>https://doi.org/10.1016/0006-3207(94)00057-W</t>
  </si>
  <si>
    <t>Karanth, K. U. (1995). Estimating tiger Panthera tigris populations from camera-trap data using capture-recapture models. *Biological Conservation, 71*(3), 333-338. &lt;https://doi.org/10.1016/0006-3207(94)00057-W&gt;</t>
  </si>
  <si>
    <t>Karanth, 1995</t>
  </si>
  <si>
    <t>karanth_1995</t>
  </si>
  <si>
    <t>https://doi.org/10.11647/obp.0267.07</t>
  </si>
  <si>
    <t>Junker, J., Kühl, H., Orth, L., Smith, R., Petrovan, S., &amp; Sutherland, W. (2021). *7. Primate Conservation.* In (pp. 435-486). &lt;https://doi.org/10.11647/obp.0267.07&gt;</t>
  </si>
  <si>
    <t>Junker et al., 2021</t>
  </si>
  <si>
    <t>junker_et_al_2021</t>
  </si>
  <si>
    <t>https://doi.org/10.1890/08-1494.1</t>
  </si>
  <si>
    <t>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&lt;https://doi.org/10.1890/08-1494.1&gt;</t>
  </si>
  <si>
    <t>Jones et al., 2009</t>
  </si>
  <si>
    <t>jones_et_al_2009</t>
  </si>
  <si>
    <t>https://doi.org/10.2307/1937156</t>
  </si>
  <si>
    <t>Johnson, D. H. (1980). The Comparison of Usage and Availability Measurements for Evaluating Resource Preference. *Ecology, 61*(1), 65-71. &lt;https://doi.org/10.2307/1937156&gt;</t>
  </si>
  <si>
    <t>Johnson, 1980</t>
  </si>
  <si>
    <t>johnson_2008</t>
  </si>
  <si>
    <t>https://doi.org/10.48550/arXiv.2202.04613</t>
  </si>
  <si>
    <t>Johanns, P, Haucke, T., &amp; Steinhage, V. (2022) Automated Distance Estimation and Animal Tracking for Wildlife Camera Trapping. *Ecological Informatics, 70,* arXiv:2202. 04613. &lt;https://doi.org/10.48550/arXiv.2202.04613&gt;</t>
  </si>
  <si>
    <t>Johanns, Haucke &amp; Steinhage, 2022</t>
  </si>
  <si>
    <t>Johanns et al., 2022</t>
  </si>
  <si>
    <t>johanns_et_al_2022</t>
  </si>
  <si>
    <t>https://www.youtube.com/watch?v=u8crevEd3yI</t>
  </si>
  <si>
    <t>https://www.youtube.com/embed/u8crevEd3yI?si=uJUNZfNvuw_L24GK</t>
  </si>
  <si>
    <t>JNCC (2022, Mar 29). *Introduction to Distance Sampling Video 1* [Video]. YouTube. &lt;https://www.youtube.com/watch?v=u8crevEd3yI&gt;</t>
  </si>
  <si>
    <t>JNCC, 2022</t>
  </si>
  <si>
    <t>jncc_2022</t>
  </si>
  <si>
    <t>https://doi.org/10.1002/ece3.7091</t>
  </si>
  <si>
    <t>Jiménez, J., C. Augustine, B., Linden, D. W., B. Chandler, R., &amp; Royle, J. A. (2021). Spatial capture-recapture with random thinning for unidentified encounters. *Ecology and Evolution, 11*, 1187-1198. &lt;https://doi.org/10.1002/ece3.7091&gt;</t>
  </si>
  <si>
    <t>Jiménez et al., 2021</t>
  </si>
  <si>
    <t>jimenez_et_al_2021</t>
  </si>
  <si>
    <t>https://doi.org/10.1093/jmammal/gyac009</t>
  </si>
  <si>
    <t>Jensen, P. O., Wirsing, A. J., &amp; Thornton, D. H. (2022). Using camera traps to estimate density of snowshoe hare ( Lepus americanus ): A keystone boreal forest herbivore. *Journal of Mammalogy, 103*(3), 693-710. &lt;https://doi.org/10.1093/jmammal/gyac009&gt;</t>
  </si>
  <si>
    <t>Jensen, Wirsing, &amp; Thornton, 2022</t>
  </si>
  <si>
    <t>Jensen et al., 2022</t>
  </si>
  <si>
    <t>jensen_et_al_2022</t>
  </si>
  <si>
    <t>https://doi.org/10.1111/j.1469-7998.1996.tb05296.x</t>
  </si>
  <si>
    <t>Jenny, D. (1996). Spatial organization of leopards Panthera pardus in Taï National Park, Ivory Coast: Is rainforest habitat a ‘tropical haven’? *Journal of Zoology, 240*(3), 427-440. &lt;https://doi.org/10.1111/j.1469-7998.1996.tb05296.x&gt;</t>
  </si>
  <si>
    <t>Jenny, 1996</t>
  </si>
  <si>
    <t>jenny_1996</t>
  </si>
  <si>
    <t>https://doi.org/https://doi.org/10.1016/0022-5193(69)90002-2</t>
  </si>
  <si>
    <t>Jennrich, R. I., &amp; Turner, F. B. (1969). Measurement of non-circular home range. *Journal of Theoretical Biology, 22*(2), 227-237. &lt;https://doi.org/https://doi.org/10.1016/0022-5193(69)90002-2&gt;</t>
  </si>
  <si>
    <t>Jennrich &amp; Turner, 1969</t>
  </si>
  <si>
    <t>jennrich_turner_1969</t>
  </si>
  <si>
    <t>https://doi.org/10.1017/s1367943002002160</t>
  </si>
  <si>
    <t>Jennelle, C. S., Runge, M. C., &amp; MacKenzie, D. I. (2002). The Use of Photographic Rates to Estimate Densities of Tigers and Other Cryptic Mammals: A Comment on Misleading Conclusions. *Animal Conservation, 5*(2), 119-120. &lt;https://doi.org/10.1017/s1367943002002160&gt;</t>
  </si>
  <si>
    <t>Jennelle, Runge &amp; MacKenzie, 2002</t>
  </si>
  <si>
    <t>Jennelle et al., 2002</t>
  </si>
  <si>
    <t>jennelle_et_al_2002</t>
  </si>
  <si>
    <t>https://cran.r-project.org/web/packages/pscl/index.html</t>
  </si>
  <si>
    <t>Jackman,  2024</t>
  </si>
  <si>
    <t>jackman_2024</t>
  </si>
  <si>
    <t>https://doi.org/10.1016/j.tree.2013.10.012</t>
  </si>
  <si>
    <t>Iknayan, K. J., Tingley, M. W., Furnas, B. J., &amp; Beissinger, S. R. (2014). Detecting Diversity: Emerging Methods to Estimate Species Diversity. *Trends in Ecology &amp; Evolution, 29*(2), 97-106. &lt;https://doi.org/10.1016/j.tree.2013.10.012&gt;</t>
  </si>
  <si>
    <t>Iknayan et al., 2014</t>
  </si>
  <si>
    <t>iknayan_et_al_2014</t>
  </si>
  <si>
    <t>https://doi.org/10.3106/ms2019-0082</t>
  </si>
  <si>
    <t>Iijima, H. (2020). A Review of Wildlife Abundance Estimation Models: Comparison of Models for Correct Application. *Mammal Study, 45*(3), 177. &lt;https://doi.org/10.3106/ms2019-0082&gt;</t>
  </si>
  <si>
    <t>Iijima, 2020</t>
  </si>
  <si>
    <t>iijima_2020</t>
  </si>
  <si>
    <t>https://doi.org/10.2981/wlb.00726</t>
  </si>
  <si>
    <t>Iannarilli, F., Erb, J., Arnold, T. W., &amp; Fieberg, J. R. (2021). Evaluating species-specific responses to camera-trap Survey designs. *Wildlife Biology, 2021*(1). &lt;https://doi.org/10.2981/wlb.00726&gt;</t>
  </si>
  <si>
    <t>Iannarilli et al., 2021</t>
  </si>
  <si>
    <t>iannarilli_et_al_2021</t>
  </si>
  <si>
    <t>https://doi.org/10.2307/1942661</t>
  </si>
  <si>
    <t>Hurlbert, S. (1984). Pseudoreplication and the design of ecological field experiments. *Ecological Monographs, 54*(2), 187-211. &lt;https://doi.org/10.2307/1942661&gt;</t>
  </si>
  <si>
    <t>Hurlbert, 1984</t>
  </si>
  <si>
    <t>hurlbert_1984</t>
  </si>
  <si>
    <t>https://www.abmi.ca/home/publications/501-550/516</t>
  </si>
  <si>
    <t>Huggard, D. (2018). *Animal Density from Camera Data*. Alberta Biodiversity Monitoring Institute. &lt;https://www.abmi.ca/home/publications/501-550/516&gt;</t>
  </si>
  <si>
    <t>Huggard, 2018</t>
  </si>
  <si>
    <t>huggard_2018</t>
  </si>
  <si>
    <t>https://doi.org/10.32614/CRAN.package.iNEXT</t>
  </si>
  <si>
    <t>Hsieh, T. C., Ma, K. H., &amp; Chao, A. (2015). *iNEXT: Interpolation and Extrapolation for Species Diversity*. R package Version 2.6-6.1. &lt;https://doi.org/10.32614/CRAN.package.iNEXT&gt;</t>
  </si>
  <si>
    <t>Hsieh, Ma &amp; Chao, 2015</t>
  </si>
  <si>
    <t>Hsieh et al., 2015</t>
  </si>
  <si>
    <t>hsieh_et_al_2015</t>
  </si>
  <si>
    <t>https://doi.org/https://doi.org/10.1111/2041-210X.12790</t>
  </si>
  <si>
    <t>Howe, E. J., Buckland, S. T., Després-Einspenner, M. -L., &amp; Kühl, H. S. (2017). Distance sampling with camera traps. *Methods in Ecology and Evolution, 8*(11), 1558-1565. &lt;https://doi.org/https://doi.org/10.1111/2041-210X.12790&gt;</t>
  </si>
  <si>
    <t>Howe et al., 2017</t>
  </si>
  <si>
    <t>howe_et_al_2017</t>
  </si>
  <si>
    <t>https://doi.org/10.1371/journal.pone.0229055</t>
  </si>
  <si>
    <t>Holinda, D., Burgar, J. M., &amp; Burton, A. C. (2020). Effects of scent lure on camera trap detections vary across mammalian predator and prey species. *PLoS One, 15*(5), e0229055. &lt;https://doi.org/10.1371/journal.pone.0229055&gt;</t>
  </si>
  <si>
    <t>Holinda et al., 2020</t>
  </si>
  <si>
    <t>holinda_et_al_2020</t>
  </si>
  <si>
    <t>https://doi.org/10.1002/ece3.4878</t>
  </si>
  <si>
    <t>Hofmeester, T. R., Cromsigt, J. P. G. M., Odden, J., Andrén, H., Kindberg, J., &amp; Linnell, J. D. C. (2019). Framing Pictures: A Conceptual Framework to Identify and Correct for Biases in Detection Probability of Camera Traps Enabling Multi-Species Comparison. *Ecology and Evolution, 9*(4), 2320-2336. &lt;https://doi.org/10.1002/ece3.4878&gt;</t>
  </si>
  <si>
    <t>Hofmeester et al., 2019</t>
  </si>
  <si>
    <t>hofmeester_et_al_2019</t>
  </si>
  <si>
    <t>https://doi.org/10.1002/rse2.25</t>
  </si>
  <si>
    <t>Hofmeester, T. R., Rowcliffe, J. M., Jansen, P. A., Williams, R., &amp; Kelly, N. (2017). A simple method for estimating the effective detection distance of camera traps. *Remote Sensing in Ecology and Conservation, 3*(2), 81-89. &lt;https://doi.org/10.1002/rse2.25&gt;</t>
  </si>
  <si>
    <t>Hofmeester et al., 2017</t>
  </si>
  <si>
    <t>hofmeester_et_al_2017</t>
  </si>
  <si>
    <t>https://github.com/SHoeks/HomeRange</t>
  </si>
  <si>
    <t>Hoeks, S., Tucker, M., &amp; Broekman, M. (2024). *HomeRange* &lt;https://github.com/SHoeks/HomeRange&gt;</t>
  </si>
  <si>
    <t>Hoeks, Tucker, &amp; Broekman, 2024</t>
  </si>
  <si>
    <t>Hoeks et al., 2024</t>
  </si>
  <si>
    <t>hoeks_et_al_2024</t>
  </si>
  <si>
    <t>https://www.mbr-pwrc.usgs.gov/software/presence.html.</t>
  </si>
  <si>
    <t>Hines, J. E. (2006). *PRESENCE - Software to estimate patch occupancy and related parameters.* &lt;https://www.mbr-pwrc.usgs.gov/software/presence.html&gt;.</t>
  </si>
  <si>
    <t>Hines, 2006</t>
  </si>
  <si>
    <t>hines_2006</t>
  </si>
  <si>
    <t>https://doi.org/10.3389/fevo.2022.881502</t>
  </si>
  <si>
    <t>Henrich, M., Hartig, F., Dormann, C. F., Kühl, H. S., Peters, W., Franke, F., Peterka, T., Šustr, P., &amp; Heurich, M. (2022). Deer Behavior Affects Density Estimates With Camera Traps, but Is Outweighed by Spatial Variability. *Frontiers in Ecology and Evolution, 10*, 881502. &lt;https://doi.org/10.3389/fevo.2022.881502&gt;</t>
  </si>
  <si>
    <t>Henrich et al., 2022</t>
  </si>
  <si>
    <t>henrich_et_al_2022</t>
  </si>
  <si>
    <t>https://doi.org/https://doi.org/10.1002/bimj.4710360505</t>
  </si>
  <si>
    <t>Heilbron, D. C. (1994). Zero-Altered and other Regression Models for Count Data with Added Zeros. *Biometrical Journal, 36*(5), 531-547. &lt;https://doi.org/https://doi.org/10.1002/bimj.4710360505&gt;</t>
  </si>
  <si>
    <t>Heilbron, 1994</t>
  </si>
  <si>
    <t>heilbron_1994</t>
  </si>
  <si>
    <t>https://doi.org/10.1016/j.ecoinf.2021.101536</t>
  </si>
  <si>
    <t>Haucke, T., Kühl, H. S., Hoyer, J., &amp; Steinhage, V. (2022). Overcoming the distance estimation bottleneck in estimating animal abundance with camera traps. *Ecological Informatics, 68*, 101536. &lt;https://doi.org/10.1016/j.ecoinf.2021.101536&gt;</t>
  </si>
  <si>
    <t>Haucke et al., 2022</t>
  </si>
  <si>
    <t>hauke_et_al_2022</t>
  </si>
  <si>
    <t>https://CRAN.R-project.org/package=DHARMa</t>
  </si>
  <si>
    <t>Hartig, F. (2019). *DHARMa: Residual Diagnostics for Hierarchical (Multi-Level/Mixed) Regression Models.* R package version 0.2.2, &lt;https://CRAN.R-project.org/package=DHARMa&gt;</t>
  </si>
  <si>
    <t>Hartig, 2019</t>
  </si>
  <si>
    <t>hartig_2019</t>
  </si>
  <si>
    <t>https://doi.org/10.7717/peerj.4794</t>
  </si>
  <si>
    <t>Harrison, X. A., Donaldson, L., Correa-Cano, M. E., Evans, J., Fisher, D. N., Goodwin, C. E. D., Robinson, B. S., Hodgson, D. J., &amp; Inger, R. (2018). A Brief Introduction to Mixed Effects Modelling and Multi-Model Inference in Ecology. *PeerJ, 6*, Article e4794. &lt;https://doi.org/10.7717/peerj.4794&gt;</t>
  </si>
  <si>
    <t>Harrison et al., 2018</t>
  </si>
  <si>
    <t>harrison_et_al_2018</t>
  </si>
  <si>
    <t>https://www.crewes.org/Documents/ResearchReports/2008/2008-15.pdf</t>
  </si>
  <si>
    <t>Hall, K. W., Cooper, J. K., &amp; Lawton, D. C. (2008). GPS accuracy: Hand-held versus RTK. *CREWES Research Report, 20*. &lt;https://www.crewes.org/Documents/ResearchReports/2008/2008-15.pdf&gt;</t>
  </si>
  <si>
    <t>Hall, Cooper &amp; Lawton, 2008</t>
  </si>
  <si>
    <t>Hall et al., 2008</t>
  </si>
  <si>
    <t>hall_et_al_2008</t>
  </si>
  <si>
    <t>Report</t>
  </si>
  <si>
    <t>https://doi.org/10.1111/ecog.02445</t>
  </si>
  <si>
    <t>Guillera‐Arroita, G. (2017). Modelling of species distributions, range dynamics and communities under imperfect detection: Advances, challenges and opportunities. *Ecography, 40*(2), 281-295. &lt;https://doi.org/10.1111/ecog.02445&gt;</t>
  </si>
  <si>
    <t>Guillera‐Arroita, 2017</t>
  </si>
  <si>
    <t>guilleraarroita_2016</t>
  </si>
  <si>
    <t>https://doi.org/10.1111/j.2041-210X.2012.00225.x</t>
  </si>
  <si>
    <t>Guillera-Arroita, G., &amp; Lahoz-Monfort, J. J. (2012). Designing studies to detect differences in species occupancy: Power analysis under imperfect detection. *Methods in Ecology and Evolution, 3*(5), 860-869. &lt;https://doi.org/10.1111/j.2041-210X.2012.00225.x&gt;</t>
  </si>
  <si>
    <t>Guillera-Arroita et al., 2012</t>
  </si>
  <si>
    <t>guillera_arroita_et_al_2012</t>
  </si>
  <si>
    <t>https://doi.org/10.1111/j.2041-210X.2010.00017.x</t>
  </si>
  <si>
    <t>Guillera-Arroita, G., Ridout, M. S., &amp; Morgan, B. J. T. (2010). Design of Occupancy Studies with Imperfect Detection. *Methods in Ecology and Evolution, 1*, 131-139. &lt;https://doi.org/10.1111/j.2041-210X.2010.00017.x&gt;</t>
  </si>
  <si>
    <t>Guillera-Arroita et al., 2010</t>
  </si>
  <si>
    <t>guillera_arroita_et_al_2010</t>
  </si>
  <si>
    <t>https://prism.ucalgary.ca/items/f68a0c27-8502-4fe4-a3b9-3a3c2d994762</t>
  </si>
  <si>
    <t>Greenberg, S. (2020). *Automated Image Recognition for Wildlife Camera Traps: Making it Work for You*. Research report, University of Calgary: Prism Digital Repository, August 21, 15 pages, &lt;https://prism.ucalgary.ca/items/f68a0c27-8502-4fe4-a3b9-3a3c2d994762&gt;</t>
  </si>
  <si>
    <t>Greenberg, 2020</t>
  </si>
  <si>
    <t>greenberg_2020</t>
  </si>
  <si>
    <t>https://saul.cpsc.ucalgary.ca/timelapse/pmwiki.php?n=Main.Download2./</t>
  </si>
  <si>
    <t>Greenberg, S. (2018). *Timelapse: An Image Analyser for Camera Traps.* University of Calgary. &lt;https://saul.cpsc.ucalgary.ca/timelapse/pmwiki.php?n=Main.Download2./&gt;</t>
  </si>
  <si>
    <t>Greenberg, 2018</t>
  </si>
  <si>
    <t>greenberg_2018</t>
  </si>
  <si>
    <t>https://doi.org/10.3389/fevo.2020.563477</t>
  </si>
  <si>
    <t>Green, A. M., Chynoweth, M. W., &amp; Şekercioğlu, Ç. H. (2020). Spatially Explicit Capture-Recapture Through Camera Trapping: A Review of Benchmark Analyses for Wildlife Density Estimation. *Frontiers in Ecology and Evolution*, 8, Article 563477. &lt;https://doi.org/10.3389/fevo.2020.563477&gt;</t>
  </si>
  <si>
    <t>Green, Chynoweth &amp; Şekercioğlu, 2020</t>
  </si>
  <si>
    <t>Green et al., 2020</t>
  </si>
  <si>
    <t>green_et_al_2020</t>
  </si>
  <si>
    <t>https://wildcams.ca/site/assets/files/1148/wildcam_guide_to_camera_trap_set_up_feb2021.pdf</t>
  </si>
  <si>
    <t>Granados, A. (2021). *WildCAM Guide to Camera Trap Set Up*. WildCAM. &lt;https://wildcams.ca/site/assets/files/1148/wildcam_guide_to_camera_trap_set_up_feb2021.pdf&gt;</t>
  </si>
  <si>
    <t>Granados, 2021</t>
  </si>
  <si>
    <t>granados_2021</t>
  </si>
  <si>
    <t>https://www.researchgate.net/publication/236734446_Estimating_species_richness</t>
  </si>
  <si>
    <t>Gotelli, N., &amp; Colwell, R. (2011). Estimating species richness. In *Biological Diversity: Frontiers in Measurement and Assessment* (eds. Magurran, A., &amp; McGill, B.). Oxford University Press. Oxford, pp. 39-54. &lt;https://www.researchgate.net/publication/236734446_Estimating_species_richness&gt;</t>
  </si>
  <si>
    <t>Gotelli &amp; Colwell, 2011</t>
  </si>
  <si>
    <t>gotelli_colwell_2011</t>
  </si>
  <si>
    <t>https://doi.org/10.1046/j.1461-0248.2001.00230.x</t>
  </si>
  <si>
    <t>Gotelli, N., &amp; Colwell, R. (2001). Quantifying biodiversity: procedures and pitfalls in the measurement and comparison of species richness. *Ecology Letters, 4*, 379-391. &lt;https://doi.org/10.1046/j.1461-0248.2001.00230.x&gt;</t>
  </si>
  <si>
    <t>Gotelli &amp; Colwell, 2001</t>
  </si>
  <si>
    <t>gotelli_colwell_2001</t>
  </si>
  <si>
    <t>https://doi.org/10.1016/B978-0-12-384719-5.00424-X</t>
  </si>
  <si>
    <t>Gotelli, N. J., &amp; Chao, A. (2013). Measuring and Estimating Species Richness, Species Diversity, and Biotic Similarity from Sampling Data. In *Encyclopedia of Biodiversity* (pp. 195-211). Elsevier. &lt;https://doi.org/10.1016/B978-0-12-384719-5.00424-X&gt;</t>
  </si>
  <si>
    <t>Gotelli &amp; Chao, 2013</t>
  </si>
  <si>
    <t>gotelli_chao_2013</t>
  </si>
  <si>
    <t>https://doi.org/10.1111/j.2041-210X.2012.00241.x</t>
  </si>
  <si>
    <t>Gopalaswamy, A. M., Royle, J. A., Hines, J. E., Singh, P., Jathanna, D., Kumar, N. S., &amp; Karanth, K. U. (2012). Program SPACECAP: software for estimating animal Density using spatially explicit capture-recapture models. *Methods in Ecology and Evolution, 3*(6), 1067-1072. &lt;https://doi.org/10.1111/j.2041-210X.2012.00241.x&gt;</t>
  </si>
  <si>
    <t>Gopalaswamy et al., 2012</t>
  </si>
  <si>
    <t>gopalaswamy_et_al_2012</t>
  </si>
  <si>
    <t>https://www.alberta.ca/proponent-led-indigenous-consultations.aspx</t>
  </si>
  <si>
    <t>Government of Alberta (2023b) *Proponent-led Indigenous consultations.* Edmonton, Alberta. &lt;https://www.alberta.ca/proponent-led-indigenous-consultations.aspx&gt;</t>
  </si>
  <si>
    <t>Government of Alberta, 2023b</t>
  </si>
  <si>
    <t>goa_2023b</t>
  </si>
  <si>
    <t>https://www.alberta.ca/lat-overview.aspx</t>
  </si>
  <si>
    <t>Government of Alberta (2023a) *LAT Overview.* Edmonton, Alberta. &lt;https://www.alberta.ca/lat-overview.aspx&gt;</t>
  </si>
  <si>
    <t>Government of Alberta, 2023a</t>
  </si>
  <si>
    <t>goa_2023a</t>
  </si>
  <si>
    <t>https://doi.org/10.1002/rse2.106</t>
  </si>
  <si>
    <t>Glover‐Kapfer, P., Soto‐Navarro, C. A., Wearn, O. R., Rowcliffe, M., &amp; Sollmann, R. (2019). Camera‐trapping version 3.0: Current constraints and future priorities for development. *Remote Sensing in Ecology and Conservation, 5*(3), 209-223. &lt;https://doi.org/10.1002/rse2.106&gt;</t>
  </si>
  <si>
    <t>Glover-Kapfer et al., 2017</t>
  </si>
  <si>
    <t>glover_kapfer_et_al_2019</t>
  </si>
  <si>
    <t>https://doi.org/10.1371/journal.pone.0067940</t>
  </si>
  <si>
    <t>Glen, A. S., Cockburn, S., Nichols, M., Ekanayake, J., &amp; Warburton, B. (2013) Optimising Camera Traps for Monitoring Small Mammals. *PloS one,* 8(6), Article e67940. &lt;https://doi.org/10.1371/journal.pone.0067940&gt;</t>
  </si>
  <si>
    <t>Glen et al., 2013</t>
  </si>
  <si>
    <t>glen_et_al_2013</t>
  </si>
  <si>
    <t>https://www.youtube.com/watch?v=rpjVrFI_dr8</t>
  </si>
  <si>
    <t>https://www.youtube.com/embed/rpjVrFI_dr8?si=2W5B5GNxqYDALBkn</t>
  </si>
  <si>
    <t>Gimenez, O. (2023, May 16). *Workshop on estimating (wolf) occupancy with R* [Video]. YouTube. &lt;https://www.youtube.com/watch?v=rpjVrFI_dr8&gt;</t>
  </si>
  <si>
    <t>Gimenez, 2023</t>
  </si>
  <si>
    <t>gimenez_2023</t>
  </si>
  <si>
    <t>https://github.com/oliviergimenez/bias_occupancy</t>
  </si>
  <si>
    <t>Gimenez, O. (2020b). *Bias in occupancy estimate for a static model.* &lt;https://github.com/oliviergimenez/bias_occupancy&gt;</t>
  </si>
  <si>
    <t>Gimenez, 2020b</t>
  </si>
  <si>
    <t>gimenez_2020b</t>
  </si>
  <si>
    <t>https://github.com/oliviergimenez/bias_occupancy_flexdashboard</t>
  </si>
  <si>
    <t xml:space="preserve">https://ecologicalstatistics.shinyapps.io/bias_occupancy; </t>
  </si>
  <si>
    <t>Gimenez, O. (2020a). *Bias in single-season occupancy models.* &lt;https://ecologicalstatistics.shinyapps.io/bias_occupancy&gt;; &lt;https://github.com/oliviergimenez/bias_occupancy_flexdashboard&gt;</t>
  </si>
  <si>
    <t>Gimenez, 2020a</t>
  </si>
  <si>
    <t>gimenez_2020a</t>
  </si>
  <si>
    <t>https://nesplandscapes.edu.au/wp-content/uploads/2015/10/5.2.4_a_guide_to_use_of_remote_cameras_for_wildlife_Surveys_final_web2.pdf</t>
  </si>
  <si>
    <t>Gillespie, G. R., Brennan, K., Gentles, T., Hill, B., Low Choy, J., Mahney, T., Stevens, A., &amp; Stokeld, D. (2015). *A Guide for the use of Remote Cameras for Wildlife Survey in Northern Australia*. Darwin: Charles Darwin University. &lt;https://nesplandscapes.edu.au/wp-content/uploads/2015/10/5.2.4_a_guide_to_use_of_remote_cameras_for_wildlife_Surveys_final_web2.pdf&gt;</t>
  </si>
  <si>
    <t>Gillespie et al., 2015</t>
  </si>
  <si>
    <t>gillespie_et_al_2015</t>
  </si>
  <si>
    <t>Gilbert, N. A. (2022). *Towards a temporal ecology of wildlife populations and communities.* [Doctor of Philosophy]. University of Wisconsin-Madison. &lt; https://search.proquest.com/openview/bfe15ec06593d5a8d3904add35055867/1?pq-origsite=gscholar&amp;cbl=18750&amp;diss=y&gt;</t>
  </si>
  <si>
    <t>Gilbert, 2022</t>
  </si>
  <si>
    <t>gilbert_et_al_2022</t>
  </si>
  <si>
    <t>https://doi.org/10.1111/cobi.13517</t>
  </si>
  <si>
    <t>Gilbert, N. A., Clare, J. D. J., Stenglein, J. L., &amp; Zuckerberg, B. (2020). Abundance Estimation of Unmarked Animals based on Camera-Trap Data. *Conservation Biology, 35*(1), 88-100. &lt;https://doi.org/10.1111/cobi.13517&gt;</t>
  </si>
  <si>
    <t>Gilbert et al., 2020</t>
  </si>
  <si>
    <t>gilbert_et_al_2020</t>
  </si>
  <si>
    <t>https://bio.libretexts.org/Courses/University_of_California_Davis/BIS_2B%3A_Introduction_to_Biology_-_Ecology_and_Evolution/02%3A_Biodiversity/2.02%3A_Measuring_Species_Diversity</t>
  </si>
  <si>
    <t>Gerhart-Barley, L., M. (n.d.). *2.2: Measuring Species Diversity* &lt;https://bio.libretexts.org/Courses/University_of_California_Davis/BIS_2B%3A_Introduction_to_Biology_-_Ecology_and_Evolution/02%3A_Biodiversity/2.02%3A_Measuring_Species_Diversity&gt;</t>
  </si>
  <si>
    <t>Gerhart-Barley, L., M</t>
  </si>
  <si>
    <t>Gerhart-Barley, n.d.</t>
  </si>
  <si>
    <t>gerhartbarley_nd</t>
  </si>
  <si>
    <t>https://doi.org/10.1101/2023.06.21.545898</t>
  </si>
  <si>
    <t>Gerber, B. D., Devarajan, K., Farris, Z. J., &amp; Fidino, M. (2023). A model-based hypothesis framework to define and estimate the diel niche via the ‘Diel.Niche’ R package. *bioRxiv, 2023.06.21.545898.* &lt;https://doi.org/10.1101/2023.06.21.545898&gt;</t>
  </si>
  <si>
    <t>Gerber et al., 2023</t>
  </si>
  <si>
    <t>gerber_et_al_2023</t>
  </si>
  <si>
    <t>https://doi.org/10.1007/s10144-011-0276-3</t>
  </si>
  <si>
    <t>Gerber, B. D., Karpanty, S. M., &amp; Kelly, M. J. (2011). Evaluating the potential biases in carnivore capture-recapture studies associated with the use of lure and varying Density estimation techniques using photographic-sampling data of the Malagasy civet. *Population Ecology, 54*(1), 43-54. &lt;https://doi.org/10.1007/s10144-011-0276-3&gt;</t>
  </si>
  <si>
    <t>Gerber et al., 2011</t>
  </si>
  <si>
    <t>gerber_et_al_2011</t>
  </si>
  <si>
    <t>https://doi.org/10.1017/S0030605309991037</t>
  </si>
  <si>
    <t>Gerber, B., Karpanty, S. S. M., Crawford, C., Kotschwar, M., &amp; Randrianantenaina, J. (2010). An assessment of carnivore relative abundance and Density in the eastern rainforests of Madagascar using remotely-triggered camera traps. *Oryx, 44*(2), 219-222. &lt;https://doi.org/10.1017/S0030605309991037&gt;</t>
  </si>
  <si>
    <t>Gerber et al., 2010</t>
  </si>
  <si>
    <t>gerber_et_al_2010</t>
  </si>
  <si>
    <t>https://doi.org/10.1046/j.1365-2664.2000.00485.x</t>
  </si>
  <si>
    <t>Gaston, K. J., Blackburn, T. M., Greenwood, J. J. D., Gregory, R. D., Quinn, R. M., &amp; Lawton, J. H. (2000). Abundance-Occupancy Relationships. *The Journal of Applied Ecology, 37*(s1), 39-59. &lt;https://doi.org/10.1046/j.1365-2664.2000.00485.x&gt;</t>
  </si>
  <si>
    <t>Gaston et al., 2000</t>
  </si>
  <si>
    <t>gaston_et_al_2000</t>
  </si>
  <si>
    <t>https://doi.org/10.1002/jwmg.21879</t>
  </si>
  <si>
    <t>Garland, L., Neilson, E., Avgar, T., Bayne, E., &amp; Boutin, S. (2020). Random Encounter and Staying Time Model Testing with Human Volunteers. *The Journal of Wildlife Management, 84*(6), 1179-1184. &lt;https://doi.org/10.1002/jwmg.21879&gt;</t>
  </si>
  <si>
    <t>Garland et al., 2020</t>
  </si>
  <si>
    <t>garland_et_al_2020</t>
  </si>
  <si>
    <t>https://doi.org/10.1111/j.1469-7998.1983.tb02087.x</t>
  </si>
  <si>
    <t>Garland, T. (1983). The relation between maximal running speed and body mass in terrestrial mammals. *Journal of Zoology, 199*(2), 157-170. &lt;https://doi.org/10.1111/j.1469-7998.1983.tb02087.x&gt;</t>
  </si>
  <si>
    <t>Garland, 1983</t>
  </si>
  <si>
    <t>garland_1983</t>
  </si>
  <si>
    <t>https://doi.org/10.1016/j.anbehav.2015.11.009</t>
  </si>
  <si>
    <t>Garamszegi, L. Z. (2016). A simple statistical guide for the analysis of behaviour when data are constrained due to practical or ethical reasons. *Animal Behaviour, 120*, 223-234. &lt;https://doi.org/10.1016/j.anbehav.2015.11.009&gt;</t>
  </si>
  <si>
    <t>Garamszegi, 2016</t>
  </si>
  <si>
    <t>garamszegi_2016</t>
  </si>
  <si>
    <t>https://doi.org/10.2111/1551-5028(2007)60[350:GEISAA]2.0.CO;2</t>
  </si>
  <si>
    <t>Ganskopp, D. C., &amp; Johnson, D. D. (2007). GPS Error in Studies Addressing Animal Movements and Activities. *Rangeland Ecology and Management, 60*, 350-358. &lt;https://doi.org/10.2111/1551-5028(2007)60[350:GEISAA]2.0.CO;2&gt;</t>
  </si>
  <si>
    <t>Ganskopp &amp; Johnson, 2007</t>
  </si>
  <si>
    <t>ganskopp_johnson_2007</t>
  </si>
  <si>
    <t>https://doi.org/10.1016/j.biocon.2016.10.019</t>
  </si>
  <si>
    <t>Gálvez, N., Guillera-Arroita, G., Morgan, B. J. T., &amp; Davies, Z. G. (2016). Cost-Efficient Effort Allocation for Camera-Trap Occupancy Surveys of Mammals. *Biological Conservation, 204*(B), 350-359. &lt;https://doi.org/10.1016/j.biocon.2016.10.019&gt;</t>
  </si>
  <si>
    <t>Gálvez et al., 2016</t>
  </si>
  <si>
    <t>galvez_et_al_2016</t>
  </si>
  <si>
    <t>https://doi.org/10.7554/eLife.74756</t>
  </si>
  <si>
    <t>Gallo, T., Fidino, M., Gerber, B., Ahlers, A. A., Angstmann, J. L., Amaya, M., Concilio, A. L., Drake, D., Gay, D., Lehrer, E. W., Murray, M. H., Ryan, T. J., St Clair, C. C., Salsbury, C. M., Sander, H. A., Stankowich, T., Williamson, J., Belaire, J. A., Simon, K., &amp; Magle, S. B. (2022). Mammals Adjust Diel Activity across Gradients of Urbanization. *Elife, 11*. &lt;https://doi.org/10.7554/eLife.74756&gt;</t>
  </si>
  <si>
    <t>Gallo et al., 2022</t>
  </si>
  <si>
    <t>gallo_et_al_2022</t>
  </si>
  <si>
    <t>https://doi.org/10.1111/1365-2656.12967</t>
  </si>
  <si>
    <t>Gallo, T., Fidino, M., Lehrer, E. W., &amp; Magle, S. (2019). Urbanization Alters Predator-Avoidance Behaviours. *Journal of Animal Ecology, 88*(5), 793-803. &lt;https://doi.org/10.1111/1365-2656.12967&gt;</t>
  </si>
  <si>
    <t>Gallo et al., 2019</t>
  </si>
  <si>
    <t>gallo_et_al_2019</t>
  </si>
  <si>
    <t>https://zslpublications.onlinelibrary.wiley.com/doi/10.1002/rse2.60</t>
  </si>
  <si>
    <t>Frey, S., Fisher, J. T., Burton, A. C., &amp; Volpe, J. P. (2017). Investigating Animal Activity Patterns and Temporal Niche Partitioning using Camera-Trap Data: Challenges and Opportunities. *Remote Sensing in Ecology and Conservation, 3* (3), 123-132. &lt;https://zslpublications.onlinelibrary.wiley.com/doi/10.1002/rse2.60&gt;</t>
  </si>
  <si>
    <t>Frey et al., 2017</t>
  </si>
  <si>
    <t>frey_et_al_2017</t>
  </si>
  <si>
    <t>https://www.fs.usda.gov/rm/pubs_other/rmrs_2008_freeman_e001.pdf</t>
  </si>
  <si>
    <t>Freeman, E. A. &amp; Moisen, G. (2008). PresenceAbsence: An R Package for Presence Absence Analysis. *Journal of Statistical Software, 23*(11). &lt;https://www.fs.usda.gov/rm/pubs_other/rmrs_2008_freeman_e001.pdf&gt;</t>
  </si>
  <si>
    <t>Freeman &amp; Moisen, 2008</t>
  </si>
  <si>
    <t>freeman_gretchen_2008</t>
  </si>
  <si>
    <t>https://doi.org/10.1186/s13750-022-00264-0</t>
  </si>
  <si>
    <t>Frampton, G., Whaley, P., Bennett, M., Bilotta, G., Dorne, J. L. C. M., Eales, J., James, K., Kohl, C., Land, M., Livoreil, B., Makowski, D., Muchiri, E., Petrokofsky, G., Randall, N., &amp; Schofield, K. (2022). Principles and framework for assessing the risk of bias for studies included in comparative quantitative environmental systematic reviews. *Environmental Evidence, 11*(1), 12. &lt;https://doi.org/10.1186/s13750-022-00264-0&gt;</t>
  </si>
  <si>
    <t>Frampton et al., 2022</t>
  </si>
  <si>
    <t>frampton_et_al_2022</t>
  </si>
  <si>
    <t>https://cwbm.ca/wp-content/uploads/2020/05/Found-Patterson.pdf</t>
  </si>
  <si>
    <t>Found, R., &amp; Patterson, B. R. (2020). Assessing Ungulate Populations in Temperate North America. *Canadian Wildlife Biology and Management, 9*(1), 21-42. &lt;https://cwbm.ca/wp-content/uploads/2020/05/Found-Patterson.pdf&gt;</t>
  </si>
  <si>
    <t>Found &amp; Patterson, 2020</t>
  </si>
  <si>
    <t>found_patterson_2020</t>
  </si>
  <si>
    <t>https://doi.org/10.1002/jwmg.275</t>
  </si>
  <si>
    <t>Foster, R. J., &amp; Harmsen, B. J. (2012). A Critique of Density Estimation from Camera Trap Data. *Journal of* *Wildlife Management, 76*(2), 224-36. &lt;https://doi.org/10.1002/jwmg.275&gt;</t>
  </si>
  <si>
    <t>Foster &amp; Harmsen, 2012</t>
  </si>
  <si>
    <t>foster_harmsen_2012</t>
  </si>
  <si>
    <t>https://doi.org/10.3897/BDJ.4.e10197</t>
  </si>
  <si>
    <t>Forrester, T., O'Brien, T., Fegraus, E., Jansen, P. A., Palmer, J., Kays, R., Ahumada, J., Stern, B., &amp; McShea, W. (2016). An Open Standard for Camera Trap Data. *Biodiversity Data Journal, 4*, e10197. &lt;https://doi.org/10.3897/BDJ.4.e10197&gt;</t>
  </si>
  <si>
    <t>Forrester et al., 2016</t>
  </si>
  <si>
    <t>forrester_et_al_2016</t>
  </si>
  <si>
    <t>https://doi.org/10.1007/s10344-020-01385-y</t>
  </si>
  <si>
    <t>Ford, A. T., Sunter, E. J., Fauvelle, C., Bradshaw, J. L., Ford, B., Hutchen, J., Phillipow, N., &amp; Teichman, K. J. (2020). Effective corridor width: Linking the spatial ecology of wildlife with land use policy. *European Journal of Wildlife Research, 66*(4), 69. &lt;https://doi.org/10.1007/s10344-020-01385-y&gt;</t>
  </si>
  <si>
    <t>Ford et al., 2020</t>
  </si>
  <si>
    <t>ford_et_al_2020</t>
  </si>
  <si>
    <t>https://doi.org/10.7939/r3-bm8f-yj13</t>
  </si>
  <si>
    <t>Foca, J. M. (2021). *Camera Traps for Evaluating Ungulate Densities and Interspecific Interactions in the Beaver Hills Region of Alberta*. [Master's thesis, University of Alberta]. &lt;https://doi.org/10.7939/r3-bm8f-yj13&gt;</t>
  </si>
  <si>
    <t>Foca, 2021</t>
  </si>
  <si>
    <t>foca_2021</t>
  </si>
  <si>
    <t>https://doi.org/10.1002/eap.2419</t>
  </si>
  <si>
    <t>Fleming, J., Grant, E. H. C., Sterrett, S. C., &amp; Sutherland, C. (2021). Experimental evaluation of spatial capture-recapture study design. *Ecological Applications, 31*(7), e02419. &lt;https://doi.org/10.1002/eap.2419&gt;</t>
  </si>
  <si>
    <t>Fleming et al., 2021</t>
  </si>
  <si>
    <t>fleming_et_al_2021</t>
  </si>
  <si>
    <t>https://www.researchgate.net/publication/236965289_Species_rarity_definition_causes_and_classification#:~:text=Rarity%20is%20a%20relative%20concept,of%20other%20organisms%20of%20comparable</t>
  </si>
  <si>
    <t>Flather, C. H., &amp; Sieg, C. H. (2007). Species rarity: definition, causes, and classification. In M. G. Raphael, &amp; R. Molina (Eds.), *Conservation of Rare or Little-Known Species: Biological, Social, and Economic Considerations* (pp. 40-66). &lt;https://www.researchgate.net/publication/236965289_Species_rarity_definition_causes_and_classification#:~:text=Rarity%20is%20a%20relative%20concept,of%20other%20organisms%20of%20comparable&gt;</t>
  </si>
  <si>
    <t>Flather &amp; Sieg, 2007</t>
  </si>
  <si>
    <t>flather_sieg_2007</t>
  </si>
  <si>
    <t>https://www.jstatsoft.org/v43/i10/</t>
  </si>
  <si>
    <t>Kellner, K. F., Smith, A. D., Royle, J. A., Kery, M, Belant, J. L., &amp; Chandler, R. B. (2023). The unmarked R package: Twelve years of advances in occurrence and abundance modelling in ecology. *Methods in Ecology and Evolution, 14* (6), 1408-1415. &lt;https://www.jstatsoft.org/v43/i10/&gt;</t>
  </si>
  <si>
    <t>Fiske &amp; Chandler, 2011</t>
  </si>
  <si>
    <t>fiske_chandler_2011</t>
  </si>
  <si>
    <t>https://doi.org/10.1111/cobi.12302</t>
  </si>
  <si>
    <t>Fisher, J. T., Wheatley, M., &amp; Mackenzie, D. (2014). Spatial Patterns of Breeding Success of Grizzly Bears derived from Hierarchical Multistate Models. *Conservation Biology, 28*(5), 1249-1259. &lt;https://doi.org/10.1111/cobi.12302&gt;</t>
  </si>
  <si>
    <t>Fisher, Wheatley &amp; Mackenzie, 2014</t>
  </si>
  <si>
    <t>Fisher et al., 2014</t>
  </si>
  <si>
    <t>fisher_et_al_2014</t>
  </si>
  <si>
    <t>https://doi.org/10.1002/ece3.45</t>
  </si>
  <si>
    <t>Fisher, J. T., Anholt, B., &amp; Volpe, J. P. (2011). Body Mass Explains Characteristic Scales of Habitat Selection in Terrestrial Mammals. *Ecology and Evolution, 1*(4), 517-528. &lt;https://doi.org/10.1002/ece3.45&gt;</t>
  </si>
  <si>
    <t>Fisher et al., 2011</t>
  </si>
  <si>
    <t>fisher_et_al_2011</t>
  </si>
  <si>
    <t>https://doi.org/0.13140/RG.2.1.3944.3680</t>
  </si>
  <si>
    <t>Fisher, J. T., &amp; Burton, C. (2012). *Monitoring Mammals in Alberta: Recommendations for Remote Camera Trapping*. Alberta Innovates - Technology Futures &amp; Alberta Biodiversity Monitoring Institute. &lt;https://doi.org/0.13140/RG.2.1.3944.3680&gt;</t>
  </si>
  <si>
    <t>Fisher &amp; Burton, 2012</t>
  </si>
  <si>
    <t>fisher_burton_2012</t>
  </si>
  <si>
    <t>https://doi.org/10.1007/s13364-020-00478-y</t>
  </si>
  <si>
    <t>Findlay, M. A., Briers, R. A., &amp; White, P. J. C. (2020). Component processes of detection probability in camera-trap studies: understanding the occurrence of false-negatives. *Mammal Research, 65*, 167-180. &lt;https://doi.org/10.1007/s13364-020-00478-y&gt;</t>
  </si>
  <si>
    <t>Findlay, Briers &amp; White, 2020</t>
  </si>
  <si>
    <t>Findlay et al., 2020</t>
  </si>
  <si>
    <t>findlay_et_al_2020</t>
  </si>
  <si>
    <t>https://doi.org/10.1002/ecs2.1944</t>
  </si>
  <si>
    <t>Fidino, M., &amp; Magle, S. B. (2017). Using Fourier series to predict periodic patterns in dynamic occupancy models. *Ecosphere, 8*(9) , e01944. &lt;https://doi.org/10.1002/ecs2.1944&gt;</t>
  </si>
  <si>
    <t>Fidino &amp; Magle, 2017</t>
  </si>
  <si>
    <t>fidino_magle_2017</t>
  </si>
  <si>
    <t>https://doi.org/10.1002/wsb.1122</t>
  </si>
  <si>
    <t>Fidino, M., Barnas, G. R., Lehrer, E. W., Murray, M. H., &amp; Magle, S. B. (2020). Effect of Lure on Detecting Mammals with Camera Traps. *Wildlife Society Bulletin*. &lt;https://doi.org/10.1002/wsb.1122&gt;</t>
  </si>
  <si>
    <t>Fidino et al., 2020</t>
  </si>
  <si>
    <t>fidino_et_al_2020</t>
  </si>
  <si>
    <t>https://github.com/mfidino/autoOcc</t>
  </si>
  <si>
    <t>Fidino, M. (2023) *autoOcc: An R package for fitting autologistic occupancy models.* R package version 0.1.1, &lt;https://github.com/mfidino/autoOcc&gt;</t>
  </si>
  <si>
    <t>Fidino, 2023</t>
  </si>
  <si>
    <t>fidino_2023</t>
  </si>
  <si>
    <t>https://masonfidino.com/generalized_additive_occupancy_model</t>
  </si>
  <si>
    <t>Fidino, M. (2021F) *Using the mgcvmgcv package to create a generalized additive occupancy model in R.* &lt;https://masonfidino.com/generalized_additive_occupancy_model&gt;</t>
  </si>
  <si>
    <t>Fidino, 2021f</t>
  </si>
  <si>
    <t>fidino_2021f</t>
  </si>
  <si>
    <t>https://github.com/mfidino/auto-logistic-occupancy</t>
  </si>
  <si>
    <t>Fidino, M. (2021e) *auto-logistic-occupancy.* &lt;https://github.com/mfidino/auto-logistic-occupancy&gt;</t>
  </si>
  <si>
    <t>Fidino, 2021e</t>
  </si>
  <si>
    <t>fidino_2021e</t>
  </si>
  <si>
    <t>https://masonfidino.com/autologistic_occupancy_model</t>
  </si>
  <si>
    <r>
      <t>Fidino, M. (2021d) *</t>
    </r>
    <r>
      <rPr>
        <sz val="12"/>
        <color theme="1"/>
        <rFont val="Calibri"/>
        <family val="2"/>
      </rPr>
      <t>So, you don't have enough data to fit a dynamic occupancy model? An introduction to auto-logistic occupancy models.</t>
    </r>
    <r>
      <rPr>
        <sz val="12"/>
        <color rgb="FF000000"/>
        <rFont val="Calibri"/>
        <family val="2"/>
      </rPr>
      <t>* &lt;https://masonfidino.com/autologistic_occupancy_model&gt;</t>
    </r>
  </si>
  <si>
    <t>Fidino, 2021d</t>
  </si>
  <si>
    <t>fidino_2021d</t>
  </si>
  <si>
    <t>https://github.com/mfidino/integrated-occupancy-model</t>
  </si>
  <si>
    <r>
      <t>Fidino, M. (2021c) *integrated-occupancy-models* &lt;</t>
    </r>
    <r>
      <rPr>
        <sz val="12"/>
        <color theme="1"/>
        <rFont val="Calibri"/>
        <family val="2"/>
      </rPr>
      <t>https://github.com/mfidino/integrated-occupancy-model</t>
    </r>
    <r>
      <rPr>
        <u/>
        <sz val="12"/>
        <color rgb="FF365F91"/>
        <rFont val="Calibri"/>
        <family val="2"/>
      </rPr>
      <t>&gt;</t>
    </r>
  </si>
  <si>
    <t>Fidino, 2021c</t>
  </si>
  <si>
    <t>fidino_2021c</t>
  </si>
  <si>
    <t>https://masonfidino.com/bayesian_integrated_model</t>
  </si>
  <si>
    <r>
      <t>Fidino, M. (2021b) *A gentle introduction to an integrated occupancy model that combines presence-only and detection/non-detection data, and how to fit it in JAGS* &lt;</t>
    </r>
    <r>
      <rPr>
        <sz val="12"/>
        <color theme="1"/>
        <rFont val="Calibri"/>
        <family val="2"/>
      </rPr>
      <t>https://masonfidino.com/bayesian_integrated_model</t>
    </r>
    <r>
      <rPr>
        <u/>
        <sz val="12"/>
        <color rgb="FF365F91"/>
        <rFont val="Calibri"/>
        <family val="2"/>
      </rPr>
      <t>&gt;</t>
    </r>
  </si>
  <si>
    <t>Fidino, 2021b</t>
  </si>
  <si>
    <t>fidino_2021b</t>
  </si>
  <si>
    <t>Fidino, M. (2021a) *multi-state-occupancy-models.* &lt;https://github.com/mfidino/integrated-occupancy-model&gt;</t>
  </si>
  <si>
    <t>Fidino, 2021a</t>
  </si>
  <si>
    <t>fidino_2021a</t>
  </si>
  <si>
    <t>https://doi.org/10.1007/s13364-018-00414-1</t>
  </si>
  <si>
    <t>Ferreira-Rodríguez, N., &amp; Pombal, M. A. (2019). Bait effectiveness in camera trap studies in the Iberian Peninsula. *Mammal Research, 64*(2), 155-164. &lt;https://doi.org/10.1007/s13364-018-00414-1&gt;</t>
  </si>
  <si>
    <t>Ferreira-Rodríguez et al., 2019</t>
  </si>
  <si>
    <t>ferreira_rodriguez_et_al_2019</t>
  </si>
  <si>
    <t>https://doi.org/10.1016/j.gecco.2022.e02104</t>
  </si>
  <si>
    <t>Fennell, M., Beirne, C., &amp; Burton, A. C. (2022). Use of object detection in camera trap image identification: Assessing a method to rapidly and accurately classify human and animal detections for research and application in recreation ecology. *Global Ecology and Conservation, 35*. &lt;https://doi.org/10.1016/j.gecco.2022.e02104&gt;</t>
  </si>
  <si>
    <t>Fennell, Beirne &amp; Burton, 2022</t>
  </si>
  <si>
    <t>Fennell et al., 2022</t>
  </si>
  <si>
    <t>fennell_et_al_2022</t>
  </si>
  <si>
    <t>https://doi.org/10.1016/j.ecoinf.2011.06.003</t>
  </si>
  <si>
    <t>Fegraus, E. H., Lin, K., Ahumada, J. A., Baru, C., Chandra, S., &amp; Youn, C. (2011). Data acquisition and management software for camera trap data: A case study from the TEAM Network. *Ecological Informatics, 6*(6), 345-353. &lt;https://doi.org/10.1016/j.ecoinf.2011.06.003&gt;</t>
  </si>
  <si>
    <t>Fegraus et al., 2011</t>
  </si>
  <si>
    <t>fegraus_et_al_2011</t>
  </si>
  <si>
    <t>https://doi.org/10.1007/s00265-016-2162-7</t>
  </si>
  <si>
    <t>Fancourt, B. A. (2016). Avoiding the subject: The implications of avoidance behaviour for detecting predators. *Behavioral Ecology and Sociobiology, 70*(9), 1535-1546. &lt;https://doi.org/10.1007/s00265-016-2162-7&gt;</t>
  </si>
  <si>
    <t>Fancourt, 2016</t>
  </si>
  <si>
    <t>fancourt_2016</t>
  </si>
  <si>
    <t>https://doi.org/10.1111/1365-2664.13194</t>
  </si>
  <si>
    <t>Evans, M. J. &amp; Rittenhouse, T. A. G. (2018). Evaluating Spatially Explicit Density Estimates of Unmarked Wildlife Detected by Remote Cameras. *The Journal of Applied Ecology 55*(6), 2565-74. &lt;https://doi.org/10.1111/1365-2664.13194&gt;</t>
  </si>
  <si>
    <t>Evans &amp; Rittenhouse, 2018</t>
  </si>
  <si>
    <t>evans_rittenhouse_2018</t>
  </si>
  <si>
    <t>https://doi.org/10.1371/journal.pone.0179489</t>
  </si>
  <si>
    <t>Estevo, C. A., Nagy-Reis, M. B., &amp; Nichols, J. D. (2017). When habitat matters: Habitat preferences can modulate co-occurrence patterns of similar sympatric species. *PLOS One, 12*(7), e0179489. &lt;https://doi.org/10.1371/journal.pone.0179489&gt;</t>
  </si>
  <si>
    <t>Estevo et al., 2017</t>
  </si>
  <si>
    <t>estevo_et_al_2017</t>
  </si>
  <si>
    <t>Estevo, C. A., Nagy-Reis, M. B., &amp; Nichols, J. D. (2017). When habitat matters: Habitat preferences can modulate co-occurrence patterns of similar sympatric species. *PLOS ONE, 12*(7), e0179489. &lt;https://doi.org/10.1371/journal.pone.0179489&gt;</t>
  </si>
  <si>
    <t>Estevo, Nagy-Reis, &amp; Nichols, 2017</t>
  </si>
  <si>
    <t>esteveo_et_al_2017</t>
  </si>
  <si>
    <t>https://doi.org/10.1007/s10531-011-0110-4</t>
  </si>
  <si>
    <t>Espartosa, K. D., Pinotti, B. T., &amp; Pardini, R. (2011). Performance of Camera Trapping and Track Counts for Surveying Large Mammals in Rainforest Remnants. *Biodiversity Conservation, 20*(12), 2815-2829. &lt;https://doi.org/10.1007/s10531-011-0110-4&gt;</t>
  </si>
  <si>
    <t>Espartosa, Pinotti &amp; Pardini, 2011</t>
  </si>
  <si>
    <t>Espartosa et al., 2011</t>
  </si>
  <si>
    <t>espartosa_et_al_2011</t>
  </si>
  <si>
    <t>https://doi.org/10.1111/biom.12766</t>
  </si>
  <si>
    <t>Efford, M. G., &amp; Hunter, C. M. (2018). Spatial Capture-mark-resight Estimation of Animal Population Density. *Biometrics, 74*(2), 411-420. &lt;https://doi.org/10.1111/biom.12766&gt;</t>
  </si>
  <si>
    <t>Efford &amp; Hunter, 2018</t>
  </si>
  <si>
    <t>efford_hunter_2018</t>
  </si>
  <si>
    <t>https://doi.org/10.1890/08-1735.1</t>
  </si>
  <si>
    <t>Efford, M. G., Dawson, D. K., &amp; Borchers, D. L. (2009b). Population Density estimated from locations of individuals on a passive detector array. *Ecology, 90*(10), 2676-2682. &lt;https://doi.org/10.1890/08-1735.1&gt;</t>
  </si>
  <si>
    <t>Efford, Dawson &amp; Borchers, 2009b</t>
  </si>
  <si>
    <t>Efford et al., 2009b</t>
  </si>
  <si>
    <t>efford_et_al_2009b</t>
  </si>
  <si>
    <t>https://doi.org/10.1007/978-0-387-78151-8_11</t>
  </si>
  <si>
    <t>Efford, M. G., Borchers, D. L., &amp; Byrom, A. E. (2009a). Density Estimation by Spatially Explicit Capture-Recapture: Likelihood-Based Methods. *In* D. L. Thomson, E. G. Cooch, &amp; M. J. Conroy (Eds.), *Modeling Demographic Processes In Marked Populations* (pp. 255-269). &lt;https://doi.org/10.1007/978-0-387-78151-8_11&gt;</t>
  </si>
  <si>
    <t>Efford, Borchers &amp; Byrom, 2009a</t>
  </si>
  <si>
    <t>Efford et al., 2009a</t>
  </si>
  <si>
    <t>efford_et_al_2009a</t>
  </si>
  <si>
    <t>https://doi.org/10.32800/abc.2004.27.0217</t>
  </si>
  <si>
    <t>Efford, M. G., Dawson, D. K., &amp; Robbins, C. S. (2004). DENSITY: Software for analysing capture-recapture data from passive detector arrays. *Animal Biodiversity and Conservation, 27*(1), 217-228. &lt;https://doi.org/10.32800/abc.2004.27.0217&gt;</t>
  </si>
  <si>
    <t>Efford et al., 2004</t>
  </si>
  <si>
    <t>efford_et_al_2004</t>
  </si>
  <si>
    <t>https://doi.org/10.1890/es11-00308.1</t>
  </si>
  <si>
    <t>Efford, M. G., &amp; Dawson, D. K. (2012). Occupancy in continuous habitat. *Ecosphere, 3*(4). Article 32. &lt;https://doi.org/10.1890/es11-00308.1&gt;</t>
  </si>
  <si>
    <t>Efford &amp; Dawson, 2012</t>
  </si>
  <si>
    <t>efford_dawson_2012</t>
  </si>
  <si>
    <t>https://doi.org/10.1111/2041-210X.13239</t>
  </si>
  <si>
    <t>Efford, M. G., &amp; Boulanger, J. (2019). Fast Evaluation of Study Designs for Spatially Explicit Capture-Recapture. *Methods in Ecology and Evolution, 10*(9), 1529-1535. &lt;https://doi.org/10.1111/2041-210X.13239&gt;</t>
  </si>
  <si>
    <t>Efford &amp; Boulanger, 2019</t>
  </si>
  <si>
    <t>efford_boulanger_2019</t>
  </si>
  <si>
    <t>https://cran.r-project.org/web/packages/secr/vignettes/secr-overview.pdf</t>
  </si>
  <si>
    <t>Efford, M. (2024b). *secr 4.6 - spatially explicit capture-recapture in R.* &lt;https://cran.r-project.org/web/packages/secr/vignettes/secr-overview.pdf&gt;</t>
  </si>
  <si>
    <t>Efford, 2024b</t>
  </si>
  <si>
    <t>efford_2024b</t>
  </si>
  <si>
    <t>https://CRAN.R-project.org/package=secr</t>
  </si>
  <si>
    <t>Efford, M. (2024a). *Package 'secr': Spatially Explicit Capture-Recapture* R package version 4.6.9. &lt;https://CRAN.R-project.org/package=secr&gt;</t>
  </si>
  <si>
    <t>Efford, 2024a</t>
  </si>
  <si>
    <t>efford_2024a</t>
  </si>
  <si>
    <t>https://CRAN.R-project.org/package=openCR</t>
  </si>
  <si>
    <t>Efford, M. (2023). *openCR: Open population capture-recapture models*. R package version 2.2.6. &lt;https://CRAN.R-project.org/package=openCR&gt;</t>
  </si>
  <si>
    <t>Efford, 2023</t>
  </si>
  <si>
    <t>efford_2023</t>
  </si>
  <si>
    <t>https://www.otago.ac.nz/Density/pdfs/secr-markresight.pdf</t>
  </si>
  <si>
    <t>Efford, M. G. (2022). *Mark-resight in secr 4. 5. 1-20*. &lt;https://www.otago.ac.nz/Density/pdfs/secr-markresight.pdf&gt;</t>
  </si>
  <si>
    <t>Efford, 2022</t>
  </si>
  <si>
    <t>efford_2022</t>
  </si>
  <si>
    <t>http://www.jstor.org.login.ezproxy.library.ualberta.ca/stable/3548382</t>
  </si>
  <si>
    <t>Efford, M. (2004). Density Estimation in Live-Trapping Studies. *Oikos, 106*(3), 598-610. &lt;http://www.jstor.org.login.ezproxy.library.ualberta.ca/stable/3548382&gt;</t>
  </si>
  <si>
    <t>Efford, 2004</t>
  </si>
  <si>
    <t>efford_2004</t>
  </si>
  <si>
    <t>https://www.academia.edu/23421255/.</t>
  </si>
  <si>
    <t>Duquette, J. F., Belant, J. L., Svoboda, N. J., Beyer Jr., D. E., &amp; Albright, C. A. (2014). Comparison of occupancy modeling and radiotelemetry to estimate ungulate population dynamics. *Population Ecology, 56,* 481-492. &lt;https://www.academia.edu/23421255/.&gt;</t>
  </si>
  <si>
    <t>Dunne &amp; Quinn, 2009</t>
  </si>
  <si>
    <t>Duquette et al., 2014</t>
  </si>
  <si>
    <t>duquette_et_al_2014</t>
  </si>
  <si>
    <t>https://doi.org/10.1002/ecy.3262</t>
  </si>
  <si>
    <t>Dupont, G., Royle, J. A., Nawaz, M. A., &amp; Sutherland, C. (2021). Optimal sampling design for spatial capture-recapture. *Ecology, 102*(3), e03262. &lt;https://doi.org/10.1002/ecy.3262&gt;</t>
  </si>
  <si>
    <t>Dupont et al., 2021</t>
  </si>
  <si>
    <t>dupont_et_al_2021</t>
  </si>
  <si>
    <t>https://doi.org/10.1016/j.biocon.2008.10.029</t>
  </si>
  <si>
    <t>Dunne, B. M., &amp; Quinn, M. S. (2009). Effectiveness of above-ground pipeline mitigation for moose (*Alces alces*) and other large mammals. *Biological Conservation, 142* (2), 332-343. &lt;https://doi.org/10.1016/j.biocon.2008.10.029&gt;</t>
  </si>
  <si>
    <t>dunne_quinn_2009</t>
  </si>
  <si>
    <t>https://www.britannica.com/science/species-abundance</t>
  </si>
  <si>
    <t>Dubey, A (n.d.). *species abundance*. &lt;https://www.britannica.com/science/species-abundance&gt;</t>
  </si>
  <si>
    <t>Dubey (n.d.)</t>
  </si>
  <si>
    <t>dubey_nd</t>
  </si>
  <si>
    <t>https://doi.org/10.7939/R3Q815805</t>
  </si>
  <si>
    <t>Doran-Myers, D. (2018). *Methodological Comparison of Canada Lynx Density Estimation* [Master of Science in Ecology thesis, University of Alberta]. ERA: Education and Research Archive. &lt;https://doi.org/10.7939/R3Q815805&gt;</t>
  </si>
  <si>
    <t>Doran-Myers, 2018</t>
  </si>
  <si>
    <t>doran_myers_2018</t>
  </si>
  <si>
    <t>https://doi.org/10.1111/2041-210X.14285</t>
  </si>
  <si>
    <t>Donovan, T., Hines, J., &amp; MacKenzie, D. (2024). OCCUPANCYTUTS: Occupancy modelling tutorials with RPRESENCE. *Methods in Ecology and Evolution, 15*(3), 477-483. &lt;https://doi.org/10.1111/2041-210X.14285&gt;</t>
  </si>
  <si>
    <t xml:space="preserve">Donovan, Hines &amp; MacKenzie, 2024 </t>
  </si>
  <si>
    <t xml:space="preserve">Donovan et al., 2024 </t>
  </si>
  <si>
    <t>donovan_et_al_2024</t>
  </si>
  <si>
    <t>https://doi.org/10.1111/j.1469-7998.2008.00452.x</t>
  </si>
  <si>
    <t>Dillon, A., &amp; Kelly, M. J. (2008). Ocelot Home Range, Overlap and Density: Comparing Radio Telemetry with Camera Trapping. *Journal of Zoology, 275*, 391-398. &lt;https://doi.org/10.1111/j.1469-7998.2008.00452.x&gt;</t>
  </si>
  <si>
    <t>Dillon &amp; Kelly, 2008</t>
  </si>
  <si>
    <t>dillon_kelly_2008</t>
  </si>
  <si>
    <t>https://twitter.com/MelanieDickie/status/1516432277009403904</t>
  </si>
  <si>
    <t>Dickie, M. (2022, April 19). *“NEW PAPER ALERT!”* Tweet. @MelanieDickie. &lt;https://twitter.com/MelanieDickie/status/1516432277009403904&gt;</t>
  </si>
  <si>
    <t>Dickie, 2022</t>
  </si>
  <si>
    <t>dickie_2022</t>
  </si>
  <si>
    <t>Social media</t>
  </si>
  <si>
    <t>https://doi.org/10.1016/j.ecolmodel.2023.110324</t>
  </si>
  <si>
    <t>Dey, S., Moqanaki, E., Milleret, C., Dupont, P., Tourani, M., &amp; Bischof, R. (2023). Modelling spatially autocorrelated detection probabilities in spatial capture-recapture using random effects. *Ecological Modelling, 479*, 110324. &lt;https://doi.org/10.1016/j.ecolmodel.2023.110324&gt;</t>
  </si>
  <si>
    <t>Dey et al., 2023</t>
  </si>
  <si>
    <t>dey_et_al_2023</t>
  </si>
  <si>
    <t>https://doi.org/10.1002/ajp.22647</t>
  </si>
  <si>
    <t>Després‐Einspenner, M., Howe, E. J., Drapeau, P., &amp; Kühl, H. S. (2017). An empirical evaluation of camera trapping and spatially explicit capture‐recapture models for estimating chimpanzee density. *American Journal of Primatology, 79*(7), e22647. &lt;https://doi.org/10.1002/ajp.22647&gt;</t>
  </si>
  <si>
    <t>Després‐Einspenner et al., 2017</t>
  </si>
  <si>
    <t>despres_einspenner_et_al_2017</t>
  </si>
  <si>
    <t>https://doi.org/10.1007/s40484-015-0049-7</t>
  </si>
  <si>
    <t>Deng, C., Daley, T., &amp; Smith, A. (2015). Applications of species accumulation curves in large‐scale biological data analysis. *Quantitative Biology, 3*(3), 135-144. &lt;https://doi.org/10.1007/s40484-015-0049-7&gt;</t>
  </si>
  <si>
    <t>Deng et al., 2015</t>
  </si>
  <si>
    <t>deng_et_al_2015</t>
  </si>
  <si>
    <t>https://doi.org/10.1111/2041-210x.12333</t>
  </si>
  <si>
    <t>Dénes, F. V., Silveira, L. F., Beissinger, S. R., &amp; Isaac, N. (2015). Estimating Abundance of Unmarked Animal Populations: Accounting for Imperfect Detection and Other Sources of Zero Inflation. *Methods in Ecology and Evolution, 6*(5), 543-556. &lt;https://doi.org/10.1111/2041-210x.12333&gt;</t>
  </si>
  <si>
    <t>Dénes et al., 2015</t>
  </si>
  <si>
    <t>denes_et_al_2015</t>
  </si>
  <si>
    <t>https://doi.org/10.1111/2041-210X.14247</t>
  </si>
  <si>
    <t>Delisle, Z. J., Henrich, M., Palencia, P., &amp; Swihart, R. K. (2023). Reducing bias in density estimates for unmarked populations that exhibit reactive behaviour towards camera traps. *Methods in Ecology and Evolution, 14*(12), 3100-3111. &lt;https://doi.org/10.1111/2041-210X.14247&gt;</t>
  </si>
  <si>
    <t>Delisle et al., 2023</t>
  </si>
  <si>
    <t>delisle_et_al_2023</t>
  </si>
  <si>
    <t>https://www.youtube.com/watch?v=CvM6j8hE8lE</t>
  </si>
  <si>
    <t>https://www.youtube.com/embed/CvM6j8hE8lE?si=E_kNQm9YYwgUECM3</t>
  </si>
  <si>
    <t>DE-CTR ACCEL (2016)</t>
  </si>
  <si>
    <t>dectre_accel_2016</t>
  </si>
  <si>
    <t>https://zslpublications.onlinelibrary.wiley.com/doi/epdf/10.1111/jzo.12838</t>
  </si>
  <si>
    <t>Davis, R. S., Stone, E. L., Gentle, L. K., Mgoola, W. O., Uzal, A., &amp; Yarnell, R. W. (2021). Spatial Partial Identity Model Reveals Low Densities of Leopard and Spotted Hyaena in a Miombo Woodland. *Journal of Zoology, 313*, 43-53. &lt;https://zslpublications.onlinelibrary.wiley.com/doi/epdf/10.1111/jzo.12838&gt;</t>
  </si>
  <si>
    <t>Davis et al., 2021</t>
  </si>
  <si>
    <t>davis_et_al_2021</t>
  </si>
  <si>
    <t>https://doi.org/10.1371/journal.pone.0126373</t>
  </si>
  <si>
    <t>Cusack et al., 2015</t>
  </si>
  <si>
    <t>cusack_et_al_2015</t>
  </si>
  <si>
    <t>https://doi.org/10.1111/ecog.07037</t>
  </si>
  <si>
    <t>Crisfield, V. E., Guillaume Blanchet, F., Raudsepp‐Hearne, C., &amp; Gravel, D. (2024). How and why species are rare: Towards an understanding of the ecological causes of rarity. *Ecography, 2024* (2), e07037. &lt;https://doi.org/10.1111/ecog.07037&gt;</t>
  </si>
  <si>
    <t>Crisfield et al., 2024</t>
  </si>
  <si>
    <t>crisfield_et_al_2024</t>
  </si>
  <si>
    <t>https://www.youtube.com/watch?v=DVo4KVMPnWg</t>
  </si>
  <si>
    <t>https://www.youtube.com/embed/DVo4KVMPnWg?si=m_umrFr9FjNb9KlK</t>
  </si>
  <si>
    <t>Cove, 2020d</t>
  </si>
  <si>
    <t>cove_2020d</t>
  </si>
  <si>
    <t>https://www.youtube.com/watch?v=-F-txltI_iA</t>
  </si>
  <si>
    <t>https://www.youtube.com/embed/-F-txltI_iA?si=C8R-MQ3pKcskOcQt</t>
  </si>
  <si>
    <t>Cove, 2020c</t>
  </si>
  <si>
    <t>cove_2020c</t>
  </si>
  <si>
    <t>https://www.youtube.com/watch?v=u--F8_oRpVU&amp;t=1s</t>
  </si>
  <si>
    <t>https://www.youtube.com/embed/u--F8_oRpVU?si=XzL4GMaQmvlL-noj</t>
  </si>
  <si>
    <t>Cove, 2020b</t>
  </si>
  <si>
    <t>cove_2020b</t>
  </si>
  <si>
    <t>https://www.youtube.com/watch?v=n21Ugw0lYcY</t>
  </si>
  <si>
    <t>https://www.youtube.com/embed/n21Ugw0lYcY?si=RUCD7WjcLPJdHR00</t>
  </si>
  <si>
    <t>Cove, 2020a</t>
  </si>
  <si>
    <t>cove_2020a</t>
  </si>
  <si>
    <t>https://doi.org/10.1007/s10531-017-1448-z</t>
  </si>
  <si>
    <t>Colyn, R. B., Radloff, F., &amp; O'Riain, M. J. (2018). Camera trapping mammals in the scrubland’s of the cape floristic kingdom - the importance of effort, spacing and trap placement. *Biodiversity and Conservation, 27*(2), 503-520. &lt;https://doi.org/10.1007/s10531-017-1448-z&gt;</t>
  </si>
  <si>
    <t>Colyn, Radloff &amp; O'Riain, 2018</t>
  </si>
  <si>
    <t>Colyn et al., 2018</t>
  </si>
  <si>
    <t>colyn_et_al_2018</t>
  </si>
  <si>
    <t>https://doi.org/10.1093/jpe/rtr044</t>
  </si>
  <si>
    <t>Colwell, R., Chao, A., Gotelli, N., Lin, S., Mao, C., Chazdon, R., &amp; Longino, J. (2012). Models and estimators linking individual-based and sample-based rarefaction, extrapolation and comparison of assemblages. *Journal of Plant Ecology, 5*(1), 3-21. &lt;https://doi.org/10.1093/jpe/rtr044&gt;</t>
  </si>
  <si>
    <t>Colwell et al., 2012</t>
  </si>
  <si>
    <t>colwell_et_al_2012</t>
  </si>
  <si>
    <t>https://doi.org/10.1890/03-0557</t>
  </si>
  <si>
    <t>Colwell, R. K., Mao, C. X., &amp; Chang, J. (2004). Interpolating, Extrapolating, and Comparing Incidence-based Species Accumulation Curves. *Ecology, 85*(10), 2717-2727. &lt;https://doi.org/10.1890/03-0557&gt;</t>
  </si>
  <si>
    <t>Colwell, Mao &amp; Chang, 2004</t>
  </si>
  <si>
    <t>Colwell et al., 2004</t>
  </si>
  <si>
    <t>colwell_et_al_2004</t>
  </si>
  <si>
    <t>https://doi.org/10.1098/rstb.1994.0091</t>
  </si>
  <si>
    <t>Colwell, R. K., &amp; Coddington, J. A. (1994).Estimating terrestrial biodiversity through extrapolation. *Philosophical Transactions of the Royal Society of London. Series B, Biological Sciences, 345*, 101-118. &lt;https://doi.org/10.1098/rstb.1994.0091&gt;</t>
  </si>
  <si>
    <t>Colwell &amp; Coddington, 1994</t>
  </si>
  <si>
    <t>colwell_coddington_1994</t>
  </si>
  <si>
    <t>https://www.robertkcolwell.org/pages/1407</t>
  </si>
  <si>
    <t>Colwell, R. K. (2022). *EstimateS: Statistical Estimation of Species Richness and Shared Species from Samples*. Version 9.1. &lt;https://www.robertkcolwell.org/pages/1407&gt;</t>
  </si>
  <si>
    <t>Colwell, 2022</t>
  </si>
  <si>
    <t>colwell_2022</t>
  </si>
  <si>
    <t>https://doi.org/10.1002/jwmg.22636</t>
  </si>
  <si>
    <t>Coltrane, J., DeCesare, N. J., Horne, J. S., &amp; Lukacs, P. M. (2024). Comparing camera-based ungulate Density estimates: A case study using island populations of bighorn sheep and mule deer. *The Journal of Wildlife Management, 88*(7), e22636. &lt;https://doi.org/10.1002/jwmg.22636&gt;</t>
  </si>
  <si>
    <t>Coltrane et al., 2024</t>
  </si>
  <si>
    <t>coltrane_et_al_2024</t>
  </si>
  <si>
    <t>https://doi.org/10.1098/rsif.2008.0014</t>
  </si>
  <si>
    <t>Codling, E. A., Plank, M. J., &amp; Benhamou, S. (2008). Random walk models in biology. *Journal of The Royal Society Interface, 5*(25), 813-834. &lt;https://doi.org/10.1098/rsif.2008.0014&gt;</t>
  </si>
  <si>
    <t>Codling, Plank &amp; Benhamou, 2008</t>
  </si>
  <si>
    <t>Codling et al., 2008</t>
  </si>
  <si>
    <t>codling_et_al_2008</t>
  </si>
  <si>
    <t>https://www.youtube.com/watch?v=VadXgBMhiTY</t>
  </si>
  <si>
    <t>Columbia Mountains Institute of Applied Ecology [CMI]. (2020) *Chris Beirne: Tips and Tricks for the Organization and Analysis of Camera Trap Data*. &lt;https://www.youtube.com/watch?v=VadXgBMhiTY&gt;</t>
  </si>
  <si>
    <t>Columbia Mountains Institute of Applied Ecology [CMI], 2020</t>
  </si>
  <si>
    <t>cmi_2020</t>
  </si>
  <si>
    <t>https://doi.org/10.1016/j.biocon.2004.04.025</t>
  </si>
  <si>
    <t>Clevenger, A. P., &amp; Waltho, N. (2005). Performance indices to identify attributes of highway crossing structures facilitating movement of large mammals. *Biological Conservation, 121* (3), 453-464. &lt;https://doi.org/10.1016/j.biocon.2004.04.025&gt;</t>
  </si>
  <si>
    <t>Clevenger &amp; Waltho, 2005</t>
  </si>
  <si>
    <t>clevenger_waltho_2005</t>
  </si>
  <si>
    <t>https://doi.org/10.13140/RG.2.2.18364.72320</t>
  </si>
  <si>
    <t>Clarke, J., Bohm, H., Burton, C., Constantinou, A. (2023). *Using Camera Traps to Estimate Medium and Large Mammal Density: Comparison of Methods and Recommendations for Wildlife Managers*. &lt;https://doi.org/10.13140/RG.2.2.18364.72320&gt;</t>
  </si>
  <si>
    <t>Clarke et al., 2023</t>
  </si>
  <si>
    <t>https://doi.org/10.1002/1438-390X.1011</t>
  </si>
  <si>
    <t>Clarke, 2019</t>
  </si>
  <si>
    <t>clarke_2019</t>
  </si>
  <si>
    <t>https://doi.org/10.1038/sj.bjc.6601118</t>
  </si>
  <si>
    <t>Clark, T. G., Bradburn, M. J., Love, S. B., &amp; Altman, D. G. (2003). Survival Analysis Part I: Basic Concepts and First Analyses. *British Journal of Cancer, 89*(2), 232-38. &lt;https://doi.org/10.1038/sj.bjc.6601118&gt;</t>
  </si>
  <si>
    <t>Clark et al., 2003</t>
  </si>
  <si>
    <t>clark_et_al_2003</t>
  </si>
  <si>
    <t>https://doi.org/10.1002/ecs2.3748</t>
  </si>
  <si>
    <t>Chatterjee, N., Schuttler, T. G., Nigam, P., &amp; Habib, B. (2021). Deciphering the rarity-detectability continuum: optimizing Survey design for terrestrial mammalian community. *Ecosphere 12*(9), e03748. &lt;https://doi.org/10.1002/ecs2.3748&gt;</t>
  </si>
  <si>
    <t>Chatterjee et al., 2021</t>
  </si>
  <si>
    <t>chatterjee_et_al_2021</t>
  </si>
  <si>
    <t>http://chao.stat.nthu.edu.tw/wordpress/software_download/inextonline/</t>
  </si>
  <si>
    <t>Chao, A., Ma, K. H., &amp; Hsieh, T. C. (2016). *iNEXT Online: Software for Interpolation and Extrapolation of Species Diversity.* Program and User’s Guide published at &lt;http://chao.stat.nthu.edu.tw/wordpress/software_download/inextonline/&gt;</t>
  </si>
  <si>
    <t>Chao et al., 2016</t>
  </si>
  <si>
    <t>chao_et_al_2016</t>
  </si>
  <si>
    <t>https://doi.org/10.1890/13-0133.1</t>
  </si>
  <si>
    <t>Chao, A., Gotelli, N.J., Hsieh, T. C., Sander, E. L., Ma, K. H., Colwell, R. K. &amp; Ellison, A. M. (2014). Rarefaction and extrapolation with Hill numbers: a framework for sampling and estimation in species diversity studies. *Ecological Monographs, 84*, 45-67. &lt;https://doi.org/10.1890/13-0133.1&gt;</t>
  </si>
  <si>
    <t>Chao et al., 2014</t>
  </si>
  <si>
    <t>chao_et_al_2014</t>
  </si>
  <si>
    <t>https://doi.org/10.1214/12-aoas610</t>
  </si>
  <si>
    <t>Chandler, R. B., &amp; Royle, J. A. (2013). Spatially explicit models for inference about Density in unmarked or partially marked populations. *The Annals of Applied Statistics, 7*(2), 936-954. &lt;https://doi.org/10.1214/12-aoas610&gt;</t>
  </si>
  <si>
    <t>Chandler &amp; Royle, 2013</t>
  </si>
  <si>
    <t>chandler_royle_2013</t>
  </si>
  <si>
    <t>https://books.google.ca/books/about/Analysis_of_Vertebrate_Populations.html?id=qAcUAQAAIAAJ&amp;redir_esc=y</t>
  </si>
  <si>
    <t>Caughley, G. (1977). *Analysis of Vertebrate Populations* (pp. 234). Wiley. &lt;https://books.google.ca/books/about/Analysis_of_Vertebrate_Populations.html?id=qAcUAQAAIAAJ&amp;redir_esc=y&gt;</t>
  </si>
  <si>
    <t>Caughley, 1977</t>
  </si>
  <si>
    <t>caughley_1977</t>
  </si>
  <si>
    <t>https://doi.org/10.1017/S1367943001001081</t>
  </si>
  <si>
    <t>Carbone, C., Christie, S., Conforti, K., Coulson, T., Franklin, N., Ginsberg, J. R., Griffiths, M., Holden, J., Kawanishi, K., Kinnaird, M., Laidlaw, R., Lynam, A., Macdonald, D. W., Martyr, D., McDougal, C., Nath, L., O'Brien, T., Seidensticker, J., Smith, D. J. L., Wan Shahruddin, W. N. (2001). The use of photographic rates to estimate densities of tigers and other cryptic mammals. *Animal Conservation, 4*(1), 75-79. &lt;https://doi.org/10.1017/S1367943001001081&gt;</t>
  </si>
  <si>
    <t>Carbone et al., 2001</t>
  </si>
  <si>
    <t>carbone_et_al_2001</t>
  </si>
  <si>
    <t>https://doi.org/10.1111/csp2.239</t>
  </si>
  <si>
    <t>Caravaggi, A., Burton, A. C., Clark, D. A., Fisher, J. T., Grass, A., Green, S., Hobaiter, C., Hofmeester, T. R., Kalan, A. K., Rabaiotti, D., &amp; Rivet, D. (2020). A Review of Factors To Consider When Using Camera Traps To Study Animal Behavior To Inform Wildlife Ecology And Conservation. *Conservation Science and Practice, 2*(8). &lt;https://doi.org/10.1111/csp2.239&gt;</t>
  </si>
  <si>
    <t>Caravaggi et al., 2020</t>
  </si>
  <si>
    <t>caravaggi_et_al_2020</t>
  </si>
  <si>
    <t>https://doi.org/10.1002/rse2.48</t>
  </si>
  <si>
    <t>Caravaggi, A., Banks, P. B., Burton, A. C., Finlay, C. M. V., Haswell, P. M., Hayward, M. W., Rowcliffe, M. J., Wood, M. D., Pettorelli, N., &amp; Sollmann, R. (2017). A review of camera trapping for conservation behaviour research*. Remote Sensing in Ecology and Conservation, 3*(3), 109-122. &lt;https://doi.org/10.1002/rse2.48&gt;</t>
  </si>
  <si>
    <t>Caravaggi et al., 2017</t>
  </si>
  <si>
    <t>caravaggi_et_al_2017</t>
  </si>
  <si>
    <t>https://doi.org/10.1002/ecs2.3299</t>
  </si>
  <si>
    <t>Cappelle, N., Howe, E. J., Boesch, C., &amp; Kühl, H. S. (2021). Estimating Animal Abundance and Effort-Precision Relationship with Camera Trap Distance Sampling. *Ecosphere, 12*(1). &lt;https://doi.org/10.1002/ecs2.3299&gt;</t>
  </si>
  <si>
    <t>Cappelle et al., 2021</t>
  </si>
  <si>
    <t>cappelle_et_al_2021</t>
  </si>
  <si>
    <t>https://doi.org/10.1002/ajp.22962</t>
  </si>
  <si>
    <t>Cappelle, N., Després‐Einspenner, M., Howe, E. J., Boesch, C., &amp; Kühl, H. S. (2019). Validating camera trap distance sampling for chimpanzees. *American Journal of Primatology, 81*(3), e22962. &lt;https://doi.org/10.1002/ajp.22962&gt;</t>
  </si>
  <si>
    <t>Cappelle et al., 2019</t>
  </si>
  <si>
    <t>cappelle_et_al_2019</t>
  </si>
  <si>
    <t>https://www.youtube.com/watch?v=q2NRQBcihQY</t>
  </si>
  <si>
    <t>Cao (2021)</t>
  </si>
  <si>
    <t>cao_2021</t>
  </si>
  <si>
    <t>https://cran.r-project.org/web/packages/overlap/index.html</t>
  </si>
  <si>
    <t>Campbell, A. (2024). *Package ‘overlap’*. R package version 0.3.9. &lt;https://cran.r-project.org/web/packages/overlap/index.html&gt;</t>
  </si>
  <si>
    <t>Campbell, 2024</t>
  </si>
  <si>
    <t>campbell_2024</t>
  </si>
  <si>
    <t>https://kevintshoemaker.github.io/NRES-746/Occupancy.html</t>
  </si>
  <si>
    <t>Byrne, M. &amp; Golden, J. (2021). *Occupancy Modeling.* &lt;https://kevintshoemaker.github.io/NRES-746/Occupancy.html&gt;</t>
  </si>
  <si>
    <t>Byrne &amp; Golden, 2021</t>
  </si>
  <si>
    <t>byrne_golden_2021</t>
  </si>
  <si>
    <t>https://doi.org/10.1111/1365-2664.12432</t>
  </si>
  <si>
    <t>Burton, A. C., Neilson, E., Moreira, D., Ladle, A., Steenweg, R., Fisher, J. T., Bayne, E., Boutin, S., &amp; Stephens, P. (2015). Camera trap Trapping: A Review and Recommendations for Linking Surveys to Ecological Processes. *Journal of Applied Ecology, 52*(3), 675-685. &lt;https://doi.org/10.1111/1365-2664.12432&gt;</t>
  </si>
  <si>
    <t>Burton et al., 2015</t>
  </si>
  <si>
    <t>burton_et_al_2015</t>
  </si>
  <si>
    <t>https://doi.org/10.1002/wsb.898</t>
  </si>
  <si>
    <t>Burkholder, E. N., Jakes, A. F., Jones, P. F., Hebblewhite, M., &amp; Bishop, C. J. (2018). To Jump or Not to Jump: Mule Deer and White-Tailed Deer Fence Crossing Decisions. *Wildlife Society Bulletin, 42*(3), 420-429. &lt;https://doi.org/10.1002/wsb.898&gt;</t>
  </si>
  <si>
    <t>Burkholder et al., 2018</t>
  </si>
  <si>
    <t>burkholder_et_al_2018</t>
  </si>
  <si>
    <t>https://doi.org/10.1111/cobi.13233</t>
  </si>
  <si>
    <t>Burgar, J. M., Burton, A. C., &amp; Fisher, J. T. (2019). The importance of considering multiple interacting species for conservation of species at risk. *Conservation Biology, 33*(3), 709-715. &lt;https://doi.org/10.1111/cobi.13233&gt;</t>
  </si>
  <si>
    <t>Burgar, Burton, &amp; Fisher, 2019</t>
  </si>
  <si>
    <t>Burgar et al., 2019</t>
  </si>
  <si>
    <t>burgar_et_al_2019</t>
  </si>
  <si>
    <t>https://doi.org/10.1016/j.gecco.2018.e00411</t>
  </si>
  <si>
    <t>Burgar, J. M., Stewart, F. E. C., Volpe, J. P., Fisher, J. T., &amp; Burton, A. C. (2018). Estimating Density for species conservation: comparing camera trap spatial count models to genetic spatial capture-recapture models. *Global Ecology and Conservation, 15*, Article e00411. &lt;https://doi.org/10.1016/j.gecco.2018.e00411&gt;</t>
  </si>
  <si>
    <t>Burgar et al., 2018</t>
  </si>
  <si>
    <t>burgar_et_al_2018</t>
  </si>
  <si>
    <t>Burgar, J. M. (2021). *Counting Elk Amongst the Trees: Improving the Accuracy of Roosevelt Elk Inventory via Modelling, Preliminary Report 2021*. Terrestrial Wildlife Resources, South Coast Resource Management, FLNRORD. (available upon request).</t>
  </si>
  <si>
    <t>Burgar, 2021</t>
  </si>
  <si>
    <t>burgar_2021</t>
  </si>
  <si>
    <t>https://doi.org/10.1007/978-3-319-19219-2</t>
  </si>
  <si>
    <t>Buckland, S. T., E. A. Rexstad, T. A. Marques, C. S. Oedekoven. (2015). *Mathematics and Statistics. Distance Sampling: Methods and Applications.* Springer International Publishing. &lt;https://doi.org/10.1007/978-3-319-19219-2&gt;</t>
  </si>
  <si>
    <t>Buckland et al., 2015</t>
  </si>
  <si>
    <t>buckland_et_al_2015</t>
  </si>
  <si>
    <t>https://doi.org/10.1007/978-94-011-1574-2</t>
  </si>
  <si>
    <t>Buckland, S. T., D.R. Anderson, K.P. Burnham, &amp; J.L. Laake. (1998). *Distance Sampling: Estimating Abundance of Biological Populations*. Chapman &amp; Hall, London. &lt;https://doi.org/10.1007/978-94-011-1574-2&gt;</t>
  </si>
  <si>
    <t>Buckland et al., 1998</t>
  </si>
  <si>
    <t>buckland_et_al_1993</t>
  </si>
  <si>
    <t>https://doi.org/10.1642/0004-8038(2006)123[345:PSFSRM]2.0.CO;2</t>
  </si>
  <si>
    <t>Buckland, S. T. (2006). Point-Transect Surveys for Songbirds: Robust Methodologies. *The American Ornithologists’ Union, 123*(2), 345-357. &lt;https://doi.org/10.1642/0004-8038(2006)123[345:PSFSRM]2.0.CO;2&gt;</t>
  </si>
  <si>
    <t>Buckland, 2006</t>
  </si>
  <si>
    <t>buckland_2006</t>
  </si>
  <si>
    <t>https://doi.org/10.1111/aje.12972</t>
  </si>
  <si>
    <t>Brownlee, M., Warbington, C., &amp; Boyce., M. (2022). Monitoring Sitatunga (*Tragelaphus Spekii*) Populations Using Camera Traps. *African Journal of Ecology, 60*(3), 377. &lt;https://doi.org/10.1111/aje.12972&gt;</t>
  </si>
  <si>
    <t>Brownlee, Warbington &amp; Boyce, 2022</t>
  </si>
  <si>
    <t>Brownlee et al., 2022</t>
  </si>
  <si>
    <t>brownlee_et_al_2022</t>
  </si>
  <si>
    <t>https://doi.org/10.1111/geb.13625</t>
  </si>
  <si>
    <t>Broekman, M. J. E., Hoeks, S., Freriks, R., Langendoen, M. M., Runge, K. M., Savenco, E., Ter Harmsel, R., Huijbregts, M. A. J., &amp; Tucker, M. A. (2023). HomeRange: A global database of mammalian home ranges. *Global Ecology and Biogeography, 32*(2), 198-205. &lt;https://doi.org/10.1111/geb.13625&gt;</t>
  </si>
  <si>
    <t>Broekman et al., 2022</t>
  </si>
  <si>
    <t>broekman_et_al_2022</t>
  </si>
  <si>
    <t>https://doi.org/10.1111/cobi.12389</t>
  </si>
  <si>
    <t>Brodie, J. F., Giordano, A. J., Zipkin, E. F., Bernard, H., Mohd‐Azlan, J., &amp; Ambu, L. (2015). Correlation and persistence of hunting and logging impacts on tropical rainforest mammals. *Conservation Biology, 29*(1), 110-121. &lt;https://doi.org/10.1111/cobi.12389&gt;</t>
  </si>
  <si>
    <t>Brodie et al., 2015</t>
  </si>
  <si>
    <t>brodie_et_al_2015</t>
  </si>
  <si>
    <t>https://doi.org/10.1002/ece3.5840.</t>
  </si>
  <si>
    <t>Broadley, K., Burton, A. C., Avgar, T., &amp; Boutin, S. (2019). Density‐dependent space use affects interpretation of camera trap detection rates. *Ecology and Evolution, 9*(24), 14031-14041. &lt;https://doi.org/10.1002/ece3.5840&gt;.</t>
  </si>
  <si>
    <t>Broadley et al., 2019</t>
  </si>
  <si>
    <t>broadley_et_al_2019</t>
  </si>
  <si>
    <t>Bridges, A. S., &amp; Noss, A. J. (2011). Behavior and Activity Patterns. In A. F. O'Connell, J. D. Nichols, &amp; K. U. Karanth (Eds.), *Camera Traps In Animal Ecology: Methods and Analyses* (pp. 57-70). Springer. &lt;https://doi.org/10.1007/978-4-431-99495-4&gt;</t>
  </si>
  <si>
    <t>Bridges &amp; Noss, 2011</t>
  </si>
  <si>
    <t>bridges_noss_2011</t>
  </si>
  <si>
    <t>https://www.press.jhu.edu/books/title/11858/quantitative-analyses-wildlife-science</t>
  </si>
  <si>
    <t>Brennan, L. A. (2019). *Quantitative Analyses in Wildlife Science*. Johns Hopkins University Press, Baltimore. &lt;https://www.press.jhu.edu/books/title/11858/quantitative-analyses-wildlife-science&gt;</t>
  </si>
  <si>
    <t>Brennan, 2019</t>
  </si>
  <si>
    <t>brennan_2019</t>
  </si>
  <si>
    <t>https://doi.org/10.1111/j.1365-2028.2007.00881.x</t>
  </si>
  <si>
    <t>Bowkett, A. E., Rovero, F., &amp; Marshall, A. R. (2008). The use of camera-trap data to model habitat use by antelope species in the udzungwa mountain forests, tanzania. *African Journal of Ecology, 46*(4), 479-487. &lt;https://doi.org/10.1111/j.1365-2028.2007.00881.x&gt;</t>
  </si>
  <si>
    <t>Bowkett, Rovero &amp; Marshall, 2008</t>
  </si>
  <si>
    <t>Bowkett et al., 2008</t>
  </si>
  <si>
    <t>bowkett_et_al_2008</t>
  </si>
  <si>
    <t>https://doi.org/10.1080/01621459.2014.893884</t>
  </si>
  <si>
    <t>Borchers, D. L., Stevenson, B. C., Kidney, D., Thomas, L., &amp; Marques, T. A. (2015). A Unifying Model for Capture-Recapture and Distance Sampling Surveys of Wildlife Populations. *Journal of the American Statistical Association, 110*(509), 195-204. &lt;https://doi.org/10.1080/01621459.2014.893884&gt;</t>
  </si>
  <si>
    <t>Borchers et al., 2015</t>
  </si>
  <si>
    <t>borchers_et_al_2015</t>
  </si>
  <si>
    <t>https://doi.org/10.1111/j.1541-0420.2007.00927.x</t>
  </si>
  <si>
    <t>Borchers, D. L., &amp; Efford, M. G. (2008). Spatially Explicit Maximum Likelihood Methods for Capture-Recapture Studies. *Biometrics, 64*(2), 377-385. &lt;https://doi.org/10.1111/j.1541-0420.2007.00927.x&gt;</t>
  </si>
  <si>
    <t>Borchers &amp; Efford, 2008</t>
  </si>
  <si>
    <t>borchers_efford_2008</t>
  </si>
  <si>
    <t>https://doi.org/10.1007/s10336-010-0583-z</t>
  </si>
  <si>
    <t>Borchers, D. (2012). A non-technical overview of spatially explicit capture-recapture models. *Journal of Ornithology, 152*(S2), 435-444. &lt;https://doi.org/10.1007/s10336-010-0583-z&gt;</t>
  </si>
  <si>
    <t>Borchers, 2012</t>
  </si>
  <si>
    <t>borchers_2012</t>
  </si>
  <si>
    <t>https://link.springer.com/article/10.1007/s10182-016-0287-7</t>
  </si>
  <si>
    <t>Borcher, D. L., &amp; Marques, T. A. (2017). From Distance Sampling to Spatial Capture-Recapture. *Asta Advances In Statistical Analysis, 101*, 475-494. &lt;https://link.springer.com/article/10.1007/s10182-016-0287-7&gt;</t>
  </si>
  <si>
    <t>Borcher &amp; Marques, 2017</t>
  </si>
  <si>
    <t>borcher_marques_2017</t>
  </si>
  <si>
    <t>https://doi.org/10.2307/3001850</t>
  </si>
  <si>
    <t>Bliss, C. I., &amp; Fisher, R. A. (1953). Fitting the Negative Binomial Distribution to Biological Data. *Biometrics, 9*(2), 176-200. &lt;https://doi.org/10.2307/3001850&gt;</t>
  </si>
  <si>
    <t>Bliss &amp; Fisher, 1953</t>
  </si>
  <si>
    <t>bliss_fisher_1953</t>
  </si>
  <si>
    <t>https://doi.org/10.1111/2041-210x.13185</t>
  </si>
  <si>
    <t>Blasco‐Moreno, A., Pérez‐Casany, M., Puig, P., Morante, M., Castells, E., &amp; O'Hara, R. B. (2019). What Does a Zero Mean? Understanding False, Random and Structural Zeros in Ecology. *Methods in Ecology and Evolution, 10*(7), 949-959. &lt;https://doi.org/10.1111/2041-210x.13185&gt;</t>
  </si>
  <si>
    <t>Blasco‐Moreno et al., 2019</t>
  </si>
  <si>
    <t>Blasco-Moreno et al., 2019</t>
  </si>
  <si>
    <t>blasco_moreno_et_al_2019</t>
  </si>
  <si>
    <t>https://doi.org/10.1002/jwmg.453</t>
  </si>
  <si>
    <t>Blanc, L., Marboutin, E., Gatti, S., &amp; Gimenez, O. (2013). Abundance of Rare and Elusive Species: Empirical Investigation of Closed versus Spatially Explicit Capture-Recapture Models with Lynx as a Case Study. *Journal of Wildlife Management, 77*(2), 372-78. &lt;https://doi.org/10.1002/jwmg.453&gt;</t>
  </si>
  <si>
    <t>Blanc et al., 2013</t>
  </si>
  <si>
    <t>blanc_et_al_2013</t>
  </si>
  <si>
    <t>https://doi.org/10.1016/S0065-2504(08)60033-1</t>
  </si>
  <si>
    <t>Blackburn, T., &amp; Gaston, K. (1999). The relationship between animal abundance and body size: A review of the mechanisms. In *A. Fitter &amp; D. Raffaelli (Eds.), Advances In Ecological Research, Vol 28*, 181-210. &lt;https://doi.org/10.1016/S0065-2504(08)60033-1&gt;</t>
  </si>
  <si>
    <t>Blackburn &amp; Gaston, 1999</t>
  </si>
  <si>
    <t>blackburn_gaston_1999</t>
  </si>
  <si>
    <t>https://doi.org/10.2981/wlb.00649</t>
  </si>
  <si>
    <t>Bischof, R., Dupont, P., Milleret, C., ChipperfIeld, J., &amp; Royle, J. A. (2020). Consequences of Ignoring Group Association in Spatial Capture-Recapture Analysis. *Wildlife Biology, 2020*(1). &lt;https://doi.org/10.2981/wlb.00649&gt;</t>
  </si>
  <si>
    <t>Bischof et al., 2020</t>
  </si>
  <si>
    <t>bischof_et_al_2020</t>
  </si>
  <si>
    <t>https://old-ib.bioninja.com.au/options/option-c-ecology-and-conser/c4-conservation-of-biodiver/biodiversity.html</t>
  </si>
  <si>
    <t>Bioninja (N.D.). *Biodiversity.* &lt;https://old-ib.bioninja.com.au/options/option-c-ecology-and-conser/c4-conservation-of-biodiver/biodiversity.html&gt;</t>
  </si>
  <si>
    <t>Bioninja, N.D.</t>
  </si>
  <si>
    <t>bioninja_nd</t>
  </si>
  <si>
    <t>https://doi.org/10.1111/1365-2664.13602</t>
  </si>
  <si>
    <t>Bessone, M., Kühl, H. S., Hohmann, G., Herbinger, I., N'Goran, K. P., Asanzi, P., Da Costa, P. B., Dérozier, V., Fotsing, E. D. B., Beka, B. I., Iyomi, M. D., Iyatshi, I. B., Kafando, P., Kambere, M. A., Moundzoho, D. B., Wanzalire, M. L. K., Fruth, B., &amp; Michalski, F. (2020). Drawn out of the Shadows: Surveying Secretive Forest Species with Camera Trap Distance Sampling. *Journal of Applied Ecology, 57*(5), 963-974. &lt;https://doi.org/10.1111/1365-2664.13602&gt;</t>
  </si>
  <si>
    <t>Bessone et al., 2020</t>
  </si>
  <si>
    <t>bessone_et_al_2020</t>
  </si>
  <si>
    <t>https://shiny.posit.co/r/gallery/life-sciences/biodiversity-national-parks</t>
  </si>
  <si>
    <t>Benedetti, A. (2024). *Visualizing Biodiversity in [U.S.] National Parks.* &lt;https://shiny.posit.co/r/gallery/life-sciences/biodiversity-national-parks&gt;</t>
  </si>
  <si>
    <t>Benedetti, 2024</t>
  </si>
  <si>
    <t>benedetti_2024</t>
  </si>
  <si>
    <t>https://doi.org/10.48550/arXiv.1907.06772</t>
  </si>
  <si>
    <t>Beery, S., Morris, D., &amp; Yang, S. (2019). Efficient Pipeline for Camera Trap Image Review. *Microsoft AI for Earth*. &lt;https://doi.org/10.48550/arXiv.1907.06772&gt;</t>
  </si>
  <si>
    <t>Beery, Morris &amp; Yang, 2019</t>
  </si>
  <si>
    <t>Beery et al., 2019</t>
  </si>
  <si>
    <t>beery_et_al_2019</t>
  </si>
  <si>
    <t>https://doi.org/10.1002/ecs2.4005</t>
  </si>
  <si>
    <t>Becker, M., Huggard, D. J., Dickie, M., Warbington, C., Schieck, J., Herdman, E., Serrouya, R., &amp; Boutin, S. (2022). Applying and Testing a Novel Method to Estimate Animal Density from Motion-Triggered Cameras. *Ecosphere, 13*(4), 1-14. &lt;https://doi.org/10.1002/ecs2.4005&gt;</t>
  </si>
  <si>
    <t>Becker et al., 2022</t>
  </si>
  <si>
    <t>becker_et_al_2022</t>
  </si>
  <si>
    <t>https://github.com/mabecker89/tifc-method</t>
  </si>
  <si>
    <t>Becker, M. Huggard, D. J., &amp; Alberta Biodiversity Monitoring Institute [ABMI]. (2021).*Estimating animal density using TIFC (Time In Front of Camera).* &lt;https://github.com/mabecker89/tifc-method&gt;</t>
  </si>
  <si>
    <t>Becker et al., 2021</t>
  </si>
  <si>
    <t>becker_et_al_2021</t>
  </si>
  <si>
    <t>https://mabecker89.github.io/abmi.camera.extras</t>
  </si>
  <si>
    <t>Becker, M. Huggard, D. J., &amp; Alberta Biodiversity Monitoring Institute [ABMI]. (2020). *abmi.camera.extras.* R package version 0.0.1. &lt;https://mabecker89.github.io/abmi.camera.extras&gt;</t>
  </si>
  <si>
    <t>becker_et_al_2020</t>
  </si>
  <si>
    <t>https://ab-rcsc.github.io/GOA_Ungulate-monitoring-methods-workshop/1_pages/3_Speaker-Bios.html</t>
  </si>
  <si>
    <t>Becker, M. (2024, June 4-6). *Comparisons between moose densities with aerial surveys and integrated camera projects.* [Conference presentation]. Government of Alberta Ungulate Monitoring Methods Workshop, Edmonton, AB, Canada. &lt;https://ab-rcsc.github.io/GOA_Ungulate-monitoring-methods-workshop/1_pages/3_Speaker-Bios.html&gt;</t>
  </si>
  <si>
    <t>Becker, 2024</t>
  </si>
  <si>
    <t>becker_2024</t>
  </si>
  <si>
    <t>https://open.alberta.ca/publications/9781460151341</t>
  </si>
  <si>
    <t>Bayne, E., Dennett, J., Dooley, J., Kohler, M., Ball, J., Bidwell, M., Braid, A., Chetelat, J., Dillegeard, E., Farr, D., Fisher, J., Freemark, M., Foster, K., Godwin, C., Hebert, C., Huggard, D., McIssac, D., Narwani, T., Nielsen, S., Pauli, B., Prasad, S., Roberts, D., Slater, S., Song, S., Swanson, S., Thomas, P., Toms, J., Twitchell, C., White, S., Wyatt, F., &amp; Mundy, L. (2021). *Oil Sands Monitoring Program: A Before-After Dose- Response Terrestrial Biological Monitoring Framework for the Oil Sands*. (OSM Technical Report Series No. 7). &lt;https://open.alberta.ca/publications/9781460151341&gt;</t>
  </si>
  <si>
    <t>Bayne et al., 2021</t>
  </si>
  <si>
    <t>bayne_et_al_2021</t>
  </si>
  <si>
    <t>https://www.youtube.com/watch?v=UXJ0r4hjbqI</t>
  </si>
  <si>
    <t>Baylor Tutoring Center. (2021, July 31). *Species Diversity and Species Richness* [Video]. YouTube. &lt;https://www.youtube.com/watch?v=UXJ0r4hjbqI&gt;</t>
  </si>
  <si>
    <t>Baylor Tutoring Center, 2021</t>
  </si>
  <si>
    <t>baylor_tutoring_center_2021</t>
  </si>
  <si>
    <t>https://doi.org/10.1111/1365-2664.12272</t>
  </si>
  <si>
    <t>Banks‐Leite, C., Pardini, R., Boscolo, D., Cassano, C. R., Püttker, T., Barros, C. S., &amp; Barlow, J. (2014). Assessing the utility of statistical adjustments for imperfect detection in tropical conservation science. *Journal of Applied Ecology, 51*(4), 849-859. &lt;https://doi.org/10.1111/1365-2664.12272&gt;</t>
  </si>
  <si>
    <t>Banks‐Leite et al., 2014</t>
  </si>
  <si>
    <t>banksleite_2014</t>
  </si>
  <si>
    <t>https://doi.org/10.1016/j.mambio.2016.05.005</t>
  </si>
  <si>
    <t>Balestrieri, A., Ruiz-González, A., Vergara, M., Capelli, E., Tirozzi, P., Alfino, S., Minuti, G., Prigioni, C., &amp; Saino, N. (2016). Pine marten density in lowland riparian woods: A test of the Random Encounter Model based on genetic data. *Mammalian Biology, 81*(5), 439-446. &lt;https://doi.org/10.1016/j.mambio.2016.05.005&gt;</t>
  </si>
  <si>
    <t>Balestrieri et al., 2016</t>
  </si>
  <si>
    <t>balestrieri_et_al_2016</t>
  </si>
  <si>
    <t>https://www.jstor.org/stable/40061993</t>
  </si>
  <si>
    <t>Bailey, L. L., Hines, J. E., Nichols, J. D., &amp; MacKenzie, D. I. (2007). Sampling Design Trade-Offs in Occupancy Studies with Imperfect Detection: Examples and Software. *Ecological Applications, 17*(1), 281-290. &lt;https://www.jstor.org/stable/40061993&gt;</t>
  </si>
  <si>
    <t>Bailey et al., 2007</t>
  </si>
  <si>
    <t>bailey_et_al_2007</t>
  </si>
  <si>
    <t>https://www.researchgate.net/profile/Mohamed-Mourad-Lafifi/post/One-dimensional-spatial-point-processes/attachment/59d641b279197b807799d9fb/AS%3A436024913469445%401480967848679/download/07-baddeley-point-process-poisson-coverage-sensor-simulation.pdf</t>
  </si>
  <si>
    <t>Baddeley, A. (N.D.) *Spatial Point Processes and Their Applications.* School of Mathematics &amp; Statistics, University of Western Australia. &lt;https://www.researchgate.net/profile/Mohamed-Mourad-Lafifi/post/One-dimensional-spatial-point-processes/attachment/59d641b279197b807799d9fb/AS%3A436024913469445%401480967848679/download/07-baddeley-point-process-poisson-coverage-sensor-simulation.pdf&gt;</t>
  </si>
  <si>
    <t>Baddeley, n.d.</t>
  </si>
  <si>
    <t>baddeley_nd</t>
  </si>
  <si>
    <t>Babu, A. (N.D.). *Alpha, Beta and Gamma Diversity: Biodiversity at different scales*. &lt;https://eco-intelligent.com/2016/10/14/alpha-beta-gamma-diversity&gt;</t>
  </si>
  <si>
    <t>Babu, N.D.</t>
  </si>
  <si>
    <t>babu_nd</t>
  </si>
  <si>
    <t>https://doi.org/10.1002/ecs2.3933</t>
  </si>
  <si>
    <t>Ausband et al., 2022</t>
  </si>
  <si>
    <t>ausband_et_al_2022</t>
  </si>
  <si>
    <t>https://doi.org/10.1002/ecs2.2627</t>
  </si>
  <si>
    <t>Augustine, B. C., Royle, J. A., Murphy, S. M., Chandler, R. B., Cox, J. J., &amp; Kelly, M. J. (2019). Spatial Capture-Recapture for Categorically Marked Populations with an Application to Genetic Capture-Recapture. *Ecosphere, 10*(4) e02627-n/a. &lt;https://doi.org/10.1002/ecs2.2627&gt;</t>
  </si>
  <si>
    <t>Augustine et al., 2019</t>
  </si>
  <si>
    <t>augustine_et_al_2019</t>
  </si>
  <si>
    <t>https://doi.org/10.1214/17AOAS1091</t>
  </si>
  <si>
    <t>Augustine, B. C., Royle, J. A., Kelly, M. J., Satter, C. B., Alonso, R. S., Boydston, E. E., &amp; Crooks, K. R. (2018). Spatial Capture-Recapture with Partial Identity: An Application to Camera Traps. *The Annals of Applied Statistics, 12*(1), 67-95. &lt;https://doi.org/10.1214/17AOAS1091&gt;</t>
  </si>
  <si>
    <t>Augustine et al., 2018</t>
  </si>
  <si>
    <t>augustine_et_al_2018</t>
  </si>
  <si>
    <t>http://dx.doi.org/10.1101/056804</t>
  </si>
  <si>
    <t>Augustine, B. C., Royle, J. A., Kelly, M. J., Satter, C. B., Alonso, R. S., Boydston, E. E., &amp; Crooks, K. R. (2016). Spatial capture-recapture with partial identity: An application to camera traps. *bioRxiv.* &lt;http://dx.doi.org/10.1101/056804&gt;</t>
  </si>
  <si>
    <t>Augustine et al., 2016</t>
  </si>
  <si>
    <t>augustine_et_al_2016</t>
  </si>
  <si>
    <t>https://doi.org/10.2307/3809524</t>
  </si>
  <si>
    <t>Arnason, A. N., Schwarz, C. J., &amp; Gerrard, J. M. (1991). Estimating Closed Population Size and Number of Marked Animals from Sighting Data. *Journal of Wildlife Management, 55*(4), 716-730. &lt;https://doi.org/10.2307/3809524&gt;</t>
  </si>
  <si>
    <t>Arnason, Schwarz &amp; Gerrard, 1991</t>
  </si>
  <si>
    <t>Arnason et al., 1991</t>
  </si>
  <si>
    <t>arnason_et_al_1991</t>
  </si>
  <si>
    <t>https://doi.org/10.1111/aje.12563</t>
  </si>
  <si>
    <t>Apps, P. J., &amp; McNutt, J. W. (2018). How Camera Traps work and how to work them. *African Journal of Ecology, 56*(4), 702-709. &lt;https://doi.org/10.1111/aje.12563&gt;</t>
  </si>
  <si>
    <t>Apps &amp; McNutt, 2018</t>
  </si>
  <si>
    <t>apps_mcnutt_2018</t>
  </si>
  <si>
    <t>https://doi.org/10.1111/acv.12214</t>
  </si>
  <si>
    <t>Anile, S., &amp; Devillard, S. (2016). Study Design and Body Mass Influence RAIs from Camera Trap Studies: Evidence from the Felidae. *Animal Conservation, 19*(1), 35-45. &lt;https://doi.org/10.1111/acv.12214&gt;</t>
  </si>
  <si>
    <t>Anile &amp; Devillard, 2016</t>
  </si>
  <si>
    <t>anile_devillard_2016</t>
  </si>
  <si>
    <t>https://www.jstor.org/stable/3784156</t>
  </si>
  <si>
    <t>Anderson, D. R. (2001). The Need to Get the Basics Right in Wildlife Field Studies. *Wildlife Society Bulletin, 29*(4), 1294-1297. &lt;https://www.jstor.org/stable/3784156&gt;</t>
  </si>
  <si>
    <t>Anderson, 2001</t>
  </si>
  <si>
    <t>anderson_2001</t>
  </si>
  <si>
    <t>https://doi.org/10.1093/conphys/coaa019</t>
  </si>
  <si>
    <t>Ames E. M., Gade M. R., Nieman C. L., Wright J. R, Tonra C. M., Marroquin C. M., Tutterow A. M, &amp; Gray S. M. (2020) Striving for population-level conservation: integrating physiology across the biological hierarchy. *Conservation Physiology, 8*(1): coaa019. &lt;https://doi.org/10.1093/conphys/coaa019&gt;</t>
  </si>
  <si>
    <t>Ames et al., 2020</t>
  </si>
  <si>
    <t>ames_et_al_2011</t>
  </si>
  <si>
    <t>https://doi.org/10.1371/journal.pone.0123032</t>
  </si>
  <si>
    <t>Alonso, R. S., McClintock, B. T., Lyren, L. M., Boydston, E. E., &amp; Crooks, K. R. (2015). Mark-recapture and Mark-resight Methods for Estimating Abundance with Remote Cameras: A Carnivore Case Study. *PLoS One, 10*(3), e0123032. &lt;https://doi.org/10.1371/journal.pone.0123032&gt;</t>
  </si>
  <si>
    <t>Alonso et al., 2015</t>
  </si>
  <si>
    <t>alonso_et_al_2015</t>
  </si>
  <si>
    <t>https://doi.org/10.1017/s0376892919000298</t>
  </si>
  <si>
    <t>Ahumada, J. A., Fegraus, E., Birch, T., Flores, N., Kays, R., O'Brien, T. G., Palmer, J., Schuttler, S., Zhao, J. Y., Jetz, W., Kinnaird, M., Kulkarni, S., Lyet, A., Thau, D., Duong, M., Oliver, R., &amp; Dancer, A. (2019). Wildlife Insights: A Platform to Maximize the Potential of Camera Trap and Other Passive Sensor Wildlife Data for the Planet. *Environmental Conservation, 47*(1), 1-6. &lt;https://doi.org/10.1017/s0376892919000298&gt;</t>
  </si>
  <si>
    <t>Ahumada et al., 2019</t>
  </si>
  <si>
    <t>ahumada_et_al_2019</t>
  </si>
  <si>
    <t>https://doi.org/10.1098/rstb.2011.0115</t>
  </si>
  <si>
    <t>Ahumada, J. A., Silva, C. E. F., Gajapersad, K., Hallam, C., Hurtado, J., Martin, E., McWilliam, A., Mugerwa, B., O'Brien, T., Rovero, F., Sheil, D., Spironello, W. R., Winarni, N., &amp; Andelman, S. J. (2011). Community Structure and Diversity of Tropical Forest Mammals: Data from a Global Camera Trap Network. *Philosophical Transactions: Biological Sciences, 366*(1578), 2703-2711. &lt;https://doi.org/10.1098/rstb.2011.0115&gt;</t>
  </si>
  <si>
    <t>Ahumada et al., 2011</t>
  </si>
  <si>
    <t>ahumada_et_al_2011</t>
  </si>
  <si>
    <t>https://open.alberta.ca/dataset/71c53d7b-0802-4800-9f95-0520b64b63c2/resource/ee933caa-bfc7-4334-a4d0-6085ebf198e7/download/aep-aerial-ungulate-surveys-using-distance-sampling-2016.pdf</t>
  </si>
  <si>
    <t>Alberta Environment and Parks. (2016). *Aerial Ungulate Surveys using Distance Sampling Techniques Protocol Manual.* &lt;https://open.alberta.ca/dataset/71c53d7b-0802-4800-9f95-0520b64b63c2/resource/ee933caa-bfc7-4334-a4d0-6085ebf198e7/download/aep-aerial-ungulate-surveys-using-distance-sampling-2016.pdf&gt;</t>
  </si>
  <si>
    <t>Alberta Environment and Parks, 2016</t>
  </si>
  <si>
    <t>aep_2016</t>
  </si>
  <si>
    <t>https://doi.org/10.1111/1365-2656.13085</t>
  </si>
  <si>
    <t>Abolaffio, M., Focardi, S., &amp; Santini, G. (2019). Avoiding misleading messages: Population assessment using camera trapping is not a simple task. *Journal of Animal Ecology, 88*(12), 2011-2016. Medline. &lt;https://doi.org/10.1111/1365-2656.13085&gt;</t>
  </si>
  <si>
    <t xml:space="preserve">Abolaffio, Focardi &amp; Santini, 2019 </t>
  </si>
  <si>
    <t>Abolaffio et al, 2019</t>
  </si>
  <si>
    <t>abolaffio_et_al_2019</t>
  </si>
  <si>
    <t>https://abmi.ca/home/publications/551-600/599</t>
  </si>
  <si>
    <t>Alberta Biodiversity Monitoring Institute [ABMI] (2021). *Terrestrial ARU and Remote Camera Trap Protocols.* Edmonton, Alberta. &lt;https://abmi.ca/home/publications/551-600/599&gt;</t>
  </si>
  <si>
    <t>Alberta Biodiversity Monitoring Institute [ABMI], 2021</t>
  </si>
  <si>
    <t>abmi_2021</t>
  </si>
  <si>
    <t>url2</t>
  </si>
  <si>
    <t>url</t>
  </si>
  <si>
    <t>sub_bib</t>
  </si>
  <si>
    <t>sub_intext</t>
  </si>
  <si>
    <t>bib_code</t>
  </si>
  <si>
    <t>intext_code</t>
  </si>
  <si>
    <t>ref_bib</t>
  </si>
  <si>
    <t>ref_intext2</t>
  </si>
  <si>
    <t>ref_intext</t>
  </si>
  <si>
    <t>bib</t>
  </si>
  <si>
    <t>rctool</t>
  </si>
  <si>
    <t>meta</t>
  </si>
  <si>
    <t>new</t>
  </si>
  <si>
    <t>Brooks, M., Bolker, B., Kristensen, K., Maechler, M., Magnusson, A., Skaug, H., Nielsen, A., Berg, C., &amp; Van Bentham, K. (2017).*glmmTMB: Generalized Linear Mixed Models using Template Model Builder.* R package version 1.1.10. &lt;https://doi.org/10.32614/CRAN.package.glmmTMB&gt;</t>
  </si>
  <si>
    <t>Brooks et al., 2017</t>
  </si>
  <si>
    <r>
      <t>CREEM Mural (N.D.) *Spatial Capture-Recapture* &lt;</t>
    </r>
    <r>
      <rPr>
        <sz val="12"/>
        <color theme="1"/>
        <rFont val="Calibri"/>
        <family val="2"/>
      </rPr>
      <t>https://creemmural.org/secr.html</t>
    </r>
    <r>
      <rPr>
        <u/>
        <sz val="12"/>
        <color rgb="FF365F91"/>
        <rFont val="Calibri"/>
        <family val="2"/>
      </rPr>
      <t>&gt;</t>
    </r>
  </si>
  <si>
    <t>CREEM Mural, N.D.</t>
  </si>
  <si>
    <t>{{ header_</t>
  </si>
  <si>
    <t>h_how_relate_study_design</t>
  </si>
  <si>
    <t>h_how_does_it_work</t>
  </si>
  <si>
    <t>h_why_does_it_matter</t>
  </si>
  <si>
    <t>lookup_from_text</t>
  </si>
  <si>
    <t>lookup_from_key</t>
  </si>
  <si>
    <r>
      <t>Snow Leopard Network. (2020b, Aug 2).*PAWS: Spatial Capture Recapture Data Analysis Part 2.*</t>
    </r>
    <r>
      <rPr>
        <sz val="12"/>
        <color rgb="FF000000"/>
        <rFont val="Calibri"/>
        <family val="2"/>
      </rPr>
      <t xml:space="preserve"> [Video]. YouTube. &lt;https://www.youtube.com/watch?v=IHVez1a_hqg&amp;t=2675s&gt;</t>
    </r>
  </si>
  <si>
    <t>Ausband, D. E., Lukacs, P. M., Hurley, M., Roberts, S., Strickfaden, K., &amp; Moeller, A. K. (2022). Estimating Wolf Abundance from Cameras. *Ecosphere, 13*(2), e3933. &lt;https://doi.org/10.1002/ecs2.3933&gt;</t>
  </si>
  <si>
    <t>Cao, A. (2021, Jun 14) *Hurdle models.* [Video]. YouTube. &lt;https://www.youtube.com/watch?v=q2NRQBcihQY&gt;</t>
  </si>
  <si>
    <t>DE-CTR ACCEL (2016, Dec 21) *Using Hurdle Models to Analyze Zero-Inflated Count Data.* [Video]. YouTube. &lt;https://www.youtube.com/watch?v=CvM6j8hE8lE&gt;</t>
  </si>
  <si>
    <t>Jackman, (2024). *R package ’Pscl’*. R package version 1.5.9. &lt;https://cran.r-project.org/web/packages/pscl/index.html&gt;</t>
  </si>
  <si>
    <t>Lukacs, P. M. (2021, Oct 26).*Animal Abundance from Camera Data:Pipe Dream to Main Stream.* Presented at the FCFC Seminar. &lt;https://umontana.zoom.us/rec/play/eY6_CAjDNUjCAfFrmRvJH8NtrL4J38I46T5idY4gO3i1YHqxBnDUrDeufvgAps-D-aFJFJ_F9AMuE6k.VjerQ5kRpa5HsybV&gt;</t>
  </si>
  <si>
    <t>Moeller, A. K.,&amp; Lukacs, P. M. (2021) spaceNtime: an R package for estimating abundance of unmarked animals using camera-trap photographs. *Mammalian Biology, 102*, 581-590. &lt;https://doi.org/10.1007/s42991-021-00181-8&gt;</t>
  </si>
  <si>
    <t>Palencia, P. &amp; Project ENETWILD (2022, May 19). *Camera Trap Methods for Density Estimation.* [Video]. YouTube. &lt;https://www.youtube.com/watch?v=NUW4oLGeQwk&gt;</t>
  </si>
  <si>
    <t>Styring, A. (2020b, Jun 22). *Generating a species accumulation plot in excel for BBS data.* [Video]. YouTube. &lt;https://www.youtube.com/watch?reload=9&amp;app=desktop&amp;v=OEWdPm3zg9I&gt;</t>
  </si>
  <si>
    <t>Villette, P., Krebs, C. J., Jung, T. S., &amp; Boonstra, R. (2016). Can camera trapping provide accurate estimates of small mammal (*Myodes rutilus* and *Peromyscus maniculatus* density in the boreal forest? *Journal of Mammalogy, 97*(1), 32-40. &lt;https://doi.org/10.1093/jmammal/gyv150&gt;</t>
  </si>
  <si>
    <t>https://eco-intelligent.com/2016/10/14/alpha-beta-gamma-diversity</t>
  </si>
  <si>
    <t>Burgar, J. M. (2021). &lt;i&gt;Counting Elk Amongst the Trees: Improving the Accuracy of Roosevelt Elk Inventory via Modelling, Preliminary Report 2021&lt;/i&gt;. Terrestrial Wildlife Resources, South Coast Resource Management, FLNRORD. (available upon request).</t>
  </si>
  <si>
    <t>precise</t>
  </si>
  <si>
    <t>Precise</t>
  </si>
  <si>
    <t>(singular of strata) a single group or category when a system is divided 'based on the characteristics of that system' ({{ rtxt_morrison_et_al_2008 }})</t>
  </si>
  <si>
    <t>(singular of strata) a single group or category when a system is divided 'based on the characteristics of that system' (Morrison et al., 2008)</t>
  </si>
  <si>
    <t>WildCo Lab (2021e). *Chapter 14 Behavior*. &lt;https://bookdown.org/c_w_beirne/wildCo-Data-Analysis/behavior.html&gt;</t>
  </si>
  <si>
    <t>WildCo Lab, 2021e</t>
  </si>
  <si>
    <t>wildco_lab_2021e</t>
  </si>
  <si>
    <t>accurate</t>
  </si>
  <si>
    <t>Accurate</t>
  </si>
  <si>
    <t>key_def_name_text</t>
  </si>
  <si>
    <t>Home range size</t>
  </si>
  <si>
    <t>systematic random</t>
  </si>
  <si>
    <t>systematic</t>
  </si>
  <si>
    <t>home range size</t>
  </si>
  <si>
    <t>the size of the area within which an animal normally lives and finds what it needs to survive and reproduce.</t>
  </si>
  <si>
    <t>Assumptions</t>
  </si>
  <si>
    <t>imprecise</t>
  </si>
  <si>
    <t>Imprecise</t>
  </si>
  <si>
    <t>unbiased</t>
  </si>
  <si>
    <t>Unbiased</t>
  </si>
  <si>
    <t>op</t>
  </si>
  <si>
    <t>{{ mod_secr_tu_abrv }}</t>
  </si>
  <si>
    <t>{{ mod_assumption_tl_abrv_pl }}</t>
  </si>
  <si>
    <t>{{ mod_assumption_tu_abrv_pl }}</t>
  </si>
  <si>
    <t>activity_centre</t>
  </si>
  <si>
    <t>asymptotic</t>
  </si>
  <si>
    <t>paired</t>
  </si>
  <si>
    <t>Paired</t>
  </si>
  <si>
    <t>stratified random</t>
  </si>
  <si>
    <t>Stratified random</t>
  </si>
  <si>
    <t>stratified</t>
  </si>
  <si>
    <t>Stratified</t>
  </si>
  <si>
    <t>Systematic random</t>
  </si>
  <si>
    <t>Systematic</t>
  </si>
  <si>
    <t>targeted</t>
  </si>
  <si>
    <t>Targeted</t>
  </si>
  <si>
    <t>{{ target_species_tu }}</t>
  </si>
  <si>
    <t>{{ detection_probability_tl_abrv2 }}</t>
  </si>
  <si>
    <t>{{ detection_probability_tl_abrv }}</t>
  </si>
  <si>
    <t>{{ home_range_tl }}</t>
  </si>
  <si>
    <t>{{ cam_location_tl_pl }}</t>
  </si>
  <si>
    <t>{{ typeid_unmarked_tl_abrv }}</t>
  </si>
  <si>
    <t>{{ precision_tl_abrv }}</t>
  </si>
  <si>
    <t>{{ not found }}</t>
  </si>
  <si>
    <t>{{ mod_smr_tu_abrv }}</t>
  </si>
  <si>
    <t>{{ sampledesign_random_tl_abrv2 }}</t>
  </si>
  <si>
    <t>{{ sampledesign_systematic_tl_abrv }}</t>
  </si>
  <si>
    <t>{{ sampledesign_systematic_random_tl_abrv }}</t>
  </si>
  <si>
    <t>{{ accurate_tu }}</t>
  </si>
  <si>
    <t>{{ detection_zone_tl }}</t>
  </si>
  <si>
    <t>{{ precision_tu }}</t>
  </si>
  <si>
    <t>{{ sampledesign_paired_tl_abrv }}</t>
  </si>
  <si>
    <t>{{ field_of_view_tu_abrv }}</t>
  </si>
  <si>
    <t>{{ bias_tl_mod }}</t>
  </si>
  <si>
    <t>recaptures</t>
  </si>
  <si>
    <t>captures</t>
  </si>
  <si>
    <t>{{ bias_tu_op }}</t>
  </si>
  <si>
    <t>{{ sampledesign_random_tu_abrv }}</t>
  </si>
  <si>
    <t>{{ mod_assumption_tl_abrv }}</t>
  </si>
  <si>
    <t>evenness</t>
  </si>
  <si>
    <t>{{ mod_rem_tu_abrv }}</t>
  </si>
  <si>
    <t>phenotypic</t>
  </si>
  <si>
    <t>Spatially explicit</t>
  </si>
  <si>
    <t>{{ accurate_tl }}</t>
  </si>
  <si>
    <t xml:space="preserve">MMDM (Mean Maximum Distance Moved) </t>
  </si>
  <si>
    <t>Asymptotic</t>
  </si>
  <si>
    <t>Recaptures</t>
  </si>
  <si>
    <t>Auxiliary data</t>
  </si>
  <si>
    <t>Ad-hoc</t>
  </si>
  <si>
    <t>Evenness</t>
  </si>
  <si>
    <t>Categorical identifiers</t>
  </si>
  <si>
    <t>Phenotypic</t>
  </si>
  <si>
    <t>Survival rate</t>
  </si>
  <si>
    <t>Recruitment rate</t>
  </si>
  <si>
    <t>Scale-dependent</t>
  </si>
  <si>
    <t>population size</t>
  </si>
  <si>
    <t>{{ baitlure_bait_tl }}</t>
  </si>
  <si>
    <t>{{ baitlure_lure_tl }}</t>
  </si>
  <si>
    <t>hierarchical</t>
  </si>
  <si>
    <t>Hierarchical</t>
  </si>
  <si>
    <t>{{ use_probability_tl }}</t>
  </si>
  <si>
    <t>robust</t>
  </si>
  <si>
    <t>Spatial counts</t>
  </si>
  <si>
    <t>Robust</t>
  </si>
  <si>
    <t>Staying time</t>
  </si>
  <si>
    <t>{{ mod_occupancy_tl_abrv_pl }}</t>
  </si>
  <si>
    <t>Truncated (data)</t>
  </si>
  <si>
    <t>{{ obj_abundance_tl_abrv2 }}</t>
  </si>
  <si>
    <t>inaccurate</t>
  </si>
  <si>
    <t>Inaccurate</t>
  </si>
  <si>
    <t>{{ accurate_tl_op }}</t>
  </si>
  <si>
    <t>Site colonization</t>
  </si>
  <si>
    <t>colonization</t>
  </si>
  <si>
    <t>truncated</t>
  </si>
  <si>
    <t>data_truncated</t>
  </si>
  <si>
    <t>count_spatial</t>
  </si>
  <si>
    <t>rate_recruitment</t>
  </si>
  <si>
    <t>adhoc</t>
  </si>
  <si>
    <t>categorical_id</t>
  </si>
  <si>
    <t>rate_surivival</t>
  </si>
  <si>
    <t>spatially_explicit</t>
  </si>
  <si>
    <t>mmdm</t>
  </si>
  <si>
    <t>data_auxiliary</t>
  </si>
  <si>
    <t>data_distr_para</t>
  </si>
  <si>
    <t>data_distr_poisson</t>
  </si>
  <si>
    <t>closure_demo</t>
  </si>
  <si>
    <t>closure_geo</t>
  </si>
  <si>
    <t>scale_dependent</t>
  </si>
  <si>
    <t>{{ stratum_tl }}</t>
  </si>
  <si>
    <t>probability of occupancy</t>
  </si>
  <si>
    <t>{{ bias_tl }}</t>
  </si>
  <si>
    <t>{{ mod_cr_tu_abrv }}</t>
  </si>
  <si>
    <t>{{ accuracy_tl }}</t>
  </si>
  <si>
    <t>{{ detection_rate_tl_pl }}</t>
  </si>
  <si>
    <t>Temporal interactions</t>
  </si>
  <si>
    <t>Captures</t>
  </si>
  <si>
    <t>Effective area of detection</t>
  </si>
  <si>
    <t>&lt;button type=\"button\" class=\"btn btn-bd-tip-info-hidden btn-sm position-relative\"&gt;.&lt;span class=\"position-absolute top-0 start-100 translate-middle\"&gt;{{ icon_info }}&lt;/span&gt;&lt;/button&gt;&lt;/a&gt;</t>
  </si>
  <si>
    <t xml:space="preserve">    - &lt;b&gt;Species diversity&lt;/b&gt;: 'A measure of diversity that incorporates both the number of species in an assemblage and some measure of their relative abundances.' ({{ rtxt_gotelli_chao_2013 }})&lt;br&gt;    - &lt;b&gt;Species richness&lt;/b&gt;: 'The total number of species in an assemblage or a sample' ({{ rtxt_gotelli_chao_2013 }}).</t>
  </si>
  <si>
    <t xml:space="preserve">    title_i_mod_2flankspim: "Spatial Partial Identity Model (2-flank SPIM)"</t>
  </si>
  <si>
    <t xml:space="preserve">    title_i_mod_behaviour: "Behaviour"</t>
  </si>
  <si>
    <t xml:space="preserve">    title_i_mod_catspim: "Spatial Partial Identity Model (Categorical SPIM; catSPIM)"</t>
  </si>
  <si>
    <t xml:space="preserve">    title_i_mod_cr_cmr: "Capture-recapture (CR) / Capture-mark-recapture (CMR)"</t>
  </si>
  <si>
    <t xml:space="preserve">    title_i_mod_divers_rich: "Species diversity &amp; richness"</t>
  </si>
  <si>
    <t xml:space="preserve">    title_i_mod_ds: "Distance sampling (DS)"</t>
  </si>
  <si>
    <t xml:space="preserve">    title_i_mod_inventory: "Species inventory"</t>
  </si>
  <si>
    <t xml:space="preserve">    title_i_mod_is: "Instantaneous sampling (IS)"</t>
  </si>
  <si>
    <t xml:space="preserve">    title_i_mod_occupancy: "Occupancy models"</t>
  </si>
  <si>
    <t xml:space="preserve">    title_i_mod_rai: "Relative abundance indices"</t>
  </si>
  <si>
    <t xml:space="preserve">    title_i_mod_rai_hurdle: "Relative abundance indices - Hurdle"</t>
  </si>
  <si>
    <t xml:space="preserve">    title_i_mod_rai_nb: "Relative abundance indices - Negative binomial (NB)"</t>
  </si>
  <si>
    <t xml:space="preserve">    title_i_mod_rai_poisson: "Relative abundance indices - Poisson"</t>
  </si>
  <si>
    <t xml:space="preserve">    title_i_mod_rai_zinb: "Relative abundance indices - Zero-inflated negative binomial (ZINB)"</t>
  </si>
  <si>
    <t xml:space="preserve">    title_i_mod_rai_zip: "Relative abundance indices - Zero-inflated poisson (ZIP)"</t>
  </si>
  <si>
    <t xml:space="preserve">    title_i_mod_rem: "Random encounter model (REM)"</t>
  </si>
  <si>
    <t xml:space="preserve">    title_i_mod_rest: "Random encounter and staying time (REST)"</t>
  </si>
  <si>
    <t xml:space="preserve">    title_i_mod_sc: "Spatial count (SC) model / Unmarked spatial capture-recapture"</t>
  </si>
  <si>
    <t xml:space="preserve">    title_i_mod_scr_secr: "Spatial capture-recapture (SCR) / Spatially explicit capture recapture (SECR)"</t>
  </si>
  <si>
    <t xml:space="preserve">    title_i_mod_smr: "Spatial mark-resight "</t>
  </si>
  <si>
    <t xml:space="preserve">    title_i_mod_ste: "Space-to-event (STE)"</t>
  </si>
  <si>
    <t xml:space="preserve">    title_i_mod_tifc: "Time in front of the camera (TIFC)"</t>
  </si>
  <si>
    <t xml:space="preserve">    title_i_mod_tte: "Time-to-event (TTE)"</t>
  </si>
  <si>
    <t>Iannarilli, F., Gerber, B. D., Erb, J., &amp; Fieberg, J. R. (2024a). A ‘how‐to’ guide for estimating animal diel activity using hierarchical models. *Journal of Animal Ecology*, 1365-2656. 14213. &lt;https://doi.org/10.1111/1365-2656.14213&gt;</t>
  </si>
  <si>
    <t>iannarilli_et_al_2024a</t>
  </si>
  <si>
    <t>iannarilli_et_al_2024b</t>
  </si>
  <si>
    <t>Iannarilli, F., Gerber, B. D., Erb, J., and Fieberg, J. R. (2024a). *Data, R Code, and Output Supporting: A “How-to” Guide for Estimating Animal Diel Activity Using Hierarchical Models.* Retrieved from the Data Repository for the University of Minnesota. &lt;https://github.com/FabiolaIannarilli/HMs_Activit&gt;</t>
  </si>
  <si>
    <t>Iannarilli et al., 2024a</t>
  </si>
  <si>
    <t>Iannarilli et al., 2024b</t>
  </si>
  <si>
    <t>term_hr_size</t>
  </si>
  <si>
    <t>hr</t>
  </si>
  <si>
    <t>hr_size</t>
  </si>
  <si>
    <t>The size of the area within which an animal normally lives and finds what it needs to survive and reproduce.</t>
  </si>
  <si>
    <t>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t>
  </si>
  <si>
    <t>Behaviour focused objectives vary greatly; they may be qualitative or quantitative (e.g., diel activity patterns, mating, boldness, predation, foraging, activity patterns, vigilance, parental care ({{ rtxt_caravaggi_et_al_2020 }}; {{ rtxt_wearn_gloverkapfer_2017 }}).</t>
  </si>
  <si>
    <t>The manner in which a species is spatially arranged. The geographic limits of a particular taxon's distribution is its range, often represented as shaded areas on a map.</t>
  </si>
  <si>
    <t>The area within which an animal normally lives and finds what it needs to survive and reproduce.</t>
  </si>
  <si>
    <t>The number of individuals present of the species in question, relative to the total number of individuals of all species (or how 'represented' is the species when considering the total number of individuals of all species).</t>
  </si>
  <si>
    <t>The sum of the number of species seen' (e.g. {{ rtxt_kitamura_et_al_2010 }}; {{ rtxt_pettorelli_et_al_2010 }}; {{ rtxt_ahumada_et_al_2011 }}; {{ rtxt_samejima_et_al_2012 }})</t>
  </si>
  <si>
    <t>When the 'sum of the number of species seen' is adjusted based on corrections for '{{ tl_imperfect_detection }}' (i.e. the fact that some species in a given sample may have been missed)' ({{ rtxt_wearn_gloverkapfer_2017 }})</t>
  </si>
  <si>
    <r>
      <t xml:space="preserve">Random encounter and staying time (REST) model </t>
    </r>
    <r>
      <rPr>
        <sz val="11"/>
        <color theme="1"/>
        <rFont val="Aptos Narrow"/>
        <scheme val="minor"/>
      </rPr>
      <t>(Nakashima et al., 2018)</t>
    </r>
  </si>
  <si>
    <r>
      <t xml:space="preserve">Hurdle model </t>
    </r>
    <r>
      <rPr>
        <sz val="11"/>
        <color rgb="FF000000"/>
        <rFont val="Aptos Narrow"/>
        <scheme val="minor"/>
      </rPr>
      <t>(Mullahy, 1986; Heilbron 1994)</t>
    </r>
  </si>
  <si>
    <r>
      <t>**</t>
    </r>
    <r>
      <rPr>
        <sz val="11"/>
        <color theme="1"/>
        <rFont val="Aptos Narrow"/>
        <scheme val="minor"/>
      </rPr>
      <t>Sample Station Name</t>
    </r>
    <r>
      <rPr>
        <sz val="11"/>
        <color rgb="FF000000"/>
        <rFont val="Aptos Narrow"/>
        <scheme val="minor"/>
      </rPr>
      <t>**</t>
    </r>
  </si>
  <si>
    <r>
      <t>**</t>
    </r>
    <r>
      <rPr>
        <sz val="11"/>
        <color theme="1"/>
        <rFont val="Aptos Narrow"/>
        <scheme val="minor"/>
      </rPr>
      <t>Camera ID**</t>
    </r>
  </si>
  <si>
    <r>
      <t>**</t>
    </r>
    <r>
      <rPr>
        <sz val="11"/>
        <color theme="1"/>
        <rFont val="Aptos Narrow"/>
        <scheme val="minor"/>
      </rPr>
      <t>Sequence Name</t>
    </r>
    <r>
      <rPr>
        <sz val="11"/>
        <color rgb="FF000000"/>
        <rFont val="Aptos Narrow"/>
        <scheme val="minor"/>
      </rPr>
      <t>**</t>
    </r>
  </si>
  <si>
    <r>
      <t>**</t>
    </r>
    <r>
      <rPr>
        <sz val="11"/>
        <color theme="1"/>
        <rFont val="Aptos Narrow"/>
        <scheme val="minor"/>
      </rPr>
      <t>Deployment Name**</t>
    </r>
  </si>
  <si>
    <r>
      <t>**</t>
    </r>
    <r>
      <rPr>
        <sz val="11"/>
        <color theme="1"/>
        <rFont val="Aptos Narrow"/>
        <scheme val="minor"/>
      </rPr>
      <t>Project Name</t>
    </r>
    <r>
      <rPr>
        <sz val="11"/>
        <color rgb="FF000000"/>
        <rFont val="Aptos Narrow"/>
        <scheme val="minor"/>
      </rPr>
      <t>**</t>
    </r>
  </si>
  <si>
    <r>
      <t>**</t>
    </r>
    <r>
      <rPr>
        <sz val="11"/>
        <color theme="1"/>
        <rFont val="Aptos Narrow"/>
        <scheme val="minor"/>
      </rPr>
      <t>Study Area Name</t>
    </r>
    <r>
      <rPr>
        <sz val="11"/>
        <color rgb="FF000000"/>
        <rFont val="Aptos Narrow"/>
        <scheme val="minor"/>
      </rPr>
      <t>**</t>
    </r>
  </si>
  <si>
    <r>
      <t>**</t>
    </r>
    <r>
      <rPr>
        <sz val="11"/>
        <color theme="1"/>
        <rFont val="Aptos Narrow"/>
        <scheme val="minor"/>
      </rPr>
      <t>Image Name</t>
    </r>
    <r>
      <rPr>
        <sz val="11"/>
        <color rgb="FF000000"/>
        <rFont val="Aptos Narrow"/>
        <scheme val="minor"/>
      </rPr>
      <t>**</t>
    </r>
  </si>
  <si>
    <r>
      <t>**</t>
    </r>
    <r>
      <rPr>
        <sz val="11"/>
        <color theme="1"/>
        <rFont val="Aptos Narrow"/>
        <scheme val="minor"/>
      </rPr>
      <t>Camera Location Name**</t>
    </r>
  </si>
  <si>
    <r>
      <t>**Adult</t>
    </r>
    <r>
      <rPr>
        <sz val="11"/>
        <color theme="1"/>
        <rFont val="Aptos Narrow"/>
        <scheme val="minor"/>
      </rPr>
      <t>**</t>
    </r>
  </si>
  <si>
    <r>
      <t>**</t>
    </r>
    <r>
      <rPr>
        <sz val="11"/>
        <color theme="1"/>
        <rFont val="Aptos Narrow"/>
        <scheme val="minor"/>
      </rPr>
      <t>Age Class**</t>
    </r>
  </si>
  <si>
    <r>
      <t>**</t>
    </r>
    <r>
      <rPr>
        <sz val="11"/>
        <color theme="1"/>
        <rFont val="Aptos Narrow"/>
        <scheme val="minor"/>
      </rPr>
      <t>Trigger Sensitivity</t>
    </r>
    <r>
      <rPr>
        <sz val="11"/>
        <color rgb="FF000000"/>
        <rFont val="Aptos Narrow"/>
        <scheme val="minor"/>
      </rPr>
      <t>**</t>
    </r>
  </si>
  <si>
    <r>
      <t>**</t>
    </r>
    <r>
      <rPr>
        <sz val="11"/>
        <color theme="1"/>
        <rFont val="Aptos Narrow"/>
        <scheme val="minor"/>
      </rPr>
      <t>Photos Per Trigger</t>
    </r>
    <r>
      <rPr>
        <sz val="11"/>
        <color rgb="FF000000"/>
        <rFont val="Aptos Narrow"/>
        <scheme val="minor"/>
      </rPr>
      <t>**</t>
    </r>
  </si>
  <si>
    <r>
      <t>**</t>
    </r>
    <r>
      <rPr>
        <sz val="11"/>
        <color theme="1"/>
        <rFont val="Aptos Narrow"/>
        <scheme val="minor"/>
      </rPr>
      <t>Trigger Mode(s)</t>
    </r>
    <r>
      <rPr>
        <sz val="11"/>
        <color rgb="FF000000"/>
        <rFont val="Aptos Narrow"/>
        <scheme val="minor"/>
      </rPr>
      <t xml:space="preserve"> **</t>
    </r>
    <r>
      <rPr>
        <sz val="11"/>
        <color theme="1"/>
        <rFont val="Aptos Narrow"/>
        <scheme val="minor"/>
      </rPr>
      <t xml:space="preserve"> </t>
    </r>
    <r>
      <rPr>
        <sz val="11"/>
        <color rgb="FF000000"/>
        <rFont val="Aptos Narrow"/>
        <scheme val="minor"/>
      </rPr>
      <t>(camera settings)</t>
    </r>
  </si>
  <si>
    <r>
      <t>**</t>
    </r>
    <r>
      <rPr>
        <sz val="11"/>
        <color theme="1"/>
        <rFont val="Aptos Narrow"/>
        <scheme val="minor"/>
      </rPr>
      <t>Target Species</t>
    </r>
    <r>
      <rPr>
        <sz val="11"/>
        <color rgb="FF000000"/>
        <rFont val="Aptos Narrow"/>
        <scheme val="minor"/>
      </rPr>
      <t>**</t>
    </r>
  </si>
  <si>
    <r>
      <t>**</t>
    </r>
    <r>
      <rPr>
        <sz val="11"/>
        <color theme="1"/>
        <rFont val="Aptos Narrow"/>
        <scheme val="minor"/>
      </rPr>
      <t>Image Set Start Date Time (DD-MMM-YYYY HH:MM:SS)</t>
    </r>
    <r>
      <rPr>
        <sz val="11"/>
        <color rgb="FF000000"/>
        <rFont val="Aptos Narrow"/>
        <scheme val="minor"/>
      </rPr>
      <t>**</t>
    </r>
  </si>
  <si>
    <r>
      <t>**</t>
    </r>
    <r>
      <rPr>
        <sz val="11"/>
        <color theme="1"/>
        <rFont val="Aptos Narrow"/>
        <scheme val="minor"/>
      </rPr>
      <t>Image Set End Date Time (DD-MMM-YYYY HH:MM:SS)</t>
    </r>
    <r>
      <rPr>
        <sz val="11"/>
        <color rgb="FF000000"/>
        <rFont val="Aptos Narrow"/>
        <scheme val="minor"/>
      </rPr>
      <t>**</t>
    </r>
  </si>
  <si>
    <r>
      <t>**</t>
    </r>
    <r>
      <rPr>
        <sz val="11"/>
        <color theme="1"/>
        <rFont val="Aptos Narrow"/>
        <scheme val="minor"/>
      </rPr>
      <t>Deployment Start Date Time (DD-MMM-YYYY HH:MM:SS)**</t>
    </r>
  </si>
  <si>
    <r>
      <t>**</t>
    </r>
    <r>
      <rPr>
        <sz val="11"/>
        <color theme="1"/>
        <rFont val="Aptos Narrow"/>
        <scheme val="minor"/>
      </rPr>
      <t>Deployment End Date Time (DD-MMM-YYYY HH:MM:SS)**</t>
    </r>
  </si>
  <si>
    <r>
      <t>**</t>
    </r>
    <r>
      <rPr>
        <sz val="11"/>
        <color theme="1"/>
        <rFont val="Aptos Narrow"/>
        <scheme val="minor"/>
      </rPr>
      <t>Analyst**</t>
    </r>
  </si>
  <si>
    <r>
      <t>**</t>
    </r>
    <r>
      <rPr>
        <sz val="11"/>
        <color theme="1"/>
        <rFont val="Aptos Narrow"/>
        <scheme val="minor"/>
      </rPr>
      <t>Deployment Crew**</t>
    </r>
  </si>
  <si>
    <r>
      <t>**</t>
    </r>
    <r>
      <rPr>
        <sz val="11"/>
        <color theme="1"/>
        <rFont val="Aptos Narrow"/>
        <scheme val="minor"/>
      </rPr>
      <t>Camera Height (m) **</t>
    </r>
  </si>
  <si>
    <r>
      <t>**</t>
    </r>
    <r>
      <rPr>
        <sz val="11"/>
        <color theme="1"/>
        <rFont val="Aptos Narrow"/>
        <scheme val="minor"/>
      </rPr>
      <t>Latitude Camera Location</t>
    </r>
    <r>
      <rPr>
        <sz val="11"/>
        <color rgb="FF000000"/>
        <rFont val="Aptos Narrow"/>
        <scheme val="minor"/>
      </rPr>
      <t>**</t>
    </r>
  </si>
  <si>
    <r>
      <t>**</t>
    </r>
    <r>
      <rPr>
        <sz val="11"/>
        <color theme="1"/>
        <rFont val="Aptos Narrow"/>
        <scheme val="minor"/>
      </rPr>
      <t>Longitude Camera Location</t>
    </r>
    <r>
      <rPr>
        <sz val="11"/>
        <color rgb="FF000000"/>
        <rFont val="Aptos Narrow"/>
        <scheme val="minor"/>
      </rPr>
      <t>**</t>
    </r>
  </si>
  <si>
    <r>
      <t>**</t>
    </r>
    <r>
      <rPr>
        <sz val="11"/>
        <color theme="1"/>
        <rFont val="Aptos Narrow"/>
        <scheme val="minor"/>
      </rPr>
      <t>Camera Make**</t>
    </r>
  </si>
  <si>
    <r>
      <t>**</t>
    </r>
    <r>
      <rPr>
        <sz val="11"/>
        <color theme="1"/>
        <rFont val="Aptos Narrow"/>
        <scheme val="minor"/>
      </rPr>
      <t>GPS Unit Accuracy (m)</t>
    </r>
    <r>
      <rPr>
        <sz val="11"/>
        <color rgb="FF000000"/>
        <rFont val="Aptos Narrow"/>
        <scheme val="minor"/>
      </rPr>
      <t xml:space="preserve"> **</t>
    </r>
  </si>
  <si>
    <r>
      <t>**</t>
    </r>
    <r>
      <rPr>
        <sz val="11"/>
        <color theme="1"/>
        <rFont val="Aptos Narrow"/>
        <scheme val="minor"/>
      </rPr>
      <t>Camera Model**</t>
    </r>
  </si>
  <si>
    <r>
      <t>**</t>
    </r>
    <r>
      <rPr>
        <sz val="11"/>
        <color theme="1"/>
        <rFont val="Aptos Narrow"/>
        <scheme val="minor"/>
      </rPr>
      <t>Northing Camera Location</t>
    </r>
    <r>
      <rPr>
        <sz val="11"/>
        <color rgb="FF000000"/>
        <rFont val="Aptos Narrow"/>
        <scheme val="minor"/>
      </rPr>
      <t>**</t>
    </r>
  </si>
  <si>
    <r>
      <t>**</t>
    </r>
    <r>
      <rPr>
        <sz val="11"/>
        <color theme="1"/>
        <rFont val="Aptos Narrow"/>
        <scheme val="minor"/>
      </rPr>
      <t>UTM Zone Camera Location</t>
    </r>
    <r>
      <rPr>
        <sz val="11"/>
        <color rgb="FF000000"/>
        <rFont val="Aptos Narrow"/>
        <scheme val="minor"/>
      </rPr>
      <t>**</t>
    </r>
  </si>
  <si>
    <r>
      <t>**</t>
    </r>
    <r>
      <rPr>
        <sz val="11"/>
        <color theme="1"/>
        <rFont val="Aptos Narrow"/>
        <scheme val="minor"/>
      </rPr>
      <t>Individual Count</t>
    </r>
    <r>
      <rPr>
        <sz val="11"/>
        <color rgb="FF000000"/>
        <rFont val="Aptos Narrow"/>
        <scheme val="minor"/>
      </rPr>
      <t>**</t>
    </r>
  </si>
  <si>
    <r>
      <t>The probability (likelihood) that an individual of the population of interest is included in the count at time or location *i</t>
    </r>
    <r>
      <rPr>
        <i/>
        <sz val="11"/>
        <color rgb="FF000000"/>
        <rFont val="Aptos Narrow"/>
        <scheme val="minor"/>
      </rPr>
      <t>*</t>
    </r>
    <r>
      <rPr>
        <sz val="11"/>
        <color rgb="FF000000"/>
        <rFont val="Aptos Narrow"/>
        <scheme val="minor"/>
      </rPr>
      <t>.</t>
    </r>
  </si>
  <si>
    <r>
      <t>**</t>
    </r>
    <r>
      <rPr>
        <sz val="11"/>
        <color theme="1"/>
        <rFont val="Aptos Narrow"/>
        <scheme val="minor"/>
      </rPr>
      <t>Camera Serial Number**</t>
    </r>
  </si>
  <si>
    <r>
      <t>**</t>
    </r>
    <r>
      <rPr>
        <sz val="11"/>
        <color theme="1"/>
        <rFont val="Aptos Narrow"/>
        <scheme val="minor"/>
      </rPr>
      <t>Sex Class</t>
    </r>
    <r>
      <rPr>
        <sz val="11"/>
        <color rgb="FF000000"/>
        <rFont val="Aptos Narrow"/>
        <scheme val="minor"/>
      </rPr>
      <t>**</t>
    </r>
  </si>
  <si>
    <r>
      <t>**</t>
    </r>
    <r>
      <rPr>
        <sz val="11"/>
        <color theme="1"/>
        <rFont val="Aptos Narrow"/>
        <scheme val="minor"/>
      </rPr>
      <t>Motion Image Interval (seconds)</t>
    </r>
    <r>
      <rPr>
        <sz val="11"/>
        <color rgb="FF000000"/>
        <rFont val="Aptos Narrow"/>
        <scheme val="minor"/>
      </rPr>
      <t>**</t>
    </r>
  </si>
  <si>
    <r>
      <t>**</t>
    </r>
    <r>
      <rPr>
        <sz val="11"/>
        <color rgb="FF000000"/>
        <rFont val="Aptos Narrow"/>
        <scheme val="minor"/>
      </rPr>
      <t>Bait*/Lure Type</t>
    </r>
    <r>
      <rPr>
        <sz val="11"/>
        <color theme="1"/>
        <rFont val="Aptos Narrow"/>
        <scheme val="minor"/>
      </rPr>
      <t>**</t>
    </r>
  </si>
  <si>
    <r>
      <t>**</t>
    </r>
    <r>
      <rPr>
        <sz val="11"/>
        <color theme="1"/>
        <rFont val="Aptos Narrow"/>
        <scheme val="minor"/>
      </rPr>
      <t>Quiet Period (seconds)</t>
    </r>
    <r>
      <rPr>
        <sz val="11"/>
        <color rgb="FF000000"/>
        <rFont val="Aptos Narrow"/>
        <scheme val="minor"/>
      </rPr>
      <t>**</t>
    </r>
  </si>
  <si>
    <r>
      <t>**</t>
    </r>
    <r>
      <rPr>
        <sz val="11"/>
        <color rgb="FF000000"/>
        <rFont val="Aptos Narrow"/>
        <scheme val="minor"/>
      </rPr>
      <t>Event Type</t>
    </r>
    <r>
      <rPr>
        <sz val="11"/>
        <color theme="1"/>
        <rFont val="Aptos Narrow"/>
        <scheme val="minor"/>
      </rPr>
      <t>**</t>
    </r>
  </si>
  <si>
    <t>01_31_sp_size_multi</t>
  </si>
  <si>
    <t>01_51_num_det_individ</t>
  </si>
  <si>
    <t xml:space="preserve">[modelling approaches](#mod_approach) </t>
  </si>
  <si>
    <t xml:space="preserve">    def_obj_abundance: "{{ def_mod_abundance }}"</t>
  </si>
  <si>
    <t xml:space="preserve">    def_obj_behaviour: "{{ def_mod_behaviour }}"</t>
  </si>
  <si>
    <t xml:space="preserve">    def_obj_density: "{{ def_mod_density }}"</t>
  </si>
  <si>
    <t xml:space="preserve">    def_obj_divers_rich: "{{ def_mod_divers_rich }}"</t>
  </si>
  <si>
    <t xml:space="preserve">    def_obj_inventory: "{{ def_mod_inventory }}"</t>
  </si>
  <si>
    <t xml:space="preserve">    def_obj_occupancy: "{{ def_mod_occupancy }}"</t>
  </si>
  <si>
    <t xml:space="preserve">    def_obj_rel_abund: "{{ def_mod_rel_abund }}"</t>
  </si>
  <si>
    <t xml:space="preserve">    def_obj_vital_rate: "{{ def_mod_vital_rate }}"</t>
  </si>
  <si>
    <t>Carswell, B. M., Avgar, T., Street, G. M., Boyle, S. P., &amp; Vander Wal, E. (2024). One size does not fit all: A novel approach for determining the Realised Viewshed Size for remote camera traps. *Ecology*. &lt;https://doi.org/10.1101/2024.05.09.593241&gt;</t>
  </si>
  <si>
    <t>Carswell et al., 2024</t>
  </si>
  <si>
    <t>carswell_et_al_2024</t>
  </si>
  <si>
    <t>https://doi.org/10.1101/2024.05.09.593241</t>
  </si>
  <si>
    <t>closure_site</t>
  </si>
  <si>
    <t>Site closure</t>
  </si>
  <si>
    <t xml:space="preserve">the assumption that there is no change in state (e.g. species presence/ absence, immigration/ emigration, births/deaths) during the {{ survey_tl }} period ({{ rtxt_mackenzie_et_al_2004 }}). </t>
  </si>
  <si>
    <t>capture-recapture</t>
  </si>
  <si>
    <t>{{ mod_approach_tl_pl }}</t>
  </si>
  <si>
    <t>independent</t>
  </si>
  <si>
    <t xml:space="preserve">    access_method_tu: "&lt;a href=\"09_glossary.html#access_method\" target=\"_blank\" data-bs-toggle=\"tooltip\" data-bs-title=\"Access Method: The method used to reach the camera location (e.g., on 'Foot,' 'ATV,' 'Helicopter,' etc.).\"&gt;Access Method&lt;button type=\"button\" class=\"btn btn-bd-tip-info-hidden btn-sm position-relative\"&gt;.&lt;span class=\"position-absolute top-0 start-100 translate-middle\"&gt;{{ icon_info }}&lt;/span&gt;&lt;/button&gt;&lt;/a&gt;"</t>
  </si>
  <si>
    <t xml:space="preserve">    accuracy_tl: "&lt;a href=\"09_glossary.html#accuracy\" target=\"_blank\" data-bs-toggle=\"tooltip\" data-bs-title=\"Accuracy: How close a measured or estimated value is to the true value' (Clarke et al., 2023).\"&gt;accuracy&lt;button type=\"button\" class=\"btn btn-bd-tip-info-hidden btn-sm position-relative\"&gt;.&lt;span class=\"position-absolute top-0 start-100 translate-middle\"&gt;{{ icon_info }}&lt;/span&gt;&lt;/button&gt;&lt;/a&gt;"</t>
  </si>
  <si>
    <t xml:space="preserve">    accuracy_tu: "&lt;a href=\"09_glossary.html#accuracy\" target=\"_blank\" data-bs-toggle=\"tooltip\" data-bs-title=\"Accuracy: How close a measured or estimated value is to the true value' (Clarke et al., 2023).\"&gt;Accuracy&lt;button type=\"button\" class=\"btn btn-bd-tip-info-hidden btn-sm position-relative\"&gt;.&lt;span class=\"position-absolute top-0 start-100 translate-middle\"&gt;{{ icon_info }}&lt;/span&gt;&lt;/button&gt;&lt;/a&gt;"</t>
  </si>
  <si>
    <t xml:space="preserve">    accurate_tl: "&lt;a href=\"09_glossary.html#accurate\" target=\"_blank\" data-bs-toggle=\"tooltip\" data-bs-title=\"Accuracy: How close a measured or estimated value is to the true value' (Clarke et al., 2023).\"&gt;accurate&lt;button type=\"button\" class=\"btn btn-bd-tip-info-hidden btn-sm position-relative\"&gt;.&lt;span class=\"position-absolute top-0 start-100 translate-middle\"&gt;{{ icon_info }}&lt;/span&gt;&lt;/button&gt;&lt;/a&gt;"</t>
  </si>
  <si>
    <t xml:space="preserve">    accurate_tl_op: "&lt;a href=\"09_glossary.html#accurate\" target=\"_blank\" data-bs-toggle=\"tooltip\" data-bs-title=\"Accuracy: How close a measured or estimated value is to the true value' (Clarke et al., 2023).\"&gt;inaccurate&lt;button type=\"button\" class=\"btn btn-bd-tip-info-hidden btn-sm position-relative\"&gt;.&lt;span class=\"position-absolute top-0 start-100 translate-middle\"&gt;{{ icon_info }}&lt;/span&gt;&lt;/button&gt;&lt;/a&gt;"</t>
  </si>
  <si>
    <t xml:space="preserve">    accurate_tu: "&lt;a href=\"09_glossary.html#accurate\" target=\"_blank\" data-bs-toggle=\"tooltip\" data-bs-title=\"Accuracy: How close a measured or estimated value is to the true value' (Clarke et al., 2023).\"&gt;Inaccurate&lt;button type=\"button\" class=\"btn btn-bd-tip-info-hidden btn-sm position-relative\"&gt;.&lt;span class=\"position-absolute top-0 start-100 translate-middle\"&gt;{{ icon_info }}&lt;/span&gt;&lt;/button&gt;&lt;/a&gt;"</t>
  </si>
  <si>
    <t xml:space="preserve">    accurate_tu_op: "&lt;a href=\"09_glossary.html#accurate\" target=\"_blank\" data-bs-toggle=\"tooltip\" data-bs-title=\"Accuracy: How close a measured or estimated value is to the true value' (Clarke et al., 2023).\"&gt;Accurate&lt;button type=\"button\" class=\"btn btn-bd-tip-info-hidden btn-sm position-relative\"&gt;.&lt;span class=\"position-absolute top-0 start-100 translate-middle\"&gt;{{ icon_info }}&lt;/span&gt;&lt;/button&gt;&lt;/a&gt;"</t>
  </si>
  <si>
    <t xml:space="preserve">    age_class_adult_tu: "&lt;a href=\"09_glossary.html#age_class_adult\" target=\"_blank\" data-bs-toggle=\"tooltip\" data-bs-title=\"Adult: Animals that are old enough to breed; reproductively mature.\"&gt;Adult&lt;button type=\"button\" class=\"btn btn-bd-tip-info-hidden btn-sm position-relative\"&gt;.&lt;span class=\"position-absolute top-0 start-100 translate-middle\"&gt;{{ icon_info }}&lt;/span&gt;&lt;/button&gt;&lt;/a&gt;"</t>
  </si>
  <si>
    <t xml:space="preserve">    age_class_juvenile_tu: "&lt;a href=\"09_glossary.html#age_class_juvenile\" target=\"_blank\" data-bs-toggle=\"tooltip\" data-bs-title=\"Juvenile: Animals in their first summer, with clearly juvenile features (e.g., spots); mammals older than neonates but that still require parental care.\"&gt;Juvenile&lt;button type=\"button\" class=\"btn btn-bd-tip-info-hidden btn-sm position-relative\"&gt;.&lt;span class=\"position-absolute top-0 start-100 translate-middle\"&gt;{{ icon_info }}&lt;/span&gt;&lt;/button&gt;&lt;/a&gt;"</t>
  </si>
  <si>
    <t xml:space="preserve">    age_class_subadult_tu: "&lt;a href=\"09_glossary.html#age_class_subadult\" target=\"_blank\" data-bs-toggle=\"tooltip\" data-bs-title=\"Subadult: Animals older than a 'Juvenile' but not yet an 'Adult'; a 'Subadult' may be further classified into 'Young of the Year' or 'Yearling.'\"&gt;Subadult&lt;button type=\"button\" class=\"btn btn-bd-tip-info-hidden btn-sm position-relative\"&gt;.&lt;span class=\"position-absolute top-0 start-100 translate-middle\"&gt;{{ icon_info }}&lt;/span&gt;&lt;/button&gt;&lt;/a&gt;"</t>
  </si>
  <si>
    <t xml:space="preserve">    age_class_subadult_yearling_tu: "&lt;a href=\"09_glossary.html#age_class_subadult_yearling\" target=\"_blank\" data-bs-toggle=\"tooltip\" data-bs-title=\"Subadult - Yearling: Animals approximately one year old; has lived through one winter season; between 'Young of Year' and 'Adult.'\"&gt;Subadult - Yearling&lt;button type=\"button\" class=\"btn btn-bd-tip-info-hidden btn-sm position-relative\"&gt;.&lt;span class=\"position-absolute top-0 start-100 translate-middle\"&gt;{{ icon_info }}&lt;/span&gt;&lt;/button&gt;&lt;/a&gt;"</t>
  </si>
  <si>
    <t xml:space="preserve">    age_class_subadult_youngofyear_tu: "&lt;a href=\"09_glossary.html#age_class_subadult_youngofyear\" target=\"_blank\" data-bs-toggle=\"tooltip\" data-bs-title=\"Subadult - Young of Year: Animals less than one year old; born in the previous year's spring, but has not yet lived through a winter season; between 'Juvenile' and 'Yearling.'\"&gt;Subadult - Young of Year&lt;button type=\"button\" class=\"btn btn-bd-tip-info-hidden btn-sm position-relative\"&gt;.&lt;span class=\"position-absolute top-0 start-100 translate-middle\"&gt;{{ icon_info }}&lt;/span&gt;&lt;/button&gt;&lt;/a&gt;"</t>
  </si>
  <si>
    <t xml:space="preserve">    age_class_tu: "&lt;a href=\"09_glossary.html#age_class\" target=\"_blank\" data-bs-toggle=\"tooltip\" data-bs-title=\"Age Class: The age classification of individual(s) being categorized (e.g., 'Adult,' 'Juvenile,' 'Subadult,' 'Subadult - Young of Year,' 'Subadult - Yearling,' or 'Unknown'). \"&gt;Age Class&lt;button type=\"button\" class=\"btn btn-bd-tip-info-hidden btn-sm position-relative\"&gt;.&lt;span class=\"position-absolute top-0 start-100 translate-middle\"&gt;{{ icon_info }}&lt;/span&gt;&lt;/button&gt;&lt;/a&gt;"</t>
  </si>
  <si>
    <t xml:space="preserve">    age_class_tu_pl: "&lt;a href=\"09_glossary.html#age_class\" target=\"_blank\" data-bs-toggle=\"tooltip\" data-bs-title=\"Age Class: The age classification of individual(s) being categorized (e.g., 'Adult,' 'Juvenile,' 'Subadult,' 'Subadult - Young of Year,' 'Subadult - Yearling,' or 'Unknown'). \"&gt;Age Classes&lt;button type=\"button\" class=\"btn btn-bd-tip-info-hidden btn-sm position-relative\"&gt;.&lt;span class=\"position-absolute top-0 start-100 translate-middle\"&gt;{{ icon_info }}&lt;/span&gt;&lt;/button&gt;&lt;/a&gt;"</t>
  </si>
  <si>
    <t xml:space="preserve">    analyst_tu: "&lt;a href=\"09_glossary.html#analyst\" target=\"_blank\" data-bs-toggle=\"tooltip\" data-bs-title=\"Analyst: The first and last names of the individual who provided the observation data point (species identification and associated information). If there are multiple analysts for an observation, enter the primary analyst.\"&gt;Analyst&lt;button type=\"button\" class=\"btn btn-bd-tip-info-hidden btn-sm position-relative\"&gt;.&lt;span class=\"position-absolute top-0 start-100 translate-middle\"&gt;{{ icon_info }}&lt;/span&gt;&lt;/button&gt;&lt;/a&gt;"</t>
  </si>
  <si>
    <t xml:space="preserve">    animal_id_tu: "&lt;a href=\"09_glossary.html#animal_id\" target=\"_blank\" data-bs-toggle=\"tooltip\" data-bs-title=\"Animal ID: A unique ID for an animal that can be uniquely identified (e.g., marked in some way). If multiple unique individuals are identified, enter an Animal ID for each as a unique row. Leave blank if not applicable.\"&gt;Animal ID&lt;button type=\"button\" class=\"btn btn-bd-tip-info-hidden btn-sm position-relative\"&gt;.&lt;span class=\"position-absolute top-0 start-100 translate-middle\"&gt;{{ icon_info }}&lt;/span&gt;&lt;/button&gt;&lt;/a&gt;"</t>
  </si>
  <si>
    <t xml:space="preserve">    baitlure_audible_lure_tl: "&lt;a href=\"09_glossary.html#baitlure_audible_lure\" target=\"_blank\" data-bs-toggle=\"tooltip\" data-bs-title=\"Audible lure: Sounds imitating noises of prey or conspecifics that draw animals closer by eliciting curiosity (Schlexer, 2008).\"&gt;audible lure&lt;button type=\"button\" class=\"btn btn-bd-tip-info-hidden btn-sm position-relative\"&gt;.&lt;span class=\"position-absolute top-0 start-100 translate-middle\"&gt;{{ icon_info }}&lt;/span&gt;&lt;/button&gt;&lt;/a&gt;"</t>
  </si>
  <si>
    <t xml:space="preserve">    baitlure_audible_lure_tu: "&lt;a href=\"09_glossary.html#baitlure_audible_lure\" target=\"_blank\" data-bs-toggle=\"tooltip\" data-bs-title=\"Audible lure: Sounds imitating noises of prey or conspecifics that draw animals closer by eliciting curiosity (Schlexer, 2008).\"&gt;Audible lure&lt;button type=\"button\" class=\"btn btn-bd-tip-info-hidden btn-sm position-relative\"&gt;.&lt;span class=\"position-absolute top-0 start-100 translate-middle\"&gt;{{ icon_info }}&lt;/span&gt;&lt;/button&gt;&lt;/a&gt;"</t>
  </si>
  <si>
    <t xml:space="preserve">    baitlure_bait_lure_type_tu: "&lt;a href=\"09_glossary.html#baitlure_bait_lure_type\" target=\"_blank\" data-bs-toggle=\"tooltip\" data-bs-title=\"Bait/Lure Type: The type of bait or lure used at a camera location. Record 'None' if a Bait*/Lure Type was not used and 'Unknown' if not known. If 'Other,' describe in the Deployment Comments.\"&gt;Bait/Lure Type&lt;button type=\"button\" class=\"btn btn-bd-tip-info-hidden btn-sm position-relative\"&gt;.&lt;span class=\"position-absolute top-0 start-100 translate-middle\"&gt;{{ icon_info }}&lt;/span&gt;&lt;/button&gt;&lt;/a&gt;"</t>
  </si>
  <si>
    <t xml:space="preserve">    baitlure_bait_tl: "&lt;a href=\"09_glossary.html#baitlure_bait\" target=\"_blank\" data-bs-toggle=\"tooltip\" data-bs-title=\"Bait: A food item (or other substance) that is placed to attract animals via the sense of taste and olfactory cues (Schlexer, 2008).\"&gt;bait&lt;button type=\"button\" class=\"btn btn-bd-tip-info-hidden btn-sm position-relative\"&gt;.&lt;span class=\"position-absolute top-0 start-100 translate-middle\"&gt;{{ icon_info }}&lt;/span&gt;&lt;/button&gt;&lt;/a&gt;"</t>
  </si>
  <si>
    <t xml:space="preserve">    baitlure_bait_tl_pl: "&lt;a href=\"09_glossary.html#baitlure_bait\" target=\"_blank\" data-bs-toggle=\"tooltip\" data-bs-title=\"Bait: A food item (or other substance) that is placed to attract animals via the sense of taste and olfactory cues (Schlexer, 2008).\"&gt;baits&lt;button type=\"button\" class=\"btn btn-bd-tip-info-hidden btn-sm position-relative\"&gt;.&lt;span class=\"position-absolute top-0 start-100 translate-middle\"&gt;{{ icon_info }}&lt;/span&gt;&lt;/button&gt;&lt;/a&gt;"</t>
  </si>
  <si>
    <t xml:space="preserve">    baitlure_bait_tu: "&lt;a href=\"09_glossary.html#baitlure_bait\" target=\"_blank\" data-bs-toggle=\"tooltip\" data-bs-title=\"Bait: A food item (or other substance) that is placed to attract animals via the sense of taste and olfactory cues (Schlexer, 2008).\"&gt;Bait&lt;button type=\"button\" class=\"btn btn-bd-tip-info-hidden btn-sm position-relative\"&gt;.&lt;span class=\"position-absolute top-0 start-100 translate-middle\"&gt;{{ icon_info }}&lt;/span&gt;&lt;/button&gt;&lt;/a&gt;"</t>
  </si>
  <si>
    <t xml:space="preserve">    baitlure_bait_tu_pl: "&lt;a href=\"09_glossary.html#baitlure_bait\" target=\"_blank\" data-bs-toggle=\"tooltip\" data-bs-title=\"Bait: A food item (or other substance) that is placed to attract animals via the sense of taste and olfactory cues (Schlexer, 2008).\"&gt;Baits&lt;button type=\"button\" class=\"btn btn-bd-tip-info-hidden btn-sm position-relative\"&gt;.&lt;span class=\"position-absolute top-0 start-100 translate-middle\"&gt;{{ icon_info }}&lt;/span&gt;&lt;/button&gt;&lt;/a&gt;"</t>
  </si>
  <si>
    <t xml:space="preserve">    baitlure_lure_tl: "&lt;a href=\"09_glossary.html#baitlure_lure\" target=\"_blank\" data-bs-toggle=\"tooltip\" data-bs-title=\"Lure: Any substance that draws animals closer; lures include scent (olfactory) lure, visual lure and audible lure (Schlexer, 2008).\"&gt;lure&lt;button type=\"button\" class=\"btn btn-bd-tip-info-hidden btn-sm position-relative\"&gt;.&lt;span class=\"position-absolute top-0 start-100 translate-middle\"&gt;{{ icon_info }}&lt;/span&gt;&lt;/button&gt;&lt;/a&gt;"</t>
  </si>
  <si>
    <t xml:space="preserve">    baitlure_lure_tu: "&lt;a href=\"09_glossary.html#baitlure_lure\" target=\"_blank\" data-bs-toggle=\"tooltip\" data-bs-title=\"Lure: Any substance that draws animals closer; lures include scent (olfactory) lure, visual lure and audible lure (Schlexer, 2008).\"&gt;Lure&lt;button type=\"button\" class=\"btn btn-bd-tip-info-hidden btn-sm position-relative\"&gt;.&lt;span class=\"position-absolute top-0 start-100 translate-middle\"&gt;{{ icon_info }}&lt;/span&gt;&lt;/button&gt;&lt;/a&gt;"</t>
  </si>
  <si>
    <t xml:space="preserve">    baitlure_scent_lure_tl: "&lt;a href=\"09_glossary.html#baitlure_scent_lure\" target=\"_blank\" data-bs-toggle=\"tooltip\" data-bs-title=\"Scent lure: Any material that draws animals closer via their sense of smell (Schlexer, 2008).\"&gt;scent lure&lt;button type=\"button\" class=\"btn btn-bd-tip-info-hidden btn-sm position-relative\"&gt;.&lt;span class=\"position-absolute top-0 start-100 translate-middle\"&gt;{{ icon_info }}&lt;/span&gt;&lt;/button&gt;&lt;/a&gt;"</t>
  </si>
  <si>
    <t xml:space="preserve">    baitlure_scent_lure_tl_pl: "&lt;a href=\"09_glossary.html#baitlure_scent_lure\" target=\"_blank\" data-bs-toggle=\"tooltip\" data-bs-title=\"Scent lure: Any material that draws animals closer via their sense of smell (Schlexer, 2008).\"&gt;scent lures&lt;button type=\"button\" class=\"btn btn-bd-tip-info-hidden btn-sm position-relative\"&gt;.&lt;span class=\"position-absolute top-0 start-100 translate-middle\"&gt;{{ icon_info }}&lt;/span&gt;&lt;/button&gt;&lt;/a&gt;"</t>
  </si>
  <si>
    <t xml:space="preserve">    baitlure_scent_lure_tu: "&lt;a href=\"09_glossary.html#baitlure_scent_lure\" target=\"_blank\" data-bs-toggle=\"tooltip\" data-bs-title=\"Scent lure: Any material that draws animals closer via their sense of smell (Schlexer, 2008).\"&gt;Scent lure&lt;button type=\"button\" class=\"btn btn-bd-tip-info-hidden btn-sm position-relative\"&gt;.&lt;span class=\"position-absolute top-0 start-100 translate-middle\"&gt;{{ icon_info }}&lt;/span&gt;&lt;/button&gt;&lt;/a&gt;"</t>
  </si>
  <si>
    <t xml:space="preserve">    baitlure_scent_lure_tu_pl: "&lt;a href=\"09_glossary.html#baitlure_scent_lure\" target=\"_blank\" data-bs-toggle=\"tooltip\" data-bs-title=\"Scent lure: Any material that draws animals closer via their sense of smell (Schlexer, 2008).\"&gt;Scent lures&lt;button type=\"button\" class=\"btn btn-bd-tip-info-hidden btn-sm position-relative\"&gt;.&lt;span class=\"position-absolute top-0 start-100 translate-middle\"&gt;{{ icon_info }}&lt;/span&gt;&lt;/button&gt;&lt;/a&gt;"</t>
  </si>
  <si>
    <t xml:space="preserve">    baitlure_visual_lure_tl: "&lt;a href=\"09_glossary.html#baitlure_visual_lure\" target=\"_blank\" data-bs-toggle=\"tooltip\" data-bs-title=\"Visual lure: Any material that draws animals closer via their sense of sight (Schlexer, 2008).\"&gt;visual lure&lt;button type=\"button\" class=\"btn btn-bd-tip-info-hidden btn-sm position-relative\"&gt;.&lt;span class=\"position-absolute top-0 start-100 translate-middle\"&gt;{{ icon_info }}&lt;/span&gt;&lt;/button&gt;&lt;/a&gt;"</t>
  </si>
  <si>
    <t xml:space="preserve">    baitlure_visual_lure_tu: "&lt;a href=\"09_glossary.html#baitlure_visual_lure\" target=\"_blank\" data-bs-toggle=\"tooltip\" data-bs-title=\"Visual lure: Any material that draws animals closer via their sense of sight (Schlexer, 2008).\"&gt;Visual lure&lt;button type=\"button\" class=\"btn btn-bd-tip-info-hidden btn-sm position-relative\"&gt;.&lt;span class=\"position-absolute top-0 start-100 translate-middle\"&gt;{{ icon_info }}&lt;/span&gt;&lt;/button&gt;&lt;/a&gt;"</t>
  </si>
  <si>
    <t xml:space="preserve">    batteries_replaced_tu: "&lt;a href=\"09_glossary.html#batteries_replaced\" target=\"_blank\" data-bs-toggle=\"tooltip\" data-bs-title=\"Batteries Replaced: Whether the camera's batteries were replaced.\"&gt;Batteries Replaced&lt;button type=\"button\" class=\"btn btn-bd-tip-info-hidden btn-sm position-relative\"&gt;.&lt;span class=\"position-absolute top-0 start-100 translate-middle\"&gt;{{ icon_info }}&lt;/span&gt;&lt;/button&gt;&lt;/a&gt;"</t>
  </si>
  <si>
    <t xml:space="preserve">    behaviour_tl_pl: "&lt;a href=\"09_glossary.html#behaviour\" target=\"_blank\" data-bs-toggle=\"tooltip\" data-bs-title=\"Behaviour: The behaviour of the individual(s) being categorized (e.g., 'Standing,' 'Drinking,' 'Vigilant,' etc.).\"&gt;behaviours&lt;button type=\"button\" class=\"btn btn-bd-tip-info-hidden btn-sm position-relative\"&gt;.&lt;span class=\"position-absolute top-0 start-100 translate-middle\"&gt;{{ icon_info }}&lt;/span&gt;&lt;/button&gt;&lt;/a&gt;"</t>
  </si>
  <si>
    <t xml:space="preserve">    behaviour_tu_pl: "&lt;a href=\"09_glossary.html#behaviour\" target=\"_blank\" data-bs-toggle=\"tooltip\" data-bs-title=\"Behaviour: The behaviour of the individual(s) being categorized (e.g., 'Standing,' 'Drinking,' 'Vigilant,' etc.).\"&gt;Behaviours&lt;button type=\"button\" class=\"btn btn-bd-tip-info-hidden btn-sm position-relative\"&gt;.&lt;span class=\"position-absolute top-0 start-100 translate-middle\"&gt;{{ icon_info }}&lt;/span&gt;&lt;/button&gt;&lt;/a&gt;"</t>
  </si>
  <si>
    <t xml:space="preserve">    bias_tl: "&lt;a href=\"09_glossary.html#bias\" target=\"_blank\" data-bs-toggle=\"tooltip\" data-bs-title=\"Bias: A skewed or altered perspective. Biased data refers to data that may be inaccurate or unevenly portrayed (usually in favour of specific variables) and is therefore not as robust.' (Kemp et al., 2022).\"&gt;bias&lt;button type=\"button\" class=\"btn btn-bd-tip-info-hidden btn-sm position-relative\"&gt;.&lt;span class=\"position-absolute top-0 start-100 translate-middle\"&gt;{{ icon_info }}&lt;/span&gt;&lt;/button&gt;&lt;/a&gt;"</t>
  </si>
  <si>
    <t xml:space="preserve">    bias_tl_mod: "&lt;a href=\"09_glossary.html#bias\" target=\"_blank\" data-bs-toggle=\"tooltip\" data-bs-title=\"Bias: A skewed or altered perspective. Biased data refers to data that may be inaccurate or unevenly portrayed (usually in favour of specific variables) and is therefore not as robust.' (Kemp et al., 2022).\"&gt;biased&lt;button type=\"button\" class=\"btn btn-bd-tip-info-hidden btn-sm position-relative\"&gt;.&lt;span class=\"position-absolute top-0 start-100 translate-middle\"&gt;{{ icon_info }}&lt;/span&gt;&lt;/button&gt;&lt;/a&gt;"</t>
  </si>
  <si>
    <t xml:space="preserve">    bias_tl_mod2: "&lt;a href=\"09_glossary.html#bias\" target=\"_blank\" data-bs-toggle=\"tooltip\" data-bs-title=\"Bias: A skewed or altered perspective. Biased data refers to data that may be inaccurate or unevenly portrayed (usually in favour of specific variables) and is therefore not as robust.' (Kemp et al., 2022).\"&gt;biases&lt;button type=\"button\" class=\"btn btn-bd-tip-info-hidden btn-sm position-relative\"&gt;.&lt;span class=\"position-absolute top-0 start-100 translate-middle\"&gt;{{ icon_info }}&lt;/span&gt;&lt;/button&gt;&lt;/a&gt;"</t>
  </si>
  <si>
    <t xml:space="preserve">    bias_tl_op: "&lt;a href=\"09_glossary.html#bias\" target=\"_blank\" data-bs-toggle=\"tooltip\" data-bs-title=\"Bias: A skewed or altered perspective. Biased data refers to data that may be inaccurate or unevenly portrayed (usually in favour of specific variables) and is therefore not as robust.' (Kemp et al., 2022).\"&gt;unbiased&lt;button type=\"button\" class=\"btn btn-bd-tip-info-hidden btn-sm position-relative\"&gt;.&lt;span class=\"position-absolute top-0 start-100 translate-middle\"&gt;{{ icon_info }}&lt;/span&gt;&lt;/button&gt;&lt;/a&gt;"</t>
  </si>
  <si>
    <t xml:space="preserve">    bias_tu: "&lt;a href=\"09_glossary.html#bias\" target=\"_blank\" data-bs-toggle=\"tooltip\" data-bs-title=\"Bias: A skewed or altered perspective. Biased data refers to data that may be inaccurate or unevenly portrayed (usually in favour of specific variables) and is therefore not as robust.' (Kemp et al., 2022).\"&gt;Bias&lt;button type=\"button\" class=\"btn btn-bd-tip-info-hidden btn-sm position-relative\"&gt;.&lt;span class=\"position-absolute top-0 start-100 translate-middle\"&gt;{{ icon_info }}&lt;/span&gt;&lt;/button&gt;&lt;/a&gt;"</t>
  </si>
  <si>
    <t xml:space="preserve">    bias_tu_mod: "&lt;a href=\"09_glossary.html#bias\" target=\"_blank\" data-bs-toggle=\"tooltip\" data-bs-title=\"Bias: A skewed or altered perspective. Biased data refers to data that may be inaccurate or unevenly portrayed (usually in favour of specific variables) and is therefore not as robust.' (Kemp et al., 2022).\"&gt;Biased&lt;button type=\"button\" class=\"btn btn-bd-tip-info-hidden btn-sm position-relative\"&gt;.&lt;span class=\"position-absolute top-0 start-100 translate-middle\"&gt;{{ icon_info }}&lt;/span&gt;&lt;/button&gt;&lt;/a&gt;"</t>
  </si>
  <si>
    <t xml:space="preserve">    bias_tu_mod2: "&lt;a href=\"09_glossary.html#bias\" target=\"_blank\" data-bs-toggle=\"tooltip\" data-bs-title=\"Bias: A skewed or altered perspective. Biased data refers to data that may be inaccurate or unevenly portrayed (usually in favour of specific variables) and is therefore not as robust.' (Kemp et al., 2022).\"&gt;Biases&lt;button type=\"button\" class=\"btn btn-bd-tip-info-hidden btn-sm position-relative\"&gt;.&lt;span class=\"position-absolute top-0 start-100 translate-middle\"&gt;{{ icon_info }}&lt;/span&gt;&lt;/button&gt;&lt;/a&gt;"</t>
  </si>
  <si>
    <t xml:space="preserve">    bias_tu_op: "&lt;a href=\"09_glossary.html#bias\" target=\"_blank\" data-bs-toggle=\"tooltip\" data-bs-title=\"Bias: A skewed or altered perspective. Biased data refers to data that may be inaccurate or unevenly portrayed (usually in favour of specific variables) and is therefore not as robust.' (Kemp et al., 2022).\"&gt;Unbiased&lt;button type=\"button\" class=\"btn btn-bd-tip-info-hidden btn-sm position-relative\"&gt;.&lt;span class=\"position-absolute top-0 start-100 translate-middle\"&gt;{{ icon_info }}&lt;/span&gt;&lt;/button&gt;&lt;/a&gt;"</t>
  </si>
  <si>
    <t xml:space="preserve">    biodiversity_tl: "&lt;a href=\"09_glossary.html#biodiversity\" target=\"_blank\" data-bs-toggle=\"tooltip\" data-bs-title=\"Biodiversity: The variation of life in the natural world. In the context of this guide, biodiversity refers to the variety of different wildlife species found in an area.' (Kemp et al., 2022).\"&gt;biodiversity&lt;button type=\"button\" class=\"btn btn-bd-tip-info-hidden btn-sm position-relative\"&gt;.&lt;span class=\"position-absolute top-0 start-100 translate-middle\"&gt;{{ icon_info }}&lt;/span&gt;&lt;/button&gt;&lt;/a&gt;"</t>
  </si>
  <si>
    <t xml:space="preserve">    biodiversity_tu: "&lt;a href=\"09_glossary.html#biodiversity\" target=\"_blank\" data-bs-toggle=\"tooltip\" data-bs-title=\"Biodiversity: The variation of life in the natural world. In the context of this guide, biodiversity refers to the variety of different wildlife species found in an area.' (Kemp et al., 2022).\"&gt;Biodiversity&lt;button type=\"button\" class=\"btn btn-bd-tip-info-hidden btn-sm position-relative\"&gt;.&lt;span class=\"position-absolute top-0 start-100 translate-middle\"&gt;{{ icon_info }}&lt;/span&gt;&lt;/button&gt;&lt;/a&gt;"</t>
  </si>
  <si>
    <t xml:space="preserve">    cam_active_on_arrival_tu: "&lt;a href=\"09_glossary.html#cam_active_on_arrival\" target=\"_blank\" data-bs-toggle=\"tooltip\" data-bs-title=\"Camera Active On Arrival: Whether a camera was functional upon arrival.\"&gt;Camera Active On Arrival&lt;button type=\"button\" class=\"btn btn-bd-tip-info-hidden btn-sm position-relative\"&gt;.&lt;span class=\"position-absolute top-0 start-100 translate-middle\"&gt;{{ icon_info }}&lt;/span&gt;&lt;/button&gt;&lt;/a&gt;"</t>
  </si>
  <si>
    <t xml:space="preserve">    cam_active_on_departure_tu: "&lt;a href=\"09_glossary.html#cam_active_on_departure\" target=\"_blank\" data-bs-toggle=\"tooltip\" data-bs-title=\"Camera Active On Departure: Whether a camera was functional upon departure.\"&gt;Camera Active On Departure&lt;button type=\"button\" class=\"btn btn-bd-tip-info-hidden btn-sm position-relative\"&gt;.&lt;span class=\"position-absolute top-0 start-100 translate-middle\"&gt;{{ icon_info }}&lt;/span&gt;&lt;/button&gt;&lt;/a&gt;"</t>
  </si>
  <si>
    <t xml:space="preserve">    cam_angle_tl: "&lt;a href=\"09_glossary.html#cam_angle\" target=\"_blank\" data-bs-toggle=\"tooltip\" data-bs-title=\"Camera angle: The degree at which the camera is pointed toward the FOV Target Feature relative to the horizontal ground surface (with respect to slope, if applicable).\"&gt;camera angle&lt;button type=\"button\" class=\"btn btn-bd-tip-info-hidden btn-sm position-relative\"&gt;.&lt;span class=\"position-absolute top-0 start-100 translate-middle\"&gt;{{ icon_info }}&lt;/span&gt;&lt;/button&gt;&lt;/a&gt;"</t>
  </si>
  <si>
    <t xml:space="preserve">    cam_angle_tl_abrv: "&lt;a href=\"09_glossary.html#cam_angle\" target=\"_blank\" data-bs-toggle=\"tooltip\" data-bs-title=\"Camera angle: The degree at which the camera is pointed toward the FOV Target Feature relative to the horizontal ground surface (with respect to slope, if applicable).\"&gt;angle&lt;button type=\"button\" class=\"btn btn-bd-tip-info-hidden btn-sm position-relative\"&gt;.&lt;span class=\"position-absolute top-0 start-100 translate-middle\"&gt;{{ icon_info }}&lt;/span&gt;&lt;/button&gt;&lt;/a&gt;"</t>
  </si>
  <si>
    <t xml:space="preserve">    cam_angle_tu: "&lt;a href=\"09_glossary.html#cam_angle\" target=\"_blank\" data-bs-toggle=\"tooltip\" data-bs-title=\"Camera angle: The degree at which the camera is pointed toward the FOV Target Feature relative to the horizontal ground surface (with respect to slope, if applicable).\"&gt;Camera angle&lt;button type=\"button\" class=\"btn btn-bd-tip-info-hidden btn-sm position-relative\"&gt;.&lt;span class=\"position-absolute top-0 start-100 translate-middle\"&gt;{{ icon_info }}&lt;/span&gt;&lt;/button&gt;&lt;/a&gt;"</t>
  </si>
  <si>
    <t xml:space="preserve">    cam_angle_tu_abrv: "&lt;a href=\"09_glossary.html#cam_angle\" target=\"_blank\" data-bs-toggle=\"tooltip\" data-bs-title=\"Camera angle: The degree at which the camera is pointed toward the FOV Target Feature relative to the horizontal ground surface (with respect to slope, if applicable).\"&gt;Angle&lt;button type=\"button\" class=\"btn btn-bd-tip-info-hidden btn-sm position-relative\"&gt;.&lt;span class=\"position-absolute top-0 start-100 translate-middle\"&gt;{{ icon_info }}&lt;/span&gt;&lt;/button&gt;&lt;/a&gt;"</t>
  </si>
  <si>
    <t xml:space="preserve">    cam_attachment_tu: "&lt;a href=\"09_glossary.html#cam_attachment\" target=\"_blank\" data-bs-toggle=\"tooltip\" data-bs-title=\"Camera Attachment: The method*/tools used to attach the camera (e.g., attached to a tree with a bungee cord; reported as codes such as 'Tree + Bungee*/Strap'). If 'Other,' describe in the Camera Location Comments.\"&gt;Camera Attachment&lt;button type=\"button\" class=\"btn btn-bd-tip-info-hidden btn-sm position-relative\"&gt;.&lt;span class=\"position-absolute top-0 start-100 translate-middle\"&gt;{{ icon_info }}&lt;/span&gt;&lt;/button&gt;&lt;/a&gt;"</t>
  </si>
  <si>
    <t xml:space="preserve">    cam_damaged_tu: "&lt;a href=\"09_glossary.html#cam_damaged\" target=\"_blank\" data-bs-toggle=\"tooltip\" data-bs-title=\"Camera Damaged: Whether the camera was damaged or malfunctioning; if there is any damage to the device (physical or mechanical), the crew should describe the damage in the Service*/Retrieval Comments.\"&gt;Camera Damaged&lt;button type=\"button\" class=\"btn btn-bd-tip-info-hidden btn-sm position-relative\"&gt;.&lt;span class=\"position-absolute top-0 start-100 translate-middle\"&gt;{{ icon_info }}&lt;/span&gt;&lt;/button&gt;&lt;/a&gt;"</t>
  </si>
  <si>
    <t xml:space="preserve">    cam_days_per_cam_location_tl: "&lt;a href=\"09_glossary.html#cam_days_per_cam_location\" target=\"_blank\" data-bs-toggle=\"tooltip\" data-bs-title=\"Camera days per camera location: The number of days each camera was active and functioning during the period it was deployed (e.g., 24-hour periods or the difference in days between the Deployment Start Date Time and the Deployment End Date Time if there were no interruptions).\"&gt;camera days per camera location&lt;button type=\"button\" class=\"btn btn-bd-tip-info-hidden btn-sm position-relative\"&gt;.&lt;span class=\"position-absolute top-0 start-100 translate-middle\"&gt;{{ icon_info }}&lt;/span&gt;&lt;/button&gt;&lt;/a&gt;"</t>
  </si>
  <si>
    <t xml:space="preserve">    cam_days_per_cam_location_tu: "&lt;a href=\"09_glossary.html#cam_days_per_cam_location\" target=\"_blank\" data-bs-toggle=\"tooltip\" data-bs-title=\"Camera days per camera location: The number of days each camera was active and functioning during the period it was deployed (e.g., 24-hour periods or the difference in days between the Deployment Start Date Time and the Deployment End Date Time if there were no interruptions).\"&gt;Camera days per camera location&lt;button type=\"button\" class=\"btn btn-bd-tip-info-hidden btn-sm position-relative\"&gt;.&lt;span class=\"position-absolute top-0 start-100 translate-middle\"&gt;{{ icon_info }}&lt;/span&gt;&lt;/button&gt;&lt;/a&gt;"</t>
  </si>
  <si>
    <t xml:space="preserve">    cam_direction_tu_nu: "&lt;a href=\"09_glossary.html#cam_direction\" target=\"_blank\" data-bs-toggle=\"tooltip\" data-bs-title=\"Camera Direction (degrees): The cardinal direction that a camera faces. Ideally, cameras should face north (N; i.e. '0' degrees), or south (S; i.e. '180' degrees) if north is not possible. The Camera Direction should be chosen to ensure the field of view (FOV) is of the original FOV target feature.\"&gt;Camera Direction&lt;button type=\"button\" class=\"btn btn-bd-tip-info-hidden btn-sm position-relative\"&gt;.&lt;span class=\"position-absolute top-0 start-100 translate-middle\"&gt;{{ icon_info }}&lt;/span&gt;&lt;/button&gt;&lt;/a&gt;"</t>
  </si>
  <si>
    <t xml:space="preserve">    cam_direction_tu_u: "&lt;a href=\"09_glossary.html#cam_direction\" target=\"_blank\" data-bs-toggle=\"tooltip\" data-bs-title=\"Camera Direction (degrees): The cardinal direction that a camera faces. Ideally, cameras should face north (N; i.e. '0' degrees), or south (S; i.e. '180' degrees) if north is not possible. The Camera Direction should be chosen to ensure the field of view (FOV) is of the original FOV target feature.\"&gt;Camera Direction (degrees)&lt;button type=\"button\" class=\"btn btn-bd-tip-info-hidden btn-sm position-relative\"&gt;.&lt;span class=\"position-absolute top-0 start-100 translate-middle\"&gt;{{ icon_info }}&lt;/span&gt;&lt;/button&gt;&lt;/a&gt;"</t>
  </si>
  <si>
    <t xml:space="preserve">    cam_height_tu_nu: "&lt;a href=\"09_glossary.html#cam_height\" target=\"_blank\" data-bs-toggle=\"tooltip\" data-bs-title=\"Camera Height (m): The height from the ground (below snow) to the bottom of the lens (metres; to the nearest 0.05 m).\"&gt;Camera Height&lt;button type=\"button\" class=\"btn btn-bd-tip-info-hidden btn-sm position-relative\"&gt;.&lt;span class=\"position-absolute top-0 start-100 translate-middle\"&gt;{{ icon_info }}&lt;/span&gt;&lt;/button&gt;&lt;/a&gt;"</t>
  </si>
  <si>
    <t xml:space="preserve">    cam_height_tu_u: "&lt;a href=\"09_glossary.html#cam_height\" target=\"_blank\" data-bs-toggle=\"tooltip\" data-bs-title=\"Camera Height (m): The height from the ground (below snow) to the bottom of the lens (metres; to the nearest 0.05 m).\"&gt;Camera Height (m)&lt;button type=\"button\" class=\"btn btn-bd-tip-info-hidden btn-sm position-relative\"&gt;.&lt;span class=\"position-absolute top-0 start-100 translate-middle\"&gt;{{ icon_info }}&lt;/span&gt;&lt;/button&gt;&lt;/a&gt;"</t>
  </si>
  <si>
    <t xml:space="preserve">    cam_id_tu: "&lt;a href=\"09_glossary.html#cam_id\" target=\"_blank\" data-bs-toggle=\"tooltip\" data-bs-title=\"Camera ID: A unique alphanumeric ID for the camera that distinguishes it from other cameras of the same make or model.\"&gt;Camera ID&lt;button type=\"button\" class=\"btn btn-bd-tip-info-hidden btn-sm position-relative\"&gt;.&lt;span class=\"position-absolute top-0 start-100 translate-middle\"&gt;{{ icon_info }}&lt;/span&gt;&lt;/button&gt;&lt;/a&gt;"</t>
  </si>
  <si>
    <t xml:space="preserve">    cam_location_characteristics_tu_es: "&lt;a href=\"09_glossary.html#cam_location_characteristics\" target=\"_blank\" data-bs-toggle=\"tooltip\" data-bs-title=\"Camera Location Characteristic(s): Any significant features around the camera at the time of the visit. This may include for example, manmade or natural linear features (e.g., trails), habitat types (e.g., wetlands), wildlife structure (e.g., beaver dam). If 'Other,' describe in the Camera Location Comments. &lt;br&gt;&lt;br&gt;Camera Location Characteristics differ from FOV Target Features in that Camera Location Characteristics could include those not in the camera's Field of View. If 'Other,' describe in the Camera Location Comments.\"&gt;Camera Location Characteristic(s)&lt;button type=\"button\" class=\"btn btn-bd-tip-info-hidden btn-sm position-relative\"&gt;.&lt;span class=\"position-absolute top-0 start-100 translate-middle\"&gt;{{ icon_info }}&lt;/span&gt;&lt;/button&gt;&lt;/a&gt;"</t>
  </si>
  <si>
    <t xml:space="preserve">    cam_location_characteristics_tu_mod: "&lt;a href=\"09_glossary.html#cam_location_characteristics\" target=\"_blank\" data-bs-toggle=\"tooltip\" data-bs-title=\"Camera Location Characteristic(s): Any significant features around the camera at the time of the visit. This may include for example, manmade or natural linear features (e.g., trails), habitat types (e.g., wetlands), wildlife structure (e.g., beaver dam). If 'Other,' describe in the Camera Location Comments. &lt;br&gt;&lt;br&gt;Camera Location Characteristics differ from FOV Target Features in that Camera Location Characteristics could include those not in the camera's Field of View. If 'Other,' describe in the Camera Location Comments.\"&gt;Camera Location Characteristics&lt;button type=\"button\" class=\"btn btn-bd-tip-info-hidden btn-sm position-relative\"&gt;.&lt;span class=\"position-absolute top-0 start-100 translate-middle\"&gt;{{ icon_info }}&lt;/span&gt;&lt;/button&gt;&lt;/a&gt;"</t>
  </si>
  <si>
    <t xml:space="preserve">    cam_location_comments_tu: "&lt;a href=\"09_glossary.html#cam_location_comments\" target=\"_blank\" data-bs-toggle=\"tooltip\" data-bs-title=\"Camera Location Comments: Comments describing additional details about a camera location.\"&gt;Camera Location Comments&lt;button type=\"button\" class=\"btn btn-bd-tip-info-hidden btn-sm position-relative\"&gt;.&lt;span class=\"position-absolute top-0 start-100 translate-middle\"&gt;{{ icon_info }}&lt;/span&gt;&lt;/button&gt;&lt;/a&gt;"</t>
  </si>
  <si>
    <t xml:space="preserve">    cam_location_name_tu: "&lt;a href=\"09_glossary.html#cam_location_name\" target=\"_blank\" data-bs-toggle=\"tooltip\" data-bs-title=\"Camera Location Name: A unique alphanumeric identifier for the location where a single camera was placed (e.g., 'bh1,' 'bh2').\"&gt;Camera Location Name&lt;button type=\"button\" class=\"btn btn-bd-tip-info-hidden btn-sm position-relative\"&gt;.&lt;span class=\"position-absolute top-0 start-100 translate-middle\"&gt;{{ icon_info }}&lt;/span&gt;&lt;/button&gt;&lt;/a&gt;"</t>
  </si>
  <si>
    <t xml:space="preserve">    cam_location_tl: "&lt;a href=\"09_glossary.html#cam_location\" target=\"_blank\" data-bs-toggle=\"tooltip\" data-bs-title=\"Camera location: The location where a single camera was placed (recorded as 'Camera Location Name').\"&gt;camera location&lt;button type=\"button\" class=\"btn btn-bd-tip-info-hidden btn-sm position-relative\"&gt;.&lt;span class=\"position-absolute top-0 start-100 translate-middle\"&gt;{{ icon_info }}&lt;/span&gt;&lt;/button&gt;&lt;/a&gt;"</t>
  </si>
  <si>
    <t xml:space="preserve">    cam_location_tl_pl: "&lt;a href=\"09_glossary.html#cam_location\" target=\"_blank\" data-bs-toggle=\"tooltip\" data-bs-title=\"Camera location: The location where a single camera was placed (recorded as 'Camera Location Name').\"&gt;camera locations&lt;button type=\"button\" class=\"btn btn-bd-tip-info-hidden btn-sm position-relative\"&gt;.&lt;span class=\"position-absolute top-0 start-100 translate-middle\"&gt;{{ icon_info }}&lt;/span&gt;&lt;/button&gt;&lt;/a&gt;"</t>
  </si>
  <si>
    <t xml:space="preserve">    cam_location_tu: "&lt;a href=\"09_glossary.html#cam_location\" target=\"_blank\" data-bs-toggle=\"tooltip\" data-bs-title=\"Camera location: The location where a single camera was placed (recorded as 'Camera Location Name').\"&gt;Camera location&lt;button type=\"button\" class=\"btn btn-bd-tip-info-hidden btn-sm position-relative\"&gt;.&lt;span class=\"position-absolute top-0 start-100 translate-middle\"&gt;{{ icon_info }}&lt;/span&gt;&lt;/button&gt;&lt;/a&gt;"</t>
  </si>
  <si>
    <t xml:space="preserve">    cam_location_tu_pl: "&lt;a href=\"09_glossary.html#cam_location\" target=\"_blank\" data-bs-toggle=\"tooltip\" data-bs-title=\"Camera location: The location where a single camera was placed (recorded as 'Camera Location Name').\"&gt;Camera locations&lt;button type=\"button\" class=\"btn btn-bd-tip-info-hidden btn-sm position-relative\"&gt;.&lt;span class=\"position-absolute top-0 start-100 translate-middle\"&gt;{{ icon_info }}&lt;/span&gt;&lt;/button&gt;&lt;/a&gt;"</t>
  </si>
  <si>
    <t xml:space="preserve">    cam_make_tl_abrv: "&lt;a href=\"09_glossary.html#cam_make\" target=\"_blank\" data-bs-toggle=\"tooltip\" data-bs-title=\"Camera Make: The make of a particular camera (i.e., the manufacturer, e.g., 'Reconyx' or 'Bushnell').\"&gt;make&lt;button type=\"button\" class=\"btn btn-bd-tip-info-hidden btn-sm position-relative\"&gt;.&lt;span class=\"position-absolute top-0 start-100 translate-middle\"&gt;{{ icon_info }}&lt;/span&gt;&lt;/button&gt;&lt;/a&gt;"</t>
  </si>
  <si>
    <t xml:space="preserve">    cam_make_tu: "&lt;a href=\"09_glossary.html#cam_make\" target=\"_blank\" data-bs-toggle=\"tooltip\" data-bs-title=\"Camera Make: The make of a particular camera (i.e., the manufacturer, e.g., 'Reconyx' or 'Bushnell').\"&gt;Camera Make&lt;button type=\"button\" class=\"btn btn-bd-tip-info-hidden btn-sm position-relative\"&gt;.&lt;span class=\"position-absolute top-0 start-100 translate-middle\"&gt;{{ icon_info }}&lt;/span&gt;&lt;/button&gt;&lt;/a&gt;"</t>
  </si>
  <si>
    <t xml:space="preserve">    cam_make_tu_abrv: "&lt;a href=\"09_glossary.html#cam_make\" target=\"_blank\" data-bs-toggle=\"tooltip\" data-bs-title=\"Camera Make: The make of a particular camera (i.e., the manufacturer, e.g., 'Reconyx' or 'Bushnell').\"&gt;Make&lt;button type=\"button\" class=\"btn btn-bd-tip-info-hidden btn-sm position-relative\"&gt;.&lt;span class=\"position-absolute top-0 start-100 translate-middle\"&gt;{{ icon_info }}&lt;/span&gt;&lt;/button&gt;&lt;/a&gt;"</t>
  </si>
  <si>
    <t xml:space="preserve">    cam_model_tl_abrv: "&lt;a href=\"09_glossary.html#cam_model\" target=\"_blank\" data-bs-toggle=\"tooltip\" data-bs-title=\"Camera Model: The model number or name of a particular camera (e.g., 'PC900' or 'Trophy Cam HD').\"&gt;model&lt;button type=\"button\" class=\"btn btn-bd-tip-info-hidden btn-sm position-relative\"&gt;.&lt;span class=\"position-absolute top-0 start-100 translate-middle\"&gt;{{ icon_info }}&lt;/span&gt;&lt;/button&gt;&lt;/a&gt;"</t>
  </si>
  <si>
    <t xml:space="preserve">    cam_model_tu: "&lt;a href=\"09_glossary.html#cam_model\" target=\"_blank\" data-bs-toggle=\"tooltip\" data-bs-title=\"Camera Model: The model number or name of a particular camera (e.g., 'PC900' or 'Trophy Cam HD').\"&gt;Camera Model&lt;button type=\"button\" class=\"btn btn-bd-tip-info-hidden btn-sm position-relative\"&gt;.&lt;span class=\"position-absolute top-0 start-100 translate-middle\"&gt;{{ icon_info }}&lt;/span&gt;&lt;/button&gt;&lt;/a&gt;"</t>
  </si>
  <si>
    <t xml:space="preserve">    cam_model_tu_abrv: "&lt;a href=\"09_glossary.html#cam_model\" target=\"_blank\" data-bs-toggle=\"tooltip\" data-bs-title=\"Camera Model: The model number or name of a particular camera (e.g., 'PC900' or 'Trophy Cam HD').\"&gt;Model&lt;button type=\"button\" class=\"btn btn-bd-tip-info-hidden btn-sm position-relative\"&gt;.&lt;span class=\"position-absolute top-0 start-100 translate-middle\"&gt;{{ icon_info }}&lt;/span&gt;&lt;/button&gt;&lt;/a&gt;"</t>
  </si>
  <si>
    <t xml:space="preserve">    cam_serial_number_tu: "&lt;a href=\"09_glossary.html#cam_serial_number\" target=\"_blank\" data-bs-toggle=\"tooltip\" data-bs-title=\"Camera Serial Number: The serial number of a particular camera, which is usually found inside the camera cover (e.g., 'P900FF04152022').\"&gt;Camera Serial Number&lt;button type=\"button\" class=\"btn btn-bd-tip-info-hidden btn-sm position-relative\"&gt;.&lt;span class=\"position-absolute top-0 start-100 translate-middle\"&gt;{{ icon_info }}&lt;/span&gt;&lt;/button&gt;&lt;/a&gt;"</t>
  </si>
  <si>
    <t xml:space="preserve">    cam_serial_number_tu_abrv: "&lt;a href=\"09_glossary.html#cam_serial_number\" target=\"_blank\" data-bs-toggle=\"tooltip\" data-bs-title=\"Camera Serial Number: The serial number of a particular camera, which is usually found inside the camera cover (e.g., 'P900FF04152022').\"&gt;Serial Number&lt;button type=\"button\" class=\"btn btn-bd-tip-info-hidden btn-sm position-relative\"&gt;.&lt;span class=\"position-absolute top-0 start-100 translate-middle\"&gt;{{ icon_info }}&lt;/span&gt;&lt;/button&gt;&lt;/a&gt;"</t>
  </si>
  <si>
    <t xml:space="preserve">    cam_spacing_tl: "&lt;a href=\"09_glossary.html#cam_spacing\" target=\"_blank\" data-bs-toggle=\"tooltip\" data-bs-title=\"Camera spacing: The distance between cameras (i.e., also referred to as 'inter-trap distance'). This will be influenced by the chosen sampling design, the survey Objectives, the Target Species and data analysis.\"&gt;camera spacing&lt;button type=\"button\" class=\"btn btn-bd-tip-info-hidden btn-sm position-relative\"&gt;.&lt;span class=\"position-absolute top-0 start-100 translate-middle\"&gt;{{ icon_info }}&lt;/span&gt;&lt;/button&gt;&lt;/a&gt;"</t>
  </si>
  <si>
    <t xml:space="preserve">    cam_spacing_tu: "&lt;a href=\"09_glossary.html#cam_spacing\" target=\"_blank\" data-bs-toggle=\"tooltip\" data-bs-title=\"Camera spacing: The distance between cameras (i.e., also referred to as 'inter-trap distance'). This will be influenced by the chosen sampling design, the survey Objectives, the Target Species and data analysis.\"&gt;Camera spacing&lt;button type=\"button\" class=\"btn btn-bd-tip-info-hidden btn-sm position-relative\"&gt;.&lt;span class=\"position-absolute top-0 start-100 translate-middle\"&gt;{{ icon_info }}&lt;/span&gt;&lt;/button&gt;&lt;/a&gt;"</t>
  </si>
  <si>
    <t xml:space="preserve">    crew_tl: "&lt;a href=\"09_glossary.html#crew\" target=\"_blank\" data-bs-toggle=\"tooltip\" data-bs-title=\"Crew: The first and last names of all the individuals who collected data during the deployment visit ('Deployment Crew') and Service*/Retrieval visit ('Service*/Retrieval Crew').\"&gt;crew&lt;button type=\"button\" class=\"btn btn-bd-tip-info-hidden btn-sm position-relative\"&gt;.&lt;span class=\"position-absolute top-0 start-100 translate-middle\"&gt;{{ icon_info }}&lt;/span&gt;&lt;/button&gt;&lt;/a&gt;"</t>
  </si>
  <si>
    <t xml:space="preserve">    crew_tu: "&lt;a href=\"09_glossary.html#crew\" target=\"_blank\" data-bs-toggle=\"tooltip\" data-bs-title=\"Crew: The first and last names of all the individuals who collected data during the deployment visit ('Deployment Crew') and Service*/Retrieval visit ('Service*/Retrieval Crew').\"&gt;Crew&lt;button type=\"button\" class=\"btn btn-bd-tip-info-hidden btn-sm position-relative\"&gt;.&lt;span class=\"position-absolute top-0 start-100 translate-middle\"&gt;{{ icon_info }}&lt;/span&gt;&lt;/button&gt;&lt;/a&gt;"</t>
  </si>
  <si>
    <t xml:space="preserve">    cumulative_det_probability_tl: "&lt;a href=\"09_glossary.html#cumulative_det_probability\" target=\"_blank\" data-bs-toggle=\"tooltip\" data-bs-title=\"Cumulative detection probability: The probability of detecting a species at least once during the entire survey (Steenweg et al., 2019).\"&gt;cumulative detection probability&lt;button type=\"button\" class=\"btn btn-bd-tip-info-hidden btn-sm position-relative\"&gt;.&lt;span class=\"position-absolute top-0 start-100 translate-middle\"&gt;{{ icon_info }}&lt;/span&gt;&lt;/button&gt;&lt;/a&gt;"</t>
  </si>
  <si>
    <t xml:space="preserve">    cumulative_det_probability_tu: "&lt;a href=\"09_glossary.html#cumulative_det_probability\" target=\"_blank\" data-bs-toggle=\"tooltip\" data-bs-title=\"Cumulative detection probability: The probability of detecting a species at least once during the entire survey (Steenweg et al., 2019).\"&gt;Cumulative detection probability&lt;button type=\"button\" class=\"btn btn-bd-tip-info-hidden btn-sm position-relative\"&gt;.&lt;span class=\"position-absolute top-0 start-100 translate-middle\"&gt;{{ icon_info }}&lt;/span&gt;&lt;/button&gt;&lt;/a&gt;"</t>
  </si>
  <si>
    <t xml:space="preserve">    data_tl: "&lt;a href=\"09_glossary.html#data\" target=\"_blank\" data-bs-toggle=\"tooltip\" data-bs-title=\"Data: Information, commonly facts or numbers, that are collected and can be examined and/or measured to help guide decision-making.' (Kemp et al., 2022).\"&gt;data&lt;button type=\"button\" class=\"btn btn-bd-tip-info-hidden btn-sm position-relative\"&gt;.&lt;span class=\"position-absolute top-0 start-100 translate-middle\"&gt;{{ icon_info }}&lt;/span&gt;&lt;/button&gt;&lt;/a&gt;"</t>
  </si>
  <si>
    <t xml:space="preserve">    data_tu: "&lt;a href=\"09_glossary.html#data\" target=\"_blank\" data-bs-toggle=\"tooltip\" data-bs-title=\"Data: Information, commonly facts or numbers, that are collected and can be examined and/or measured to help guide decision-making.' (Kemp et al., 2022).\"&gt;Data&lt;button type=\"button\" class=\"btn btn-bd-tip-info-hidden btn-sm position-relative\"&gt;.&lt;span class=\"position-absolute top-0 start-100 translate-middle\"&gt;{{ icon_info }}&lt;/span&gt;&lt;/button&gt;&lt;/a&gt;"</t>
  </si>
  <si>
    <t xml:space="preserve">    deployment_area_photo_numbers_tu: "&lt;a href=\"09_glossary.html#deployment_area_photo_numbers\" target=\"_blank\" data-bs-toggle=\"tooltip\" data-bs-title=\"Deployment Area Photo Numbers: The image numbers for the deployment area photos (if collected, e.g., 'DSC  100'). These are optionally documented on a Camera Deployment Field Datasheet for each set of camera deployment area photos. Leave blank if not applicable.\"&gt;Deployment Area Photo Numbers&lt;button type=\"button\" class=\"btn btn-bd-tip-info-hidden btn-sm position-relative\"&gt;.&lt;span class=\"position-absolute top-0 start-100 translate-middle\"&gt;{{ icon_info }}&lt;/span&gt;&lt;/button&gt;&lt;/a&gt;"</t>
  </si>
  <si>
    <t xml:space="preserve">    deployment_area_photos_taken_tu: "&lt;a href=\"09_glossary.html#deployment_area_photos_taken\" target=\"_blank\" data-bs-toggle=\"tooltip\" data-bs-title=\"Deployment Area Photos Taken: Whether deployment area photos were taken (yes*/no; optional). The recommendation includes collecting four photos taken from the centre of the target detection zone (Figure 5), facing each of the four cardinal directions.\"&gt;Deployment Area Photos Taken&lt;button type=\"button\" class=\"btn btn-bd-tip-info-hidden btn-sm position-relative\"&gt;.&lt;span class=\"position-absolute top-0 start-100 translate-middle\"&gt;{{ icon_info }}&lt;/span&gt;&lt;/button&gt;&lt;/a&gt;"</t>
  </si>
  <si>
    <t xml:space="preserve">    deployment_area_photos_tl: "&lt;a href=\"09_glossary.html#deployment_area_photos\" target=\"_blank\" data-bs-toggle=\"tooltip\" data-bs-title=\"Deployment area photos: Photos of the area around the camera location, collected as a permanent, visual record of the FOV Target Features, Camera Location Characteristics, environmental conditions (e.g., vegetation, ecosite, weather) or other variables of interest. The recommendation includes collecting four photos taken from the centre of the target detection zone (Figure 5), facing each of the four cardinal directions. The documentation of the collection of these photos is recorded as 'Deployment Area Photos Taken' (Y*/N).\"&gt;deployment area photos&lt;button type=\"button\" class=\"btn btn-bd-tip-info-hidden btn-sm position-relative\"&gt;.&lt;span class=\"position-absolute top-0 start-100 translate-middle\"&gt;{{ icon_info }}&lt;/span&gt;&lt;/button&gt;&lt;/a&gt;"</t>
  </si>
  <si>
    <t xml:space="preserve">    deployment_area_photos_tu: "&lt;a href=\"09_glossary.html#deployment_area_photos\" target=\"_blank\" data-bs-toggle=\"tooltip\" data-bs-title=\"Deployment area photos: Photos of the area around the camera location, collected as a permanent, visual record of the FOV Target Features, Camera Location Characteristics, environmental conditions (e.g., vegetation, ecosite, weather) or other variables of interest. The recommendation includes collecting four photos taken from the centre of the target detection zone (Figure 5), facing each of the four cardinal directions. The documentation of the collection of these photos is recorded as 'Deployment Area Photos Taken' (Y*/N).\"&gt;Deployment area photos&lt;button type=\"button\" class=\"btn btn-bd-tip-info-hidden btn-sm position-relative\"&gt;.&lt;span class=\"position-absolute top-0 start-100 translate-middle\"&gt;{{ icon_info }}&lt;/span&gt;&lt;/button&gt;&lt;/a&gt;"</t>
  </si>
  <si>
    <t xml:space="preserve">    deployment_comments_tu: "&lt;a href=\"09_glossary.html#deployment_comments\" target=\"_blank\" data-bs-toggle=\"tooltip\" data-bs-title=\"Deployment Comments: Comments describing additional details about the deployment.\"&gt;Deployment Comments&lt;button type=\"button\" class=\"btn btn-bd-tip-info-hidden btn-sm position-relative\"&gt;.&lt;span class=\"position-absolute top-0 start-100 translate-middle\"&gt;{{ icon_info }}&lt;/span&gt;&lt;/button&gt;&lt;/a&gt;"</t>
  </si>
  <si>
    <t xml:space="preserve">    deployment_crew_tu: "&lt;a href=\"09_glossary.html#deployment_crew\" target=\"_blank\" data-bs-toggle=\"tooltip\" data-bs-title=\"Deployment Crew: The first and last names of the individuals who collected data during the deployment visit.\"&gt;Deployment Crew&lt;button type=\"button\" class=\"btn btn-bd-tip-info-hidden btn-sm position-relative\"&gt;.&lt;span class=\"position-absolute top-0 start-100 translate-middle\"&gt;{{ icon_info }}&lt;/span&gt;&lt;/button&gt;&lt;/a&gt;"</t>
  </si>
  <si>
    <t xml:space="preserve">    deployment_end_date_time_tu_nu: "&lt;a href=\"09_glossary.html#deployment_end_date_time\" target=\"_blank\" data-bs-toggle=\"tooltip\" data-bs-title=\"Deployment End Date Time (DD-MMM-YYYY HH:MM:SS): The date and time that the data was retrieved for a specific deployment (e.g., 27-Jan-2019 23:00:00). The Deployment End Date Time may not coincide with when the last image or video was collected (i.e., the Image Set End Date Time). Recording this field allows users to account for deployments where no images were captured and to confirm the last date and time that the camera was active.\"&gt;Deployment End Date Time&lt;button type=\"button\" class=\"btn btn-bd-tip-info-hidden btn-sm position-relative\"&gt;.&lt;span class=\"position-absolute top-0 start-100 translate-middle\"&gt;{{ icon_info }}&lt;/span&gt;&lt;/button&gt;&lt;/a&gt;"</t>
  </si>
  <si>
    <t xml:space="preserve">    deployment_end_date_time_tu_u: "&lt;a href=\"09_glossary.html#deployment_end_date_time\" target=\"_blank\" data-bs-toggle=\"tooltip\" data-bs-title=\"Deployment End Date Time (DD-MMM-YYYY HH:MM:SS): The date and time that the data was retrieved for a specific deployment (e.g., 27-Jan-2019 23:00:00). The Deployment End Date Time may not coincide with when the last image or video was collected (i.e., the Image Set End Date Time). Recording this field allows users to account for deployments where no images were captured and to confirm the last date and time that the camera was active.\"&gt;Deployment End Date Time (DD-MMM-YYYY HH:MM:SS)&lt;button type=\"button\" class=\"btn btn-bd-tip-info-hidden btn-sm position-relative\"&gt;.&lt;span class=\"position-absolute top-0 start-100 translate-middle\"&gt;{{ icon_info }}&lt;/span&gt;&lt;/button&gt;&lt;/a&gt;"</t>
  </si>
  <si>
    <t xml:space="preserve">    deployment_img_count_tu: "&lt;a href=\"09_glossary.html#deployment_img_count\" target=\"_blank\" data-bs-toggle=\"tooltip\" data-bs-title=\"Deployment Image Count: The total number of images collected during the deployment, including false triggers (i.e., empty images with no wildlife or human present species) and those triggered by a time-lapse setting (if applicable).\"&gt;Deployment Image Count&lt;button type=\"button\" class=\"btn btn-bd-tip-info-hidden btn-sm position-relative\"&gt;.&lt;span class=\"position-absolute top-0 start-100 translate-middle\"&gt;{{ icon_info }}&lt;/span&gt;&lt;/button&gt;&lt;/a&gt;"</t>
  </si>
  <si>
    <t xml:space="preserve">    deployment_metadata_tl: "&lt;a href=\"09_glossary.html#deployment_metadata\" target=\"_blank\" data-bs-toggle=\"tooltip\" data-bs-title=\"Deployment metadata: Metadata that is collected each time a camera is deployed. Each deployment event should have its own Camera Deployment Field Datasheet. The relevant metadata fields that should be collected differ when a camera is deployed vs. serviced or retrieved.&lt;br&gt;&lt;br&gt;Refer to Appendix A - Table A5 and Camera Deployment Field Datasheet.\"&gt;deployment metadata&lt;button type=\"button\" class=\"btn btn-bd-tip-info-hidden btn-sm position-relative\"&gt;.&lt;span class=\"position-absolute top-0 start-100 translate-middle\"&gt;{{ icon_info }}&lt;/span&gt;&lt;/button&gt;&lt;/a&gt;"</t>
  </si>
  <si>
    <t xml:space="preserve">    deployment_metadata_tu: "&lt;a href=\"09_glossary.html#deployment_metadata\" target=\"_blank\" data-bs-toggle=\"tooltip\" data-bs-title=\"Deployment metadata: Metadata that is collected each time a camera is deployed. Each deployment event should have its own Camera Deployment Field Datasheet. The relevant metadata fields that should be collected differ when a camera is deployed vs. serviced or retrieved.&lt;br&gt;&lt;br&gt;Refer to Appendix A - Table A5 and Camera Deployment Field Datasheet.\"&gt;Deployment metadata&lt;button type=\"button\" class=\"btn btn-bd-tip-info-hidden btn-sm position-relative\"&gt;.&lt;span class=\"position-absolute top-0 start-100 translate-middle\"&gt;{{ icon_info }}&lt;/span&gt;&lt;/button&gt;&lt;/a&gt;"</t>
  </si>
  <si>
    <t xml:space="preserve">    deployment_name_tu: "&lt;a href=\"09_glossary.html#deployment_name\" target=\"_blank\" data-bs-toggle=\"tooltip\" data-bs-title=\"Deployment Name: A unique alphanumeric identifier for a unique camera deployed during a specific survey period (ideally recorded as: 'Camera Location Name'_'Deployment Start Date' (or …_'Deployment End Date') (e.g., 'bh1_17-Jul-2018' or 'bh1_17-Jul-2018_21-Jan-2019'). &lt;br&gt; &lt;br&gt; Alternative naming conventions may be used, but the goal should be to minimize duplicate Image Names.\"&gt;Deployment Name&lt;button type=\"button\" class=\"btn btn-bd-tip-info-hidden btn-sm position-relative\"&gt;.&lt;span class=\"position-absolute top-0 start-100 translate-middle\"&gt;{{ icon_info }}&lt;/span&gt;&lt;/button&gt;&lt;/a&gt;"</t>
  </si>
  <si>
    <t xml:space="preserve">    deployment_start_date_time_tu_nu: "&lt;a href=\"09_glossary.html#deployment_start_date_time\" target=\"_blank\" data-bs-toggle=\"tooltip\" data-bs-title=\"Deployment Start Date Time (DD-MMM-YYYY HH:MM:SS): The date and time that a camera was placed for a specific deployment (e.g., 17-Jan-2018 10:34:22). &lt;br&gt;&lt;br&gt;The Deployment Start Date Time may not coincide with when the first image or video was collected (i.e., the Image Set Start Date Time). Recording this field allows users to account for deployments where no images were captured and to confirm the first date and time a camera was active.\"&gt;Deployment Start Date Time&lt;button type=\"button\" class=\"btn btn-bd-tip-info-hidden btn-sm position-relative\"&gt;.&lt;span class=\"position-absolute top-0 start-100 translate-middle\"&gt;{{ icon_info }}&lt;/span&gt;&lt;/button&gt;&lt;/a&gt;"</t>
  </si>
  <si>
    <t xml:space="preserve">    deployment_start_date_time_tu_u: "&lt;a href=\"09_glossary.html#deployment_start_date_time\" target=\"_blank\" data-bs-toggle=\"tooltip\" data-bs-title=\"Deployment Start Date Time (DD-MMM-YYYY HH:MM:SS): The date and time that a camera was placed for a specific deployment (e.g., 17-Jan-2018 10:34:22). &lt;br&gt;&lt;br&gt;The Deployment Start Date Time may not coincide with when the first image or video was collected (i.e., the Image Set Start Date Time). Recording this field allows users to account for deployments where no images were captured and to confirm the first date and time a camera was active.\"&gt;Deployment Start Date Time (DD-MMM-YYYY HH:MM:SS)&lt;button type=\"button\" class=\"btn btn-bd-tip-info-hidden btn-sm position-relative\"&gt;.&lt;span class=\"position-absolute top-0 start-100 translate-middle\"&gt;{{ icon_info }}&lt;/span&gt;&lt;/button&gt;&lt;/a&gt;"</t>
  </si>
  <si>
    <t xml:space="preserve">    deployment_tl: "&lt;a href=\"09_glossary.html#deployment\" target=\"_blank\" data-bs-toggle=\"tooltip\" data-bs-title=\"Deployment: A unique placement of a camera in space and time (recorded as 'Deployment Name'). There may be multiple deployments for one camera location. Deployments are often considered as the time between visits (i.e., deployment to service, service to service, and service to retrieval). Any change to camera location, sampling period, camera equipment (e.g., Trigger Sensitivity setting, becomes non-functioning), and*/or conditions (e.g., not baited then baited later; camera SD card replaced) should be documented as a unique deployment.\"&gt;deployment&lt;button type=\"button\" class=\"btn btn-bd-tip-info-hidden btn-sm position-relative\"&gt;.&lt;span class=\"position-absolute top-0 start-100 translate-middle\"&gt;{{ icon_info }}&lt;/span&gt;&lt;/button&gt;&lt;/a&gt;"</t>
  </si>
  <si>
    <t xml:space="preserve">    deployment_tu: "&lt;a href=\"09_glossary.html#deployment\" target=\"_blank\" data-bs-toggle=\"tooltip\" data-bs-title=\"Deployment: A unique placement of a camera in space and time (recorded as 'Deployment Name'). There may be multiple deployments for one camera location. Deployments are often considered as the time between visits (i.e., deployment to service, service to service, and service to retrieval). Any change to camera location, sampling period, camera equipment (e.g., Trigger Sensitivity setting, becomes non-functioning), and*/or conditions (e.g., not baited then baited later; camera SD card replaced) should be documented as a unique deployment.\"&gt;Deployment&lt;button type=\"button\" class=\"btn btn-bd-tip-info-hidden btn-sm position-relative\"&gt;.&lt;span class=\"position-absolute top-0 start-100 translate-middle\"&gt;{{ icon_info }}&lt;/span&gt;&lt;/button&gt;&lt;/a&gt;"</t>
  </si>
  <si>
    <t xml:space="preserve">    deployment_visit_tl: "&lt;a href=\"09_glossary.html#deployment_visit\" target=\"_blank\" data-bs-toggle=\"tooltip\" data-bs-title=\"Deployment visit: When a crew has gone to a location to deploy a remote camera.\"&gt;deployment visit&lt;button type=\"button\" class=\"btn btn-bd-tip-info-hidden btn-sm position-relative\"&gt;.&lt;span class=\"position-absolute top-0 start-100 translate-middle\"&gt;{{ icon_info }}&lt;/span&gt;&lt;/button&gt;&lt;/a&gt;"</t>
  </si>
  <si>
    <t xml:space="preserve">    deployment_visit_tu: "&lt;a href=\"09_glossary.html#deployment_visit\" target=\"_blank\" data-bs-toggle=\"tooltip\" data-bs-title=\"Deployment visit: When a crew has gone to a location to deploy a remote camera.\"&gt;Deployment visit&lt;button type=\"button\" class=\"btn btn-bd-tip-info-hidden btn-sm position-relative\"&gt;.&lt;span class=\"position-absolute top-0 start-100 translate-middle\"&gt;{{ icon_info }}&lt;/span&gt;&lt;/button&gt;&lt;/a&gt;"</t>
  </si>
  <si>
    <t xml:space="preserve">    detection_distance_tl: "&lt;a href=\"09_glossary.html#detection_distance\" target=\"_blank\" data-bs-toggle=\"tooltip\" data-bs-title=\"Detection distance: The maximum distance that a sensor can detect a target' (Wearn and Glover-Kapfer, 2017).\"&gt;detection distance&lt;button type=\"button\" class=\"btn btn-bd-tip-info-hidden btn-sm position-relative\"&gt;.&lt;span class=\"position-absolute top-0 start-100 translate-middle\"&gt;{{ icon_info }}&lt;/span&gt;&lt;/button&gt;&lt;/a&gt;"</t>
  </si>
  <si>
    <t xml:space="preserve">    detection_distance_tu: "&lt;a href=\"09_glossary.html#detection_distance\" target=\"_blank\" data-bs-toggle=\"tooltip\" data-bs-title=\"Detection distance: The maximum distance that a sensor can detect a target' (Wearn and Glover-Kapfer, 2017).\"&gt;Detection distance&lt;button type=\"button\" class=\"btn btn-bd-tip-info-hidden btn-sm position-relative\"&gt;.&lt;span class=\"position-absolute top-0 start-100 translate-middle\"&gt;{{ icon_info }}&lt;/span&gt;&lt;/button&gt;&lt;/a&gt;"</t>
  </si>
  <si>
    <t xml:space="preserve">    detection_event_tl: "&lt;a href=\"09_glossary.html#detection_event\" target=\"_blank\" data-bs-toggle=\"tooltip\" data-bs-title=\"Detection 'event': A group of images or video clips that are considered independent from other images or video clips based on a certain time threshold (or 'inter-detection interval'). For example, 30 minutes (O’Brien et al., 2003; Gerber et al., 2010; Kitamura et al., 2010; Samejima et al., 2012) or 1 hour (e.g., Tobler et al., 2008; Rovero &amp; Marshall, 2009).\"&gt;detection 'event'&lt;button type=\"button\" class=\"btn btn-bd-tip-info-hidden btn-sm position-relative\"&gt;.&lt;span class=\"position-absolute top-0 start-100 translate-middle\"&gt;{{ icon_info }}&lt;/span&gt;&lt;/button&gt;&lt;/a&gt;"</t>
  </si>
  <si>
    <t xml:space="preserve">    detection_event_tu: "&lt;a href=\"09_glossary.html#detection_event\" target=\"_blank\" data-bs-toggle=\"tooltip\" data-bs-title=\"Detection 'event': A group of images or video clips that are considered independent from other images or video clips based on a certain time threshold (or 'inter-detection interval'). For example, 30 minutes (O’Brien et al., 2003; Gerber et al., 2010; Kitamura et al., 2010; Samejima et al., 2012) or 1 hour (e.g., Tobler et al., 2008; Rovero &amp; Marshall, 2009).\"&gt;Detection 'event'&lt;button type=\"button\" class=\"btn btn-bd-tip-info-hidden btn-sm position-relative\"&gt;.&lt;span class=\"position-absolute top-0 start-100 translate-middle\"&gt;{{ icon_info }}&lt;/span&gt;&lt;/button&gt;&lt;/a&gt;"</t>
  </si>
  <si>
    <t xml:space="preserve">    detection_probability_tl_abrv: "&lt;a href=\"09_glossary.html#detection_probability\" target=\"_blank\" data-bs-toggle=\"tooltip\" data-bs-title=\"Detection probability (aka detectability): The probability (likelihood) that an individual of the population of interest is included in the count at time or location *i*.\"&gt;detection probability&lt;button type=\"button\" class=\"btn btn-bd-tip-info-hidden btn-sm position-relative\"&gt;.&lt;span class=\"position-absolute top-0 start-100 translate-middle\"&gt;{{ icon_info }}&lt;/span&gt;&lt;/button&gt;&lt;/a&gt;"</t>
  </si>
  <si>
    <t xml:space="preserve">    detection_probability_tl_abrv2: "&lt;a href=\"09_glossary.html#detection_probability\" target=\"_blank\" data-bs-toggle=\"tooltip\" data-bs-title=\"Detection probability (aka detectability): The probability (likelihood) that an individual of the population of interest is included in the count at time or location *i*.\"&gt;detectability&lt;button type=\"button\" class=\"btn btn-bd-tip-info-hidden btn-sm position-relative\"&gt;.&lt;span class=\"position-absolute top-0 start-100 translate-middle\"&gt;{{ icon_info }}&lt;/span&gt;&lt;/button&gt;&lt;/a&gt;"</t>
  </si>
  <si>
    <t xml:space="preserve">    detection_probability_tl_aka: "&lt;a href=\"09_glossary.html#detection_probability\" target=\"_blank\" data-bs-toggle=\"tooltip\" data-bs-title=\"Detection probability (aka detectability): The probability (likelihood) that an individual of the population of interest is included in the count at time or location *i*.\"&gt;detection probability (aka detectability)&lt;button type=\"button\" class=\"btn btn-bd-tip-info-hidden btn-sm position-relative\"&gt;.&lt;span class=\"position-absolute top-0 start-100 translate-middle\"&gt;{{ icon_info }}&lt;/span&gt;&lt;/button&gt;&lt;/a&gt;"</t>
  </si>
  <si>
    <t xml:space="preserve">    detection_probability_tl_pl: "&lt;a href=\"09_glossary.html#detection_probability\" target=\"_blank\" data-bs-toggle=\"tooltip\" data-bs-title=\"Detection probability (aka detectability): The probability (likelihood) that an individual of the population of interest is included in the count at time or location *i*.\"&gt;detection probabilities&lt;button type=\"button\" class=\"btn btn-bd-tip-info-hidden btn-sm position-relative\"&gt;.&lt;span class=\"position-absolute top-0 start-100 translate-middle\"&gt;{{ icon_info }}&lt;/span&gt;&lt;/button&gt;&lt;/a&gt;"</t>
  </si>
  <si>
    <t xml:space="preserve">    detection_probability_tu_abrv: "&lt;a href=\"09_glossary.html#detection_probability\" target=\"_blank\" data-bs-toggle=\"tooltip\" data-bs-title=\"Detection probability (aka detectability): The probability (likelihood) that an individual of the population of interest is included in the count at time or location *i*.\"&gt;Detection probability&lt;button type=\"button\" class=\"btn btn-bd-tip-info-hidden btn-sm position-relative\"&gt;.&lt;span class=\"position-absolute top-0 start-100 translate-middle\"&gt;{{ icon_info }}&lt;/span&gt;&lt;/button&gt;&lt;/a&gt;"</t>
  </si>
  <si>
    <t xml:space="preserve">    detection_probability_tu_aka: "&lt;a href=\"09_glossary.html#detection_probability\" target=\"_blank\" data-bs-toggle=\"tooltip\" data-bs-title=\"Detection probability (aka detectability): The probability (likelihood) that an individual of the population of interest is included in the count at time or location *i*.\"&gt;Detection probability (aka detectability)&lt;button type=\"button\" class=\"btn btn-bd-tip-info-hidden btn-sm position-relative\"&gt;.&lt;span class=\"position-absolute top-0 start-100 translate-middle\"&gt;{{ icon_info }}&lt;/span&gt;&lt;/button&gt;&lt;/a&gt;"</t>
  </si>
  <si>
    <t xml:space="preserve">    detection_rate_tl: "&lt;a href=\"09_glossary.html#detection_rate\" target=\"_blank\" data-bs-toggle=\"tooltip\" data-bs-title=\"Detection rate: The frequency of independent detections within a specified time period.\"&gt;detection rate&lt;button type=\"button\" class=\"btn btn-bd-tip-info-hidden btn-sm position-relative\"&gt;.&lt;span class=\"position-absolute top-0 start-100 translate-middle\"&gt;{{ icon_info }}&lt;/span&gt;&lt;/button&gt;&lt;/a&gt;"</t>
  </si>
  <si>
    <t xml:space="preserve">    detection_rate_tl_pl: "&lt;a href=\"09_glossary.html#detection_rate\" target=\"_blank\" data-bs-toggle=\"tooltip\" data-bs-title=\"Detection rate: The frequency of independent detections within a specified time period.\"&gt;detection rates&lt;button type=\"button\" class=\"btn btn-bd-tip-info-hidden btn-sm position-relative\"&gt;.&lt;span class=\"position-absolute top-0 start-100 translate-middle\"&gt;{{ icon_info }}&lt;/span&gt;&lt;/button&gt;&lt;/a&gt;"</t>
  </si>
  <si>
    <t xml:space="preserve">    detection_rate_tu: "&lt;a href=\"09_glossary.html#detection_rate\" target=\"_blank\" data-bs-toggle=\"tooltip\" data-bs-title=\"Detection rate: The frequency of independent detections within a specified time period.\"&gt;Detection rate&lt;button type=\"button\" class=\"btn btn-bd-tip-info-hidden btn-sm position-relative\"&gt;.&lt;span class=\"position-absolute top-0 start-100 translate-middle\"&gt;{{ icon_info }}&lt;/span&gt;&lt;/button&gt;&lt;/a&gt;"</t>
  </si>
  <si>
    <t xml:space="preserve">    detection_rate_tu_pl: "&lt;a href=\"09_glossary.html#detection_rate\" target=\"_blank\" data-bs-toggle=\"tooltip\" data-bs-title=\"Detection rate: The frequency of independent detections within a specified time period.\"&gt;Detection rates&lt;button type=\"button\" class=\"btn btn-bd-tip-info-hidden btn-sm position-relative\"&gt;.&lt;span class=\"position-absolute top-0 start-100 translate-middle\"&gt;{{ icon_info }}&lt;/span&gt;&lt;/button&gt;&lt;/a&gt;"</t>
  </si>
  <si>
    <t xml:space="preserve">    detection_zone_tl: "&lt;a href=\"09_glossary.html#detection_zone\" target=\"_blank\" data-bs-toggle=\"tooltip\" data-bs-title=\"Detection zone: The area (conical in shape) in which a remote camera can detect the heat signature and motion of an object (Rovero &amp; Zimmermann, 2016) (Figure 5).\"&gt;detection zone&lt;button type=\"button\" class=\"btn btn-bd-tip-info-hidden btn-sm position-relative\"&gt;.&lt;span class=\"position-absolute top-0 start-100 translate-middle\"&gt;{{ icon_info }}&lt;/span&gt;&lt;/button&gt;&lt;/a&gt;"</t>
  </si>
  <si>
    <t xml:space="preserve">    detection_zone_tu: "&lt;a href=\"09_glossary.html#detection_zone\" target=\"_blank\" data-bs-toggle=\"tooltip\" data-bs-title=\"Detection zone: The area (conical in shape) in which a remote camera can detect the heat signature and motion of an object (Rovero &amp; Zimmermann, 2016) (Figure 5).\"&gt;Detection zone&lt;button type=\"button\" class=\"btn btn-bd-tip-info-hidden btn-sm position-relative\"&gt;.&lt;span class=\"position-absolute top-0 start-100 translate-middle\"&gt;{{ icon_info }}&lt;/span&gt;&lt;/button&gt;&lt;/a&gt;"</t>
  </si>
  <si>
    <t xml:space="preserve">    distribution_species_tl: "&lt;a href=\"09_glossary.html#distribution_species\" target=\"_blank\" data-bs-toggle=\"tooltip\" data-bs-title=\"Species distribution: the manner in which a species is spatially arranged. The geographic limits of a particular taxon's distribution is its range, often represented as shaded areas on a map.\"&gt;species distribution&lt;button type=\"button\" class=\"btn btn-bd-tip-info-hidden btn-sm position-relative\"&gt;.&lt;span class=\"position-absolute top-0 start-100 translate-middle\"&gt;{{ icon_info }}&lt;/span&gt;&lt;/button&gt;&lt;/a&gt;"</t>
  </si>
  <si>
    <t xml:space="preserve">    distribution_species_tu: "&lt;a href=\"09_glossary.html#distribution_species\" target=\"_blank\" data-bs-toggle=\"tooltip\" data-bs-title=\"Species distribution: the manner in which a species is spatially arranged. The geographic limits of a particular taxon's distribution is its range, often represented as shaded areas on a map.\"&gt;Species distribution&lt;button type=\"button\" class=\"btn btn-bd-tip-info-hidden btn-sm position-relative\"&gt;.&lt;span class=\"position-absolute top-0 start-100 translate-middle\"&gt;{{ icon_info }}&lt;/span&gt;&lt;/button&gt;&lt;/a&gt;"</t>
  </si>
  <si>
    <t xml:space="preserve">    easting_cam_location_tu: "&lt;a href=\"09_glossary.html#easting_cam_location\" target=\"_blank\" data-bs-toggle=\"tooltip\" data-bs-title=\"Easting Camera Location: The easting UTM coordinate of the camera location (e.g., '337875'). Record using the NAD83 datum. Leave blank if recording the Longitude instead.\"&gt;Easting Camera Location&lt;button type=\"button\" class=\"btn btn-bd-tip-info-hidden btn-sm position-relative\"&gt;.&lt;span class=\"position-absolute top-0 start-100 translate-middle\"&gt;{{ icon_info }}&lt;/span&gt;&lt;/button&gt;&lt;/a&gt;"</t>
  </si>
  <si>
    <t xml:space="preserve">    effective_detection_distance_tl: "&lt;a href=\"09_glossary.html#effective_detection_distance\" target=\"_blank\" data-bs-toggle=\"tooltip\" data-bs-title=\"Effective detection distance: The distance from a camera that would give the same number of detections if all animals up to that distance are perfectly detected, and no animals that are farther away are detected; Buckland, 1987, Becker et al., 2022).\"&gt;effective detection distance&lt;button type=\"button\" class=\"btn btn-bd-tip-info-hidden btn-sm position-relative\"&gt;.&lt;span class=\"position-absolute top-0 start-100 translate-middle\"&gt;{{ icon_info }}&lt;/span&gt;&lt;/button&gt;&lt;/a&gt;"</t>
  </si>
  <si>
    <t xml:space="preserve">    effective_detection_distance_tu: "&lt;a href=\"09_glossary.html#effective_detection_distance\" target=\"_blank\" data-bs-toggle=\"tooltip\" data-bs-title=\"Effective detection distance: The distance from a camera that would give the same number of detections if all animals up to that distance are perfectly detected, and no animals that are farther away are detected; Buckland, 1987, Becker et al., 2022).\"&gt;Effective detection distance&lt;button type=\"button\" class=\"btn btn-bd-tip-info-hidden btn-sm position-relative\"&gt;.&lt;span class=\"position-absolute top-0 start-100 translate-middle\"&gt;{{ icon_info }}&lt;/span&gt;&lt;/button&gt;&lt;/a&gt;"</t>
  </si>
  <si>
    <t xml:space="preserve">    event_type_tu: "&lt;a href=\"09_glossary.html#event_type\" target=\"_blank\" data-bs-toggle=\"tooltip\" data-bs-title=\"Event Type: Whether detections were reported as an individual image captured by the camera ('Image'), a 'Sequence,' or 'Tag.'\"&gt;Event Type&lt;button type=\"button\" class=\"btn btn-bd-tip-info-hidden btn-sm position-relative\"&gt;.&lt;span class=\"position-absolute top-0 start-100 translate-middle\"&gt;{{ icon_info }}&lt;/span&gt;&lt;/button&gt;&lt;/a&gt;"</t>
  </si>
  <si>
    <t xml:space="preserve">    false_trigger_tl: "&lt;a href=\"09_glossary.html#false_trigger\" target=\"_blank\" data-bs-toggle=\"tooltip\" data-bs-title=\"False trigger: Blank images (no wildlife or human present). These images commonly occur when a camera is triggered by vegetation blowing in the wind.\"&gt;false trigger&lt;button type=\"button\" class=\"btn btn-bd-tip-info-hidden btn-sm position-relative\"&gt;.&lt;span class=\"position-absolute top-0 start-100 translate-middle\"&gt;{{ icon_info }}&lt;/span&gt;&lt;/button&gt;&lt;/a&gt;"</t>
  </si>
  <si>
    <t xml:space="preserve">    false_trigger_tl_pl: "&lt;a href=\"09_glossary.html#false_trigger\" target=\"_blank\" data-bs-toggle=\"tooltip\" data-bs-title=\"False trigger: Blank images (no wildlife or human present). These images commonly occur when a camera is triggered by vegetation blowing in the wind.\"&gt;false triggers&lt;button type=\"button\" class=\"btn btn-bd-tip-info-hidden btn-sm position-relative\"&gt;.&lt;span class=\"position-absolute top-0 start-100 translate-middle\"&gt;{{ icon_info }}&lt;/span&gt;&lt;/button&gt;&lt;/a&gt;"</t>
  </si>
  <si>
    <t xml:space="preserve">    false_trigger_tu: "&lt;a href=\"09_glossary.html#false_trigger\" target=\"_blank\" data-bs-toggle=\"tooltip\" data-bs-title=\"False trigger: Blank images (no wildlife or human present). These images commonly occur when a camera is triggered by vegetation blowing in the wind.\"&gt;False trigger&lt;button type=\"button\" class=\"btn btn-bd-tip-info-hidden btn-sm position-relative\"&gt;.&lt;span class=\"position-absolute top-0 start-100 translate-middle\"&gt;{{ icon_info }}&lt;/span&gt;&lt;/button&gt;&lt;/a&gt;"</t>
  </si>
  <si>
    <t xml:space="preserve">    false_trigger_tu_pl: "&lt;a href=\"09_glossary.html#false_trigger\" target=\"_blank\" data-bs-toggle=\"tooltip\" data-bs-title=\"False trigger: Blank images (no wildlife or human present). These images commonly occur when a camera is triggered by vegetation blowing in the wind.\"&gt;False triggers&lt;button type=\"button\" class=\"btn btn-bd-tip-info-hidden btn-sm position-relative\"&gt;.&lt;span class=\"position-absolute top-0 start-100 translate-middle\"&gt;{{ icon_info }}&lt;/span&gt;&lt;/button&gt;&lt;/a&gt;"</t>
  </si>
  <si>
    <t xml:space="preserve">    field_of_view_tu: "&lt;a href=\"09_glossary.html#field_of_view\" target=\"_blank\" data-bs-toggle=\"tooltip\" data-bs-title=\"Field of View (FOV): The extent of a scene that is visible in an image; a large FOV is obtained by 'zooming out' from a scene, whilst 'zooming in' will result in a smaller FOV (Wearn &amp; Glover-Kapfer, 2017).\"&gt;Field of View (FOV)&lt;button type=\"button\" class=\"btn btn-bd-tip-info-hidden btn-sm position-relative\"&gt;.&lt;span class=\"position-absolute top-0 start-100 translate-middle\"&gt;{{ icon_info }}&lt;/span&gt;&lt;/button&gt;&lt;/a&gt;"</t>
  </si>
  <si>
    <t xml:space="preserve">    field_of_view_tu_abrv: "&lt;a href=\"09_glossary.html#field_of_view\" target=\"_blank\" data-bs-toggle=\"tooltip\" data-bs-title=\"Field of View (FOV): The extent of a scene that is visible in an image; a large FOV is obtained by 'zooming out' from a scene, whilst 'zooming in' will result in a smaller FOV (Wearn &amp; Glover-Kapfer, 2017).\"&gt;FOV&lt;button type=\"button\" class=\"btn btn-bd-tip-info-hidden btn-sm position-relative\"&gt;.&lt;span class=\"position-absolute top-0 start-100 translate-middle\"&gt;{{ icon_info }}&lt;/span&gt;&lt;/button&gt;&lt;/a&gt;"</t>
  </si>
  <si>
    <t xml:space="preserve">    fov_registration_area_tl: "&lt;a href=\"09_glossary.html#fov_registration_area\" target=\"_blank\" data-bs-toggle=\"tooltip\" data-bs-title=\"Registration area: The area in which an animal entering has at least some probability of being captured on the image.\"&gt;registration area&lt;button type=\"button\" class=\"btn btn-bd-tip-info-hidden btn-sm position-relative\"&gt;.&lt;span class=\"position-absolute top-0 start-100 translate-middle\"&gt;{{ icon_info }}&lt;/span&gt;&lt;/button&gt;&lt;/a&gt;"</t>
  </si>
  <si>
    <t xml:space="preserve">    fov_registration_area_tu: "&lt;a href=\"09_glossary.html#fov_registration_area\" target=\"_blank\" data-bs-toggle=\"tooltip\" data-bs-title=\"Registration area: The area in which an animal entering has at least some probability of being captured on the image.\"&gt;Registration area&lt;button type=\"button\" class=\"btn btn-bd-tip-info-hidden btn-sm position-relative\"&gt;.&lt;span class=\"position-absolute top-0 start-100 translate-middle\"&gt;{{ icon_info }}&lt;/span&gt;&lt;/button&gt;&lt;/a&gt;"</t>
  </si>
  <si>
    <t xml:space="preserve">    fov_target_distance_tu_nu: "&lt;a href=\"09_glossary.html#fov_target_distance\" target=\"_blank\" data-bs-toggle=\"tooltip\" data-bs-title=\"FOV Target Feature Distance (m): The distance from the camera to the FOV Target Feature (in metres; to the nearest 0.5 m). Leave blank if not applicable.\"&gt;FOV Target Feature Distance&lt;button type=\"button\" class=\"btn btn-bd-tip-info-hidden btn-sm position-relative\"&gt;.&lt;span class=\"position-absolute top-0 start-100 translate-middle\"&gt;{{ icon_info }}&lt;/span&gt;&lt;/button&gt;&lt;/a&gt;"</t>
  </si>
  <si>
    <t xml:space="preserve">    fov_target_distance_tu_u: "&lt;a href=\"09_glossary.html#fov_target_distance\" target=\"_blank\" data-bs-toggle=\"tooltip\" data-bs-title=\"FOV Target Feature Distance (m): The distance from the camera to the FOV Target Feature (in metres; to the nearest 0.5 m). Leave blank if not applicable.\"&gt;FOV Target Feature Distance (m)&lt;button type=\"button\" class=\"btn btn-bd-tip-info-hidden btn-sm position-relative\"&gt;.&lt;span class=\"position-absolute top-0 start-100 translate-middle\"&gt;{{ icon_info }}&lt;/span&gt;&lt;/button&gt;&lt;/a&gt;"</t>
  </si>
  <si>
    <t xml:space="preserve">    fov_target_tu: "&lt;a href=\"09_glossary.html#fov_target\" target=\"_blank\" data-bs-toggle=\"tooltip\" data-bs-title=\"FOV Target Feature: A specific man-made or natural feature at which the camera is aimed to maximize the detection of wildlife species or to measure the use of that feature. Record 'None' if a FOV Target Feature was not used and 'Unknown' if not known. If 'Other,' describe in the Camera Location Comments.\"&gt;FOV Target Feature&lt;button type=\"button\" class=\"btn btn-bd-tip-info-hidden btn-sm position-relative\"&gt;.&lt;span class=\"position-absolute top-0 start-100 translate-middle\"&gt;{{ icon_info }}&lt;/span&gt;&lt;/button&gt;&lt;/a&gt;"</t>
  </si>
  <si>
    <t xml:space="preserve">    fov_viewshed_density_estimators_tl_pl: "&lt;a href=\"09_glossary.html#fov_viewshed_density_estimators\" target=\"_blank\" data-bs-toggle=\"tooltip\" data-bs-title=\"Viewshed density estimators: Methods used to estimate the abundance of unmarked populations from observations of animals that relate animal observations to the space directly sampled by each camera’s viewshed (Moeller et al., 2023); they result in viewshed density estimates that can be extrapolated to abundance within broader sampling frames (Gilbert et al., 2020; Moeller et al., 2023).\"&gt;viewshed density estimators&lt;button type=\"button\" class=\"btn btn-bd-tip-info-hidden btn-sm position-relative\"&gt;.&lt;span class=\"position-absolute top-0 start-100 translate-middle\"&gt;{{ icon_info }}&lt;/span&gt;&lt;/button&gt;&lt;/a&gt;"</t>
  </si>
  <si>
    <t xml:space="preserve">    fov_viewshed_density_estimators_tu_pl: "&lt;a href=\"09_glossary.html#fov_viewshed_density_estimators\" target=\"_blank\" data-bs-toggle=\"tooltip\" data-bs-title=\"Viewshed density estimators: Methods used to estimate the abundance of unmarked populations from observations of animals that relate animal observations to the space directly sampled by each camera’s viewshed (Moeller et al., 2023); they result in viewshed density estimates that can be extrapolated to abundance within broader sampling frames (Gilbert et al., 2020; Moeller et al., 2023).\"&gt;Viewshed density estimators&lt;button type=\"button\" class=\"btn btn-bd-tip-info-hidden btn-sm position-relative\"&gt;.&lt;span class=\"position-absolute top-0 start-100 translate-middle\"&gt;{{ icon_info }}&lt;/span&gt;&lt;/button&gt;&lt;/a&gt;"</t>
  </si>
  <si>
    <t xml:space="preserve">    fov_viewshed_tl: "&lt;a href=\"09_glossary.html#fov_viewshed\" target=\"_blank\" data-bs-toggle=\"tooltip\" data-bs-title=\"Viewshed: The area visible to the camera as determined by its lens angle (in degrees) and trigger distance (Moeller et al., 2023).\"&gt;viewshed&lt;button type=\"button\" class=\"btn btn-bd-tip-info-hidden btn-sm position-relative\"&gt;.&lt;span class=\"position-absolute top-0 start-100 translate-middle\"&gt;{{ icon_info }}&lt;/span&gt;&lt;/button&gt;&lt;/a&gt;"</t>
  </si>
  <si>
    <t xml:space="preserve">    fov_viewshed_tu: "&lt;a href=\"09_glossary.html#fov_viewshed\" target=\"_blank\" data-bs-toggle=\"tooltip\" data-bs-title=\"Viewshed: The area visible to the camera as determined by its lens angle (in degrees) and trigger distance (Moeller et al., 2023).\"&gt;Viewshed&lt;button type=\"button\" class=\"btn btn-bd-tip-info-hidden btn-sm position-relative\"&gt;.&lt;span class=\"position-absolute top-0 start-100 translate-middle\"&gt;{{ icon_info }}&lt;/span&gt;&lt;/button&gt;&lt;/a&gt;"</t>
  </si>
  <si>
    <t xml:space="preserve">    gps_unit_accuracy_tu_nu: "&lt;a href=\"09_glossary.html#gps_unit_accuracy\" target=\"_blank\" data-bs-toggle=\"tooltip\" data-bs-title=\"GPS Unit Accuracy (m) : The margin of error of the GPS unit used to record spatial information (e.g., '5' [m]), such as the coordinates of the camera location. On most GPS units (e.g., 'Garmin') this information is provided on the unit’s satellite information page. \"&gt;GPS Unit Accuracy&lt;button type=\"button\" class=\"btn btn-bd-tip-info-hidden btn-sm position-relative\"&gt;.&lt;span class=\"position-absolute top-0 start-100 translate-middle\"&gt;{{ icon_info }}&lt;/span&gt;&lt;/button&gt;&lt;/a&gt;"</t>
  </si>
  <si>
    <t xml:space="preserve">    gps_unit_accuracy_tu_u: "&lt;a href=\"09_glossary.html#gps_unit_accuracy\" target=\"_blank\" data-bs-toggle=\"tooltip\" data-bs-title=\"GPS Unit Accuracy (m) : The margin of error of the GPS unit used to record spatial information (e.g., '5' [m]), such as the coordinates of the camera location. On most GPS units (e.g., 'Garmin') this information is provided on the unit’s satellite information page. \"&gt;GPS Unit Accuracy (m) &lt;button type=\"button\" class=\"btn btn-bd-tip-info-hidden btn-sm position-relative\"&gt;.&lt;span class=\"position-absolute top-0 start-100 translate-middle\"&gt;{{ icon_info }}&lt;/span&gt;&lt;/button&gt;&lt;/a&gt;"</t>
  </si>
  <si>
    <t xml:space="preserve">    human_transport_mode_activity_tu: "&lt;a href=\"09_glossary.html#human_transport_mode_activity\" target=\"_blank\" data-bs-toggle=\"tooltip\" data-bs-title=\"Human Transport Mode/Activity: The activity performed or mode of transportation used by a human observed (e.g., hiker, skier, off-highway vehicle, etc.). This categorical field should be populated when data on humans (in addition to wildlife) are collected. Leave blank if not applicable and record 'Unknown' if not known.\"&gt;Human Transport Mode/Activity&lt;button type=\"button\" class=\"btn btn-bd-tip-info-hidden btn-sm position-relative\"&gt;.&lt;span class=\"position-absolute top-0 start-100 translate-middle\"&gt;{{ icon_info }}&lt;/span&gt;&lt;/button&gt;&lt;/a&gt;"</t>
  </si>
  <si>
    <t xml:space="preserve">    image_tl: "&lt;a href=\"09_glossary.html#image\" target=\"_blank\" data-bs-toggle=\"tooltip\" data-bs-title=\"Image: An individual image captured by a camera, which may be part of a multi-image sequence (recorded as 'Image Name').\"&gt;image&lt;button type=\"button\" class=\"btn btn-bd-tip-info-hidden btn-sm position-relative\"&gt;.&lt;span class=\"position-absolute top-0 start-100 translate-middle\"&gt;{{ icon_info }}&lt;/span&gt;&lt;/button&gt;&lt;/a&gt;"</t>
  </si>
  <si>
    <t xml:space="preserve">    image_tu: "&lt;a href=\"09_glossary.html#image\" target=\"_blank\" data-bs-toggle=\"tooltip\" data-bs-title=\"Image: An individual image captured by a camera, which may be part of a multi-image sequence (recorded as 'Image Name').\"&gt;Image&lt;button type=\"button\" class=\"btn btn-bd-tip-info-hidden btn-sm position-relative\"&gt;.&lt;span class=\"position-absolute top-0 start-100 translate-middle\"&gt;{{ icon_info }}&lt;/span&gt;&lt;/button&gt;&lt;/a&gt;"</t>
  </si>
  <si>
    <t xml:space="preserve">    img_classification_confidence_tl: "&lt;a href=\"09_glossary.html#img_classification_confidence\" target=\"_blank\" data-bs-toggle=\"tooltip\" data-bs-title=\"Image classification confidence : The likelihood of an image containing an object of a certain class (Fennell et al., 2022).\"&gt;image classification confidence &lt;button type=\"button\" class=\"btn btn-bd-tip-info-hidden btn-sm position-relative\"&gt;.&lt;span class=\"position-absolute top-0 start-100 translate-middle\"&gt;{{ icon_info }}&lt;/span&gt;&lt;/button&gt;&lt;/a&gt;"</t>
  </si>
  <si>
    <t xml:space="preserve">    img_classification_confidence_tu: "&lt;a href=\"09_glossary.html#img_classification_confidence\" target=\"_blank\" data-bs-toggle=\"tooltip\" data-bs-title=\"Image classification confidence : The likelihood of an image containing an object of a certain class (Fennell et al., 2022).\"&gt;Image classification confidence &lt;button type=\"button\" class=\"btn btn-bd-tip-info-hidden btn-sm position-relative\"&gt;.&lt;span class=\"position-absolute top-0 start-100 translate-middle\"&gt;{{ icon_info }}&lt;/span&gt;&lt;/button&gt;&lt;/a&gt;"</t>
  </si>
  <si>
    <t xml:space="preserve">    img_classification_tl: "&lt;a href=\"09_glossary.html#img_classification\" target=\"_blank\" data-bs-toggle=\"tooltip\" data-bs-title=\"Image classification: The process of assigning class labels to an image according to the wildlife species, other entities (e.g., human, vehicle), or conditions within the image. Image classification can be performed manually or automatically by an artificial intelligence (AI) algorithm. Image classification is sometimes used interchangeably with 'image tagging.'\"&gt;image classification&lt;button type=\"button\" class=\"btn btn-bd-tip-info-hidden btn-sm position-relative\"&gt;.&lt;span class=\"position-absolute top-0 start-100 translate-middle\"&gt;{{ icon_info }}&lt;/span&gt;&lt;/button&gt;&lt;/a&gt;"</t>
  </si>
  <si>
    <t xml:space="preserve">    img_classification_tu: "&lt;a href=\"09_glossary.html#img_classification\" target=\"_blank\" data-bs-toggle=\"tooltip\" data-bs-title=\"Image classification: The process of assigning class labels to an image according to the wildlife species, other entities (e.g., human, vehicle), or conditions within the image. Image classification can be performed manually or automatically by an artificial intelligence (AI) algorithm. Image classification is sometimes used interchangeably with 'image tagging.'\"&gt;Image classification&lt;button type=\"button\" class=\"btn btn-bd-tip-info-hidden btn-sm position-relative\"&gt;.&lt;span class=\"position-absolute top-0 start-100 translate-middle\"&gt;{{ icon_info }}&lt;/span&gt;&lt;/button&gt;&lt;/a&gt;"</t>
  </si>
  <si>
    <t xml:space="preserve">    img_flash_output_tu: "&lt;a href=\"09_glossary.html#img_flash_output\" target=\"_blank\" data-bs-toggle=\"tooltip\" data-bs-title=\"Image Flash Output: The Image Flash Output is an image metadata field indicating the level of intensity of the flash [if enabled*/applicable]). Record as reported in the image Exif data (e.g., 'Flash Did Not Fire,' 'Auto'). This field is in text format; record 'Unknown' if not known; leave blank if not applicable.\"&gt;Image Flash Output&lt;button type=\"button\" class=\"btn btn-bd-tip-info-hidden btn-sm position-relative\"&gt;.&lt;span class=\"position-absolute top-0 start-100 translate-middle\"&gt;{{ icon_info }}&lt;/span&gt;&lt;/button&gt;&lt;/a&gt;"</t>
  </si>
  <si>
    <t xml:space="preserve">    img_infrared_illuminator_tu: "&lt;a href=\"09_glossary.html#img_infrared_illuminator\" target=\"_blank\" data-bs-toggle=\"tooltip\" data-bs-title=\"Image Infrared Illuminator: The Image Infrared Illuminator is an image metadata field indicating whether the infrared illuminator setting was enabled (if applicable; to obtain greater visibility at night by producing infrared light). Record as reported in the image Exif data (e.g., 'On' or 'Off'). This field is categorical; leave blank if not applicable and record 'Unknown' if not known.\"&gt;Image Infrared Illuminator&lt;button type=\"button\" class=\"btn btn-bd-tip-info-hidden btn-sm position-relative\"&gt;.&lt;span class=\"position-absolute top-0 start-100 translate-middle\"&gt;{{ icon_info }}&lt;/span&gt;&lt;/button&gt;&lt;/a&gt;"</t>
  </si>
  <si>
    <t xml:space="preserve">    img_name_tu: "&lt;a href=\"09_glossary.html#img_name\" target=\"_blank\" data-bs-toggle=\"tooltip\" data-bs-title=\"Image Name: A unique alphanumeric identifier for the image. It is important to include (at a minimum) the camera location, date, time, and image number when generating an Image Name to avoid duplicate file names (e.g., 'bh1_17-Jul-2018_P900FF04152022_22-Jul-2018 10:34:22_img_100' or 'bh1_17-Jul-2018_22-Jul-2018_10:34:22_img_100').\"&gt;Image Name&lt;button type=\"button\" class=\"btn btn-bd-tip-info-hidden btn-sm position-relative\"&gt;.&lt;span class=\"position-absolute top-0 start-100 translate-middle\"&gt;{{ icon_info }}&lt;/span&gt;&lt;/button&gt;&lt;/a&gt;"</t>
  </si>
  <si>
    <t xml:space="preserve">    img_processing_tl: "&lt;a href=\"09_glossary.html#img_processing\" target=\"_blank\" data-bs-toggle=\"tooltip\" data-bs-title=\"Image processing: The series of operations that are taken to extract information from images. In the case of remote camera data, it can include loading the images into a processing platform, extracting information from the image metadata (e.g., the date and time the image was taken), running an artificial intelligence (AI) algorithm to identify empty images, classifying animals or other entities within the image.\"&gt;image processing&lt;button type=\"button\" class=\"btn btn-bd-tip-info-hidden btn-sm position-relative\"&gt;.&lt;span class=\"position-absolute top-0 start-100 translate-middle\"&gt;{{ icon_info }}&lt;/span&gt;&lt;/button&gt;&lt;/a&gt;"</t>
  </si>
  <si>
    <t xml:space="preserve">    img_processing_tu: "&lt;a href=\"09_glossary.html#img_processing\" target=\"_blank\" data-bs-toggle=\"tooltip\" data-bs-title=\"Image processing: The series of operations that are taken to extract information from images. In the case of remote camera data, it can include loading the images into a processing platform, extracting information from the image metadata (e.g., the date and time the image was taken), running an artificial intelligence (AI) algorithm to identify empty images, classifying animals or other entities within the image.\"&gt;Image processing&lt;button type=\"button\" class=\"btn btn-bd-tip-info-hidden btn-sm position-relative\"&gt;.&lt;span class=\"position-absolute top-0 start-100 translate-middle\"&gt;{{ icon_info }}&lt;/span&gt;&lt;/button&gt;&lt;/a&gt;"</t>
  </si>
  <si>
    <t xml:space="preserve">    img_sequence_comments_tu: "&lt;a href=\"09_glossary.html#img_sequence_comments\" target=\"_blank\" data-bs-toggle=\"tooltip\" data-bs-title=\"Image/Sequence Comments: Comments describing additional details about the image*/sequence.\"&gt;Image/Sequence Comments&lt;button type=\"button\" class=\"btn btn-bd-tip-info-hidden btn-sm position-relative\"&gt;.&lt;span class=\"position-absolute top-0 start-100 translate-middle\"&gt;{{ icon_info }}&lt;/span&gt;&lt;/button&gt;&lt;/a&gt;"</t>
  </si>
  <si>
    <t xml:space="preserve">    img_sequence_date_time_tu_nu: "&lt;a href=\"09_glossary.html#img_sequence_date_time\" target=\"_blank\" data-bs-toggle=\"tooltip\" data-bs-title=\"Image/Sequence Date Time (DD-MMM-YYYY HH:MM:SS): The date and time of an image, or the image chosen to represent the sequence, recorded as 'DD-MMM-YYYY HH:MM:SS' (e.g., 22-Jul-2018 11:02:02).  &lt;br&gt; &lt;br&gt; Sequence date*/time information may be reported for a 'representative image' of a sequence (i.e., the image with the most information). For example, if three images were included in a sequence, but the Sex Class could only be discerned in the second image [all else remaining equal], the second image would be the best representative image of the sequence. &lt;br&gt; &lt;br&gt; The Image*/Sequence Date Time differs from the Image Set Start Date Time which refers to the first image or video collected during a deployment. \"&gt;Image/Sequence Date Time&lt;button type=\"button\" class=\"btn btn-bd-tip-info-hidden btn-sm position-relative\"&gt;.&lt;span class=\"position-absolute top-0 start-100 translate-middle\"&gt;{{ icon_info }}&lt;/span&gt;&lt;/button&gt;&lt;/a&gt;"</t>
  </si>
  <si>
    <t xml:space="preserve">    img_sequence_date_time_tu_u: "&lt;a href=\"09_glossary.html#img_sequence_date_time\" target=\"_blank\" data-bs-toggle=\"tooltip\" data-bs-title=\"Image/Sequence Date Time (DD-MMM-YYYY HH:MM:SS): The date and time of an image, or the image chosen to represent the sequence, recorded as 'DD-MMM-YYYY HH:MM:SS' (e.g., 22-Jul-2018 11:02:02).  &lt;br&gt; &lt;br&gt; Sequence date*/time information may be reported for a 'representative image' of a sequence (i.e., the image with the most information). For example, if three images were included in a sequence, but the Sex Class could only be discerned in the second image [all else remaining equal], the second image would be the best representative image of the sequence. &lt;br&gt; &lt;br&gt; The Image*/Sequence Date Time differs from the Image Set Start Date Time which refers to the first image or video collected during a deployment. \"&gt;Image/Sequence Date Time (DD-MMM-YYYY HH:MM:SS)&lt;button type=\"button\" class=\"btn btn-bd-tip-info-hidden btn-sm position-relative\"&gt;.&lt;span class=\"position-absolute top-0 start-100 translate-middle\"&gt;{{ icon_info }}&lt;/span&gt;&lt;/button&gt;&lt;/a&gt;"</t>
  </si>
  <si>
    <t xml:space="preserve">    img_sequence_tu: "&lt;a href=\"09_glossary.html#img_sequence\" target=\"_blank\" data-bs-toggle=\"tooltip\" data-bs-title=\"Image Sequence: The order of the image in a rapid-fire sequence as reported in the image Exif data (text; e.g., '1 of 1' or '1 of 3'). Leave blank if not applicable.\"&gt;Image Sequence&lt;button type=\"button\" class=\"btn btn-bd-tip-info-hidden btn-sm position-relative\"&gt;.&lt;span class=\"position-absolute top-0 start-100 translate-middle\"&gt;{{ icon_info }}&lt;/span&gt;&lt;/button&gt;&lt;/a&gt;"</t>
  </si>
  <si>
    <t xml:space="preserve">    img_set_end_date_time_tu_nu: "&lt;a href=\"09_glossary.html#img_set_end_date_time\" target=\"_blank\" data-bs-toggle=\"tooltip\" data-bs-title=\"Image Set End Date Time (DD-MMM-YYYY HH:MM:SS): The date and time of the last image or video collected during a specific deployment (e.g., '17-Jan-2018 22:10:05').  &lt;br&gt; &lt;br&gt; The Image Set End Date Time may not coincide with the deployment end date time. Recording this field allows users to account for deployments that were conducted but for which no data was found and to confirm the last date and time a camera was active (if functioning) if no images or videos were captured prior to Service*/Retrieval (especially valuable if users did not collect Time-lapse images or if the camera malfunctioned).\"&gt;Image Set End Date Time&lt;button type=\"button\" class=\"btn btn-bd-tip-info-hidden btn-sm position-relative\"&gt;.&lt;span class=\"position-absolute top-0 start-100 translate-middle\"&gt;{{ icon_info }}&lt;/span&gt;&lt;/button&gt;&lt;/a&gt;"</t>
  </si>
  <si>
    <t xml:space="preserve">    img_set_end_date_time_tu_u: "&lt;a href=\"09_glossary.html#img_set_end_date_time\" target=\"_blank\" data-bs-toggle=\"tooltip\" data-bs-title=\"Image Set End Date Time (DD-MMM-YYYY HH:MM:SS): The date and time of the last image or video collected during a specific deployment (e.g., '17-Jan-2018 22:10:05').  &lt;br&gt; &lt;br&gt; The Image Set End Date Time may not coincide with the deployment end date time. Recording this field allows users to account for deployments that were conducted but for which no data was found and to confirm the last date and time a camera was active (if functioning) if no images or videos were captured prior to Service*/Retrieval (especially valuable if users did not collect Time-lapse images or if the camera malfunctioned).\"&gt;Image Set End Date Time (DD-MMM-YYYY HH:MM:SS)&lt;button type=\"button\" class=\"btn btn-bd-tip-info-hidden btn-sm position-relative\"&gt;.&lt;span class=\"position-absolute top-0 start-100 translate-middle\"&gt;{{ icon_info }}&lt;/span&gt;&lt;/button&gt;&lt;/a&gt;"</t>
  </si>
  <si>
    <t xml:space="preserve">    img_set_start_date_time_tu_nu: "&lt;a href=\"09_glossary.html#img_set_start_date_time\" target=\"_blank\" data-bs-toggle=\"tooltip\" data-bs-title=\"Image Set Start Date Time (DD-MMM-YYYY HH:MM:SS): The date and time of the first image or video collected during a specific deployment (e.g., '17-Jan-2018 12:00:02'). &lt;br&gt;&lt;br&gt; The Image Set Start Date Time may not coincide with the Deployment Start Date Time. Recording this field allows users to confirm the first date and time a camera was active (reliable if Time-lapse images were collected; especially valuable if the user scheduled a start delay).\"&gt;Image Set Start Date Time&lt;button type=\"button\" class=\"btn btn-bd-tip-info-hidden btn-sm position-relative\"&gt;.&lt;span class=\"position-absolute top-0 start-100 translate-middle\"&gt;{{ icon_info }}&lt;/span&gt;&lt;/button&gt;&lt;/a&gt;"</t>
  </si>
  <si>
    <t xml:space="preserve">    img_set_start_date_time_tu_u: "&lt;a href=\"09_glossary.html#img_set_start_date_time\" target=\"_blank\" data-bs-toggle=\"tooltip\" data-bs-title=\"Image Set Start Date Time (DD-MMM-YYYY HH:MM:SS): The date and time of the first image or video collected during a specific deployment (e.g., '17-Jan-2018 12:00:02'). &lt;br&gt;&lt;br&gt; The Image Set Start Date Time may not coincide with the Deployment Start Date Time. Recording this field allows users to confirm the first date and time a camera was active (reliable if Time-lapse images were collected; especially valuable if the user scheduled a start delay).\"&gt;Image Set Start Date Time (DD-MMM-YYYY HH:MM:SS)&lt;button type=\"button\" class=\"btn btn-bd-tip-info-hidden btn-sm position-relative\"&gt;.&lt;span class=\"position-absolute top-0 start-100 translate-middle\"&gt;{{ icon_info }}&lt;/span&gt;&lt;/button&gt;&lt;/a&gt;"</t>
  </si>
  <si>
    <t xml:space="preserve">    img_tagging_tl: "&lt;a href=\"09_glossary.html#img_tagging\" target=\"_blank\" data-bs-toggle=\"tooltip\" data-bs-title=\"Image tagging: The process of classifying an image according to the wildlife species, other entities (e.g., human, vehicle), or conditions within the image. Image tagging may follow image classification to further classify characteristics of the individuals (e.g., age class, sex class, or behaviour) or entities within the image.\"&gt;image tagging&lt;button type=\"button\" class=\"btn btn-bd-tip-info-hidden btn-sm position-relative\"&gt;.&lt;span class=\"position-absolute top-0 start-100 translate-middle\"&gt;{{ icon_info }}&lt;/span&gt;&lt;/button&gt;&lt;/a&gt;"</t>
  </si>
  <si>
    <t xml:space="preserve">    img_tagging_tu: "&lt;a href=\"09_glossary.html#img_tagging\" target=\"_blank\" data-bs-toggle=\"tooltip\" data-bs-title=\"Image tagging: The process of classifying an image according to the wildlife species, other entities (e.g., human, vehicle), or conditions within the image. Image tagging may follow image classification to further classify characteristics of the individuals (e.g., age class, sex class, or behaviour) or entities within the image.\"&gt;Image tagging&lt;button type=\"button\" class=\"btn btn-bd-tip-info-hidden btn-sm position-relative\"&gt;.&lt;span class=\"position-absolute top-0 start-100 translate-middle\"&gt;{{ icon_info }}&lt;/span&gt;&lt;/button&gt;&lt;/a&gt;"</t>
  </si>
  <si>
    <t xml:space="preserve">    img_trigger_mode_tu: "&lt;a href=\"09_glossary.html#img_trigger_mode\" target=\"_blank\" data-bs-toggle=\"tooltip\" data-bs-title=\"Image Trigger Mode: The type of trigger mode used to capture the image as reported in the image Exif data (e.g., 'Time Lapse,' 'Motion Detection,' 'CodeLoc Not Entered,' 'External Sensor'). Record 'Unknown' if not known.\"&gt;Image Trigger Mode&lt;button type=\"button\" class=\"btn btn-bd-tip-info-hidden btn-sm position-relative\"&gt;.&lt;span class=\"position-absolute top-0 start-100 translate-middle\"&gt;{{ icon_info }}&lt;/span&gt;&lt;/button&gt;&lt;/a&gt;"</t>
  </si>
  <si>
    <t xml:space="preserve">    img_trigger_mode_tu_pl: "&lt;a href=\"09_glossary.html#img_trigger_mode\" target=\"_blank\" data-bs-toggle=\"tooltip\" data-bs-title=\"Image Trigger Mode: The type of trigger mode used to capture the image as reported in the image Exif data (e.g., 'Time Lapse,' 'Motion Detection,' 'CodeLoc Not Entered,' 'External Sensor'). Record 'Unknown' if not known.\"&gt;Image Trigger Modes&lt;button type=\"button\" class=\"btn btn-bd-tip-info-hidden btn-sm position-relative\"&gt;.&lt;span class=\"position-absolute top-0 start-100 translate-middle\"&gt;{{ icon_info }}&lt;/span&gt;&lt;/button&gt;&lt;/a&gt;"</t>
  </si>
  <si>
    <t xml:space="preserve">    imperfect_detection_tl: "&lt;a href=\"09_glossary.html#imperfect_detection\" target=\"_blank\" data-bs-toggle=\"tooltip\" data-bs-title=\"Imperfect detection: Species are often detected 'imperfectly,' meaning that they are not always detected when they are present (e.g., due to cover of vegetation, cryptic nature or small size) (MacKenzie et al., 2004).\"&gt;imperfect detection&lt;button type=\"button\" class=\"btn btn-bd-tip-info-hidden btn-sm position-relative\"&gt;.&lt;span class=\"position-absolute top-0 start-100 translate-middle\"&gt;{{ icon_info }}&lt;/span&gt;&lt;/button&gt;&lt;/a&gt;"</t>
  </si>
  <si>
    <t xml:space="preserve">    imperfect_detection_tu: "&lt;a href=\"09_glossary.html#imperfect_detection\" target=\"_blank\" data-bs-toggle=\"tooltip\" data-bs-title=\"Imperfect detection: Species are often detected 'imperfectly,' meaning that they are not always detected when they are present (e.g., due to cover of vegetation, cryptic nature or small size) (MacKenzie et al., 2004).\"&gt;Imperfect detection&lt;button type=\"button\" class=\"btn btn-bd-tip-info-hidden btn-sm position-relative\"&gt;.&lt;span class=\"position-absolute top-0 start-100 translate-middle\"&gt;{{ icon_info }}&lt;/span&gt;&lt;/button&gt;&lt;/a&gt;"</t>
  </si>
  <si>
    <t xml:space="preserve">    independent_detections_tl_pl: "&lt;a href=\"09_glossary.html#independent_detections\" target=\"_blank\" data-bs-toggle=\"tooltip\" data-bs-title=\"Independent detections: Detections that are deemed to be independent based on a user-defined threshold (e.g., 30 minutes).\"&gt;independent detections&lt;button type=\"button\" class=\"btn btn-bd-tip-info-hidden btn-sm position-relative\"&gt;.&lt;span class=\"position-absolute top-0 start-100 translate-middle\"&gt;{{ icon_info }}&lt;/span&gt;&lt;/button&gt;&lt;/a&gt;"</t>
  </si>
  <si>
    <t xml:space="preserve">    independent_detections_tu_modtxt: "&lt;a href=\"09_glossary.html#independent_detections\" target=\"_blank\" data-bs-toggle=\"tooltip\" data-bs-title=\"Independent detections: Detections that are deemed to be independent based on a user-defined threshold (e.g., 30 minutes).\"&gt;Detections are independent&lt;button type=\"button\" class=\"btn btn-bd-tip-info-hidden btn-sm position-relative\"&gt;.&lt;span class=\"position-absolute top-0 start-100 translate-middle\"&gt;{{ icon_info }}&lt;/span&gt;&lt;/button&gt;&lt;/a&gt;"</t>
  </si>
  <si>
    <t xml:space="preserve">    independent_detections_tu_pl: "&lt;a href=\"09_glossary.html#independent_detections\" target=\"_blank\" data-bs-toggle=\"tooltip\" data-bs-title=\"Independent detections: Detections that are deemed to be independent based on a user-defined threshold (e.g., 30 minutes).\"&gt;Independent detections&lt;button type=\"button\" class=\"btn btn-bd-tip-info-hidden btn-sm position-relative\"&gt;.&lt;span class=\"position-absolute top-0 start-100 translate-middle\"&gt;{{ icon_info }}&lt;/span&gt;&lt;/button&gt;&lt;/a&gt;"</t>
  </si>
  <si>
    <t xml:space="preserve">    individual_count_tu: "&lt;a href=\"09_glossary.html#individual_count\" target=\"_blank\" data-bs-toggle=\"tooltip\" data-bs-title=\"Individual Count: The number of unique individuals being categorized. Depending on the Event Type, this may be recorded as the total number of individuals, or according to Age Class and*/or Sex Class.\"&gt;Individual Count&lt;button type=\"button\" class=\"btn btn-bd-tip-info-hidden btn-sm position-relative\"&gt;.&lt;span class=\"position-absolute top-0 start-100 translate-middle\"&gt;{{ icon_info }}&lt;/span&gt;&lt;/button&gt;&lt;/a&gt;"</t>
  </si>
  <si>
    <t xml:space="preserve">    inter_detection_interval_tl: "&lt;a href=\"09_glossary.html#inter_detection_interval\" target=\"_blank\" data-bs-toggle=\"tooltip\" data-bs-title=\"Inter-detection interval: A user-defined threshold used to define a single 'detection event' (i.e., independent 'events') for group of images or video clips (e.g., 30 minutes or 1 hour). The threshold should be recorded in the Survey Design Description.\"&gt;inter-detection interval&lt;button type=\"button\" class=\"btn btn-bd-tip-info-hidden btn-sm position-relative\"&gt;.&lt;span class=\"position-absolute top-0 start-100 translate-middle\"&gt;{{ icon_info }}&lt;/span&gt;&lt;/button&gt;&lt;/a&gt;"</t>
  </si>
  <si>
    <t xml:space="preserve">    inter_detection_interval_tu: "&lt;a href=\"09_glossary.html#inter_detection_interval\" target=\"_blank\" data-bs-toggle=\"tooltip\" data-bs-title=\"Inter-detection interval: A user-defined threshold used to define a single 'detection event' (i.e., independent 'events') for group of images or video clips (e.g., 30 minutes or 1 hour). The threshold should be recorded in the Survey Design Description.\"&gt;Inter-detection interval&lt;button type=\"button\" class=\"btn btn-bd-tip-info-hidden btn-sm position-relative\"&gt;.&lt;span class=\"position-absolute top-0 start-100 translate-middle\"&gt;{{ icon_info }}&lt;/span&gt;&lt;/button&gt;&lt;/a&gt;"</t>
  </si>
  <si>
    <t xml:space="preserve">    kernel_density_estimator_tl: "&lt;a href=\"09_glossary.html#kernel_density_estimator\" target=\"_blank\" data-bs-toggle=\"tooltip\" data-bs-title=\"Kernel density estimator: The probability of 'utilization' (Jennrich &amp; Turner, 1969); describes the relative probability of use (Powell &amp; Mitchell, 2012).\"&gt;kernel density estimator&lt;button type=\"button\" class=\"btn btn-bd-tip-info-hidden btn-sm position-relative\"&gt;.&lt;span class=\"position-absolute top-0 start-100 translate-middle\"&gt;{{ icon_info }}&lt;/span&gt;&lt;/button&gt;&lt;/a&gt;"</t>
  </si>
  <si>
    <t xml:space="preserve">    kernel_density_estimator_tu: "&lt;a href=\"09_glossary.html#kernel_density_estimator\" target=\"_blank\" data-bs-toggle=\"tooltip\" data-bs-title=\"Kernel density estimator: The probability of 'utilization' (Jennrich &amp; Turner, 1969); describes the relative probability of use (Powell &amp; Mitchell, 2012).\"&gt;Kernel density estimator&lt;button type=\"button\" class=\"btn btn-bd-tip-info-hidden btn-sm position-relative\"&gt;.&lt;span class=\"position-absolute top-0 start-100 translate-middle\"&gt;{{ icon_info }}&lt;/span&gt;&lt;/button&gt;&lt;/a&gt;"</t>
  </si>
  <si>
    <t xml:space="preserve">    key_id_tu: "&lt;a href=\"09_glossary.html#key_id\" target=\"_blank\" data-bs-toggle=\"tooltip\" data-bs-title=\"Key ID: The unique ID for the specific key or set of keys used to lock*/secure the camera to the post, tree, etc.\"&gt;Key ID&lt;button type=\"button\" class=\"btn btn-bd-tip-info-hidden btn-sm position-relative\"&gt;.&lt;span class=\"position-absolute top-0 start-100 translate-middle\"&gt;{{ icon_info }}&lt;/span&gt;&lt;/button&gt;&lt;/a&gt;"</t>
  </si>
  <si>
    <t xml:space="preserve">    latitude_cam_location_tu: "&lt;a href=\"09_glossary.html#latitude_cam_location\" target=\"_blank\" data-bs-toggle=\"tooltip\" data-bs-title=\"Latitude Camera Location: The latitude of the camera location in decimal degrees to five decimal places (e.g., '53.78136'). Leave blank if recording Northing instead.\"&gt;Latitude Camera Location&lt;button type=\"button\" class=\"btn btn-bd-tip-info-hidden btn-sm position-relative\"&gt;.&lt;span class=\"position-absolute top-0 start-100 translate-middle\"&gt;{{ icon_info }}&lt;/span&gt;&lt;/button&gt;&lt;/a&gt;"</t>
  </si>
  <si>
    <t xml:space="preserve">    longitude_cam_location_tu: "&lt;a href=\"09_glossary.html#longitude_cam_location\" target=\"_blank\" data-bs-toggle=\"tooltip\" data-bs-title=\"Longitude Camera Location: The longitude of the camera location in decimal degrees to five decimal places (e.g., '-113.46067'). Leave blank if recording Easting instead.\"&gt;Longitude Camera Location&lt;button type=\"button\" class=\"btn btn-bd-tip-info-hidden btn-sm position-relative\"&gt;.&lt;span class=\"position-absolute top-0 start-100 translate-middle\"&gt;{{ icon_info }}&lt;/span&gt;&lt;/button&gt;&lt;/a&gt;"</t>
  </si>
  <si>
    <t xml:space="preserve">    metadata_tl: "&lt;a href=\"09_glossary.html#metadata\" target=\"_blank\" data-bs-toggle=\"tooltip\" data-bs-title=\"Metadata: Data that provides information about other data (e.g., the number of images on an SD card).\"&gt;metadata&lt;button type=\"button\" class=\"btn btn-bd-tip-info-hidden btn-sm position-relative\"&gt;.&lt;span class=\"position-absolute top-0 start-100 translate-middle\"&gt;{{ icon_info }}&lt;/span&gt;&lt;/button&gt;&lt;/a&gt;"</t>
  </si>
  <si>
    <t xml:space="preserve">    metadata_tu: "&lt;a href=\"09_glossary.html#metadata\" target=\"_blank\" data-bs-toggle=\"tooltip\" data-bs-title=\"Metadata: Data that provides information about other data (e.g., the number of images on an SD card).\"&gt;Metadata&lt;button type=\"button\" class=\"btn btn-bd-tip-info-hidden btn-sm position-relative\"&gt;.&lt;span class=\"position-absolute top-0 start-100 translate-middle\"&gt;{{ icon_info }}&lt;/span&gt;&lt;/button&gt;&lt;/a&gt;"</t>
  </si>
  <si>
    <t xml:space="preserve">    mod_2flankspim_tu_ref: "&lt;a href=\"09_glossary.html#mod_2flankspim\" target=\"_blank\" data-bs-toggle=\"tooltip\" data-bs-title=\"Spatial partial identity model (2-flank SPIM) (Augustine et al., 2018): A method used to estimate the density of partially marked populations in which the 'spatial locations of where partial identity samples are captured to probabilistically resolve their complete identities' (Augustine et al., 2018). Paired sampling design is commonly used to capture both the right and left flanks of an animal to resolve individual identities (Augustine et al., 2018). 2-flank SPIM is an extension of the SCR model (Borchers &amp; Efford, 2008; Efford, 2004; Royle &amp; Young, 2008; Royle et al., 2009).\"&gt;Spatial partial identity model (2-flank SPIM) (Augustine et al., 2018)&lt;button type=\"button\" class=\"btn btn-bd-tip-info-hidden btn-sm position-relative\"&gt;.&lt;span class=\"position-absolute top-0 start-100 translate-middle\"&gt;{{ icon_info }}&lt;/span&gt;&lt;/button&gt;&lt;/a&gt;"</t>
  </si>
  <si>
    <t xml:space="preserve">    mod_approach_tl: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Species.\"&gt;modelling approach&lt;button type=\"button\" class=\"btn btn-bd-tip-info-hidden btn-sm position-relative\"&gt;.&lt;span class=\"position-absolute top-0 start-100 translate-middle\"&gt;{{ icon_info }}&lt;/span&gt;&lt;/button&gt;&lt;/a&gt;"</t>
  </si>
  <si>
    <t xml:space="preserve">    mod_approach_tl_abrv: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Species.\"&gt;approach&lt;button type=\"button\" class=\"btn btn-bd-tip-info-hidden btn-sm position-relative\"&gt;.&lt;span class=\"position-absolute top-0 start-100 translate-middle\"&gt;{{ icon_info }}&lt;/span&gt;&lt;/button&gt;&lt;/a&gt;"</t>
  </si>
  <si>
    <t xml:space="preserve">    mod_approach_tl_es: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Species.\"&gt;modelling approach(es)&lt;button type=\"button\" class=\"btn btn-bd-tip-info-hidden btn-sm position-relative\"&gt;.&lt;span class=\"position-absolute top-0 start-100 translate-middle\"&gt;{{ icon_info }}&lt;/span&gt;&lt;/button&gt;&lt;/a&gt;"</t>
  </si>
  <si>
    <t xml:space="preserve">    mod_approach_tl_pl: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Species.\"&gt;modelling approaches&lt;button type=\"button\" class=\"btn btn-bd-tip-info-hidden btn-sm position-relative\"&gt;.&lt;span class=\"position-absolute top-0 start-100 translate-middle\"&gt;{{ icon_info }}&lt;/span&gt;&lt;/button&gt;&lt;/a&gt;"</t>
  </si>
  <si>
    <t xml:space="preserve">    mod_approach_tu: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Species.\"&gt;Modelling approach&lt;button type=\"button\" class=\"btn btn-bd-tip-info-hidden btn-sm position-relative\"&gt;.&lt;span class=\"position-absolute top-0 start-100 translate-middle\"&gt;{{ icon_info }}&lt;/span&gt;&lt;/button&gt;&lt;/a&gt;"</t>
  </si>
  <si>
    <t xml:space="preserve">    mod_approach_tu_es: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Species.\"&gt;Modelling approach(es)&lt;button type=\"button\" class=\"btn btn-bd-tip-info-hidden btn-sm position-relative\"&gt;.&lt;span class=\"position-absolute top-0 start-100 translate-middle\"&gt;{{ icon_info }}&lt;/span&gt;&lt;/button&gt;&lt;/a&gt;"</t>
  </si>
  <si>
    <t xml:space="preserve">    mod_approach_tu_pl: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Species.\"&gt;Modelling approaches&lt;button type=\"button\" class=\"btn btn-bd-tip-info-hidden btn-sm position-relative\"&gt;.&lt;span class=\"position-absolute top-0 start-100 translate-middle\"&gt;{{ icon_info }}&lt;/span&gt;&lt;/button&gt;&lt;/a&gt;"</t>
  </si>
  <si>
    <t xml:space="preserve">    mod_assumption_tl: "&lt;a href=\"09_glossary.html#mod_assumption\" target=\"_blank\" data-bs-toggle=\"tooltip\" data-bs-title=\"Model assumption: Explicitly stated (or implicitly premised) conventions, choices and other specifications (e.g., about the data, wildlife ecology*/behaviour, the relationships between variables, etc.) on which a particular modelling approach is based that allows the model to provide valid inference.\"&gt;model assumption&lt;button type=\"button\" class=\"btn btn-bd-tip-info-hidden btn-sm position-relative\"&gt;.&lt;span class=\"position-absolute top-0 start-100 translate-middle\"&gt;{{ icon_info }}&lt;/span&gt;&lt;/button&gt;&lt;/a&gt;"</t>
  </si>
  <si>
    <t xml:space="preserve">    mod_assumption_tl_abrv: "&lt;a href=\"09_glossary.html#mod_assumption\" target=\"_blank\" data-bs-toggle=\"tooltip\" data-bs-title=\"Model assumption: Explicitly stated (or implicitly premised) conventions, choices and other specifications (e.g., about the data, wildlife ecology*/behaviour, the relationships between variables, etc.) on which a particular modelling approach is based that allows the model to provide valid inference.\"&gt;assumption&lt;button type=\"button\" class=\"btn btn-bd-tip-info-hidden btn-sm position-relative\"&gt;.&lt;span class=\"position-absolute top-0 start-100 translate-middle\"&gt;{{ icon_info }}&lt;/span&gt;&lt;/button&gt;&lt;/a&gt;"</t>
  </si>
  <si>
    <t xml:space="preserve">    mod_assumption_tl_abrv_pl: "&lt;a href=\"09_glossary.html#mod_assumption\" target=\"_blank\" data-bs-toggle=\"tooltip\" data-bs-title=\"Model assumption: Explicitly stated (or implicitly premised) conventions, choices and other specifications (e.g., about the data, wildlife ecology*/behaviour, the relationships between variables, etc.) on which a particular modelling approach is based that allows the model to provide valid inference.\"&gt;assumptions&lt;button type=\"button\" class=\"btn btn-bd-tip-info-hidden btn-sm position-relative\"&gt;.&lt;span class=\"position-absolute top-0 start-100 translate-middle\"&gt;{{ icon_info }}&lt;/span&gt;&lt;/button&gt;&lt;/a&gt;"</t>
  </si>
  <si>
    <t xml:space="preserve">    mod_assumption_tu: "&lt;a href=\"09_glossary.html#mod_assumption\" target=\"_blank\" data-bs-toggle=\"tooltip\" data-bs-title=\"Model assumption: Explicitly stated (or implicitly premised) conventions, choices and other specifications (e.g., about the data, wildlife ecology*/behaviour, the relationships between variables, etc.) on which a particular modelling approach is based that allows the model to provide valid inference.\"&gt;Model assumption&lt;button type=\"button\" class=\"btn btn-bd-tip-info-hidden btn-sm position-relative\"&gt;.&lt;span class=\"position-absolute top-0 start-100 translate-middle\"&gt;{{ icon_info }}&lt;/span&gt;&lt;/button&gt;&lt;/a&gt;"</t>
  </si>
  <si>
    <t xml:space="preserve">    mod_assumption_tu_abrv_pl: "&lt;a href=\"09_glossary.html#mod_assumption\" target=\"_blank\" data-bs-toggle=\"tooltip\" data-bs-title=\"Model assumption: Explicitly stated (or implicitly premised) conventions, choices and other specifications (e.g., about the data, wildlife ecology*/behaviour, the relationships between variables, etc.) on which a particular modelling approach is based that allows the model to provide valid inference.\"&gt;Assumptions&lt;button type=\"button\" class=\"btn btn-bd-tip-info-hidden btn-sm position-relative\"&gt;.&lt;span class=\"position-absolute top-0 start-100 translate-middle\"&gt;{{ icon_info }}&lt;/span&gt;&lt;/button&gt;&lt;/a&gt;"</t>
  </si>
  <si>
    <t xml:space="preserve">    mod_assumption_tu_pl: "&lt;a href=\"09_glossary.html#mod_assumption\" target=\"_blank\" data-bs-toggle=\"tooltip\" data-bs-title=\"Model assumption: Explicitly stated (or implicitly premised) conventions, choices and other specifications (e.g., about the data, wildlife ecology*/behaviour, the relationships between variables, etc.) on which a particular modelling approach is based that allows the model to provide valid inference.\"&gt;Model assumptions&lt;button type=\"button\" class=\"btn btn-bd-tip-info-hidden btn-sm position-relative\"&gt;.&lt;span class=\"position-absolute top-0 start-100 translate-middle\"&gt;{{ icon_info }}&lt;/span&gt;&lt;/button&gt;&lt;/a&gt;"</t>
  </si>
  <si>
    <t xml:space="preserve">    mod_catspim_tu_abrv: "&lt;a href=\"09_glossary.html#mod_catspim\" target=\"_blank\" data-bs-toggle=\"tooltip\" data-bs-title=\"Categorical partial identity model (Categorical SPIM; catSPIM) (Augustine et al., 2019; Sun et al., 2022): A method used to estimate the density of partially marked populations in which the 'spatial locations of where partial identity samples are captured to probabilistically resolve their complete identities' (Augustine et al., 2018, 2019). catSPIM models use partial identity traits (e.g., sex class, antler points) to help infer individual identities (Augustine et al., 2019; Sun et al., 2022). catSPIM is an extension of the SC model (Chandler &amp; Royle, 2013).\"&gt;catSPIM&lt;button type=\"button\" class=\"btn btn-bd-tip-info-hidden btn-sm position-relative\"&gt;.&lt;span class=\"position-absolute top-0 start-100 translate-middle\"&gt;{{ icon_info }}&lt;/span&gt;&lt;/button&gt;&lt;/a&gt;"</t>
  </si>
  <si>
    <t xml:space="preserve">    mod_catspim_tu_ref: "&lt;a href=\"09_glossary.html#mod_catspim\" target=\"_blank\" data-bs-toggle=\"tooltip\" data-bs-title=\"Categorical partial identity model (Categorical SPIM; catSPIM) (Augustine et al., 2019; Sun et al., 2022): A method used to estimate the density of partially marked populations in which the 'spatial locations of where partial identity samples are captured to probabilistically resolve their complete identities' (Augustine et al., 2018, 2019). catSPIM models use partial identity traits (e.g., sex class, antler points) to help infer individual identities (Augustine et al., 2019; Sun et al., 2022). catSPIM is an extension of the SC model (Chandler &amp; Royle, 2013).\"&gt;Categorical partial identity model (Categorical SPIM; catSPIM) (Augustine et al., 2019; Sun et al., 2022)&lt;button type=\"button\" class=\"btn btn-bd-tip-info-hidden btn-sm position-relative\"&gt;.&lt;span class=\"position-absolute top-0 start-100 translate-middle\"&gt;{{ icon_info }}&lt;/span&gt;&lt;/button&gt;&lt;/a&gt;"</t>
  </si>
  <si>
    <t xml:space="preserve">    mod_cmr_tu_abrv: "&lt;a href=\"09_glossary.html#mod_cmr\" target=\"_blank\" data-bs-toggle=\"tooltip\" data-bs-title=\"Capture-recapture (CR) / Capture-mark-recapture (CMR) (Karanth, 1995; Karanth &amp; Nichols, 1998): 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2011).\"&gt;CMR&lt;button type=\"button\" class=\"btn btn-bd-tip-info-hidden btn-sm position-relative\"&gt;.&lt;span class=\"position-absolute top-0 start-100 translate-middle\"&gt;{{ icon_info }}&lt;/span&gt;&lt;/button&gt;&lt;/a&gt;"</t>
  </si>
  <si>
    <t xml:space="preserve">    mod_cr_cmr_tu_ref: "&lt;a href=\"09_glossary.html#mod_cr_cmr\" target=\"_blank\" data-bs-toggle=\"tooltip\" data-bs-title=\"Capture-recapture (CR) / Capture-mark-recapture (CMR) (Karanth, 1995; Karanth &amp; Nichols, 1998): 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2011).\"&gt;Capture-recapture (CR) / Capture-mark-recapture (CMR) (Karanth, 1995; Karanth &amp; Nichols, 1998)&lt;button type=\"button\" class=\"btn btn-bd-tip-info-hidden btn-sm position-relative\"&gt;.&lt;span class=\"position-absolute top-0 start-100 translate-middle\"&gt;{{ icon_info }}&lt;/span&gt;&lt;/button&gt;&lt;/a&gt;"</t>
  </si>
  <si>
    <t xml:space="preserve">    mod_cr_tl_abrv_txt: "&lt;a href=\"09_glossary.html#mod_cr\" target=\"_blank\" data-bs-toggle=\"tooltip\" data-bs-title=\"Capture-recapture (CR) / Capture-mark-recapture (CMR) (Karanth, 1995; Karanth &amp; Nichols, 1998): 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2011).\"&gt;capture-recapture (CR)&lt;button type=\"button\" class=\"btn btn-bd-tip-info-hidden btn-sm position-relative\"&gt;.&lt;span class=\"position-absolute top-0 start-100 translate-middle\"&gt;{{ icon_info }}&lt;/span&gt;&lt;/button&gt;&lt;/a&gt;"</t>
  </si>
  <si>
    <t xml:space="preserve">    mod_cr_tu_abrv: "&lt;a href=\"09_glossary.html#mod_cr\" target=\"_blank\" data-bs-toggle=\"tooltip\" data-bs-title=\"Capture-recapture (CR) / Capture-mark-recapture (CMR) (Karanth, 1995; Karanth &amp; Nichols, 1998): 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2011).\"&gt;CR&lt;button type=\"button\" class=\"btn btn-bd-tip-info-hidden btn-sm position-relative\"&gt;.&lt;span class=\"position-absolute top-0 start-100 translate-middle\"&gt;{{ icon_info }}&lt;/span&gt;&lt;/button&gt;&lt;/a&gt;"</t>
  </si>
  <si>
    <t xml:space="preserve">    mod_cr_tu_abrv_txt: "&lt;a href=\"09_glossary.html#mod_cr\" target=\"_blank\" data-bs-toggle=\"tooltip\" data-bs-title=\"Capture-recapture (CR) / Capture-mark-recapture (CMR) (Karanth, 1995; Karanth &amp; Nichols, 1998): 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2011).\"&gt;Capture-recapture (CR)&lt;button type=\"button\" class=\"btn btn-bd-tip-info-hidden btn-sm position-relative\"&gt;.&lt;span class=\"position-absolute top-0 start-100 translate-middle\"&gt;{{ icon_info }}&lt;/span&gt;&lt;/button&gt;&lt;/a&gt;"</t>
  </si>
  <si>
    <t xml:space="preserve">    mod_divers_rich_alpha_tl_simp: "&lt;a href=\"09_glossary.html#mod_divers_rich_alpha\" target=\"_blank\" data-bs-toggle=\"tooltip\" data-bs-title=\"Alpha richness (α): The number of species at the level of an individual camera location (Wearn &amp; Glover-Kapfer, 2017).\"&gt;alpha richness (α)&lt;button type=\"button\" class=\"btn btn-bd-tip-info-hidden btn-sm position-relative\"&gt;.&lt;span class=\"position-absolute top-0 start-100 translate-middle\"&gt;{{ icon_info }}&lt;/span&gt;&lt;/button&gt;&lt;/a&gt;"</t>
  </si>
  <si>
    <t xml:space="preserve">    mod_divers_rich_alpha_tu_simp: "&lt;a href=\"09_glossary.html#mod_divers_rich_alpha\" target=\"_blank\" data-bs-toggle=\"tooltip\" data-bs-title=\"Alpha richness (α): The number of species at the level of an individual camera location (Wearn &amp; Glover-Kapfer, 2017).\"&gt;Alpha richness (α)&lt;button type=\"button\" class=\"btn btn-bd-tip-info-hidden btn-sm position-relative\"&gt;.&lt;span class=\"position-absolute top-0 start-100 translate-middle\"&gt;{{ icon_info }}&lt;/span&gt;&lt;/button&gt;&lt;/a&gt;"</t>
  </si>
  <si>
    <t xml:space="preserve">    mod_divers_rich_beta_tl_simp: "&lt;a href=\"09_glossary.html#mod_divers_rich_beta\" target=\"_blank\" data-bs-toggle=\"tooltip\" data-bs-title=\"Beta-diversity (β): The differences between the communities or, more formally, the variance among the communities  (Wearn &amp; Glover-Kapfer, 2017).\"&gt;beta-diversity (β)&lt;button type=\"button\" class=\"btn btn-bd-tip-info-hidden btn-sm position-relative\"&gt;.&lt;span class=\"position-absolute top-0 start-100 translate-middle\"&gt;{{ icon_info }}&lt;/span&gt;&lt;/button&gt;&lt;/a&gt;"</t>
  </si>
  <si>
    <t xml:space="preserve">    mod_divers_rich_beta_tu_simp: "&lt;a href=\"09_glossary.html#mod_divers_rich_beta\" target=\"_blank\" data-bs-toggle=\"tooltip\" data-bs-title=\"Beta-diversity (β): The differences between the communities or, more formally, the variance among the communities  (Wearn &amp; Glover-Kapfer, 2017).\"&gt;Beta-diversity (β)&lt;button type=\"button\" class=\"btn btn-bd-tip-info-hidden btn-sm position-relative\"&gt;.&lt;span class=\"position-absolute top-0 start-100 translate-middle\"&gt;{{ icon_info }}&lt;/span&gt;&lt;/button&gt;&lt;/a&gt;"</t>
  </si>
  <si>
    <t xml:space="preserve">    mod_divers_rich_divers_tl: "&lt;a href=\"09_glossary.html#mod_divers_rich_divers\" target=\"_blank\" data-bs-toggle=\"tooltip\" data-bs-title=\"Species diversity: A measure of diversity that incorporates both the number of species in an assemblage and some measure of their relative abundances.' (Gotelli &amp; Chao, 2013)\"&gt;species diversity&lt;button type=\"button\" class=\"btn btn-bd-tip-info-hidden btn-sm position-relative\"&gt;.&lt;span class=\"position-absolute top-0 start-100 translate-middle\"&gt;{{ icon_info }}&lt;/span&gt;&lt;/button&gt;&lt;/a&gt;"</t>
  </si>
  <si>
    <t xml:space="preserve">    mod_divers_rich_divers_tu: "&lt;a href=\"09_glossary.html#mod_divers_rich_divers\" target=\"_blank\" data-bs-toggle=\"tooltip\" data-bs-title=\"Species diversity: A measure of diversity that incorporates both the number of species in an assemblage and some measure of their relative abundances.' (Gotelli &amp; Chao, 2013)\"&gt;Species diversity&lt;button type=\"button\" class=\"btn btn-bd-tip-info-hidden btn-sm position-relative\"&gt;.&lt;span class=\"position-absolute top-0 start-100 translate-middle\"&gt;{{ icon_info }}&lt;/span&gt;&lt;/button&gt;&lt;/a&gt;"</t>
  </si>
  <si>
    <t xml:space="preserve">    mod_divers_rich_gamma_tl_simp: "&lt;a href=\"09_glossary.html#mod_divers_rich_gamma\" target=\"_blank\" data-bs-toggle=\"tooltip\" data-bs-title=\"Gamma richness (γ): The number of species across a whole study area (Wearn &amp; Glover-Kapfer, 2017).\"&gt;gamma richness (γ)&lt;button type=\"button\" class=\"btn btn-bd-tip-info-hidden btn-sm position-relative\"&gt;.&lt;span class=\"position-absolute top-0 start-100 translate-middle\"&gt;{{ icon_info }}&lt;/span&gt;&lt;/button&gt;&lt;/a&gt;"</t>
  </si>
  <si>
    <t xml:space="preserve">    mod_divers_rich_gamma_tu_simp: "&lt;a href=\"09_glossary.html#mod_divers_rich_gamma\" target=\"_blank\" data-bs-toggle=\"tooltip\" data-bs-title=\"Gamma richness (γ): The number of species across a whole study area (Wearn &amp; Glover-Kapfer, 2017).\"&gt;Gamma richness (γ)&lt;button type=\"button\" class=\"btn btn-bd-tip-info-hidden btn-sm position-relative\"&gt;.&lt;span class=\"position-absolute top-0 start-100 translate-middle\"&gt;{{ icon_info }}&lt;/span&gt;&lt;/button&gt;&lt;/a&gt;"</t>
  </si>
  <si>
    <t xml:space="preserve">    mod_divers_rich_rich_est_tl: "&lt;a href=\"09_glossary.html#mod_divers_rich_rich_est\" target=\"_blank\" data-bs-toggle=\"tooltip\" data-bs-title=\"Estimated species richness: when the 'sum of the number of species seen' is adjusted based on corrections for 'imperfect detection' (i.e. the fact that some species in a given sample may have been missed)' (Wearn &amp; Glover-Kapfer, 2017)\"&gt;estimated species richness&lt;button type=\"button\" class=\"btn btn-bd-tip-info-hidden btn-sm position-relative\"&gt;.&lt;span class=\"position-absolute top-0 start-100 translate-middle\"&gt;{{ icon_info }}&lt;/span&gt;&lt;/button&gt;&lt;/a&gt;"</t>
  </si>
  <si>
    <t xml:space="preserve">    mod_divers_rich_rich_est_tu: "&lt;a href=\"09_glossary.html#mod_divers_rich_rich_est\" target=\"_blank\" data-bs-toggle=\"tooltip\" data-bs-title=\"Estimated species richness: when the 'sum of the number of species seen' is adjusted based on corrections for 'imperfect detection' (i.e. the fact that some species in a given sample may have been missed)' (Wearn &amp; Glover-Kapfer, 2017)\"&gt;Estimated species richness&lt;button type=\"button\" class=\"btn btn-bd-tip-info-hidden btn-sm position-relative\"&gt;.&lt;span class=\"position-absolute top-0 start-100 translate-middle\"&gt;{{ icon_info }}&lt;/span&gt;&lt;/button&gt;&lt;/a&gt;"</t>
  </si>
  <si>
    <t xml:space="preserve">    mod_divers_rich_rich_obs_tl: "&lt;a href=\"09_glossary.html#mod_divers_rich_rich_obs\" target=\"_blank\" data-bs-toggle=\"tooltip\" data-bs-title=\"Observed species richness: the sum of the number of species seen' (e.g., Kitamura et al., 2010; Pettorelli et al., 2010; Ahumada et al., 2011; Aamejima et al., 2012)\"&gt;observed species richness&lt;button type=\"button\" class=\"btn btn-bd-tip-info-hidden btn-sm position-relative\"&gt;.&lt;span class=\"position-absolute top-0 start-100 translate-middle\"&gt;{{ icon_info }}&lt;/span&gt;&lt;/button&gt;&lt;/a&gt;"</t>
  </si>
  <si>
    <t xml:space="preserve">    mod_divers_rich_rich_obs_tu: "&lt;a href=\"09_glossary.html#mod_divers_rich_rich_obs\" target=\"_blank\" data-bs-toggle=\"tooltip\" data-bs-title=\"Observed species richness: the sum of the number of species seen' (e.g., Kitamura et al., 2010; Pettorelli et al., 2010; Ahumada et al., 2011; Aamejima et al., 2012)\"&gt;Observed species richness&lt;button type=\"button\" class=\"btn btn-bd-tip-info-hidden btn-sm position-relative\"&gt;.&lt;span class=\"position-absolute top-0 start-100 translate-middle\"&gt;{{ icon_info }}&lt;/span&gt;&lt;/button&gt;&lt;/a&gt;"</t>
  </si>
  <si>
    <t xml:space="preserve">    mod_divers_rich_rich_tl: "&lt;a href=\"09_glossary.html#mod_divers_rich_rich\" target=\"_blank\" data-bs-toggle=\"tooltip\" data-bs-title=\"Species richness: The total number of species in an assemblage or a sample' (Gotelli &amp; Chao, 2013).\"&gt;species richness&lt;button type=\"button\" class=\"btn btn-bd-tip-info-hidden btn-sm position-relative\"&gt;.&lt;span class=\"position-absolute top-0 start-100 translate-middle\"&gt;{{ icon_info }}&lt;/span&gt;&lt;/button&gt;&lt;/a&gt;"</t>
  </si>
  <si>
    <t xml:space="preserve">    mod_divers_rich_rich_tu: "&lt;a href=\"09_glossary.html#mod_divers_rich_rich\" target=\"_blank\" data-bs-toggle=\"tooltip\" data-bs-title=\"Species richness: The total number of species in an assemblage or a sample' (Gotelli &amp; Chao, 2013).\"&gt;Species richness&lt;button type=\"button\" class=\"btn btn-bd-tip-info-hidden btn-sm position-relative\"&gt;.&lt;span class=\"position-absolute top-0 start-100 translate-middle\"&gt;{{ icon_info }}&lt;/span&gt;&lt;/button&gt;&lt;/a&gt;"</t>
  </si>
  <si>
    <t xml:space="preserve">    mod_divers_rich_rich2_tl: "&lt;a href=\"09_glossary.html#mod_divers_rich_rich2\" target=\"_blank\" data-bs-toggle=\"tooltip\" data-bs-title=\"Species richness: The number of species found in the community/area measured (Pyron, 2010).\"&gt;species richness&lt;button type=\"button\" class=\"btn btn-bd-tip-info-hidden btn-sm position-relative\"&gt;.&lt;span class=\"position-absolute top-0 start-100 translate-middle\"&gt;{{ icon_info }}&lt;/span&gt;&lt;/button&gt;&lt;/a&gt;"</t>
  </si>
  <si>
    <t xml:space="preserve">    mod_divers_rich_rich2_tu: "&lt;a href=\"09_glossary.html#mod_divers_rich_rich2\" target=\"_blank\" data-bs-toggle=\"tooltip\" data-bs-title=\"Species richness: The number of species found in the community/area measured (Pyron, 2010).\"&gt;Species richness&lt;button type=\"button\" class=\"btn btn-bd-tip-info-hidden btn-sm position-relative\"&gt;.&lt;span class=\"position-absolute top-0 start-100 translate-middle\"&gt;{{ icon_info }}&lt;/span&gt;&lt;/button&gt;&lt;/a&gt;"</t>
  </si>
  <si>
    <t xml:space="preserve">    mod_ds_tu_ref: "&lt;a href=\"09_glossary.html#mod_ds\" target=\"_blank\" data-bs-toggle=\"tooltip\" data-bs-title=\"Distance sampling (DS) model (Howe et al., 2017): A method to estimate abundance by using distances at which animals are detected (from survey lines or points) to model abundance as a function of decreasing detection probability with animal distance from the camera (using a decay function) (Cappelle et al., 2021; Howe et al., 2017).\"&gt;Distance sampling (DS) model (Howe et al., 2017)&lt;button type=\"button\" class=\"btn btn-bd-tip-info-hidden btn-sm position-relative\"&gt;.&lt;span class=\"position-absolute top-0 start-100 translate-middle\"&gt;{{ icon_info }}&lt;/span&gt;&lt;/button&gt;&lt;/a&gt;"</t>
  </si>
  <si>
    <t xml:space="preserve">    mod_inventory_tl_abrv: "&lt;a href=\"09_glossary.html#mod_inventory\" target=\"_blank\" data-bs-toggle=\"tooltip\" data-bs-title=\"Inventory: Rapid assessment surveys used to determine what species are present in a given area at a given point in time; there is no attempt made to quantify aspects of communities or populations (Wearn &amp; Glover-Kapfer, 2017).\"&gt;inventory&lt;button type=\"button\" class=\"btn btn-bd-tip-info-hidden btn-sm position-relative\"&gt;.&lt;span class=\"position-absolute top-0 start-100 translate-middle\"&gt;{{ icon_info }}&lt;/span&gt;&lt;/button&gt;&lt;/a&gt;"</t>
  </si>
  <si>
    <t xml:space="preserve">    mod_inventory_tu_abrv: "&lt;a href=\"09_glossary.html#mod_inventory\" target=\"_blank\" data-bs-toggle=\"tooltip\" data-bs-title=\"Inventory: Rapid assessment surveys used to determine what species are present in a given area at a given point in time; there is no attempt made to quantify aspects of communities or populations (Wearn &amp; Glover-Kapfer, 2017).\"&gt;Inventory&lt;button type=\"button\" class=\"btn btn-bd-tip-info-hidden btn-sm position-relative\"&gt;.&lt;span class=\"position-absolute top-0 start-100 translate-middle\"&gt;{{ icon_info }}&lt;/span&gt;&lt;/button&gt;&lt;/a&gt;"</t>
  </si>
  <si>
    <t xml:space="preserve">    mod_is_tu_ref: "&lt;a href=\"09_glossary.html#mod_is\" target=\"_blank\" data-bs-toggle=\"tooltip\" data-bs-title=\"Instantaneous sampling (IS) model (Moeller et al., 2018): A method used to estimate abundance or density from time-lapse images from randomly deployed cameras; the number of unique individuals (the count) is needed (Moeller et al., 2018).\"&gt;Instantaneous sampling (IS) model (Moeller et al., 2018)&lt;button type=\"button\" class=\"btn btn-bd-tip-info-hidden btn-sm position-relative\"&gt;.&lt;span class=\"position-absolute top-0 start-100 translate-middle\"&gt;{{ icon_info }}&lt;/span&gt;&lt;/button&gt;&lt;/a&gt;"</t>
  </si>
  <si>
    <t xml:space="preserve">    mod_mr_tu_ref: "&lt;a href=\"09_glossary.html#mod_mr\" target=\"_blank\" data-bs-toggle=\"tooltip\" data-bs-title=\"Mark-resight (MR) model (Arnason et al., 1991; McClintock et al., 2009): A method used to estimate the abundance of partially marked populations using the number of marked individuals, the number of unmarked individuals, and the detection probability from marked animals (Wearn &amp; Glover-Kapfer, 2017). MR is similar to capture-recapture (CR; Karanth, 1995; Karanth &amp; Nichols, 1998) models, except only a portion of animals are individually identified.\"&gt;Mark-resight (MR) model (Arnason et al., 1991; McClintock et al., 2009)&lt;button type=\"button\" class=\"btn btn-bd-tip-info-hidden btn-sm position-relative\"&gt;.&lt;span class=\"position-absolute top-0 start-100 translate-middle\"&gt;{{ icon_info }}&lt;/span&gt;&lt;/button&gt;&lt;/a&gt;"</t>
  </si>
  <si>
    <t xml:space="preserve">    mod_n_mixture_tl_abrv: "&lt;a href=\"09_glossary.html#mod_n_mixture\" target=\"_blank\" data-bs-toggle=\"tooltip\" data-bs-title=\"N-mixture models: 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2023]).\"&gt;n-mixture&lt;button type=\"button\" class=\"btn btn-bd-tip-info-hidden btn-sm position-relative\"&gt;.&lt;span class=\"position-absolute top-0 start-100 translate-middle\"&gt;{{ icon_info }}&lt;/span&gt;&lt;/button&gt;&lt;/a&gt;"</t>
  </si>
  <si>
    <t xml:space="preserve">    mod_n_mixture_tl_pl: "&lt;a href=\"09_glossary.html#mod_n_mixture\" target=\"_blank\" data-bs-toggle=\"tooltip\" data-bs-title=\"N-mixture models: 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2023]).\"&gt;n-mixture models&lt;button type=\"button\" class=\"btn btn-bd-tip-info-hidden btn-sm position-relative\"&gt;.&lt;span class=\"position-absolute top-0 start-100 translate-middle\"&gt;{{ icon_info }}&lt;/span&gt;&lt;/button&gt;&lt;/a&gt;"</t>
  </si>
  <si>
    <t xml:space="preserve">    mod_n_mixture_tu_abrv: "&lt;a href=\"09_glossary.html#mod_n_mixture\" target=\"_blank\" data-bs-toggle=\"tooltip\" data-bs-title=\"N-mixture models: 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2023]).\"&gt;N-mixture&lt;button type=\"button\" class=\"btn btn-bd-tip-info-hidden btn-sm position-relative\"&gt;.&lt;span class=\"position-absolute top-0 start-100 translate-middle\"&gt;{{ icon_info }}&lt;/span&gt;&lt;/button&gt;&lt;/a&gt;"</t>
  </si>
  <si>
    <t xml:space="preserve">    mod_n_mixture_tu_pl: "&lt;a href=\"09_glossary.html#mod_n_mixture\" target=\"_blank\" data-bs-toggle=\"tooltip\" data-bs-title=\"N-mixture models: 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2023]).\"&gt;N-mixture models&lt;button type=\"button\" class=\"btn btn-bd-tip-info-hidden btn-sm position-relative\"&gt;.&lt;span class=\"position-absolute top-0 start-100 translate-middle\"&gt;{{ icon_info }}&lt;/span&gt;&lt;/button&gt;&lt;/a&gt;"</t>
  </si>
  <si>
    <t xml:space="preserve">    mod_occupancy_tl_abrv_pl: "&lt;a href=\"09_glossary.html#mod_occupancy\" target=\"_blank\" data-bs-toggle=\"tooltip\" data-bs-title=\"Occupancy model (MacKenzie et al., 2002): A modelling approach used to account for imperfect detection by first evaluating the detection probability of a species via detection histories (i.e., present or absent) to determine the probability of the true presence or absence of a species at a site (MacKenzie et al., 2002).\"&gt;occupancy models&lt;button type=\"button\" class=\"btn btn-bd-tip-info-hidden btn-sm position-relative\"&gt;.&lt;span class=\"position-absolute top-0 start-100 translate-middle\"&gt;{{ icon_info }}&lt;/span&gt;&lt;/button&gt;&lt;/a&gt;"</t>
  </si>
  <si>
    <t xml:space="preserve">    mod_occupancy_tu_pl: "&lt;a href=\"09_glossary.html#mod_occupancy\" target=\"_blank\" data-bs-toggle=\"tooltip\" data-bs-title=\"Occupancy model (MacKenzie et al., 2002): A modelling approach used to account for imperfect detection by first evaluating the detection probability of a species via detection histories (i.e., present or absent) to determine the probability of the true presence or absence of a species at a site (MacKenzie et al., 2002).\"&gt;Occupancy models (MacKenzie et al., 2002)&lt;button type=\"button\" class=\"btn btn-bd-tip-info-hidden btn-sm position-relative\"&gt;.&lt;span class=\"position-absolute top-0 start-100 translate-middle\"&gt;{{ icon_info }}&lt;/span&gt;&lt;/button&gt;&lt;/a&gt;"</t>
  </si>
  <si>
    <t xml:space="preserve">    mod_occupancy_tu_ref: "&lt;a href=\"09_glossary.html#mod_occupancy\" target=\"_blank\" data-bs-toggle=\"tooltip\" data-bs-title=\"Occupancy model (MacKenzie et al., 2002): A modelling approach used to account for imperfect detection by first evaluating the detection probability of a species via detection histories (i.e., present or absent) to determine the probability of the true presence or absence of a species at a site (MacKenzie et al., 2002).\"&gt;Occupancy model (MacKenzie et al., 2002)&lt;button type=\"button\" class=\"btn btn-bd-tip-info-hidden btn-sm position-relative\"&gt;.&lt;span class=\"position-absolute top-0 start-100 translate-middle\"&gt;{{ icon_info }}&lt;/span&gt;&lt;/button&gt;&lt;/a&gt;"</t>
  </si>
  <si>
    <t xml:space="preserve">    mod_overdispersion_tl: "&lt;a href=\"09_glossary.html#mod_overdispersion\" target=\"_blank\" data-bs-toggle=\"tooltip\" data-bs-title=\"Overdispersion: A variance significantly larger than the mean (Bliss &amp; Fisher, 1953); greater variability in a set of data than predicted by the error structure of the model (Harrison et al., 2018); excess variability can be caused by zero inflation, non-independence of counts, or both (Zurr et al., 2009).\"&gt;overdispersion&lt;button type=\"button\" class=\"btn btn-bd-tip-info-hidden btn-sm position-relative\"&gt;.&lt;span class=\"position-absolute top-0 start-100 translate-middle\"&gt;{{ icon_info }}&lt;/span&gt;&lt;/button&gt;&lt;/a&gt;"</t>
  </si>
  <si>
    <t xml:space="preserve">    mod_overdispersion_tu: "&lt;a href=\"09_glossary.html#mod_overdispersion\" target=\"_blank\" data-bs-toggle=\"tooltip\" data-bs-title=\"Overdispersion: A variance significantly larger than the mean (Bliss &amp; Fisher, 1953); greater variability in a set of data than predicted by the error structure of the model (Harrison et al., 2018); excess variability can be caused by zero inflation, non-independence of counts, or both (Zurr et al., 2009).\"&gt;Overdispersion&lt;button type=\"button\" class=\"btn btn-bd-tip-info-hidden btn-sm position-relative\"&gt;.&lt;span class=\"position-absolute top-0 start-100 translate-middle\"&gt;{{ icon_info }}&lt;/span&gt;&lt;/button&gt;&lt;/a&gt;"</t>
  </si>
  <si>
    <t xml:space="preserve">    mod_rai_hurdle_tu_ref: "&lt;a href=\"09_glossary.html#mod_rai_hurdle\" target=\"_blank\" data-bs-toggle=\"tooltip\" data-bs-title=\"Hurdle model (Mullahy, 1986; Heilbron 1994): A regression model used in the setting of excess zeros (zero-inflation) and overdispersion (Mullahy, 1986). Hurdle models (aka 'zero-altered' models) differ from zero-inflation models in that they are two-part models, and the zero and non-zero counts are modelling separately (thus, they are only adequate when the counting process cannot generate a zero value) (Blasco-Moreno et al., 2019). [relative abundance indices]\"&gt;Hurdle model (Mullahy, 1986; Heilbron 1994)&lt;button type=\"button\" class=\"btn btn-bd-tip-info-hidden btn-sm position-relative\"&gt;.&lt;span class=\"position-absolute top-0 start-100 translate-middle\"&gt;{{ icon_info }}&lt;/span&gt;&lt;/button&gt;&lt;/a&gt;"</t>
  </si>
  <si>
    <t xml:space="preserve">    mod_rai_nb_tu_ref: "&lt;a href=\"09_glossary.html#mod_rai_nb\" target=\"_blank\" data-bs-toggle=\"tooltip\" data-bs-title=\"Negative binomial (NB) regression (Mullahy, 1986): A regression model used for count data with overdispersion but without zero-inflation. [relative abundance indices]\"&gt;Negative binomial (NB) regression (Mullahy, 1986)&lt;button type=\"button\" class=\"btn btn-bd-tip-info-hidden btn-sm position-relative\"&gt;.&lt;span class=\"position-absolute top-0 start-100 translate-middle\"&gt;{{ icon_info }}&lt;/span&gt;&lt;/button&gt;&lt;/a&gt;"</t>
  </si>
  <si>
    <t xml:space="preserve">    mod_rai_poisson_tl: "&lt;a href=\"09_glossary.html#mod_rai_poisson\" target=\"_blank\" data-bs-toggle=\"tooltip\" data-bs-title=\"Poisson regression: A regression model for count data used when data are not overdispersed or zero-inflated (Lambert, 1992). [relative abundance indices]\"&gt;poisson regression&lt;button type=\"button\" class=\"btn btn-bd-tip-info-hidden btn-sm position-relative\"&gt;.&lt;span class=\"position-absolute top-0 start-100 translate-middle\"&gt;{{ icon_info }}&lt;/span&gt;&lt;/button&gt;&lt;/a&gt;"</t>
  </si>
  <si>
    <t xml:space="preserve">    mod_rai_poisson_tu: "&lt;a href=\"09_glossary.html#mod_rai_poisson\" target=\"_blank\" data-bs-toggle=\"tooltip\" data-bs-title=\"Poisson regression: A regression model for count data used when data are not overdispersed or zero-inflated (Lambert, 1992). [relative abundance indices]\"&gt;Poisson regression&lt;button type=\"button\" class=\"btn btn-bd-tip-info-hidden btn-sm position-relative\"&gt;.&lt;span class=\"position-absolute top-0 start-100 translate-middle\"&gt;{{ icon_info }}&lt;/span&gt;&lt;/button&gt;&lt;/a&gt;"</t>
  </si>
  <si>
    <t xml:space="preserve">    mod_rai_poisson_tu_abrv: "&lt;a href=\"09_glossary.html#mod_rai_poisson\" target=\"_blank\" data-bs-toggle=\"tooltip\" data-bs-title=\"Poisson regression: A regression model for count data used when data are not overdispersed or zero-inflated (Lambert, 1992). [relative abundance indices]\"&gt;Poisson&lt;button type=\"button\" class=\"btn btn-bd-tip-info-hidden btn-sm position-relative\"&gt;.&lt;span class=\"position-absolute top-0 start-100 translate-middle\"&gt;{{ icon_info }}&lt;/span&gt;&lt;/button&gt;&lt;/a&gt;"</t>
  </si>
  <si>
    <t xml:space="preserve">    mod_rai_tl_mod: "&lt;a href=\"09_glossary.html#mod_rai\" target=\"_blank\" data-bs-toggle=\"tooltip\" data-bs-title=\"Relative abundance indices: 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2011).\"&gt;relative abundance index&lt;button type=\"button\" class=\"btn btn-bd-tip-info-hidden btn-sm position-relative\"&gt;.&lt;span class=\"position-absolute top-0 start-100 translate-middle\"&gt;{{ icon_info }}&lt;/span&gt;&lt;/button&gt;&lt;/a&gt;"</t>
  </si>
  <si>
    <t xml:space="preserve">    mod_rai_tl_pl: "&lt;a href=\"09_glossary.html#mod_rai\" target=\"_blank\" data-bs-toggle=\"tooltip\" data-bs-title=\"Relative abundance indices: 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2011).\"&gt;relative abundance indices&lt;button type=\"button\" class=\"btn btn-bd-tip-info-hidden btn-sm position-relative\"&gt;.&lt;span class=\"position-absolute top-0 start-100 translate-middle\"&gt;{{ icon_info }}&lt;/span&gt;&lt;/button&gt;&lt;/a&gt;"</t>
  </si>
  <si>
    <t xml:space="preserve">    mod_rai_tu_mod: "&lt;a href=\"09_glossary.html#mod_rai\" target=\"_blank\" data-bs-toggle=\"tooltip\" data-bs-title=\"Relative abundance indices: 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2011).\"&gt;Relative abundance index&lt;button type=\"button\" class=\"btn btn-bd-tip-info-hidden btn-sm position-relative\"&gt;.&lt;span class=\"position-absolute top-0 start-100 translate-middle\"&gt;{{ icon_info }}&lt;/span&gt;&lt;/button&gt;&lt;/a&gt;"</t>
  </si>
  <si>
    <t xml:space="preserve">    mod_rai_tu_pl: "&lt;a href=\"09_glossary.html#mod_rai\" target=\"_blank\" data-bs-toggle=\"tooltip\" data-bs-title=\"Relative abundance indices: 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2011).\"&gt;Relative abundance indices&lt;button type=\"button\" class=\"btn btn-bd-tip-info-hidden btn-sm position-relative\"&gt;.&lt;span class=\"position-absolute top-0 start-100 translate-middle\"&gt;{{ icon_info }}&lt;/span&gt;&lt;/button&gt;&lt;/a&gt;"</t>
  </si>
  <si>
    <t xml:space="preserve">    mod_rai_zinb_tu_abrv: "&lt;a href=\"09_glossary.html#mod_rai_zinb\" target=\"_blank\" data-bs-toggle=\"tooltip\" data-bs-title=\"Zero-inflated negative binomial (ZINB) regression (McCullagh &amp; Nelder, 1989): A regression model used in the setting of excess zeros (zero-inflation) and overdispersion. This approach is a two-part model, where the zero-inflation is modelled separately from the counts and assumes that the count (abundance) is 'conditional' on the zero-inflation model (occurrence) model. [relative abundance indices]\"&gt;ZINB&lt;button type=\"button\" class=\"btn btn-bd-tip-info-hidden btn-sm position-relative\"&gt;.&lt;span class=\"position-absolute top-0 start-100 translate-middle\"&gt;{{ icon_info }}&lt;/span&gt;&lt;/button&gt;&lt;/a&gt;"</t>
  </si>
  <si>
    <t xml:space="preserve">    mod_rai_zinb_tu_ref: "&lt;a href=\"09_glossary.html#mod_rai_zinb\" target=\"_blank\" data-bs-toggle=\"tooltip\" data-bs-title=\"Zero-inflated negative binomial (ZINB) regression (McCullagh &amp; Nelder, 1989): A regression model used in the setting of excess zeros (zero-inflation) and overdispersion. This approach is a two-part model, where the zero-inflation is modelled separately from the counts and assumes that the count (abundance) is 'conditional' on the zero-inflation model (occurrence) model. [relative abundance indices]\"&gt;Zero-inflated negative binomial (ZINB) regression (McCullagh &amp; Nelder, 1989)&lt;button type=\"button\" class=\"btn btn-bd-tip-info-hidden btn-sm position-relative\"&gt;.&lt;span class=\"position-absolute top-0 start-100 translate-middle\"&gt;{{ icon_info }}&lt;/span&gt;&lt;/button&gt;&lt;/a&gt;"</t>
  </si>
  <si>
    <t xml:space="preserve">    mod_rai_zip_tu_abrv: "&lt;a href=\"09_glossary.html#mod_rai_zip\" target=\"_blank\" data-bs-toggle=\"tooltip\" data-bs-title=\"Zero-inflated Poisson (ZIP) regression (Lambert, 1992): A regression model for count data that both follows the Poisson distribution and contains excess zeros (Lambert, 1992). ZIP models are only appropriate for data for which the overdispersion is not solely due to zero-inflation. [relative abundance indices]\"&gt;ZIP&lt;button type=\"button\" class=\"btn btn-bd-tip-info-hidden btn-sm position-relative\"&gt;.&lt;span class=\"position-absolute top-0 start-100 translate-middle\"&gt;{{ icon_info }}&lt;/span&gt;&lt;/button&gt;&lt;/a&gt;"</t>
  </si>
  <si>
    <t xml:space="preserve">    mod_rai_zip_tu_ref: "&lt;a href=\"09_glossary.html#mod_rai_zip\" target=\"_blank\" data-bs-toggle=\"tooltip\" data-bs-title=\"Zero-inflated Poisson (ZIP) regression (Lambert, 1992): A regression model for count data that both follows the Poisson distribution and contains excess zeros (Lambert, 1992). ZIP models are only appropriate for data for which the overdispersion is not solely due to zero-inflation. [relative abundance indices]\"&gt;Zero-inflated Poisson (ZIP) regression (Lambert, 1992)&lt;button type=\"button\" class=\"btn btn-bd-tip-info-hidden btn-sm position-relative\"&gt;.&lt;span class=\"position-absolute top-0 start-100 translate-middle\"&gt;{{ icon_info }}&lt;/span&gt;&lt;/button&gt;&lt;/a&gt;"</t>
  </si>
  <si>
    <t xml:space="preserve">    mod_rem_tu_abrv: "&lt;a href=\"09_glossary.html#mod_rem\" target=\"_blank\" data-bs-toggle=\"tooltip\" data-bs-title=\"Random encounter model (REM) (Rowcliffe et al., 2008, 2013): A method used to estimate the density of unmarked populations; uses the rate of independent captures, an estimate of movement rate, average group size, and the area sampled by the remote camera.\"&gt;REM&lt;button type=\"button\" class=\"btn btn-bd-tip-info-hidden btn-sm position-relative\"&gt;.&lt;span class=\"position-absolute top-0 start-100 translate-middle\"&gt;{{ icon_info }}&lt;/span&gt;&lt;/button&gt;&lt;/a&gt;"</t>
  </si>
  <si>
    <t xml:space="preserve">    mod_rem_tu_ref: "&lt;a href=\"09_glossary.html#mod_rem\" target=\"_blank\" data-bs-toggle=\"tooltip\" data-bs-title=\"Random encounter model (REM) (Rowcliffe et al., 2008, 2013): A method used to estimate the density of unmarked populations; uses the rate of independent captures, an estimate of movement rate, average group size, and the area sampled by the remote camera.\"&gt;Random encounter model (REM) (Rowcliffe et al., 2008, 2013)&lt;button type=\"button\" class=\"btn btn-bd-tip-info-hidden btn-sm position-relative\"&gt;.&lt;span class=\"position-absolute top-0 start-100 translate-middle\"&gt;{{ icon_info }}&lt;/span&gt;&lt;/button&gt;&lt;/a&gt;"</t>
  </si>
  <si>
    <t xml:space="preserve">    mod_rest_tu_abrv: "&lt;a href=\"09_glossary.html#mod_rest\" target=\"_blank\" data-bs-toggle=\"tooltip\" data-bs-title=\"Random encounter and staying time (REST) model (Nakashima et al., 2018): A recent modification of the REM (Nakashima et al., 2018) that substitutes staying time (i.e., the cumulative time in the cameras' detection zone) for movement speed (staying time and movement speed are inversely proportional) (Cappelle et al., 2021).\"&gt;REST&lt;button type=\"button\" class=\"btn btn-bd-tip-info-hidden btn-sm position-relative\"&gt;.&lt;span class=\"position-absolute top-0 start-100 translate-middle\"&gt;{{ icon_info }}&lt;/span&gt;&lt;/button&gt;&lt;/a&gt;"</t>
  </si>
  <si>
    <t xml:space="preserve">    mod_rest_tu_ref: "&lt;a href=\"09_glossary.html#mod_rest\" target=\"_blank\" data-bs-toggle=\"tooltip\" data-bs-title=\"Random encounter and staying time (REST) model (Nakashima et al., 2018): A recent modification of the REM (Nakashima et al., 2018) that substitutes staying time (i.e., the cumulative time in the cameras' detection zone) for movement speed (staying time and movement speed are inversely proportional) (Cappelle et al., 2021).\"&gt;Random encounter and staying time (REST) model (Nakashima et al., 2018)&lt;button type=\"button\" class=\"btn btn-bd-tip-info-hidden btn-sm position-relative\"&gt;.&lt;span class=\"position-absolute top-0 start-100 translate-middle\"&gt;{{ icon_info }}&lt;/span&gt;&lt;/button&gt;&lt;/a&gt;"</t>
  </si>
  <si>
    <t xml:space="preserve">    mod_royle_nichols_tu_ref: "&lt;a href=\"09_glossary.html#mod_royle_nichols\" target=\"_blank\" data-bs-toggle=\"tooltip\" data-bs-title=\"Royle-Nichols model (Royle &amp; Nichols, 2003; MacKenzie et al., 2006): A method used to estimate population abundance or density, which assumes that individuals are counted only once per sampling occasion (Royle, 2004), but that does not require all individuals to be marked. Royle-Nichols models are a type of site-structured model (i.e., that 'treat each camera as though it samples... [a] distinct population within a larger meta-population' [Clarke et al., 2023]).\"&gt;Royle-Nichols model (Royle &amp; Nichols, 2003; MacKenzie et al., 2006)&lt;button type=\"button\" class=\"btn btn-bd-tip-info-hidden btn-sm position-relative\"&gt;.&lt;span class=\"position-absolute top-0 start-100 translate-middle\"&gt;{{ icon_info }}&lt;/span&gt;&lt;/button&gt;&lt;/a&gt;"</t>
  </si>
  <si>
    <t xml:space="preserve">    mod_sc_tu_abrv: "&lt;a href=\"09_glossary.html#mod_sc\" target=\"_blank\" data-bs-toggle=\"tooltip\" data-bs-title=\"Spatial count (SC) model / Unmarked spatial capture-recapture (Chandler &amp; Royle, 2013): A method used to estimate the density of unmarked populations; similar to SECR (Borchers &amp; Efford, 2008; Efford, 2004; Royle &amp; Young, 2008; Royle et al., 2009); however, SC models account for individuals' unknown identities using the spatial pattern of detections (Chandler &amp; Royle, 2013; Sun et al., 2022). SC uses trap-specific counts to estimate the location and number of activity centres to estimate density.\"&gt;SC&lt;button type=\"button\" class=\"btn btn-bd-tip-info-hidden btn-sm position-relative\"&gt;.&lt;span class=\"position-absolute top-0 start-100 translate-middle\"&gt;{{ icon_info }}&lt;/span&gt;&lt;/button&gt;&lt;/a&gt;"</t>
  </si>
  <si>
    <t xml:space="preserve">    mod_sc_tu_ref: "&lt;a href=\"09_glossary.html#mod_sc\" target=\"_blank\" data-bs-toggle=\"tooltip\" data-bs-title=\"Spatial count (SC) model / Unmarked spatial capture-recapture (Chandler &amp; Royle, 2013): A method used to estimate the density of unmarked populations; similar to SECR (Borchers &amp; Efford, 2008; Efford, 2004; Royle &amp; Young, 2008; Royle et al., 2009); however, SC models account for individuals' unknown identities using the spatial pattern of detections (Chandler &amp; Royle, 2013; Sun et al., 2022). SC uses trap-specific counts to estimate the location and number of activity centres to estimate density.\"&gt;Spatial count (SC) model / Unmarked spatial capture-recapture (Chandler &amp; Royle, 2013)&lt;button type=\"button\" class=\"btn btn-bd-tip-info-hidden btn-sm position-relative\"&gt;.&lt;span class=\"position-absolute top-0 start-100 translate-middle\"&gt;{{ icon_info }}&lt;/span&gt;&lt;/button&gt;&lt;/a&gt;"</t>
  </si>
  <si>
    <t xml:space="preserve">    mod_scr_secr_tu_ref: "&lt;a href=\"09_glossary.html#mod_scr_secr\" target=\"_blank\" data-bs-toggle=\"tooltip\" data-bs-title=\"Spatially explicit capture-recapture (SECR) / Spatial capture-recapture (SCR) (Borchers &amp; Efford, 2008; Efford, 2004; Royle &amp; Young, 2008; Royle et al., 2009): The SECR (or SCR) method is used to estimate the 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2022).\"&gt;Spatially explicit capture-recapture (SECR) / Spatial capture-recapture (SCR) (Borchers &amp; Efford, 2008; Efford, 2004; Royle &amp; Young, 2008; Royle et al., 2009)&lt;button type=\"button\" class=\"btn btn-bd-tip-info-hidden btn-sm position-relative\"&gt;.&lt;span class=\"position-absolute top-0 start-100 translate-middle\"&gt;{{ icon_info }}&lt;/span&gt;&lt;/button&gt;&lt;/a&gt;"</t>
  </si>
  <si>
    <t xml:space="preserve">    mod_scr_tu_abrv: "&lt;a href=\"09_glossary.html#mod_scr\" target=\"_blank\" data-bs-toggle=\"tooltip\" data-bs-title=\"Spatially explicit capture-recapture (SECR) / Spatial capture-recapture (SCR) (Borchers &amp; Efford, 2008; Efford, 2004; Royle &amp; Young, 2008; Royle et al., 2009): The SECR (or SCR) method is used to estimate the 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2022).\"&gt;SCR&lt;button type=\"button\" class=\"btn btn-bd-tip-info-hidden btn-sm position-relative\"&gt;.&lt;span class=\"position-absolute top-0 start-100 translate-middle\"&gt;{{ icon_info }}&lt;/span&gt;&lt;/button&gt;&lt;/a&gt;"</t>
  </si>
  <si>
    <t xml:space="preserve">    mod_secr_tl_modtxt: "&lt;a href=\"09_glossary.html#mod_secr\" target=\"_blank\" data-bs-toggle=\"tooltip\" data-bs-title=\"Spatially explicit capture-recapture (SECR) / Spatial capture-recapture (SCR) (Borchers &amp; Efford, 2008; Efford, 2004; Royle &amp; Young, 2008; Royle et al., 2009): The SECR (or SCR) method is used to estimate the 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2022).\"&gt;spatially explicit capture-recapture (SECR) models&lt;button type=\"button\" class=\"btn btn-bd-tip-info-hidden btn-sm position-relative\"&gt;.&lt;span class=\"position-absolute top-0 start-100 translate-middle\"&gt;{{ icon_info }}&lt;/span&gt;&lt;/button&gt;&lt;/a&gt;"</t>
  </si>
  <si>
    <t xml:space="preserve">    mod_secr_tu_abrv: "&lt;a href=\"09_glossary.html#mod_secr\" target=\"_blank\" data-bs-toggle=\"tooltip\" data-bs-title=\"Spatially explicit capture-recapture (SECR) / Spatial capture-recapture (SCR) (Borchers &amp; Efford, 2008; Efford, 2004; Royle &amp; Young, 2008; Royle et al., 2009): The SECR (or SCR) method is used to estimate the 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2022).\"&gt;SECR&lt;button type=\"button\" class=\"btn btn-bd-tip-info-hidden btn-sm position-relative\"&gt;.&lt;span class=\"position-absolute top-0 start-100 translate-middle\"&gt;{{ icon_info }}&lt;/span&gt;&lt;/button&gt;&lt;/a&gt;"</t>
  </si>
  <si>
    <t xml:space="preserve">    mod_smr_tu_abrv: "&lt;a href=\"09_glossary.html#mod_smr\" target=\"_blank\" data-bs-toggle=\"tooltip\" data-bs-title=\"Spatial mark-resight (SMR) (Chandler &amp; Royle, 2013; Sollmann et al., 2013a, 2013b): A method used to estimate the density of 'partially marked populations by combining... [detection] histories of marked [individuals] and counts of unmarked [individuals]' (Doran-Myers, 2018) over several occasions (Sollman et al., 2013a; Rich et al., 2014; Whittington et al., 2018). SMR models can be implemented using different statistical frameworks, including Bayesian estimation (Royle and Young, 2008; Morin et al., 2022).\"&gt;SMR&lt;button type=\"button\" class=\"btn btn-bd-tip-info-hidden btn-sm position-relative\"&gt;.&lt;span class=\"position-absolute top-0 start-100 translate-middle\"&gt;{{ icon_info }}&lt;/span&gt;&lt;/button&gt;&lt;/a&gt;"</t>
  </si>
  <si>
    <t xml:space="preserve">    mod_smr_tu_ref: "&lt;a href=\"09_glossary.html#mod_smr\" target=\"_blank\" data-bs-toggle=\"tooltip\" data-bs-title=\"Spatial mark-resight (SMR) (Chandler &amp; Royle, 2013; Sollmann et al., 2013a, 2013b): A method used to estimate the density of 'partially marked populations by combining... [detection] histories of marked [individuals] and counts of unmarked [individuals]' (Doran-Myers, 2018) over several occasions (Sollman et al., 2013a; Rich et al., 2014; Whittington et al., 2018). SMR models can be implemented using different statistical frameworks, including Bayesian estimation (Royle and Young, 2008; Morin et al., 2022).\"&gt;Spatial mark-resight (SMR) (Chandler &amp; Royle, 2013; Sollmann et al., 2013a, 2013b)&lt;button type=\"button\" class=\"btn btn-bd-tip-info-hidden btn-sm position-relative\"&gt;.&lt;span class=\"position-absolute top-0 start-100 translate-middle\"&gt;{{ icon_info }}&lt;/span&gt;&lt;/button&gt;&lt;/a&gt;"</t>
  </si>
  <si>
    <t xml:space="preserve">    mod_ste_tu_ref: "&lt;a href=\"09_glossary.html#mod_ste\" target=\"_blank\" data-bs-toggle=\"tooltip\" data-bs-title=\"Space-to-event (STE) model (Moeller et al., 2018): A method used to estimate abundance or density that accounts for variable detection probability through the use of time-lapse images and is unaffected by animal movement rates (collapses sampling intervals to an instant in time, and thus estimates are unaffected by animal movement rates) (Moeller et al., 2018).\"&gt;Space-to-event (STE) model (Moeller et al., 2018)&lt;button type=\"button\" class=\"btn btn-bd-tip-info-hidden btn-sm position-relative\"&gt;.&lt;span class=\"position-absolute top-0 start-100 translate-middle\"&gt;{{ icon_info }}&lt;/span&gt;&lt;/button&gt;&lt;/a&gt;"</t>
  </si>
  <si>
    <t xml:space="preserve">    mod_tifc_tu_ref: "&lt;a href=\"09_glossary.html#mod_tifc\" target=\"_blank\" data-bs-toggle=\"tooltip\" data-bs-title=\"Time in front of the camera (TIFC) (Huggard, 2018; Warbington &amp; Boyce, 2020; tested in Becker et al., 2022): A method used to estimate density that treats camera image data as quadrat samples (Becker et al., 2022).\"&gt;Time in front of the camera (TIFC) (Huggard, 2018; Warbington &amp; Boyce, 2020; tested in Becker et al., 2022)&lt;button type=\"button\" class=\"btn btn-bd-tip-info-hidden btn-sm position-relative\"&gt;.&lt;span class=\"position-absolute top-0 start-100 translate-middle\"&gt;{{ icon_info }}&lt;/span&gt;&lt;/button&gt;&lt;/a&gt;"</t>
  </si>
  <si>
    <t xml:space="preserve">    mod_tte_tu_ref: "&lt;a href=\"09_glossary.html#mod_tte\" target=\"_blank\" data-bs-toggle=\"tooltip\" data-bs-title=\"Time-to-event (TTE) model (Moeller et al., 2018): A method used to estimate abundance or density from the detection rate while accounting for animal movement rates (Moeller et al., 2018). The TTE model assumes perfect detection (though there is a model extension to account for imperfect detection that requires further testing).\"&gt;Time-to-event (TTE) model (Moeller et al., 2018)&lt;button type=\"button\" class=\"btn btn-bd-tip-info-hidden btn-sm position-relative\"&gt;.&lt;span class=\"position-absolute top-0 start-100 translate-middle\"&gt;{{ icon_info }}&lt;/span&gt;&lt;/button&gt;&lt;/a&gt;"</t>
  </si>
  <si>
    <t xml:space="preserve">    mod_zero_inflation_tl: "&lt;a href=\"09_glossary.html#mod_zero_inflation\" target=\"_blank\" data-bs-toggle=\"tooltip\" data-bs-title=\"Zero-inflation: An excess of zeros that is 'so large that those expected in standard distributions (e.g., normal, Poisson, binomial, negative binomial and beta)' (Heilbron, 1994) violate the assumptions of such distributions (Martin et al., 2005). Excess zeroes can be a result of ecological effects ('true' zeros) or due to sampling or observer error ('false zeros') (Martin et al., 2005). Excess zeroes contribute to overdispersion, but they don't necessarily account for all excess variability (Blasco-Moreno et al., 2019).\"&gt;zero-inflation&lt;button type=\"button\" class=\"btn btn-bd-tip-info-hidden btn-sm position-relative\"&gt;.&lt;span class=\"position-absolute top-0 start-100 translate-middle\"&gt;{{ icon_info }}&lt;/span&gt;&lt;/button&gt;&lt;/a&gt;"</t>
  </si>
  <si>
    <t xml:space="preserve">    mod_zero_inflation_tu: "&lt;a href=\"09_glossary.html#mod_zero_inflation\" target=\"_blank\" data-bs-toggle=\"tooltip\" data-bs-title=\"Zero-inflation: An excess of zeros that is 'so large that those expected in standard distributions (e.g., normal, Poisson, binomial, negative binomial and beta)' (Heilbron, 1994) violate the assumptions of such distributions (Martin et al., 2005). Excess zeroes can be a result of ecological effects ('true' zeros) or due to sampling or observer error ('false zeros') (Martin et al., 2005). Excess zeroes contribute to overdispersion, but they don't necessarily account for all excess variability (Blasco-Moreno et al., 2019).\"&gt;Zero-inflation&lt;button type=\"button\" class=\"btn btn-bd-tip-info-hidden btn-sm position-relative\"&gt;.&lt;span class=\"position-absolute top-0 start-100 translate-middle\"&gt;{{ icon_info }}&lt;/span&gt;&lt;/button&gt;&lt;/a&gt;"</t>
  </si>
  <si>
    <t xml:space="preserve">    northing_cam_location_tu: "&lt;a href=\"09_glossary.html#northing_cam_location\" target=\"_blank\" data-bs-toggle=\"tooltip\" data-bs-title=\"Northing Camera Location: The northing UTM coordinate of the camera location (e.g., '5962006'). Record using the NAD83 datum. Leave blank if recording the Latitude instead.\"&gt;Northing Camera Location&lt;button type=\"button\" class=\"btn btn-bd-tip-info-hidden btn-sm position-relative\"&gt;.&lt;span class=\"position-absolute top-0 start-100 translate-middle\"&gt;{{ icon_info }}&lt;/span&gt;&lt;/button&gt;&lt;/a&gt;"</t>
  </si>
  <si>
    <t xml:space="preserve">    number_of_images_tu: "&lt;a href=\"09_glossary.html#number_of_images\" target=\"_blank\" data-bs-toggle=\"tooltip\" data-bs-title=\"# Of Images: The number of images on an SD card.\"&gt;# Of Images&lt;button type=\"button\" class=\"btn btn-bd-tip-info-hidden btn-sm position-relative\"&gt;.&lt;span class=\"position-absolute top-0 start-100 translate-middle\"&gt;{{ icon_info }}&lt;/span&gt;&lt;/button&gt;&lt;/a&gt;"</t>
  </si>
  <si>
    <t xml:space="preserve">    obj_abundance_tl_abrv2: "&lt;a href=\"09_glossary.html#obj_abundance\" target=\"_blank\" data-bs-toggle=\"tooltip\" data-bs-title=\"Absolute abundance / Population size: The number of individuals in a population (Wearn &amp; Glover-Kapfer, 2017).\"&gt;abundance&lt;button type=\"button\" class=\"btn btn-bd-tip-info-hidden btn-sm position-relative\"&gt;.&lt;span class=\"position-absolute top-0 start-100 translate-middle\"&gt;{{ icon_info }}&lt;/span&gt;&lt;/button&gt;&lt;/a&gt;"</t>
  </si>
  <si>
    <t xml:space="preserve">    obj_abundance_tl_or: "&lt;a href=\"09_glossary.html#obj_abundance\" target=\"_blank\" data-bs-toggle=\"tooltip\" data-bs-title=\"Absolute abundance / Population size: The number of individuals in a population (Wearn &amp; Glover-Kapfer, 2017).\"&gt;absolute abundance / population size&lt;button type=\"button\" class=\"btn btn-bd-tip-info-hidden btn-sm position-relative\"&gt;.&lt;span class=\"position-absolute top-0 start-100 translate-middle\"&gt;{{ icon_info }}&lt;/span&gt;&lt;/button&gt;&lt;/a&gt;"</t>
  </si>
  <si>
    <t xml:space="preserve">    obj_abundance_tu_abrv: "&lt;a href=\"09_glossary.html#obj_abundance\" target=\"_blank\" data-bs-toggle=\"tooltip\" data-bs-title=\"Absolute abundance / Population size: The number of individuals in a population (Wearn &amp; Glover-Kapfer, 2017).\"&gt;Absolute abundance&lt;button type=\"button\" class=\"btn btn-bd-tip-info-hidden btn-sm position-relative\"&gt;.&lt;span class=\"position-absolute top-0 start-100 translate-middle\"&gt;{{ icon_info }}&lt;/span&gt;&lt;/button&gt;&lt;/a&gt;"</t>
  </si>
  <si>
    <t xml:space="preserve">    obj_abundance_tu_abrv2: "&lt;a href=\"09_glossary.html#obj_abundance\" target=\"_blank\" data-bs-toggle=\"tooltip\" data-bs-title=\"Absolute abundance / Population size: The number of individuals in a population (Wearn &amp; Glover-Kapfer, 2017).\"&gt;Abundance&lt;button type=\"button\" class=\"btn btn-bd-tip-info-hidden btn-sm position-relative\"&gt;.&lt;span class=\"position-absolute top-0 start-100 translate-middle\"&gt;{{ icon_info }}&lt;/span&gt;&lt;/button&gt;&lt;/a&gt;"</t>
  </si>
  <si>
    <t xml:space="preserve">    obj_abundance_tu_or: "&lt;a href=\"09_glossary.html#obj_abundance\" target=\"_blank\" data-bs-toggle=\"tooltip\" data-bs-title=\"Absolute abundance / Population size: The number of individuals in a population (Wearn &amp; Glover-Kapfer, 2017).\"&gt;Absolute abundance / Population size&lt;button type=\"button\" class=\"btn btn-bd-tip-info-hidden btn-sm position-relative\"&gt;.&lt;span class=\"position-absolute top-0 start-100 translate-middle\"&gt;{{ icon_info }}&lt;/span&gt;&lt;/button&gt;&lt;/a&gt;"</t>
  </si>
  <si>
    <t xml:space="preserve">    obj_behaviour_tl: "&lt;a href=\"09_glossary.html#obj_behaviour\" target=\"_blank\" data-bs-toggle=\"tooltip\" data-bs-title=\"Behaviour: behaviour focused objectives vary greatly; they may be qualitative or quantitative (e.g., diel activity patterns, mating, boldness, predation, foraging, activity patterns, vigilance, parental care (Caravaggi et al., 2020; Wearn &amp; Glover-Kapfer, 2017).\"&gt;behaviour&lt;button type=\"button\" class=\"btn btn-bd-tip-info-hidden btn-sm position-relative\"&gt;.&lt;span class=\"position-absolute top-0 start-100 translate-middle\"&gt;{{ icon_info }}&lt;/span&gt;&lt;/button&gt;&lt;/a&gt;"</t>
  </si>
  <si>
    <t xml:space="preserve">    obj_behaviour_tu: "&lt;a href=\"09_glossary.html#obj_behaviour\" target=\"_blank\" data-bs-toggle=\"tooltip\" data-bs-title=\"Behaviour: behaviour focused objectives vary greatly; they may be qualitative or quantitative (e.g., diel activity patterns, mating, boldness, predation, foraging, activity patterns, vigilance, parental care (Caravaggi et al., 2020; Wearn &amp; Glover-Kapfer, 2017).\"&gt;Behaviour&lt;button type=\"button\" class=\"btn btn-bd-tip-info-hidden btn-sm position-relative\"&gt;.&lt;span class=\"position-absolute top-0 start-100 translate-middle\"&gt;{{ icon_info }}&lt;/span&gt;&lt;/button&gt;&lt;/a&gt;"</t>
  </si>
  <si>
    <t xml:space="preserve">    obj_density_tl: "&lt;a href=\"09_glossary.html#obj_density\" target=\"_blank\" data-bs-toggle=\"tooltip\" data-bs-title=\"Density: The number of individuals per unit area (Wearn &amp; Glover-Kapfer, 2017)\"&gt;density&lt;button type=\"button\" class=\"btn btn-bd-tip-info-hidden btn-sm position-relative\"&gt;.&lt;span class=\"position-absolute top-0 start-100 translate-middle\"&gt;{{ icon_info }}&lt;/span&gt;&lt;/button&gt;&lt;/a&gt;"</t>
  </si>
  <si>
    <t xml:space="preserve">    obj_density_tu: "&lt;a href=\"09_glossary.html#obj_density\" target=\"_blank\" data-bs-toggle=\"tooltip\" data-bs-title=\"Density: The number of individuals per unit area (Wearn &amp; Glover-Kapfer, 2017)\"&gt;Density&lt;button type=\"button\" class=\"btn btn-bd-tip-info-hidden btn-sm position-relative\"&gt;.&lt;span class=\"position-absolute top-0 start-100 translate-middle\"&gt;{{ icon_info }}&lt;/span&gt;&lt;/button&gt;&lt;/a&gt;"</t>
  </si>
  <si>
    <t xml:space="preserve">    obj_divers_rich_tl: "&lt;a href=\"09_glossary.html#obj_divers_rich\" target=\"_blank\" data-bs-toggle=\"tooltip\" data-bs-title=\"Species diversity &amp; richness:     - &lt;b&gt;Species diversity&lt;/b&gt;: 'A measure of diversity that incorporates both the number of species in an assemblage and some measure of their relative abundances.' (Gotelli &amp; Chao, 2013)&lt;br&gt;    - &lt;b&gt;Species richness&lt;/b&gt;: 'The total number of species in an assemblage or a sample' (Gotelli &amp; Chao, 2013).\"&gt;species diversity &amp; richness&lt;button type=\"button\" class=\"btn btn-bd-tip-info-hidden btn-sm position-relative\"&gt;.&lt;span class=\"position-absolute top-0 start-100 translate-middle\"&gt;{{ icon_info }}&lt;/span&gt;&lt;/button&gt;&lt;/a&gt;"</t>
  </si>
  <si>
    <t xml:space="preserve">    obj_divers_rich_tu: "&lt;a href=\"09_glossary.html#obj_divers_rich\" target=\"_blank\" data-bs-toggle=\"tooltip\" data-bs-title=\"Species diversity &amp; richness:     - &lt;b&gt;Species diversity&lt;/b&gt;: 'A measure of diversity that incorporates both the number of species in an assemblage and some measure of their relative abundances.' (Gotelli &amp; Chao, 2013)&lt;br&gt;    - &lt;b&gt;Species richness&lt;/b&gt;: 'The total number of species in an assemblage or a sample' (Gotelli &amp; Chao, 2013).\"&gt;Species diversity &amp; richness&lt;button type=\"button\" class=\"btn btn-bd-tip-info-hidden btn-sm position-relative\"&gt;.&lt;span class=\"position-absolute top-0 start-100 translate-middle\"&gt;{{ icon_info }}&lt;/span&gt;&lt;/button&gt;&lt;/a&gt;"</t>
  </si>
  <si>
    <t xml:space="preserve">    obj_inventory_tl: "&lt;a href=\"09_glossary.html#obj_inventory\" target=\"_blank\" data-bs-toggle=\"tooltip\" data-bs-title=\"Species inventory: Rapid assessment surveys used to determine what species are present in a given area at a given point in time; there is no attempt made to quantify aspects of communities or populations (Wearn &amp; Glover-Kapfer, 2017).\"&gt;species inventory&lt;button type=\"button\" class=\"btn btn-bd-tip-info-hidden btn-sm position-relative\"&gt;.&lt;span class=\"position-absolute top-0 start-100 translate-middle\"&gt;{{ icon_info }}&lt;/span&gt;&lt;/button&gt;&lt;/a&gt;"</t>
  </si>
  <si>
    <t xml:space="preserve">    obj_inventory_tu: "&lt;a href=\"09_glossary.html#obj_inventory\" target=\"_blank\" data-bs-toggle=\"tooltip\" data-bs-title=\"Species inventory: Rapid assessment surveys used to determine what species are present in a given area at a given point in time; there is no attempt made to quantify aspects of communities or populations (Wearn &amp; Glover-Kapfer, 2017).\"&gt;Species inventory&lt;button type=\"button\" class=\"btn btn-bd-tip-info-hidden btn-sm position-relative\"&gt;.&lt;span class=\"position-absolute top-0 start-100 translate-middle\"&gt;{{ icon_info }}&lt;/span&gt;&lt;/button&gt;&lt;/a&gt;"</t>
  </si>
  <si>
    <t xml:space="preserve">    obj_occupancy_tl: "&lt;a href=\"09_glossary.html#obj_occupancy\" target=\"_blank\" data-bs-toggle=\"tooltip\" data-bs-title=\"Occupancy: The probability a site is occupied by the species (Mackenzie et al., 2002).\"&gt;occupancy&lt;button type=\"button\" class=\"btn btn-bd-tip-info-hidden btn-sm position-relative\"&gt;.&lt;span class=\"position-absolute top-0 start-100 translate-middle\"&gt;{{ icon_info }}&lt;/span&gt;&lt;/button&gt;&lt;/a&gt;"</t>
  </si>
  <si>
    <t xml:space="preserve">    obj_occupancy_tu: "&lt;a href=\"09_glossary.html#obj_occupancy\" target=\"_blank\" data-bs-toggle=\"tooltip\" data-bs-title=\"Occupancy: The probability a site is occupied by the species (Mackenzie et al., 2002).\"&gt;Occupancy&lt;button type=\"button\" class=\"btn btn-bd-tip-info-hidden btn-sm position-relative\"&gt;.&lt;span class=\"position-absolute top-0 start-100 translate-middle\"&gt;{{ icon_info }}&lt;/span&gt;&lt;/button&gt;&lt;/a&gt;"</t>
  </si>
  <si>
    <t xml:space="preserve">    obj_rel_abund_tl: "&lt;a href=\"09_glossary.html#obj_rel_abund\" target=\"_blank\" data-bs-toggle=\"tooltip\" data-bs-title=\"Relative abundance: The number of animals detected from one camera/area compared to another camera/area.\"&gt;relative abundance&lt;button type=\"button\" class=\"btn btn-bd-tip-info-hidden btn-sm position-relative\"&gt;.&lt;span class=\"position-absolute top-0 start-100 translate-middle\"&gt;{{ icon_info }}&lt;/span&gt;&lt;/button&gt;&lt;/a&gt;"</t>
  </si>
  <si>
    <t xml:space="preserve">    obj_rel_abund_tu: "&lt;a href=\"09_glossary.html#obj_rel_abund\" target=\"_blank\" data-bs-toggle=\"tooltip\" data-bs-title=\"Relative abundance: The number of animals detected from one camera/area compared to another camera/area.\"&gt;Relative abundance&lt;button type=\"button\" class=\"btn btn-bd-tip-info-hidden btn-sm position-relative\"&gt;.&lt;span class=\"position-absolute top-0 start-100 translate-middle\"&gt;{{ icon_info }}&lt;/span&gt;&lt;/button&gt;&lt;/a&gt;"</t>
  </si>
  <si>
    <t xml:space="preserve">    obj_vital_rate_tl: "&lt;a href=\"09_glossary.html#obj_vital_rate\" target=\"_blank\" data-bs-toggle=\"tooltip\" data-bs-title=\"Vital rate: The species-specific factors of a population that, together, play a large role in the population's trend. These include the birth rate, recruitment rate, and probability of survival and mortality.' (NBCKC, 2024a)\"&gt;vital rate&lt;button type=\"button\" class=\"btn btn-bd-tip-info-hidden btn-sm position-relative\"&gt;.&lt;span class=\"position-absolute top-0 start-100 translate-middle\"&gt;{{ icon_info }}&lt;/span&gt;&lt;/button&gt;&lt;/a&gt;"</t>
  </si>
  <si>
    <t xml:space="preserve">    obj_vital_rate_tu: "&lt;a href=\"09_glossary.html#obj_vital_rate\" target=\"_blank\" data-bs-toggle=\"tooltip\" data-bs-title=\"Vital rate: The species-specific factors of a population that, together, play a large role in the population's trend. These include the birth rate, recruitment rate, and probability of survival and mortality.' (NBCKC, 2024a)\"&gt;Vital rate&lt;button type=\"button\" class=\"btn btn-bd-tip-info-hidden btn-sm position-relative\"&gt;.&lt;span class=\"position-absolute top-0 start-100 translate-middle\"&gt;{{ icon_info }}&lt;/span&gt;&lt;/button&gt;&lt;/a&gt;"</t>
  </si>
  <si>
    <t xml:space="preserve">    precision_tl: "&lt;a href=\"09_glossary.html#precision\" target=\"_blank\" data-bs-toggle=\"tooltip\" data-bs-title=\"Precision: Uncertainty in estimates (Hammond et al., 2021)' (Clarke et al., 2023).\"&gt;precision&lt;button type=\"button\" class=\"btn btn-bd-tip-info-hidden btn-sm position-relative\"&gt;.&lt;span class=\"position-absolute top-0 start-100 translate-middle\"&gt;{{ icon_info }}&lt;/span&gt;&lt;/button&gt;&lt;/a&gt;"</t>
  </si>
  <si>
    <t xml:space="preserve">    precision_tl_abrv: "&lt;a href=\"09_glossary.html#precision\" target=\"_blank\" data-bs-toggle=\"tooltip\" data-bs-title=\"Precision: Uncertainty in estimates (Hammond et al., 2021)' (Clarke et al., 2023).\"&gt;precise&lt;button type=\"button\" class=\"btn btn-bd-tip-info-hidden btn-sm position-relative\"&gt;.&lt;span class=\"position-absolute top-0 start-100 translate-middle\"&gt;{{ icon_info }}&lt;/span&gt;&lt;/button&gt;&lt;/a&gt;"</t>
  </si>
  <si>
    <t xml:space="preserve">    precision_tl_op: "&lt;a href=\"09_glossary.html#precision\" target=\"_blank\" data-bs-toggle=\"tooltip\" data-bs-title=\"Precision: Uncertainty in estimates (Hammond et al., 2021)' (Clarke et al., 2023).\"&gt;imprecise&lt;button type=\"button\" class=\"btn btn-bd-tip-info-hidden btn-sm position-relative\"&gt;.&lt;span class=\"position-absolute top-0 start-100 translate-middle\"&gt;{{ icon_info }}&lt;/span&gt;&lt;/button&gt;&lt;/a&gt;"</t>
  </si>
  <si>
    <t xml:space="preserve">    precision_tu: "&lt;a href=\"09_glossary.html#precision\" target=\"_blank\" data-bs-toggle=\"tooltip\" data-bs-title=\"Precision: Uncertainty in estimates (Hammond et al., 2021)' (Clarke et al., 2023).\"&gt;Precision&lt;button type=\"button\" class=\"btn btn-bd-tip-info-hidden btn-sm position-relative\"&gt;.&lt;span class=\"position-absolute top-0 start-100 translate-middle\"&gt;{{ icon_info }}&lt;/span&gt;&lt;/button&gt;&lt;/a&gt;"</t>
  </si>
  <si>
    <t xml:space="preserve">    precision_tu_abrv: "&lt;a href=\"09_glossary.html#precision\" target=\"_blank\" data-bs-toggle=\"tooltip\" data-bs-title=\"Precision: Uncertainty in estimates (Hammond et al., 2021)' (Clarke et al., 2023).\"&gt;Precise&lt;button type=\"button\" class=\"btn btn-bd-tip-info-hidden btn-sm position-relative\"&gt;.&lt;span class=\"position-absolute top-0 start-100 translate-middle\"&gt;{{ icon_info }}&lt;/span&gt;&lt;/button&gt;&lt;/a&gt;"</t>
  </si>
  <si>
    <t xml:space="preserve">    precision_tu_op: "&lt;a href=\"09_glossary.html#precision\" target=\"_blank\" data-bs-toggle=\"tooltip\" data-bs-title=\"Precision: Uncertainty in estimates (Hammond et al., 2021)' (Clarke et al., 2023).\"&gt;Imprecise&lt;button type=\"button\" class=\"btn btn-bd-tip-info-hidden btn-sm position-relative\"&gt;.&lt;span class=\"position-absolute top-0 start-100 translate-middle\"&gt;{{ icon_info }}&lt;/span&gt;&lt;/button&gt;&lt;/a&gt;"</t>
  </si>
  <si>
    <t xml:space="preserve">    project_coordinator_email_tu: "&lt;a href=\"09_glossary.html#project_coordinator_email\" target=\"_blank\" data-bs-toggle=\"tooltip\" data-bs-title=\"Project Coordinator Email: The email address of the Project Coordinator.\"&gt;Project Coordinator Email&lt;button type=\"button\" class=\"btn btn-bd-tip-info-hidden btn-sm position-relative\"&gt;.&lt;span class=\"position-absolute top-0 start-100 translate-middle\"&gt;{{ icon_info }}&lt;/span&gt;&lt;/button&gt;&lt;/a&gt;"</t>
  </si>
  <si>
    <t xml:space="preserve">    project_coordinator_tu: "&lt;a href=\"09_glossary.html#project_coordinator\" target=\"_blank\" data-bs-toggle=\"tooltip\" data-bs-title=\"Project Coordinator: The first and last name of the primary contact for the project.\"&gt;Project Coordinator&lt;button type=\"button\" class=\"btn btn-bd-tip-info-hidden btn-sm position-relative\"&gt;.&lt;span class=\"position-absolute top-0 start-100 translate-middle\"&gt;{{ icon_info }}&lt;/span&gt;&lt;/button&gt;&lt;/a&gt;"</t>
  </si>
  <si>
    <t xml:space="preserve">    project_description_tu: "&lt;a href=\"09_glossary.html#project_description\" target=\"_blank\" data-bs-toggle=\"tooltip\" data-bs-title=\"Project Description: A description of the project objective(s) and general methods.\"&gt;Project Description&lt;button type=\"button\" class=\"btn btn-bd-tip-info-hidden btn-sm position-relative\"&gt;.&lt;span class=\"position-absolute top-0 start-100 translate-middle\"&gt;{{ icon_info }}&lt;/span&gt;&lt;/button&gt;&lt;/a&gt;"</t>
  </si>
  <si>
    <t xml:space="preserve">    project_name_tu: "&lt;a href=\"09_glossary.html#project_name\" target=\"_blank\" data-bs-toggle=\"tooltip\" data-bs-title=\"Project Name: A unique alphanumeric identifier for each project. Ideally, the Project Name should include an abbreviation for the organization, a brief project name, and the year the project began (e.g., 'uofa_oilsands_2018').\"&gt;Project Name&lt;button type=\"button\" class=\"btn btn-bd-tip-info-hidden btn-sm position-relative\"&gt;.&lt;span class=\"position-absolute top-0 start-100 translate-middle\"&gt;{{ icon_info }}&lt;/span&gt;&lt;/button&gt;&lt;/a&gt;"</t>
  </si>
  <si>
    <t xml:space="preserve">    project_tl: "&lt;a href=\"09_glossary.html#project\" target=\"_blank\" data-bs-toggle=\"tooltip\" data-bs-title=\"Project: A scientific study, inventory or monitoring program that has a certain objective, defined methods, and a defined boundary in space and time (recorded as 'Project Name').\"&gt;project&lt;button type=\"button\" class=\"btn btn-bd-tip-info-hidden btn-sm position-relative\"&gt;.&lt;span class=\"position-absolute top-0 start-100 translate-middle\"&gt;{{ icon_info }}&lt;/span&gt;&lt;/button&gt;&lt;/a&gt;"</t>
  </si>
  <si>
    <t xml:space="preserve">    project_tl_pl: "&lt;a href=\"09_glossary.html#project\" target=\"_blank\" data-bs-toggle=\"tooltip\" data-bs-title=\"Project: A scientific study, inventory or monitoring program that has a certain objective, defined methods, and a defined boundary in space and time (recorded as 'Project Name').\"&gt;projects&lt;button type=\"button\" class=\"btn btn-bd-tip-info-hidden btn-sm position-relative\"&gt;.&lt;span class=\"position-absolute top-0 start-100 translate-middle\"&gt;{{ icon_info }}&lt;/span&gt;&lt;/button&gt;&lt;/a&gt;"</t>
  </si>
  <si>
    <t xml:space="preserve">    project_tu: "&lt;a href=\"09_glossary.html#project\" target=\"_blank\" data-bs-toggle=\"tooltip\" data-bs-title=\"Project: A scientific study, inventory or monitoring program that has a certain objective, defined methods, and a defined boundary in space and time (recorded as 'Project Name').\"&gt;Project&lt;button type=\"button\" class=\"btn btn-bd-tip-info-hidden btn-sm position-relative\"&gt;.&lt;span class=\"position-absolute top-0 start-100 translate-middle\"&gt;{{ icon_info }}&lt;/span&gt;&lt;/button&gt;&lt;/a&gt;"</t>
  </si>
  <si>
    <t xml:space="preserve">    project_tu_pl: "&lt;a href=\"09_glossary.html#project\" target=\"_blank\" data-bs-toggle=\"tooltip\" data-bs-title=\"Project: A scientific study, inventory or monitoring program that has a certain objective, defined methods, and a defined boundary in space and time (recorded as 'Project Name').\"&gt;Projects&lt;button type=\"button\" class=\"btn btn-bd-tip-info-hidden btn-sm position-relative\"&gt;.&lt;span class=\"position-absolute top-0 start-100 translate-middle\"&gt;{{ icon_info }}&lt;/span&gt;&lt;/button&gt;&lt;/a&gt;"</t>
  </si>
  <si>
    <t xml:space="preserve">    pseudoreplication_tl: "&lt;a href=\"09_glossary.html#pseudoreplication\" target=\"_blank\" data-bs-toggle=\"tooltip\" data-bs-title=\"Pseudoreplication: When observations are not statistically independent (spatially or temporally) but are treated as if they are independent.\"&gt;pseudoreplication&lt;button type=\"button\" class=\"btn btn-bd-tip-info-hidden btn-sm position-relative\"&gt;.&lt;span class=\"position-absolute top-0 start-100 translate-middle\"&gt;{{ icon_info }}&lt;/span&gt;&lt;/button&gt;&lt;/a&gt;"</t>
  </si>
  <si>
    <t xml:space="preserve">    pseudoreplication_tu: "&lt;a href=\"09_glossary.html#pseudoreplication\" target=\"_blank\" data-bs-toggle=\"tooltip\" data-bs-title=\"Pseudoreplication: When observations are not statistically independent (spatially or temporally) but are treated as if they are independent.\"&gt;Pseudoreplication&lt;button type=\"button\" class=\"btn btn-bd-tip-info-hidden btn-sm position-relative\"&gt;.&lt;span class=\"position-absolute top-0 start-100 translate-middle\"&gt;{{ icon_info }}&lt;/span&gt;&lt;/button&gt;&lt;/a&gt;"</t>
  </si>
  <si>
    <t xml:space="preserve">    purpose_of_visit_tu: "&lt;a href=\"09_glossary.html#purpose_of_visit\" target=\"_blank\" data-bs-toggle=\"tooltip\" data-bs-title=\"Purpose of Visit: The reason for visiting the camera location (i.e. to deploy the camera ['Deployment'], retrieve the camera ['Retrieve'] or to change batteries*/SD card or replace the camera ['Service']).\"&gt;Purpose of Visit&lt;button type=\"button\" class=\"btn btn-bd-tip-info-hidden btn-sm position-relative\"&gt;.&lt;span class=\"position-absolute top-0 start-100 translate-middle\"&gt;{{ icon_info }}&lt;/span&gt;&lt;/button&gt;&lt;/a&gt;"</t>
  </si>
  <si>
    <t xml:space="preserve">    rarefaction_tl: "&lt;a href=\"09_glossary.html#rarefaction\" target=\"_blank\" data-bs-toggle=\"tooltip\" data-bs-title=\"A statistical interpolation method of rarefying or thinning a reference sample by drawing random subsets of individuals (or samples) in order to standardize the comparison of biological diversity on the basis of a common number of individuals or samples' (Gotelli &amp; Chao, 2013)\"&gt;rarefaction&lt;button type=\"button\" class=\"btn btn-bd-tip-info-hidden btn-sm position-relative\"&gt;.&lt;span class=\"position-absolute top-0 start-100 translate-middle\"&gt;{{ icon_info }}&lt;/span&gt;&lt;/button&gt;&lt;/a&gt;"</t>
  </si>
  <si>
    <t xml:space="preserve">    rarefaction_tu: "&lt;a href=\"09_glossary.html#rarefaction\" target=\"_blank\" data-bs-toggle=\"tooltip\" data-bs-title=\"A statistical interpolation method of rarefying or thinning a reference sample by drawing random subsets of individuals (or samples) in order to standardize the comparison of biological diversity on the basis of a common number of individuals or samples' (Gotelli &amp; Chao, 2013)\"&gt;Rarefaction&lt;button type=\"button\" class=\"btn btn-bd-tip-info-hidden btn-sm position-relative\"&gt;.&lt;span class=\"position-absolute top-0 start-100 translate-middle\"&gt;{{ icon_info }}&lt;/span&gt;&lt;/button&gt;&lt;/a&gt;"</t>
  </si>
  <si>
    <t xml:space="preserve">    recovery_time_tl: "&lt;a href=\"09_glossary.html#recovery_time\" target=\"_blank\" data-bs-toggle=\"tooltip\" data-bs-title=\"Recovery time: The time necessary for the camera to prepare to capture the next photo after the previous one has been recorded (Trolliet et al., 2014).\"&gt;recovery time&lt;button type=\"button\" class=\"btn btn-bd-tip-info-hidden btn-sm position-relative\"&gt;.&lt;span class=\"position-absolute top-0 start-100 translate-middle\"&gt;{{ icon_info }}&lt;/span&gt;&lt;/button&gt;&lt;/a&gt;"</t>
  </si>
  <si>
    <t xml:space="preserve">    recovery_time_tu: "&lt;a href=\"09_glossary.html#recovery_time\" target=\"_blank\" data-bs-toggle=\"tooltip\" data-bs-title=\"Recovery time: The time necessary for the camera to prepare to capture the next photo after the previous one has been recorded (Trolliet et al., 2014).\"&gt;Recovery time&lt;button type=\"button\" class=\"btn btn-bd-tip-info-hidden btn-sm position-relative\"&gt;.&lt;span class=\"position-absolute top-0 start-100 translate-middle\"&gt;{{ icon_info }}&lt;/span&gt;&lt;/button&gt;&lt;/a&gt;"</t>
  </si>
  <si>
    <t xml:space="preserve">    remaining_battery_percent_tu_u: "&lt;a href=\"09_glossary.html#remaining_battery_percent\" target=\"_blank\" data-bs-toggle=\"tooltip\" data-bs-title=\"Remaining Battery (%): The remaining battery power (%) of batteries within a camera.\"&gt;Remaining Battery (%)&lt;button type=\"button\" class=\"btn btn-bd-tip-info-hidden btn-sm position-relative\"&gt;.&lt;span class=\"position-absolute top-0 start-100 translate-middle\"&gt;{{ icon_info }}&lt;/span&gt;&lt;/button&gt;&lt;/a&gt;"</t>
  </si>
  <si>
    <t xml:space="preserve">    sample_station_name_tu: "&lt;a href=\"09_glossary.html#sample_station_name\" target=\"_blank\" data-bs-toggle=\"tooltip\" data-bs-title=\"Sample Station Name: A sequential alphanumeric identifier for each grouping of two more non-independent camera locations (when cameras are deployed in clusters, pairs, or arrays; e.g., 'ss1' in 'ss1_bh1,' 'ss1_bh2,' 'ss1_bh3' etc.). Leave blank if not applicable.\"&gt;Sample Station Name&lt;button type=\"button\" class=\"btn btn-bd-tip-info-hidden btn-sm position-relative\"&gt;.&lt;span class=\"position-absolute top-0 start-100 translate-middle\"&gt;{{ icon_info }}&lt;/span&gt;&lt;/button&gt;&lt;/a&gt;"</t>
  </si>
  <si>
    <t xml:space="preserve">    sample_station_tl: "&lt;a href=\"09_glossary.html#sample_station\" target=\"_blank\" data-bs-toggle=\"tooltip\" data-bs-title=\"Sample station: A grouping of two or more non-independent camera locations, such as when cameras are clustered or paired (recorded as 'Sample Station Name').\"&gt;sample station&lt;button type=\"button\" class=\"btn btn-bd-tip-info-hidden btn-sm position-relative\"&gt;.&lt;span class=\"position-absolute top-0 start-100 translate-middle\"&gt;{{ icon_info }}&lt;/span&gt;&lt;/button&gt;&lt;/a&gt;"</t>
  </si>
  <si>
    <t xml:space="preserve">    sample_station_tl_pl: "&lt;a href=\"09_glossary.html#sample_station\" target=\"_blank\" data-bs-toggle=\"tooltip\" data-bs-title=\"Sample station: A grouping of two or more non-independent camera locations, such as when cameras are clustered or paired (recorded as 'Sample Station Name').\"&gt;sample stations&lt;button type=\"button\" class=\"btn btn-bd-tip-info-hidden btn-sm position-relative\"&gt;.&lt;span class=\"position-absolute top-0 start-100 translate-middle\"&gt;{{ icon_info }}&lt;/span&gt;&lt;/button&gt;&lt;/a&gt;"</t>
  </si>
  <si>
    <t xml:space="preserve">    sample_station_tu: "&lt;a href=\"09_glossary.html#sample_station\" target=\"_blank\" data-bs-toggle=\"tooltip\" data-bs-title=\"Sample station: A grouping of two or more non-independent camera locations, such as when cameras are clustered or paired (recorded as 'Sample Station Name').\"&gt;Sample station&lt;button type=\"button\" class=\"btn btn-bd-tip-info-hidden btn-sm position-relative\"&gt;.&lt;span class=\"position-absolute top-0 start-100 translate-middle\"&gt;{{ icon_info }}&lt;/span&gt;&lt;/button&gt;&lt;/a&gt;"</t>
  </si>
  <si>
    <t xml:space="preserve">    sample_station_tu_pl: "&lt;a href=\"09_glossary.html#sample_station\" target=\"_blank\" data-bs-toggle=\"tooltip\" data-bs-title=\"Sample station: A grouping of two or more non-independent camera locations, such as when cameras are clustered or paired (recorded as 'Sample Station Name').\"&gt;Sample stations&lt;button type=\"button\" class=\"btn btn-bd-tip-info-hidden btn-sm position-relative\"&gt;.&lt;span class=\"position-absolute top-0 start-100 translate-middle\"&gt;{{ icon_info }}&lt;/span&gt;&lt;/button&gt;&lt;/a&gt;"</t>
  </si>
  <si>
    <t xml:space="preserve">    sampledesign_clustered_tl: "&lt;a href=\"09_glossary.html#sampledesign_clustered\" target=\"_blank\" data-bs-toggle=\"tooltip\" data-bs-title=\"Clustered design: Multiple cameras are deployed at a sample station (Figure 3d). A clustered design can be used within a systematic or stratified approach (i.e., systematic clustered design or as a clustered random design [Wearn &amp; Glover-Kapfer, 2017]).\"&gt;clustered design&lt;button type=\"button\" class=\"btn btn-bd-tip-info-hidden btn-sm position-relative\"&gt;.&lt;span class=\"position-absolute top-0 start-100 translate-middle\"&gt;{{ icon_info }}&lt;/span&gt;&lt;/button&gt;&lt;/a&gt;"</t>
  </si>
  <si>
    <t xml:space="preserve">    sampledesign_clustered_tu: "&lt;a href=\"09_glossary.html#sampledesign_clustered\" target=\"_blank\" data-bs-toggle=\"tooltip\" data-bs-title=\"Clustered design: Multiple cameras are deployed at a sample station (Figure 3d). A clustered design can be used within a systematic or stratified approach (i.e., systematic clustered design or as a clustered random design [Wearn &amp; Glover-Kapfer, 2017]).\"&gt;Clustered design&lt;button type=\"button\" class=\"btn btn-bd-tip-info-hidden btn-sm position-relative\"&gt;.&lt;span class=\"position-absolute top-0 start-100 translate-middle\"&gt;{{ icon_info }}&lt;/span&gt;&lt;/button&gt;&lt;/a&gt;"</t>
  </si>
  <si>
    <t xml:space="preserve">    sampledesign_convenience_tl: "&lt;a href=\"09_glossary.html#sampledesign_convenience\" target=\"_blank\" data-bs-toggle=\"tooltip\" data-bs-title=\"Convenience design: Camera locations or sample stations are chosen based on logistic considerations (e.g., remoteness, access constraints, and*/or costs).\"&gt;convenience design&lt;button type=\"button\" class=\"btn btn-bd-tip-info-hidden btn-sm position-relative\"&gt;.&lt;span class=\"position-absolute top-0 start-100 translate-middle\"&gt;{{ icon_info }}&lt;/span&gt;&lt;/button&gt;&lt;/a&gt;"</t>
  </si>
  <si>
    <t xml:space="preserve">    sampledesign_convenience_tu: "&lt;a href=\"09_glossary.html#sampledesign_convenience\" target=\"_blank\" data-bs-toggle=\"tooltip\" data-bs-title=\"Convenience design: Camera locations or sample stations are chosen based on logistic considerations (e.g., remoteness, access constraints, and*/or costs).\"&gt;Convenience design&lt;button type=\"button\" class=\"btn btn-bd-tip-info-hidden btn-sm position-relative\"&gt;.&lt;span class=\"position-absolute top-0 start-100 translate-middle\"&gt;{{ icon_info }}&lt;/span&gt;&lt;/button&gt;&lt;/a&gt;"</t>
  </si>
  <si>
    <t xml:space="preserve">    sampledesign_paired_tl: "&lt;a href=\"09_glossary.html#sampledesign_paired\" target=\"_blank\" data-bs-toggle=\"tooltip\" data-bs-title=\"Paired design: 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systematic).\"&gt;paired design&lt;button type=\"button\" class=\"btn btn-bd-tip-info-hidden btn-sm position-relative\"&gt;.&lt;span class=\"position-absolute top-0 start-100 translate-middle\"&gt;{{ icon_info }}&lt;/span&gt;&lt;/button&gt;&lt;/a&gt;"</t>
  </si>
  <si>
    <t xml:space="preserve">    sampledesign_paired_tl_abrv: "&lt;a href=\"09_glossary.html#sampledesign_paired\" target=\"_blank\" data-bs-toggle=\"tooltip\" data-bs-title=\"Paired design: 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systematic).\"&gt;paired&lt;button type=\"button\" class=\"btn btn-bd-tip-info-hidden btn-sm position-relative\"&gt;.&lt;span class=\"position-absolute top-0 start-100 translate-middle\"&gt;{{ icon_info }}&lt;/span&gt;&lt;/button&gt;&lt;/a&gt;"</t>
  </si>
  <si>
    <t xml:space="preserve">    sampledesign_paired_tu: "&lt;a href=\"09_glossary.html#sampledesign_paired\" target=\"_blank\" data-bs-toggle=\"tooltip\" data-bs-title=\"Paired design: 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systematic).\"&gt;Paired design&lt;button type=\"button\" class=\"btn btn-bd-tip-info-hidden btn-sm position-relative\"&gt;.&lt;span class=\"position-absolute top-0 start-100 translate-middle\"&gt;{{ icon_info }}&lt;/span&gt;&lt;/button&gt;&lt;/a&gt;"</t>
  </si>
  <si>
    <t xml:space="preserve">    sampledesign_paired_tu_abrv: "&lt;a href=\"09_glossary.html#sampledesign_paired\" target=\"_blank\" data-bs-toggle=\"tooltip\" data-bs-title=\"Paired design: 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systematic).\"&gt;Paired&lt;button type=\"button\" class=\"btn btn-bd-tip-info-hidden btn-sm position-relative\"&gt;.&lt;span class=\"position-absolute top-0 start-100 translate-middle\"&gt;{{ icon_info }}&lt;/span&gt;&lt;/button&gt;&lt;/a&gt;"</t>
  </si>
  <si>
    <t xml:space="preserve">    sampledesign_random_tl_abrv: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 design&lt;button type=\"button\" class=\"btn btn-bd-tip-info-hidden btn-sm position-relative\"&gt;.&lt;span class=\"position-absolute top-0 start-100 translate-middle\"&gt;{{ icon_info }}&lt;/span&gt;&lt;/button&gt;&lt;/a&gt;"</t>
  </si>
  <si>
    <t xml:space="preserve">    sampledesign_random_tl_abrv2: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stations).\"&gt;random&lt;button type=\"button\" class=\"btn btn-bd-tip-info-hidden btn-sm position-relative\"&gt;.&lt;span class=\"position-absolute top-0 start-100 translate-middle\"&gt;{{ icon_info }}&lt;/span&gt;&lt;/button&gt;&lt;/a&gt;"</t>
  </si>
  <si>
    <t xml:space="preserve">    sampledesign_random_tl_mod: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stations).\"&gt;randomly placed&lt;button type=\"button\" class=\"btn btn-bd-tip-info-hidden btn-sm position-relative\"&gt;.&lt;span class=\"position-absolute top-0 start-100 translate-middle\"&gt;{{ icon_info }}&lt;/span&gt;&lt;/button&gt;&lt;/a&gt;"</t>
  </si>
  <si>
    <t xml:space="preserve">    sampledesign_random_tl_nu: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 design&lt;button type=\"button\" class=\"btn btn-bd-tip-info-hidden btn-sm position-relative\"&gt;.&lt;span class=\"position-absolute top-0 start-100 translate-middle\"&gt;{{ icon_info }}&lt;/span&gt;&lt;/button&gt;&lt;/a&gt;"</t>
  </si>
  <si>
    <t xml:space="preserve">    sampledesign_random_tl_or: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 (or 'simple random') design&lt;button type=\"button\" class=\"btn btn-bd-tip-info-hidden btn-sm position-relative\"&gt;.&lt;span class=\"position-absolute top-0 start-100 translate-middle\"&gt;{{ icon_info }}&lt;/span&gt;&lt;/button&gt;&lt;/a&gt;"</t>
  </si>
  <si>
    <t xml:space="preserve">    sampledesign_random_tu_abrv: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stations).\"&gt;Random&lt;button type=\"button\" class=\"btn btn-bd-tip-info-hidden btn-sm position-relative\"&gt;.&lt;span class=\"position-absolute top-0 start-100 translate-middle\"&gt;{{ icon_info }}&lt;/span&gt;&lt;/button&gt;&lt;/a&gt;"</t>
  </si>
  <si>
    <t xml:space="preserve">    sampledesign_random_tu_nu: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 design&lt;button type=\"button\" class=\"btn btn-bd-tip-info-hidden btn-sm position-relative\"&gt;.&lt;span class=\"position-absolute top-0 start-100 translate-middle\"&gt;{{ icon_info }}&lt;/span&gt;&lt;/button&gt;&lt;/a&gt;"</t>
  </si>
  <si>
    <t xml:space="preserve">    sampledesign_random_tu_or: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 (or 'simple random') design&lt;button type=\"button\" class=\"btn btn-bd-tip-info-hidden btn-sm position-relative\"&gt;.&lt;span class=\"position-absolute top-0 start-100 translate-middle\"&gt;{{ icon_info }}&lt;/span&gt;&lt;/button&gt;&lt;/a&gt;"</t>
  </si>
  <si>
    <t xml:space="preserve">    sampledesign_stratified_random_tl: "&lt;a href=\"09_glossary.html#sampledesign_stratified_random\" target=\"_blank\" data-bs-toggle=\"tooltip\" data-bs-title=\"Stratified random design : The area of interest is divided into smaller strata (e.g., habitat type, disturbance levels), and then a proportional random sample of sites is selected within each stratum (e.g., 15%, 35% and 50% of sites within high, medium and low disturbance strata).\"&gt;stratified random design &lt;button type=\"button\" class=\"btn btn-bd-tip-info-hidden btn-sm position-relative\"&gt;.&lt;span class=\"position-absolute top-0 start-100 translate-middle\"&gt;{{ icon_info }}&lt;/span&gt;&lt;/button&gt;&lt;/a&gt;"</t>
  </si>
  <si>
    <t xml:space="preserve">    sampledesign_stratified_random_tl_abrv: "&lt;a href=\"09_glossary.html#sampledesign_stratified_random\" target=\"_blank\" data-bs-toggle=\"tooltip\" data-bs-title=\"Stratified random design : The area of interest is divided into smaller strata (e.g., habitat type, disturbance levels), and then a proportional random sample of sites is selected within each stratum (e.g., 15%, 35% and 50% of sites within high, medium and low disturbance strata).\"&gt;stratified random&lt;button type=\"button\" class=\"btn btn-bd-tip-info-hidden btn-sm position-relative\"&gt;.&lt;span class=\"position-absolute top-0 start-100 translate-middle\"&gt;{{ icon_info }}&lt;/span&gt;&lt;/button&gt;&lt;/a&gt;"</t>
  </si>
  <si>
    <t xml:space="preserve">    sampledesign_stratified_random_tu: "&lt;a href=\"09_glossary.html#sampledesign_stratified_random\" target=\"_blank\" data-bs-toggle=\"tooltip\" data-bs-title=\"Stratified random design : The area of interest is divided into smaller strata (e.g., habitat type, disturbance levels), and then a proportional random sample of sites is selected within each stratum (e.g., 15%, 35% and 50% of sites within high, medium and low disturbance strata).\"&gt;Stratified random design &lt;button type=\"button\" class=\"btn btn-bd-tip-info-hidden btn-sm position-relative\"&gt;.&lt;span class=\"position-absolute top-0 start-100 translate-middle\"&gt;{{ icon_info }}&lt;/span&gt;&lt;/button&gt;&lt;/a&gt;"</t>
  </si>
  <si>
    <t xml:space="preserve">    sampledesign_stratified_random_tu_abrv: "&lt;a href=\"09_glossary.html#sampledesign_stratified_random\" target=\"_blank\" data-bs-toggle=\"tooltip\" data-bs-title=\"Stratified random design : The area of interest is divided into smaller strata (e.g., habitat type, disturbance levels), and then a proportional random sample of sites is selected within each stratum (e.g., 15%, 35% and 50% of sites within high, medium and low disturbance strata).\"&gt;Stratified random&lt;button type=\"button\" class=\"btn btn-bd-tip-info-hidden btn-sm position-relative\"&gt;.&lt;span class=\"position-absolute top-0 start-100 translate-middle\"&gt;{{ icon_info }}&lt;/span&gt;&lt;/button&gt;&lt;/a&gt;"</t>
  </si>
  <si>
    <t xml:space="preserve">    sampledesign_stratified_tl: "&lt;a href=\"09_glossary.html#sampledesign_stratified\" target=\"_blank\" data-bs-toggle=\"tooltip\" data-bs-title=\"Stratified design: The area of interest is divided into smaller strata (e.g., habitat type, disturbance levels), and cameras are placed within each stratum (e.g., 15%, 35% and 50% of sites within high, medium, and low disturbance strata).\"&gt;stratified design&lt;button type=\"button\" class=\"btn btn-bd-tip-info-hidden btn-sm position-relative\"&gt;.&lt;span class=\"position-absolute top-0 start-100 translate-middle\"&gt;{{ icon_info }}&lt;/span&gt;&lt;/button&gt;&lt;/a&gt;"</t>
  </si>
  <si>
    <t xml:space="preserve">    sampledesign_stratified_tl_abrv: "&lt;a href=\"09_glossary.html#sampledesign_stratified\" target=\"_blank\" data-bs-toggle=\"tooltip\" data-bs-title=\"Stratified design: The area of interest is divided into smaller strata (e.g., habitat type, disturbance levels), and cameras are placed within each stratum (e.g., 15%, 35% and 50% of sites within high, medium, and low disturbance strata).\"&gt;stratified&lt;button type=\"button\" class=\"btn btn-bd-tip-info-hidden btn-sm position-relative\"&gt;.&lt;span class=\"position-absolute top-0 start-100 translate-middle\"&gt;{{ icon_info }}&lt;/span&gt;&lt;/button&gt;&lt;/a&gt;"</t>
  </si>
  <si>
    <t xml:space="preserve">    sampledesign_stratified_tu: "&lt;a href=\"09_glossary.html#sampledesign_stratified\" target=\"_blank\" data-bs-toggle=\"tooltip\" data-bs-title=\"Stratified design: The area of interest is divided into smaller strata (e.g., habitat type, disturbance levels), and cameras are placed within each stratum (e.g., 15%, 35% and 50% of sites within high, medium, and low disturbance strata).\"&gt;Stratified design&lt;button type=\"button\" class=\"btn btn-bd-tip-info-hidden btn-sm position-relative\"&gt;.&lt;span class=\"position-absolute top-0 start-100 translate-middle\"&gt;{{ icon_info }}&lt;/span&gt;&lt;/button&gt;&lt;/a&gt;"</t>
  </si>
  <si>
    <t xml:space="preserve">    sampledesign_stratified_tu_abrv: "&lt;a href=\"09_glossary.html#sampledesign_stratified\" target=\"_blank\" data-bs-toggle=\"tooltip\" data-bs-title=\"Stratified design: The area of interest is divided into smaller strata (e.g., habitat type, disturbance levels), and cameras are placed within each stratum (e.g., 15%, 35% and 50% of sites within high, medium, and low disturbance strata).\"&gt;Stratified&lt;button type=\"button\" class=\"btn btn-bd-tip-info-hidden btn-sm position-relative\"&gt;.&lt;span class=\"position-absolute top-0 start-100 translate-middle\"&gt;{{ icon_info }}&lt;/span&gt;&lt;/button&gt;&lt;/a&gt;"</t>
  </si>
  <si>
    <t xml:space="preserve">    sampledesign_systematic_random_tl: "&lt;a href=\"09_glossary.html#sampledesign_systematic_random\" target=\"_blank\" data-bs-toggle=\"tooltip\" data-bs-title=\"Systematic random design: Camera locations are selected using a two-stage approach. Firstly, girds are selected systematically (to occur within a regular pattern) across the study area. The location of the camera within each grid is then selected randomly.\"&gt;systematic random design&lt;button type=\"button\" class=\"btn btn-bd-tip-info-hidden btn-sm position-relative\"&gt;.&lt;span class=\"position-absolute top-0 start-100 translate-middle\"&gt;{{ icon_info }}&lt;/span&gt;&lt;/button&gt;&lt;/a&gt;"</t>
  </si>
  <si>
    <t xml:space="preserve">    sampledesign_systematic_random_tl_abrv: "&lt;a href=\"09_glossary.html#sampledesign_systematic_random\" target=\"_blank\" data-bs-toggle=\"tooltip\" data-bs-title=\"Systematic random design: Camera locations are selected using a two-stage approach. Firstly, girds are selected systematically (to occur within a regular pattern) across the study area. The location of the camera within each grid is then selected randomly.\"&gt;systematic random&lt;button type=\"button\" class=\"btn btn-bd-tip-info-hidden btn-sm position-relative\"&gt;.&lt;span class=\"position-absolute top-0 start-100 translate-middle\"&gt;{{ icon_info }}&lt;/span&gt;&lt;/button&gt;&lt;/a&gt;"</t>
  </si>
  <si>
    <t xml:space="preserve">    sampledesign_systematic_random_tu: "&lt;a href=\"09_glossary.html#sampledesign_systematic_random\" target=\"_blank\" data-bs-toggle=\"tooltip\" data-bs-title=\"Systematic random design: Camera locations are selected using a two-stage approach. Firstly, girds are selected systematically (to occur within a regular pattern) across the study area. The location of the camera within each grid is then selected randomly.\"&gt;Systematic random design&lt;button type=\"button\" class=\"btn btn-bd-tip-info-hidden btn-sm position-relative\"&gt;.&lt;span class=\"position-absolute top-0 start-100 translate-middle\"&gt;{{ icon_info }}&lt;/span&gt;&lt;/button&gt;&lt;/a&gt;"</t>
  </si>
  <si>
    <t xml:space="preserve">    sampledesign_systematic_random_tu_abrv: "&lt;a href=\"09_glossary.html#sampledesign_systematic_random\" target=\"_blank\" data-bs-toggle=\"tooltip\" data-bs-title=\"Systematic random design: Camera locations are selected using a two-stage approach. Firstly, girds are selected systematically (to occur within a regular pattern) across the study area. The location of the camera within each grid is then selected randomly.\"&gt;Systematic random&lt;button type=\"button\" class=\"btn btn-bd-tip-info-hidden btn-sm position-relative\"&gt;.&lt;span class=\"position-absolute top-0 start-100 translate-middle\"&gt;{{ icon_info }}&lt;/span&gt;&lt;/button&gt;&lt;/a&gt;"</t>
  </si>
  <si>
    <t xml:space="preserve">    sampledesign_systematic_tl: "&lt;a href=\"09_glossary.html#sampledesign_systematic\" target=\"_blank\" data-bs-toggle=\"tooltip\" data-bs-title=\"Systematic design: Camera locations occur in a regular pattern (e.g., a grid pattern) across the study area.\"&gt;systematic design&lt;button type=\"button\" class=\"btn btn-bd-tip-info-hidden btn-sm position-relative\"&gt;.&lt;span class=\"position-absolute top-0 start-100 translate-middle\"&gt;{{ icon_info }}&lt;/span&gt;&lt;/button&gt;&lt;/a&gt;"</t>
  </si>
  <si>
    <t xml:space="preserve">    sampledesign_systematic_tl_abrv: "&lt;a href=\"09_glossary.html#sampledesign_systematic\" target=\"_blank\" data-bs-toggle=\"tooltip\" data-bs-title=\"Systematic design: Camera locations occur in a regular pattern (e.g., a grid pattern) across the study area.\"&gt;systematic&lt;button type=\"button\" class=\"btn btn-bd-tip-info-hidden btn-sm position-relative\"&gt;.&lt;span class=\"position-absolute top-0 start-100 translate-middle\"&gt;{{ icon_info }}&lt;/span&gt;&lt;/button&gt;&lt;/a&gt;"</t>
  </si>
  <si>
    <t xml:space="preserve">    sampledesign_systematic_tu: "&lt;a href=\"09_glossary.html#sampledesign_systematic\" target=\"_blank\" data-bs-toggle=\"tooltip\" data-bs-title=\"Systematic design: Camera locations occur in a regular pattern (e.g., a grid pattern) across the study area.\"&gt;Systematic design&lt;button type=\"button\" class=\"btn btn-bd-tip-info-hidden btn-sm position-relative\"&gt;.&lt;span class=\"position-absolute top-0 start-100 translate-middle\"&gt;{{ icon_info }}&lt;/span&gt;&lt;/button&gt;&lt;/a&gt;"</t>
  </si>
  <si>
    <t xml:space="preserve">    sampledesign_systematic_tu_abrv: "&lt;a href=\"09_glossary.html#sampledesign_systematic\" target=\"_blank\" data-bs-toggle=\"tooltip\" data-bs-title=\"Systematic design: Camera locations occur in a regular pattern (e.g., a grid pattern) across the study area.\"&gt;Systematic&lt;button type=\"button\" class=\"btn btn-bd-tip-info-hidden btn-sm position-relative\"&gt;.&lt;span class=\"position-absolute top-0 start-100 translate-middle\"&gt;{{ icon_info }}&lt;/span&gt;&lt;/button&gt;&lt;/a&gt;"</t>
  </si>
  <si>
    <t xml:space="preserve">    sampledesign_targeted_tl: "&lt;a href=\"09_glossary.html#sampledesign_targeted\" target=\"_blank\" data-bs-toggle=\"tooltip\" data-bs-title=\"Targeted design: Camera locations or sample stations are placed in areas that are known or suspected to have higher activity levels (e.g., game trails, mineral licks).\"&gt;targeted design&lt;button type=\"button\" class=\"btn btn-bd-tip-info-hidden btn-sm position-relative\"&gt;.&lt;span class=\"position-absolute top-0 start-100 translate-middle\"&gt;{{ icon_info }}&lt;/span&gt;&lt;/button&gt;&lt;/a&gt;"</t>
  </si>
  <si>
    <t xml:space="preserve">    sampledesign_targeted_tl_abrv: "&lt;a href=\"09_glossary.html#sampledesign_targeted\" target=\"_blank\" data-bs-toggle=\"tooltip\" data-bs-title=\"Targeted design: Camera locations or sample stations are placed in areas that are known or suspected to have higher activity levels (e.g., game trails, mineral licks).\"&gt;targeted&lt;button type=\"button\" class=\"btn btn-bd-tip-info-hidden btn-sm position-relative\"&gt;.&lt;span class=\"position-absolute top-0 start-100 translate-middle\"&gt;{{ icon_info }}&lt;/span&gt;&lt;/button&gt;&lt;/a&gt;"</t>
  </si>
  <si>
    <t xml:space="preserve">    sampledesign_targeted_tu: "&lt;a href=\"09_glossary.html#sampledesign_targeted\" target=\"_blank\" data-bs-toggle=\"tooltip\" data-bs-title=\"Targeted design: Camera locations or sample stations are placed in areas that are known or suspected to have higher activity levels (e.g., game trails, mineral licks).\"&gt;Targeted design&lt;button type=\"button\" class=\"btn btn-bd-tip-info-hidden btn-sm position-relative\"&gt;.&lt;span class=\"position-absolute top-0 start-100 translate-middle\"&gt;{{ icon_info }}&lt;/span&gt;&lt;/button&gt;&lt;/a&gt;"</t>
  </si>
  <si>
    <t xml:space="preserve">    sampledesign_targeted_tu_abrv: "&lt;a href=\"09_glossary.html#sampledesign_targeted\" target=\"_blank\" data-bs-toggle=\"tooltip\" data-bs-title=\"Targeted design: Camera locations or sample stations are placed in areas that are known or suspected to have higher activity levels (e.g., game trails, mineral licks).\"&gt;Targeted&lt;button type=\"button\" class=\"btn btn-bd-tip-info-hidden btn-sm position-relative\"&gt;.&lt;span class=\"position-absolute top-0 start-100 translate-middle\"&gt;{{ icon_info }}&lt;/span&gt;&lt;/button&gt;&lt;/a&gt;"</t>
  </si>
  <si>
    <t xml:space="preserve">    sd_card_id_tu: "&lt;a href=\"09_glossary.html#sd_card_id\" target=\"_blank\" data-bs-toggle=\"tooltip\" data-bs-title=\"SD Card ID: The ID label on an SD card (e.g., 'cmu_100').\"&gt;SD Card ID&lt;button type=\"button\" class=\"btn btn-bd-tip-info-hidden btn-sm position-relative\"&gt;.&lt;span class=\"position-absolute top-0 start-100 translate-middle\"&gt;{{ icon_info }}&lt;/span&gt;&lt;/button&gt;&lt;/a&gt;"</t>
  </si>
  <si>
    <t xml:space="preserve">    sd_card_replaced_tu: "&lt;a href=\"09_glossary.html#sd_card_replaced\" target=\"_blank\" data-bs-toggle=\"tooltip\" data-bs-title=\"SD Card Replaced: Whether the SD card was replaced.\"&gt;SD Card Replaced&lt;button type=\"button\" class=\"btn btn-bd-tip-info-hidden btn-sm position-relative\"&gt;.&lt;span class=\"position-absolute top-0 start-100 translate-middle\"&gt;{{ icon_info }}&lt;/span&gt;&lt;/button&gt;&lt;/a&gt;"</t>
  </si>
  <si>
    <t xml:space="preserve">    sd_card_status_tu_nu: "&lt;a href=\"09_glossary.html#sd_card_status\" target=\"_blank\" data-bs-toggle=\"tooltip\" data-bs-title=\"SD Card Status (% Full): The remaining storage capacity on an SD card; collected during a camera service or retrieval.\"&gt;SD Card Status&lt;button type=\"button\" class=\"btn btn-bd-tip-info-hidden btn-sm position-relative\"&gt;.&lt;span class=\"position-absolute top-0 start-100 translate-middle\"&gt;{{ icon_info }}&lt;/span&gt;&lt;/button&gt;&lt;/a&gt;"</t>
  </si>
  <si>
    <t xml:space="preserve">    sd_card_status_tu_u: "&lt;a href=\"09_glossary.html#sd_card_status\" target=\"_blank\" data-bs-toggle=\"tooltip\" data-bs-title=\"SD Card Status (% Full): The remaining storage capacity on an SD card; collected during a camera service or retrieval.\"&gt;SD Card Status (% Full)&lt;button type=\"button\" class=\"btn btn-bd-tip-info-hidden btn-sm position-relative\"&gt;.&lt;span class=\"position-absolute top-0 start-100 translate-middle\"&gt;{{ icon_info }}&lt;/span&gt;&lt;/button&gt;&lt;/a&gt;"</t>
  </si>
  <si>
    <t xml:space="preserve">    security_tu: "&lt;a href=\"09_glossary.html#security\" target=\"_blank\" data-bs-toggle=\"tooltip\" data-bs-title=\"Security: The equipment used to secure the camera (e.g., 'Security box,' 'Bracket,' 'Bracket + Screws,' or 'None').\"&gt;Security&lt;button type=\"button\" class=\"btn btn-bd-tip-info-hidden btn-sm position-relative\"&gt;.&lt;span class=\"position-absolute top-0 start-100 translate-middle\"&gt;{{ icon_info }}&lt;/span&gt;&lt;/button&gt;&lt;/a&gt;"</t>
  </si>
  <si>
    <t xml:space="preserve">    sequence_name_tu: "&lt;a href=\"09_glossary.html#sequence_name\" target=\"_blank\" data-bs-toggle=\"tooltip\" data-bs-title=\"Sequence Name: A unique alphanumeric identifier for a multi-image sequence. The Sequence Name should ideally consist of the Deployment Name and the names of the first and last images and videos in the sequence (separated by '_') (i.e., 'Deployment Name'_'img_#[name of first image in sequence]'_'img_#[name of last image in sequence] (e.g., 'bh1_22-Jul-2018_img_001-img_005'). Leave blank if not applicable. \"&gt;Sequence Name&lt;button type=\"button\" class=\"btn btn-bd-tip-info-hidden btn-sm position-relative\"&gt;.&lt;span class=\"position-absolute top-0 start-100 translate-middle\"&gt;{{ icon_info }}&lt;/span&gt;&lt;/button&gt;&lt;/a&gt;"</t>
  </si>
  <si>
    <t xml:space="preserve">    sequence_tl: "&lt;a href=\"09_glossary.html#sequence\" target=\"_blank\" data-bs-toggle=\"tooltip\" data-bs-title=\"Sequence: 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Description).\"&gt;sequence&lt;button type=\"button\" class=\"btn btn-bd-tip-info-hidden btn-sm position-relative\"&gt;.&lt;span class=\"position-absolute top-0 start-100 translate-middle\"&gt;{{ icon_info }}&lt;/span&gt;&lt;/button&gt;&lt;/a&gt;"</t>
  </si>
  <si>
    <t xml:space="preserve">    sequence_tl_pl: "&lt;a href=\"09_glossary.html#sequence\" target=\"_blank\" data-bs-toggle=\"tooltip\" data-bs-title=\"Sequence: 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Description).\"&gt;sequences&lt;button type=\"button\" class=\"btn btn-bd-tip-info-hidden btn-sm position-relative\"&gt;.&lt;span class=\"position-absolute top-0 start-100 translate-middle\"&gt;{{ icon_info }}&lt;/span&gt;&lt;/button&gt;&lt;/a&gt;"</t>
  </si>
  <si>
    <t xml:space="preserve">    sequence_tu: "&lt;a href=\"09_glossary.html#sequence\" target=\"_blank\" data-bs-toggle=\"tooltip\" data-bs-title=\"Sequence: 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Description).\"&gt;Sequence&lt;button type=\"button\" class=\"btn btn-bd-tip-info-hidden btn-sm position-relative\"&gt;.&lt;span class=\"position-absolute top-0 start-100 translate-middle\"&gt;{{ icon_info }}&lt;/span&gt;&lt;/button&gt;&lt;/a&gt;"</t>
  </si>
  <si>
    <t xml:space="preserve">    sequence_tu_pl: "&lt;a href=\"09_glossary.html#sequence\" target=\"_blank\" data-bs-toggle=\"tooltip\" data-bs-title=\"Sequence: 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Description).\"&gt;Sequences&lt;button type=\"button\" class=\"btn btn-bd-tip-info-hidden btn-sm position-relative\"&gt;.&lt;span class=\"position-absolute top-0 start-100 translate-middle\"&gt;{{ icon_info }}&lt;/span&gt;&lt;/button&gt;&lt;/a&gt;"</t>
  </si>
  <si>
    <t xml:space="preserve">    service_retrieval_comments_tu: "&lt;a href=\"09_glossary.html#service_retrieval_comments\" target=\"_blank\" data-bs-toggle=\"tooltip\" data-bs-title=\"Service/Retrieval Comments: Comments describing additional details about the Service*/Retrieval.\"&gt;Service/Retrieval Comments&lt;button type=\"button\" class=\"btn btn-bd-tip-info-hidden btn-sm position-relative\"&gt;.&lt;span class=\"position-absolute top-0 start-100 translate-middle\"&gt;{{ icon_info }}&lt;/span&gt;&lt;/button&gt;&lt;/a&gt;"</t>
  </si>
  <si>
    <t xml:space="preserve">    service_retrieval_crew_tu: "&lt;a href=\"09_glossary.html#service_retrieval_crew\" target=\"_blank\" data-bs-toggle=\"tooltip\" data-bs-title=\"Service/Retrieval Crew: The first and last names of the individuals who collected data during the Service*/Retrieval visit.\"&gt;Service/Retrieval Crew&lt;button type=\"button\" class=\"btn btn-bd-tip-info-hidden btn-sm position-relative\"&gt;.&lt;span class=\"position-absolute top-0 start-100 translate-middle\"&gt;{{ icon_info }}&lt;/span&gt;&lt;/button&gt;&lt;/a&gt;"</t>
  </si>
  <si>
    <t xml:space="preserve">    service_retrieval_metadata_tl: "&lt;a href=\"09_glossary.html#service_retrieval_metadata\" target=\"_blank\" data-bs-toggle=\"tooltip\" data-bs-title=\"Service/Retrieval metadata: Metadata that should be collected each time a camera location is visited to Service*/Retrieval Field Datasheet.\"&gt;service/retrieval metadata&lt;button type=\"button\" class=\"btn btn-bd-tip-info-hidden btn-sm position-relative\"&gt;.&lt;span class=\"position-absolute top-0 start-100 translate-middle\"&gt;{{ icon_info }}&lt;/span&gt;&lt;/button&gt;&lt;/a&gt;"</t>
  </si>
  <si>
    <t xml:space="preserve">    service_retrieval_metadata_tu: "&lt;a href=\"09_glossary.html#service_retrieval_metadata\" target=\"_blank\" data-bs-toggle=\"tooltip\" data-bs-title=\"Service/Retrieval metadata: Metadata that should be collected each time a camera location is visited to Service*/Retrieval Field Datasheet.\"&gt;Service/Retrieval metadata&lt;button type=\"button\" class=\"btn btn-bd-tip-info-hidden btn-sm position-relative\"&gt;.&lt;span class=\"position-absolute top-0 start-100 translate-middle\"&gt;{{ icon_info }}&lt;/span&gt;&lt;/button&gt;&lt;/a&gt;"</t>
  </si>
  <si>
    <t xml:space="preserve">    service_retrieval_tl: "&lt;a href=\"09_glossary.html#service_retrieval\" target=\"_blank\" data-bs-toggle=\"tooltip\" data-bs-title=\"Service/Retrieval: When a crew has gone to a location to service or retrieve a remote camera.\"&gt;service/retrieval&lt;button type=\"button\" class=\"btn btn-bd-tip-info-hidden btn-sm position-relative\"&gt;.&lt;span class=\"position-absolute top-0 start-100 translate-middle\"&gt;{{ icon_info }}&lt;/span&gt;&lt;/button&gt;&lt;/a&gt;"</t>
  </si>
  <si>
    <t xml:space="preserve">    service_retrieval_tu: "&lt;a href=\"09_glossary.html#service_retrieval\" target=\"_blank\" data-bs-toggle=\"tooltip\" data-bs-title=\"Service/Retrieval: When a crew has gone to a location to service or retrieve a remote camera.\"&gt;Service/Retrieval&lt;button type=\"button\" class=\"btn btn-bd-tip-info-hidden btn-sm position-relative\"&gt;.&lt;span class=\"position-absolute top-0 start-100 translate-middle\"&gt;{{ icon_info }}&lt;/span&gt;&lt;/button&gt;&lt;/a&gt;"</t>
  </si>
  <si>
    <t xml:space="preserve">    service_retrieval_visit_tl: "&lt;a href=\"09_glossary.html#service_retrieval_visit\" target=\"_blank\" data-bs-toggle=\"tooltip\" data-bs-title=\"Service/Retrieval visit: When a crew has gone to a location to service or retrieve a remote camera.\"&gt;service/retrieval visit&lt;button type=\"button\" class=\"btn btn-bd-tip-info-hidden btn-sm position-relative\"&gt;.&lt;span class=\"position-absolute top-0 start-100 translate-middle\"&gt;{{ icon_info }}&lt;/span&gt;&lt;/button&gt;&lt;/a&gt;"</t>
  </si>
  <si>
    <t xml:space="preserve">    service_retrieval_visit_tu: "&lt;a href=\"09_glossary.html#service_retrieval_visit\" target=\"_blank\" data-bs-toggle=\"tooltip\" data-bs-title=\"Service/Retrieval visit: When a crew has gone to a location to service or retrieve a remote camera.\"&gt;Service/Retrieval visit&lt;button type=\"button\" class=\"btn btn-bd-tip-info-hidden btn-sm position-relative\"&gt;.&lt;span class=\"position-absolute top-0 start-100 translate-middle\"&gt;{{ icon_info }}&lt;/span&gt;&lt;/button&gt;&lt;/a&gt;"</t>
  </si>
  <si>
    <t xml:space="preserve">    settings_flash_output_tl: "&lt;a href=\"09_glossary.html#settings_flash_output\" target=\"_blank\" data-bs-toggle=\"tooltip\" data-bs-title=\"Flash output: The camera setting that provides the level of intensity of the flash (if enabled).\"&gt;flash output&lt;button type=\"button\" class=\"btn btn-bd-tip-info-hidden btn-sm position-relative\"&gt;.&lt;span class=\"position-absolute top-0 start-100 translate-middle\"&gt;{{ icon_info }}&lt;/span&gt;&lt;/button&gt;&lt;/a&gt;"</t>
  </si>
  <si>
    <t xml:space="preserve">    settings_flash_output_tu: "&lt;a href=\"09_glossary.html#settings_flash_output\" target=\"_blank\" data-bs-toggle=\"tooltip\" data-bs-title=\"Flash output: The camera setting that provides the level of intensity of the flash (if enabled).\"&gt;Flash output&lt;button type=\"button\" class=\"btn btn-bd-tip-info-hidden btn-sm position-relative\"&gt;.&lt;span class=\"position-absolute top-0 start-100 translate-middle\"&gt;{{ icon_info }}&lt;/span&gt;&lt;/button&gt;&lt;/a&gt;"</t>
  </si>
  <si>
    <t xml:space="preserve">    settings_infrared_illum_tl: "&lt;a href=\"09_glossary.html#settings_infrared_illum\" target=\"_blank\" data-bs-toggle=\"tooltip\" data-bs-title=\"Infrared illuminator: The camera setting that can be enabled (if applicable to the camera make and camera model) to obtain greater visibility at night by producing infrared light. This field is categorical; leave blank if not applicable and record 'Unknown' if not known.\"&gt;infrared illuminator&lt;button type=\"button\" class=\"btn btn-bd-tip-info-hidden btn-sm position-relative\"&gt;.&lt;span class=\"position-absolute top-0 start-100 translate-middle\"&gt;{{ icon_info }}&lt;/span&gt;&lt;/button&gt;&lt;/a&gt;"</t>
  </si>
  <si>
    <t xml:space="preserve">    settings_infrared_illum_tu: "&lt;a href=\"09_glossary.html#settings_infrared_illum\" target=\"_blank\" data-bs-toggle=\"tooltip\" data-bs-title=\"Infrared illuminator: The camera setting that can be enabled (if applicable to the camera make and camera model) to obtain greater visibility at night by producing infrared light. This field is categorical; leave blank if not applicable and record 'Unknown' if not known.\"&gt;Infrared illuminator&lt;button type=\"button\" class=\"btn btn-bd-tip-info-hidden btn-sm position-relative\"&gt;.&lt;span class=\"position-absolute top-0 start-100 translate-middle\"&gt;{{ icon_info }}&lt;/span&gt;&lt;/button&gt;&lt;/a&gt;"</t>
  </si>
  <si>
    <t xml:space="preserve">    settings_motion_img_interval_tu_nu: "&lt;a href=\"09_glossary.html#settings_motion_img_interval\" target=\"_blank\" data-bs-toggle=\"tooltip\" data-bs-title=\"Motion Image Interval (seconds): The time (in seconds) between images within a multi-image sequence that occur due to motion, heat, or activation of external detector devices. The Motion Image Interval is pre-set in the camera’s settings by the user, but the time at which the camera collects images because of this setting is influenced by the presence of movement or heat. For example, if the camera was set to take 3 images per event at a Motion Image Interval of 3 seconds when the camera detects motion or heat, the first image will be collected (e.g., at 09:00:00), the second image will be collected 3 seconds later (09:00:03), and the third will be collected 3 seconds after that (09:00:06).  &lt;br&gt; &lt;br&gt; This setting differs from the Quiet Period in that the delay occurs between images contained within a multi-image sequence, rather than between multi-image sequences (as in Quiet Period). If a Motion Image Interval was not set, enter '0' seconds (i.e., instantaneous).\"&gt;Motion Image Interval&lt;button type=\"button\" class=\"btn btn-bd-tip-info-hidden btn-sm position-relative\"&gt;.&lt;span class=\"position-absolute top-0 start-100 translate-middle\"&gt;{{ icon_info }}&lt;/span&gt;&lt;/button&gt;&lt;/a&gt;"</t>
  </si>
  <si>
    <t xml:space="preserve">    settings_motion_img_interval_tu_u: "&lt;a href=\"09_glossary.html#settings_motion_img_interval\" target=\"_blank\" data-bs-toggle=\"tooltip\" data-bs-title=\"Motion Image Interval (seconds): The time (in seconds) between images within a multi-image sequence that occur due to motion, heat, or activation of external detector devices. The Motion Image Interval is pre-set in the camera’s settings by the user, but the time at which the camera collects images because of this setting is influenced by the presence of movement or heat. For example, if the camera was set to take 3 images per event at a Motion Image Interval of 3 seconds when the camera detects motion or heat, the first image will be collected (e.g., at 09:00:00), the second image will be collected 3 seconds later (09:00:03), and the third will be collected 3 seconds after that (09:00:06).  &lt;br&gt; &lt;br&gt; This setting differs from the Quiet Period in that the delay occurs between images contained within a multi-image sequence, rather than between multi-image sequences (as in Quiet Period). If a Motion Image Interval was not set, enter '0' seconds (i.e., instantaneous).\"&gt;Motion Image Interval (seconds)&lt;button type=\"button\" class=\"btn btn-bd-tip-info-hidden btn-sm position-relative\"&gt;.&lt;span class=\"position-absolute top-0 start-100 translate-middle\"&gt;{{ icon_info }}&lt;/span&gt;&lt;/button&gt;&lt;/a&gt;"</t>
  </si>
  <si>
    <t xml:space="preserve">    settings_photos_per_trigger_tu: "&lt;a href=\"09_glossary.html#settings_photos_per_trigger\" target=\"_blank\" data-bs-toggle=\"tooltip\" data-bs-title=\"Photos Per Trigger: The camera setting that describes the number of photos taken each time the camera is triggered.\"&gt;Photos Per Trigger&lt;button type=\"button\" class=\"btn btn-bd-tip-info-hidden btn-sm position-relative\"&gt;.&lt;span class=\"position-absolute top-0 start-100 translate-middle\"&gt;{{ icon_info }}&lt;/span&gt;&lt;/button&gt;&lt;/a&gt;"</t>
  </si>
  <si>
    <t xml:space="preserve">    settings_quiet_period_tu_nu: "&lt;a href=\"09_glossary.html#settings_quiet_period\" target=\"_blank\" data-bs-toggle=\"tooltip\" data-bs-title=\"Quiet Period (seconds): The user-defined camera setting which provides the time (in seconds) between shutter 'triggers' if the camera was programmed to pause between firing initially and firing a second time. If a Quiet Period was not set, enter '0.' &lt;br&gt; &lt;br&gt; Also known as 'time lag' (depending on the Camera Make and Camera Model; Palmer et al., 2018). The Quiet Period differs from the Motion Image Interval in that the delay occurs between multi-image sequences rather than between the images contained within multi-image sequences (as in the Motion Image Interval).\"&gt;Quiet Period &lt;button type=\"button\" class=\"btn btn-bd-tip-info-hidden btn-sm position-relative\"&gt;.&lt;span class=\"position-absolute top-0 start-100 translate-middle\"&gt;{{ icon_info }}&lt;/span&gt;&lt;/button&gt;&lt;/a&gt;"</t>
  </si>
  <si>
    <t xml:space="preserve">    settings_quiet_period_tu_u: "&lt;a href=\"09_glossary.html#settings_quiet_period\" target=\"_blank\" data-bs-toggle=\"tooltip\" data-bs-title=\"Quiet Period (seconds): The user-defined camera setting which provides the time (in seconds) between shutter 'triggers' if the camera was programmed to pause between firing initially and firing a second time. If a Quiet Period was not set, enter '0.' &lt;br&gt; &lt;br&gt; Also known as 'time lag' (depending on the Camera Make and Camera Model; Palmer et al., 2018). The Quiet Period differs from the Motion Image Interval in that the delay occurs between multi-image sequences rather than between the images contained within multi-image sequences (as in the Motion Image Interval).\"&gt;Quiet Period (seconds)&lt;button type=\"button\" class=\"btn btn-bd-tip-info-hidden btn-sm position-relative\"&gt;.&lt;span class=\"position-absolute top-0 start-100 translate-middle\"&gt;{{ icon_info }}&lt;/span&gt;&lt;/button&gt;&lt;/a&gt;"</t>
  </si>
  <si>
    <t xml:space="preserve">    settings_trigger_modes_tu_mod: "&lt;a href=\"09_glossary.html#settings_trigger_modes\" target=\"_blank\" data-bs-toggle=\"tooltip\" data-bs-title=\"Trigger Mode(s) (camera settings): The camera setting(s) that determine how the camera will trigger: by motion ('Motion Image'), at set intervals ('Time-lapse image'), and*/or by video ('Video'; possible with newer camera models, such as Reconyx HP2X).\"&gt;Trigger Mode(s) (camera settings)&lt;button type=\"button\" class=\"btn btn-bd-tip-info-hidden btn-sm position-relative\"&gt;.&lt;span class=\"position-absolute top-0 start-100 translate-middle\"&gt;{{ icon_info }}&lt;/span&gt;&lt;/button&gt;&lt;/a&gt;"</t>
  </si>
  <si>
    <t xml:space="preserve">    settings_trigger_sensitivity_tu: "&lt;a href=\"09_glossary.html#settings_trigger_sensitivity\" target=\"_blank\" data-bs-toggle=\"tooltip\" data-bs-title=\"Trigger Sensitivity: The camera setting responsible for how sensitive a camera is to activation (to 'triggering') via the infrared and*/or heat detectors (if applicable, e.g., Reconyx HyperFire cameras have a choice between 'Low,' 'Low*/Med,' 'Med,' 'Med*/High,' 'High,' 'Very high' and 'Unknown'). \"&gt;Trigger Sensitivity&lt;button type=\"button\" class=\"btn btn-bd-tip-info-hidden btn-sm position-relative\"&gt;.&lt;span class=\"position-absolute top-0 start-100 translate-middle\"&gt;{{ icon_info }}&lt;/span&gt;&lt;/button&gt;&lt;/a&gt;"</t>
  </si>
  <si>
    <t xml:space="preserve">    settings_userlabel_tl: "&lt;a href=\"09_glossary.html#settings_userlabel\" target=\"_blank\" data-bs-toggle=\"tooltip\" data-bs-title=\"User label: A label (up to 16 characters) that can be programmed in the camera’s settings, and that will be visible in the data band of all photos and videos taken by the camera (Reconyx, 2018). It is recommended that users program the Sample Station Name*/Camera Location Name as the user label, which serves as a means to confirm which Sample Station Name*/Camera Location Name is associated with the images*/videos.\"&gt;user label&lt;button type=\"button\" class=\"btn btn-bd-tip-info-hidden btn-sm position-relative\"&gt;.&lt;span class=\"position-absolute top-0 start-100 translate-middle\"&gt;{{ icon_info }}&lt;/span&gt;&lt;/button&gt;&lt;/a&gt;"</t>
  </si>
  <si>
    <t xml:space="preserve">    settings_userlabel_tu: "&lt;a href=\"09_glossary.html#settings_userlabel\" target=\"_blank\" data-bs-toggle=\"tooltip\" data-bs-title=\"User label: A label (up to 16 characters) that can be programmed in the camera’s settings, and that will be visible in the data band of all photos and videos taken by the camera (Reconyx, 2018). It is recommended that users program the Sample Station Name*/Camera Location Name as the user label, which serves as a means to confirm which Sample Station Name*/Camera Location Name is associated with the images*/videos.\"&gt;User label&lt;button type=\"button\" class=\"btn btn-bd-tip-info-hidden btn-sm position-relative\"&gt;.&lt;span class=\"position-absolute top-0 start-100 translate-middle\"&gt;{{ icon_info }}&lt;/span&gt;&lt;/button&gt;&lt;/a&gt;"</t>
  </si>
  <si>
    <t xml:space="preserve">    settings_video_length_tu_nu: "&lt;a href=\"09_glossary.html#settings_video_length\" target=\"_blank\" data-bs-toggle=\"tooltip\" data-bs-title=\"Video Length (seconds): If applicable, describes the camera setting that specifies the minimum video duration (in seconds) that the camera will record when triggered. Leave blank if not applicable.\"&gt;Video Length&lt;button type=\"button\" class=\"btn btn-bd-tip-info-hidden btn-sm position-relative\"&gt;.&lt;span class=\"position-absolute top-0 start-100 translate-middle\"&gt;{{ icon_info }}&lt;/span&gt;&lt;/button&gt;&lt;/a&gt;"</t>
  </si>
  <si>
    <t xml:space="preserve">    settings_video_length_tu_u: "&lt;a href=\"09_glossary.html#settings_video_length\" target=\"_blank\" data-bs-toggle=\"tooltip\" data-bs-title=\"Video Length (seconds): If applicable, describes the camera setting that specifies the minimum video duration (in seconds) that the camera will record when triggered. Leave blank if not applicable.\"&gt;Video Length (seconds)&lt;button type=\"button\" class=\"btn btn-bd-tip-info-hidden btn-sm position-relative\"&gt;.&lt;span class=\"position-absolute top-0 start-100 translate-middle\"&gt;{{ icon_info }}&lt;/span&gt;&lt;/button&gt;&lt;/a&gt;"</t>
  </si>
  <si>
    <t xml:space="preserve">    sex_class_tu: "&lt;a href=\"09_glossary.html#sex_class\" target=\"_blank\" data-bs-toggle=\"tooltip\" data-bs-title=\"Sex Class: The sex classification of individual(s) being categorized (e.g., 'Male,' 'Female,' or 'Unknown').\"&gt;Sex Class&lt;button type=\"button\" class=\"btn btn-bd-tip-info-hidden btn-sm position-relative\"&gt;.&lt;span class=\"position-absolute top-0 start-100 translate-middle\"&gt;{{ icon_info }}&lt;/span&gt;&lt;/button&gt;&lt;/a&gt;"</t>
  </si>
  <si>
    <t xml:space="preserve">    sex_class_tu_pl: "&lt;a href=\"09_glossary.html#sex_class\" target=\"_blank\" data-bs-toggle=\"tooltip\" data-bs-title=\"Sex Class: The sex classification of individual(s) being categorized (e.g., 'Male,' 'Female,' or 'Unknown').\"&gt;Sex Classes&lt;button type=\"button\" class=\"btn btn-bd-tip-info-hidden btn-sm position-relative\"&gt;.&lt;span class=\"position-absolute top-0 start-100 translate-middle\"&gt;{{ icon_info }}&lt;/span&gt;&lt;/button&gt;&lt;/a&gt;"</t>
  </si>
  <si>
    <t xml:space="preserve">    sp_accum_curve_tl: "&lt;a href=\"09_glossary.html#sp_accum_curve\" target=\"_blank\" data-bs-toggle=\"tooltip\" data-bs-title=\"A curve of rising biodiversity in which the x-axis is the number of sampling units (individuals or samples) from an assemblage and the y-axis is the observed species richness. The species accumulation curve rises monotonically to an asymptotic maximum number of species.' (Gotelli &amp; Chao, 2013)\"&gt;species-accumulation curve&lt;button type=\"button\" class=\"btn btn-bd-tip-info-hidden btn-sm position-relative\"&gt;.&lt;span class=\"position-absolute top-0 start-100 translate-middle\"&gt;{{ icon_info }}&lt;/span&gt;&lt;/button&gt;&lt;/a&gt;"</t>
  </si>
  <si>
    <t xml:space="preserve">    sp_accum_curve_tu: "&lt;a href=\"09_glossary.html#sp_accum_curve\" target=\"_blank\" data-bs-toggle=\"tooltip\" data-bs-title=\"A curve of rising biodiversity in which the x-axis is the number of sampling units (individuals or samples) from an assemblage and the y-axis is the observed species richness. The species accumulation curve rises monotonically to an asymptotic maximum number of species.' (Gotelli &amp; Chao, 2013)\"&gt;Species-accumulation curve&lt;button type=\"button\" class=\"btn btn-bd-tip-info-hidden btn-sm position-relative\"&gt;.&lt;span class=\"position-absolute top-0 start-100 translate-middle\"&gt;{{ icon_info }}&lt;/span&gt;&lt;/button&gt;&lt;/a&gt;"</t>
  </si>
  <si>
    <t xml:space="preserve">    sp_rarity_tl: "&lt;a href=\"09_glossary.html#sp_rarity\" target=\"_blank\" data-bs-toggle=\"tooltip\" data-bs-title=\"the number of individuals present of the species in question, relative to the total number of individuals of all species (or how 'represented' is the species when considering the total number of individuals of all species).\"&gt;species rarity&lt;button type=\"button\" class=\"btn btn-bd-tip-info-hidden btn-sm position-relative\"&gt;.&lt;span class=\"position-absolute top-0 start-100 translate-middle\"&gt;{{ icon_info }}&lt;/span&gt;&lt;/button&gt;&lt;/a&gt;"</t>
  </si>
  <si>
    <t xml:space="preserve">    sp_rarity_tu: "&lt;a href=\"09_glossary.html#sp_rarity\" target=\"_blank\" data-bs-toggle=\"tooltip\" data-bs-title=\"the number of individuals present of the species in question, relative to the total number of individuals of all species (or how 'represented' is the species when considering the total number of individuals of all species).\"&gt;Species rarity&lt;button type=\"button\" class=\"btn btn-bd-tip-info-hidden btn-sm position-relative\"&gt;.&lt;span class=\"position-absolute top-0 start-100 translate-middle\"&gt;{{ icon_info }}&lt;/span&gt;&lt;/button&gt;&lt;/a&gt;"</t>
  </si>
  <si>
    <t xml:space="preserve">    sp_specific_tl: "&lt;a href=\"09_glossary.html#sp_specific\" target=\"_blank\" data-bs-toggle=\"tooltip\" data-bs-title=\"Species-specific: Relating to one specific species. For example, focusing specifically on moose.' (Kemp et al., 2022).\"&gt;species-specific&lt;button type=\"button\" class=\"btn btn-bd-tip-info-hidden btn-sm position-relative\"&gt;.&lt;span class=\"position-absolute top-0 start-100 translate-middle\"&gt;{{ icon_info }}&lt;/span&gt;&lt;/button&gt;&lt;/a&gt;"</t>
  </si>
  <si>
    <t xml:space="preserve">    sp_specific_tu: "&lt;a href=\"09_glossary.html#sp_specific\" target=\"_blank\" data-bs-toggle=\"tooltip\" data-bs-title=\"Species-specific: Relating to one specific species. For example, focusing specifically on moose.' (Kemp et al., 2022).\"&gt;Species-specific&lt;button type=\"button\" class=\"btn btn-bd-tip-info-hidden btn-sm position-relative\"&gt;.&lt;span class=\"position-absolute top-0 start-100 translate-middle\"&gt;{{ icon_info }}&lt;/span&gt;&lt;/button&gt;&lt;/a&gt;"</t>
  </si>
  <si>
    <t xml:space="preserve">    spatial_autocorrelation_tl: "&lt;a href=\"09_glossary.html#spatial_autocorrelation\" target=\"_blank\" data-bs-toggle=\"tooltip\" data-bs-title=\"Spatial autocorrelation: The tendency for locations that are closer together to be more similar.\"&gt;spatial autocorrelation&lt;button type=\"button\" class=\"btn btn-bd-tip-info-hidden btn-sm position-relative\"&gt;.&lt;span class=\"position-absolute top-0 start-100 translate-middle\"&gt;{{ icon_info }}&lt;/span&gt;&lt;/button&gt;&lt;/a&gt;"</t>
  </si>
  <si>
    <t xml:space="preserve">    spatial_autocorrelation_tu: "&lt;a href=\"09_glossary.html#spatial_autocorrelation\" target=\"_blank\" data-bs-toggle=\"tooltip\" data-bs-title=\"Spatial autocorrelation: The tendency for locations that are closer together to be more similar.\"&gt;Spatial autocorrelation&lt;button type=\"button\" class=\"btn btn-bd-tip-info-hidden btn-sm position-relative\"&gt;.&lt;span class=\"position-absolute top-0 start-100 translate-middle\"&gt;{{ icon_info }}&lt;/span&gt;&lt;/button&gt;&lt;/a&gt;"</t>
  </si>
  <si>
    <t xml:space="preserve">    species_tu: "&lt;a href=\"09_glossary.html#species\" target=\"_blank\" data-bs-toggle=\"tooltip\" data-bs-title=\"Species: The capitalized common name of the species being categorized ('tagged').\"&gt;Species&lt;button type=\"button\" class=\"btn btn-bd-tip-info-hidden btn-sm position-relative\"&gt;.&lt;span class=\"position-absolute top-0 start-100 translate-middle\"&gt;{{ icon_info }}&lt;/span&gt;&lt;/button&gt;&lt;/a&gt;"</t>
  </si>
  <si>
    <t xml:space="preserve">    stake_distance_tu_nu: "&lt;a href=\"09_glossary.html#stake_distance\" target=\"_blank\" data-bs-toggle=\"tooltip\" data-bs-title=\"Stake Distance (m): The distance from the camera to a stake (in metres to the nearest 0.05 m). Leave blank if not applicable.\"&gt;Stake Distance&lt;button type=\"button\" class=\"btn btn-bd-tip-info-hidden btn-sm position-relative\"&gt;.&lt;span class=\"position-absolute top-0 start-100 translate-middle\"&gt;{{ icon_info }}&lt;/span&gt;&lt;/button&gt;&lt;/a&gt;"</t>
  </si>
  <si>
    <t xml:space="preserve">    stake_distance_tu_u: "&lt;a href=\"09_glossary.html#stake_distance\" target=\"_blank\" data-bs-toggle=\"tooltip\" data-bs-title=\"Stake Distance (m): The distance from the camera to a stake (in metres to the nearest 0.05 m). Leave blank if not applicable.\"&gt;Stake Distance (m)&lt;button type=\"button\" class=\"btn btn-bd-tip-info-hidden btn-sm position-relative\"&gt;.&lt;span class=\"position-absolute top-0 start-100 translate-middle\"&gt;{{ icon_info }}&lt;/span&gt;&lt;/button&gt;&lt;/a&gt;"</t>
  </si>
  <si>
    <t xml:space="preserve">    state_variable_tl: "&lt;a href=\"09_glossary.html#state_variable\" target=\"_blank\" data-bs-toggle=\"tooltip\" data-bs-title=\"State variable: A formal measure that summarizes the state of a community or population at a particular time (Wearn &amp; Glover-Kapfer, 2017), (e.g., species richness or population abundance).\"&gt;state variable&lt;button type=\"button\" class=\"btn btn-bd-tip-info-hidden btn-sm position-relative\"&gt;.&lt;span class=\"position-absolute top-0 start-100 translate-middle\"&gt;{{ icon_info }}&lt;/span&gt;&lt;/button&gt;&lt;/a&gt;"</t>
  </si>
  <si>
    <t xml:space="preserve">    state_variable_tl_pl: "&lt;a href=\"09_glossary.html#state_variable\" target=\"_blank\" data-bs-toggle=\"tooltip\" data-bs-title=\"State variable: A formal measure that summarizes the state of a community or population at a particular time (Wearn &amp; Glover-Kapfer, 2017), (e.g., species richness or population abundance).\"&gt;state variables&lt;button type=\"button\" class=\"btn btn-bd-tip-info-hidden btn-sm position-relative\"&gt;.&lt;span class=\"position-absolute top-0 start-100 translate-middle\"&gt;{{ icon_info }}&lt;/span&gt;&lt;/button&gt;&lt;/a&gt;"</t>
  </si>
  <si>
    <t xml:space="preserve">    state_variable_tu: "&lt;a href=\"09_glossary.html#state_variable\" target=\"_blank\" data-bs-toggle=\"tooltip\" data-bs-title=\"State variable: A formal measure that summarizes the state of a community or population at a particular time (Wearn &amp; Glover-Kapfer, 2017), (e.g., species richness or population abundance).\"&gt;State variable&lt;button type=\"button\" class=\"btn btn-bd-tip-info-hidden btn-sm position-relative\"&gt;.&lt;span class=\"position-absolute top-0 start-100 translate-middle\"&gt;{{ icon_info }}&lt;/span&gt;&lt;/button&gt;&lt;/a&gt;"</t>
  </si>
  <si>
    <t xml:space="preserve">    state_variable_tu_pl: "&lt;a href=\"09_glossary.html#state_variable\" target=\"_blank\" data-bs-toggle=\"tooltip\" data-bs-title=\"State variable: A formal measure that summarizes the state of a community or population at a particular time (Wearn &amp; Glover-Kapfer, 2017), (e.g., species richness or population abundance).\"&gt;State variables&lt;button type=\"button\" class=\"btn btn-bd-tip-info-hidden btn-sm position-relative\"&gt;.&lt;span class=\"position-absolute top-0 start-100 translate-middle\"&gt;{{ icon_info }}&lt;/span&gt;&lt;/button&gt;&lt;/a&gt;"</t>
  </si>
  <si>
    <t xml:space="preserve">    strata_tl: "&lt;a href=\"09_glossary.html#strata\" target=\"_blank\" data-bs-toggle=\"tooltip\" data-bs-title=\"Strata: (plural of stratum) the 'division in an organized system based on the characteristics of that system' (Morrison et al., 2008)\"&gt;strata&lt;button type=\"button\" class=\"btn btn-bd-tip-info-hidden btn-sm position-relative\"&gt;.&lt;span class=\"position-absolute top-0 start-100 translate-middle\"&gt;{{ icon_info }}&lt;/span&gt;&lt;/button&gt;&lt;/a&gt;"</t>
  </si>
  <si>
    <t xml:space="preserve">    strata_tu: "&lt;a href=\"09_glossary.html#strata\" target=\"_blank\" data-bs-toggle=\"tooltip\" data-bs-title=\"Strata: (plural of stratum) the 'division in an organized system based on the characteristics of that system' (Morrison et al., 2008)\"&gt;Strata&lt;button type=\"button\" class=\"btn btn-bd-tip-info-hidden btn-sm position-relative\"&gt;.&lt;span class=\"position-absolute top-0 start-100 translate-middle\"&gt;{{ icon_info }}&lt;/span&gt;&lt;/button&gt;&lt;/a&gt;"</t>
  </si>
  <si>
    <t xml:space="preserve">    stratum_tl: "&lt;a href=\"09_glossary.html#stratum\" target=\"_blank\" data-bs-toggle=\"tooltip\" data-bs-title=\"Stratum: (singular of strata) a single group or category when a system is divided 'based on the characteristics of that system' (Morrison et al., 2008)\"&gt;stratum&lt;button type=\"button\" class=\"btn btn-bd-tip-info-hidden btn-sm position-relative\"&gt;.&lt;span class=\"position-absolute top-0 start-100 translate-middle\"&gt;{{ icon_info }}&lt;/span&gt;&lt;/button&gt;&lt;/a&gt;"</t>
  </si>
  <si>
    <t xml:space="preserve">    stratum_tu: "&lt;a href=\"09_glossary.html#stratum\" target=\"_blank\" data-bs-toggle=\"tooltip\" data-bs-title=\"Stratum: (singular of strata) a single group or category when a system is divided 'based on the characteristics of that system' (Morrison et al., 2008)\"&gt;Stratum&lt;button type=\"button\" class=\"btn btn-bd-tip-info-hidden btn-sm position-relative\"&gt;.&lt;span class=\"position-absolute top-0 start-100 translate-middle\"&gt;{{ icon_info }}&lt;/span&gt;&lt;/button&gt;&lt;/a&gt;"</t>
  </si>
  <si>
    <t xml:space="preserve">    study_area_description_tu: "&lt;a href=\"09_glossary.html#study_area_description\" target=\"_blank\" data-bs-toggle=\"tooltip\" data-bs-title=\"Study Area Description: A description for each unique research or monitoring area including its location, the habitat type(s), land use(s) and habitat disturbances (where applicable).\"&gt;Study Area Description&lt;button type=\"button\" class=\"btn btn-bd-tip-info-hidden btn-sm position-relative\"&gt;.&lt;span class=\"position-absolute top-0 start-100 translate-middle\"&gt;{{ icon_info }}&lt;/span&gt;&lt;/button&gt;&lt;/a&gt;"</t>
  </si>
  <si>
    <t xml:space="preserve">    study_area_name_tu: "&lt;a href=\"09_glossary.html#study_area_name\" target=\"_blank\" data-bs-toggle=\"tooltip\" data-bs-title=\"Study Area Name: A unique alphanumeric identifier for each study area (e.g.,'oilsands_ref1'). If only one area was surveyed, the Project Name and Study Area Name should be the same.\"&gt;Study Area Name&lt;button type=\"button\" class=\"btn btn-bd-tip-info-hidden btn-sm position-relative\"&gt;.&lt;span class=\"position-absolute top-0 start-100 translate-middle\"&gt;{{ icon_info }}&lt;/span&gt;&lt;/button&gt;&lt;/a&gt;"</t>
  </si>
  <si>
    <t xml:space="preserve">    study_area_tl: "&lt;a href=\"09_glossary.html#study_area\" target=\"_blank\" data-bs-toggle=\"tooltip\" data-bs-title=\"Study area: A unique research, inventory or monitoring area (spatial boundary) within a project (there may be multiple study areas within a single project) (recorded as 'Study Area Name').\"&gt;study area&lt;button type=\"button\" class=\"btn btn-bd-tip-info-hidden btn-sm position-relative\"&gt;.&lt;span class=\"position-absolute top-0 start-100 translate-middle\"&gt;{{ icon_info }}&lt;/span&gt;&lt;/button&gt;&lt;/a&gt;"</t>
  </si>
  <si>
    <t xml:space="preserve">    study_area_tl_pl: "&lt;a href=\"09_glossary.html#study_area\" target=\"_blank\" data-bs-toggle=\"tooltip\" data-bs-title=\"Study area: A unique research, inventory or monitoring area (spatial boundary) within a project (there may be multiple study areas within a single project) (recorded as 'Study Area Name').\"&gt;study areas&lt;button type=\"button\" class=\"btn btn-bd-tip-info-hidden btn-sm position-relative\"&gt;.&lt;span class=\"position-absolute top-0 start-100 translate-middle\"&gt;{{ icon_info }}&lt;/span&gt;&lt;/button&gt;&lt;/a&gt;"</t>
  </si>
  <si>
    <t xml:space="preserve">    study_area_tu: "&lt;a href=\"09_glossary.html#study_area\" target=\"_blank\" data-bs-toggle=\"tooltip\" data-bs-title=\"Study area: A unique research, inventory or monitoring area (spatial boundary) within a project (there may be multiple study areas within a single project) (recorded as 'Study Area Name').\"&gt;Study area&lt;button type=\"button\" class=\"btn btn-bd-tip-info-hidden btn-sm position-relative\"&gt;.&lt;span class=\"position-absolute top-0 start-100 translate-middle\"&gt;{{ icon_info }}&lt;/span&gt;&lt;/button&gt;&lt;/a&gt;"</t>
  </si>
  <si>
    <t xml:space="preserve">    study_area_tu_pl: "&lt;a href=\"09_glossary.html#study_area\" target=\"_blank\" data-bs-toggle=\"tooltip\" data-bs-title=\"Study area: A unique research, inventory or monitoring area (spatial boundary) within a project (there may be multiple study areas within a single project) (recorded as 'Study Area Name').\"&gt;Study areas&lt;button type=\"button\" class=\"btn btn-bd-tip-info-hidden btn-sm position-relative\"&gt;.&lt;span class=\"position-absolute top-0 start-100 translate-middle\"&gt;{{ icon_info }}&lt;/span&gt;&lt;/button&gt;&lt;/a&gt;"</t>
  </si>
  <si>
    <t xml:space="preserve">    survey_design_description_tu: "&lt;a href=\"09_glossary.html#survey_design_description\" target=\"_blank\" data-bs-toggle=\"tooltip\" data-bs-title=\"Survey Design Description: A description of any additional details about the Survey Design.\"&gt;Survey Design Description&lt;button type=\"button\" class=\"btn btn-bd-tip-info-hidden btn-sm position-relative\"&gt;.&lt;span class=\"position-absolute top-0 start-100 translate-middle\"&gt;{{ icon_info }}&lt;/span&gt;&lt;/button&gt;&lt;/a&gt;"</t>
  </si>
  <si>
    <t xml:space="preserve">    survey_design_tu: "&lt;a href=\"09_glossary.html#survey_design\" target=\"_blank\" data-bs-toggle=\"tooltip\" data-bs-title=\"Survey Design: The spatial arrangement of remote cameras within the study area for an individual survey. If 'Hierarchical (multiple)*/*,' include additional details in the Survey Design Description. &lt;br&gt; &lt;br&gt; Note that we refer to different configurations of cameras more generally as study design and sampling design; however, the term 'Survey Design' refers to study design as it applies to an individual survey. There may be multiple Survey Designs for surveys within a project; if this occurs, the Survey Design. should be reported separately for each survey.\"&gt;Survey Design&lt;button type=\"button\" class=\"btn btn-bd-tip-info-hidden btn-sm position-relative\"&gt;.&lt;span class=\"position-absolute top-0 start-100 translate-middle\"&gt;{{ icon_info }}&lt;/span&gt;&lt;/button&gt;&lt;/a&gt;"</t>
  </si>
  <si>
    <t xml:space="preserve">    survey_design_tu_pl: "&lt;a href=\"09_glossary.html#survey_design\" target=\"_blank\" data-bs-toggle=\"tooltip\" data-bs-title=\"Survey Design: The spatial arrangement of remote cameras within the study area for an individual survey. If 'Hierarchical (multiple)*/*,' include additional details in the Survey Design Description. &lt;br&gt; &lt;br&gt; Note that we refer to different configurations of cameras more generally as study design and sampling design; however, the term 'Survey Design' refers to study design as it applies to an individual survey. There may be multiple Survey Designs for surveys within a project; if this occurs, the Survey Design. should be reported separately for each survey.\"&gt;Survey Designs&lt;button type=\"button\" class=\"btn btn-bd-tip-info-hidden btn-sm position-relative\"&gt;.&lt;span class=\"position-absolute top-0 start-100 translate-middle\"&gt;{{ icon_info }}&lt;/span&gt;&lt;/button&gt;&lt;/a&gt;"</t>
  </si>
  <si>
    <t xml:space="preserve">    survey_name_tu: "&lt;a href=\"09_glossary.html#survey_name\" target=\"_blank\" data-bs-toggle=\"tooltip\" data-bs-title=\"Survey Name: A unique alphanumeric identifier for each survey period (e.g., 'fortmc_001').\"&gt;Survey Name&lt;button type=\"button\" class=\"btn btn-bd-tip-info-hidden btn-sm position-relative\"&gt;.&lt;span class=\"position-absolute top-0 start-100 translate-middle\"&gt;{{ icon_info }}&lt;/span&gt;&lt;/button&gt;&lt;/a&gt;"</t>
  </si>
  <si>
    <t xml:space="preserve">    survey_objectives_tl_abrv: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SMART).\"&gt;objective&lt;button type=\"button\" class=\"btn btn-bd-tip-info-hidden btn-sm position-relative\"&gt;.&lt;span class=\"position-absolute top-0 start-100 translate-middle\"&gt;{{ icon_info }}&lt;/span&gt;&lt;/button&gt;&lt;/a&gt;"</t>
  </si>
  <si>
    <t xml:space="preserve">    survey_objectives_tl_abrv_pl: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SMART).\"&gt;objectives&lt;button type=\"button\" class=\"btn btn-bd-tip-info-hidden btn-sm position-relative\"&gt;.&lt;span class=\"position-absolute top-0 start-100 translate-middle\"&gt;{{ icon_info }}&lt;/span&gt;&lt;/button&gt;&lt;/a&gt;"</t>
  </si>
  <si>
    <t xml:space="preserve">    survey_objectives_tl_mod: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SMART).\"&gt;study objectives&lt;button type=\"button\" class=\"btn btn-bd-tip-info-hidden btn-sm position-relative\"&gt;.&lt;span class=\"position-absolute top-0 start-100 translate-middle\"&gt;{{ icon_info }}&lt;/span&gt;&lt;/button&gt;&lt;/a&gt;"</t>
  </si>
  <si>
    <t xml:space="preserve">    survey_objectives_tu: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SMART).\"&gt;Survey Objective&lt;button type=\"button\" class=\"btn btn-bd-tip-info-hidden btn-sm position-relative\"&gt;.&lt;span class=\"position-absolute top-0 start-100 translate-middle\"&gt;{{ icon_info }}&lt;/span&gt;&lt;/button&gt;&lt;/a&gt;"</t>
  </si>
  <si>
    <t xml:space="preserve">    survey_objectives_tu_abrv: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SMART).\"&gt;Objective&lt;button type=\"button\" class=\"btn btn-bd-tip-info-hidden btn-sm position-relative\"&gt;.&lt;span class=\"position-absolute top-0 start-100 translate-middle\"&gt;{{ icon_info }}&lt;/span&gt;&lt;/button&gt;&lt;/a&gt;"</t>
  </si>
  <si>
    <t xml:space="preserve">    survey_objectives_tu_abrv_pl: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SMART).\"&gt;Objectives&lt;button type=\"button\" class=\"btn btn-bd-tip-info-hidden btn-sm position-relative\"&gt;.&lt;span class=\"position-absolute top-0 start-100 translate-middle\"&gt;{{ icon_info }}&lt;/span&gt;&lt;/button&gt;&lt;/a&gt;"</t>
  </si>
  <si>
    <t xml:space="preserve">    survey_objectives_tu_pl: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SMART).\"&gt;Survey Objectives&lt;button type=\"button\" class=\"btn btn-bd-tip-info-hidden btn-sm position-relative\"&gt;.&lt;span class=\"position-absolute top-0 start-100 translate-middle\"&gt;{{ icon_info }}&lt;/span&gt;&lt;/button&gt;&lt;/a&gt;"</t>
  </si>
  <si>
    <t xml:space="preserve">    survey_tl: "&lt;a href=\"09_glossary.html#survey\" target=\"_blank\" data-bs-toggle=\"tooltip\" data-bs-title=\"Survey: A unique deployment period (temporal extent) within a project (recorded as 'Survey Name').\"&gt;survey&lt;button type=\"button\" class=\"btn btn-bd-tip-info-hidden btn-sm position-relative\"&gt;.&lt;span class=\"position-absolute top-0 start-100 translate-middle\"&gt;{{ icon_info }}&lt;/span&gt;&lt;/button&gt;&lt;/a&gt;"</t>
  </si>
  <si>
    <t xml:space="preserve">    survey_tl_pl: "&lt;a href=\"09_glossary.html#survey\" target=\"_blank\" data-bs-toggle=\"tooltip\" data-bs-title=\"Survey: A unique deployment period (temporal extent) within a project (recorded as 'Survey Name').\"&gt;surveys&lt;button type=\"button\" class=\"btn btn-bd-tip-info-hidden btn-sm position-relative\"&gt;.&lt;span class=\"position-absolute top-0 start-100 translate-middle\"&gt;{{ icon_info }}&lt;/span&gt;&lt;/button&gt;&lt;/a&gt;"</t>
  </si>
  <si>
    <t xml:space="preserve">    survey_tu: "&lt;a href=\"09_glossary.html#survey\" target=\"_blank\" data-bs-toggle=\"tooltip\" data-bs-title=\"Survey: A unique deployment period (temporal extent) within a project (recorded as 'Survey Name').\"&gt;Survey&lt;button type=\"button\" class=\"btn btn-bd-tip-info-hidden btn-sm position-relative\"&gt;.&lt;span class=\"position-absolute top-0 start-100 translate-middle\"&gt;{{ icon_info }}&lt;/span&gt;&lt;/button&gt;&lt;/a&gt;"</t>
  </si>
  <si>
    <t xml:space="preserve">    survey_tu_pl: "&lt;a href=\"09_glossary.html#survey\" target=\"_blank\" data-bs-toggle=\"tooltip\" data-bs-title=\"Survey: A unique deployment period (temporal extent) within a project (recorded as 'Survey Name').\"&gt;Surveys&lt;button type=\"button\" class=\"btn btn-bd-tip-info-hidden btn-sm position-relative\"&gt;.&lt;span class=\"position-absolute top-0 start-100 translate-middle\"&gt;{{ icon_info }}&lt;/span&gt;&lt;/button&gt;&lt;/a&gt;"</t>
  </si>
  <si>
    <t xml:space="preserve">    tag_tl: "&lt;a href=\"09_glossary.html#tag\" target=\"_blank\" data-bs-toggle=\"tooltip\" data-bs-title=\"Tag: 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level).\"&gt;tag&lt;button type=\"button\" class=\"btn btn-bd-tip-info-hidden btn-sm position-relative\"&gt;.&lt;span class=\"position-absolute top-0 start-100 translate-middle\"&gt;{{ icon_info }}&lt;/span&gt;&lt;/button&gt;&lt;/a&gt;"</t>
  </si>
  <si>
    <t xml:space="preserve">    tag_tl_pl: "&lt;a href=\"09_glossary.html#tag\" target=\"_blank\" data-bs-toggle=\"tooltip\" data-bs-title=\"Tag: 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level).\"&gt;tags&lt;button type=\"button\" class=\"btn btn-bd-tip-info-hidden btn-sm position-relative\"&gt;.&lt;span class=\"position-absolute top-0 start-100 translate-middle\"&gt;{{ icon_info }}&lt;/span&gt;&lt;/button&gt;&lt;/a&gt;"</t>
  </si>
  <si>
    <t xml:space="preserve">    tag_tu: "&lt;a href=\"09_glossary.html#tag\" target=\"_blank\" data-bs-toggle=\"tooltip\" data-bs-title=\"Tag: 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level).\"&gt;Tag&lt;button type=\"button\" class=\"btn btn-bd-tip-info-hidden btn-sm position-relative\"&gt;.&lt;span class=\"position-absolute top-0 start-100 translate-middle\"&gt;{{ icon_info }}&lt;/span&gt;&lt;/button&gt;&lt;/a&gt;"</t>
  </si>
  <si>
    <t xml:space="preserve">    tag_tu_pl: "&lt;a href=\"09_glossary.html#tag\" target=\"_blank\" data-bs-toggle=\"tooltip\" data-bs-title=\"Tag: 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level).\"&gt;Tags&lt;button type=\"button\" class=\"btn btn-bd-tip-info-hidden btn-sm position-relative\"&gt;.&lt;span class=\"position-absolute top-0 start-100 translate-middle\"&gt;{{ icon_info }}&lt;/span&gt;&lt;/button&gt;&lt;/a&gt;"</t>
  </si>
  <si>
    <t xml:space="preserve">    target_species_tu: "&lt;a href=\"09_glossary.html#target_species\" target=\"_blank\" data-bs-toggle=\"tooltip\" data-bs-title=\"Target Species: The common name(s) of the species that the survey was designed to detect.\"&gt;Target Species&lt;button type=\"button\" class=\"btn btn-bd-tip-info-hidden btn-sm position-relative\"&gt;.&lt;span class=\"position-absolute top-0 start-100 translate-middle\"&gt;{{ icon_info }}&lt;/span&gt;&lt;/button&gt;&lt;/a&gt;"</t>
  </si>
  <si>
    <t xml:space="preserve">    test_image_taken_tu: "&lt;a href=\"09_glossary.html#test_image_taken\" target=\"_blank\" data-bs-toggle=\"tooltip\" data-bs-title=\"Test Image Taken: Whether a test image (i.e., an image taken from a camera after it has been set up to provide a permanent record of the visit metadata) was taken. Arm the camera, from ~5 m in front, walk towards the camera while holding the Test Image Sheet.\"&gt;Test Image Taken&lt;button type=\"button\" class=\"btn btn-bd-tip-info-hidden btn-sm position-relative\"&gt;.&lt;span class=\"position-absolute top-0 start-100 translate-middle\"&gt;{{ icon_info }}&lt;/span&gt;&lt;/button&gt;&lt;/a&gt;"</t>
  </si>
  <si>
    <t xml:space="preserve">    test_image_tl: "&lt;a href=\"09_glossary.html#test_image\" target=\"_blank\" data-bs-toggle=\"tooltip\" data-bs-title=\"Test image: 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errors.\"&gt;test image&lt;button type=\"button\" class=\"btn btn-bd-tip-info-hidden btn-sm position-relative\"&gt;.&lt;span class=\"position-absolute top-0 start-100 translate-middle\"&gt;{{ icon_info }}&lt;/span&gt;&lt;/button&gt;&lt;/a&gt;"</t>
  </si>
  <si>
    <t xml:space="preserve">    test_image_tl_pl: "&lt;a href=\"09_glossary.html#test_image\" target=\"_blank\" data-bs-toggle=\"tooltip\" data-bs-title=\"Test image: 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errors.\"&gt;test images&lt;button type=\"button\" class=\"btn btn-bd-tip-info-hidden btn-sm position-relative\"&gt;.&lt;span class=\"position-absolute top-0 start-100 translate-middle\"&gt;{{ icon_info }}&lt;/span&gt;&lt;/button&gt;&lt;/a&gt;"</t>
  </si>
  <si>
    <t xml:space="preserve">    test_image_tu: "&lt;a href=\"09_glossary.html#test_image\" target=\"_blank\" data-bs-toggle=\"tooltip\" data-bs-title=\"Test image: 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errors.\"&gt;Test image&lt;button type=\"button\" class=\"btn btn-bd-tip-info-hidden btn-sm position-relative\"&gt;.&lt;span class=\"position-absolute top-0 start-100 translate-middle\"&gt;{{ icon_info }}&lt;/span&gt;&lt;/button&gt;&lt;/a&gt;"</t>
  </si>
  <si>
    <t xml:space="preserve">    test_image_tu_pl: "&lt;a href=\"09_glossary.html#test_image\" target=\"_blank\" data-bs-toggle=\"tooltip\" data-bs-title=\"Test image: 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errors.\"&gt;Test images&lt;button type=\"button\" class=\"btn btn-bd-tip-info-hidden btn-sm position-relative\"&gt;.&lt;span class=\"position-absolute top-0 start-100 translate-middle\"&gt;{{ icon_info }}&lt;/span&gt;&lt;/button&gt;&lt;/a&gt;"</t>
  </si>
  <si>
    <t xml:space="preserve">    timelapse_image_tl: "&lt;a href=\"09_glossary.html#timelapse_image\" target=\"_blank\" data-bs-toggle=\"tooltip\" data-bs-title=\"Time-lapse image: 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 estimators' such as REM or time-to-event (TTE) models; see Moeller et al., [2018] for advantages and disadvantages).\"&gt;time-lapse image&lt;button type=\"button\" class=\"btn btn-bd-tip-info-hidden btn-sm position-relative\"&gt;.&lt;span class=\"position-absolute top-0 start-100 translate-middle\"&gt;{{ icon_info }}&lt;/span&gt;&lt;/button&gt;&lt;/a&gt;"</t>
  </si>
  <si>
    <t xml:space="preserve">    timelapse_image_tl_pl: "&lt;a href=\"09_glossary.html#timelapse_image\" target=\"_blank\" data-bs-toggle=\"tooltip\" data-bs-title=\"Time-lapse image: 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 estimators' such as REM or time-to-event (TTE) models; see Moeller et al., [2018] for advantages and disadvantages).\"&gt;time-lapse images&lt;button type=\"button\" class=\"btn btn-bd-tip-info-hidden btn-sm position-relative\"&gt;.&lt;span class=\"position-absolute top-0 start-100 translate-middle\"&gt;{{ icon_info }}&lt;/span&gt;&lt;/button&gt;&lt;/a&gt;"</t>
  </si>
  <si>
    <t xml:space="preserve">    timelapse_image_tu: "&lt;a href=\"09_glossary.html#timelapse_image\" target=\"_blank\" data-bs-toggle=\"tooltip\" data-bs-title=\"Time-lapse image: 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 estimators' such as REM or time-to-event (TTE) models; see Moeller et al., [2018] for advantages and disadvantages).\"&gt;Time-lapse image&lt;button type=\"button\" class=\"btn btn-bd-tip-info-hidden btn-sm position-relative\"&gt;.&lt;span class=\"position-absolute top-0 start-100 translate-middle\"&gt;{{ icon_info }}&lt;/span&gt;&lt;/button&gt;&lt;/a&gt;"</t>
  </si>
  <si>
    <t xml:space="preserve">    timelapse_image_tu_pl: "&lt;a href=\"09_glossary.html#timelapse_image\" target=\"_blank\" data-bs-toggle=\"tooltip\" data-bs-title=\"Time-lapse image: 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 estimators' such as REM or time-to-event (TTE) models; see Moeller et al., [2018] for advantages and disadvantages).\"&gt;Time-lapse images&lt;button type=\"button\" class=\"btn btn-bd-tip-info-hidden btn-sm position-relative\"&gt;.&lt;span class=\"position-absolute top-0 start-100 translate-middle\"&gt;{{ icon_info }}&lt;/span&gt;&lt;/button&gt;&lt;/a&gt;"</t>
  </si>
  <si>
    <t xml:space="preserve">    total_number_of_cam_days_tl: "&lt;a href=\"09_glossary.html#total_number_of_cam_days\" target=\"_blank\" data-bs-toggle=\"tooltip\" data-bs-title=\"Total number of camera days: The number of days that all cameras were active during the survey.\"&gt;total number of camera days&lt;button type=\"button\" class=\"btn btn-bd-tip-info-hidden btn-sm position-relative\"&gt;.&lt;span class=\"position-absolute top-0 start-100 translate-middle\"&gt;{{ icon_info }}&lt;/span&gt;&lt;/button&gt;&lt;/a&gt;"</t>
  </si>
  <si>
    <t xml:space="preserve">    total_number_of_cam_days_tu: "&lt;a href=\"09_glossary.html#total_number_of_cam_days\" target=\"_blank\" data-bs-toggle=\"tooltip\" data-bs-title=\"Total number of camera days: The number of days that all cameras were active during the survey.\"&gt;Total number of camera days&lt;button type=\"button\" class=\"btn btn-bd-tip-info-hidden btn-sm position-relative\"&gt;.&lt;span class=\"position-absolute top-0 start-100 translate-middle\"&gt;{{ icon_info }}&lt;/span&gt;&lt;/button&gt;&lt;/a&gt;"</t>
  </si>
  <si>
    <t xml:space="preserve">    trigger_event_tl: "&lt;a href=\"09_glossary.html#trigger_event\" target=\"_blank\" data-bs-toggle=\"tooltip\" data-bs-title=\"Trigger 'event': An activation of the camera detector(s) that initiates the capture of a single or multiple images, or the recording of video.\"&gt;trigger 'event'&lt;button type=\"button\" class=\"btn btn-bd-tip-info-hidden btn-sm position-relative\"&gt;.&lt;span class=\"position-absolute top-0 start-100 translate-middle\"&gt;{{ icon_info }}&lt;/span&gt;&lt;/button&gt;&lt;/a&gt;"</t>
  </si>
  <si>
    <t xml:space="preserve">    trigger_event_tl_abrv: "&lt;a href=\"09_glossary.html#trigger_event\" target=\"_blank\" data-bs-toggle=\"tooltip\" data-bs-title=\"Trigger 'event': An activation of the camera detector(s) that initiates the capture of a single or multiple images, or the recording of video.\"&gt;triggers&lt;button type=\"button\" class=\"btn btn-bd-tip-info-hidden btn-sm position-relative\"&gt;.&lt;span class=\"position-absolute top-0 start-100 translate-middle\"&gt;{{ icon_info }}&lt;/span&gt;&lt;/button&gt;&lt;/a&gt;"</t>
  </si>
  <si>
    <t xml:space="preserve">    trigger_event_tu: "&lt;a href=\"09_glossary.html#trigger_event\" target=\"_blank\" data-bs-toggle=\"tooltip\" data-bs-title=\"Trigger 'event': An activation of the camera detector(s) that initiates the capture of a single or multiple images, or the recording of video.\"&gt;Trigger 'event'&lt;button type=\"button\" class=\"btn btn-bd-tip-info-hidden btn-sm position-relative\"&gt;.&lt;span class=\"position-absolute top-0 start-100 translate-middle\"&gt;{{ icon_info }}&lt;/span&gt;&lt;/button&gt;&lt;/a&gt;"</t>
  </si>
  <si>
    <t xml:space="preserve">    trigger_speed_tl: "&lt;a href=\"09_glossary.html#trigger_speed\" target=\"_blank\" data-bs-toggle=\"tooltip\" data-bs-title=\"Trigger speed: The time delay necessary for the camera to shoot a photo once an animal has interrupted the infrared beam within the camera's detection zone (Trolliet et al., 2014). Trigger speed differs from Motion Image Interval (a camera setting specified by the user) in that the trigger speed is inherent to the Camera Make and Camera Model (e.g., two different cameras, models both with a Motion Image Interval set to 'no delay,' may not be able to capture images at the same speed).\"&gt;trigger speed&lt;button type=\"button\" class=\"btn btn-bd-tip-info-hidden btn-sm position-relative\"&gt;.&lt;span class=\"position-absolute top-0 start-100 translate-middle\"&gt;{{ icon_info }}&lt;/span&gt;&lt;/button&gt;&lt;/a&gt;"</t>
  </si>
  <si>
    <t xml:space="preserve">    trigger_speed_tu: "&lt;a href=\"09_glossary.html#trigger_speed\" target=\"_blank\" data-bs-toggle=\"tooltip\" data-bs-title=\"Trigger speed: The time delay necessary for the camera to shoot a photo once an animal has interrupted the infrared beam within the camera's detection zone (Trolliet et al., 2014). Trigger speed differs from Motion Image Interval (a camera setting specified by the user) in that the trigger speed is inherent to the Camera Make and Camera Model (e.g., two different cameras, models both with a Motion Image Interval set to 'no delay,' may not be able to capture images at the same speed).\"&gt;Trigger speed&lt;button type=\"button\" class=\"btn btn-bd-tip-info-hidden btn-sm position-relative\"&gt;.&lt;span class=\"position-absolute top-0 start-100 translate-middle\"&gt;{{ icon_info }}&lt;/span&gt;&lt;/button&gt;&lt;/a&gt;"</t>
  </si>
  <si>
    <t xml:space="preserve">    typeid_marked_tl_abrv: "&lt;a href=\"09_glossary.html#typeid_marked\" target=\"_blank\" data-bs-toggle=\"tooltip\" data-bs-title=\"Marked individuals / populations / species: Individuals, populations, or species (varies with modelling approach and context) that can be identified using natural or artificial markings (e.g., coat patterns, scars, tags, collars).\"&gt;marked&lt;button type=\"button\" class=\"btn btn-bd-tip-info-hidden btn-sm position-relative\"&gt;.&lt;span class=\"position-absolute top-0 start-100 translate-middle\"&gt;{{ icon_info }}&lt;/span&gt;&lt;/button&gt;&lt;/a&gt;"</t>
  </si>
  <si>
    <t xml:space="preserve">    typeid_marked_tl_full: "&lt;a href=\"09_glossary.html#typeid_marked\" target=\"_blank\" data-bs-toggle=\"tooltip\" data-bs-title=\"Marked individuals / populations / species: Individuals, populations, or species (varies with modelling approach and context) that can be identified using natural or artificial markings (e.g., coat patterns, scars, tags, collars).\"&gt;marked individuals / populations / species&lt;button type=\"button\" class=\"btn btn-bd-tip-info-hidden btn-sm position-relative\"&gt;.&lt;span class=\"position-absolute top-0 start-100 translate-middle\"&gt;{{ icon_info }}&lt;/span&gt;&lt;/button&gt;&lt;/a&gt;"</t>
  </si>
  <si>
    <t xml:space="preserve">    typeid_marked_tl_mod: "&lt;a href=\"09_glossary.html#typeid_marked\" target=\"_blank\" data-bs-toggle=\"tooltip\" data-bs-title=\"Individuals, populations, or species (varies with modelling approach and context) that can be identified using natural or artificial markings (e.g., coat patterns, scars, tags, collars).\"&gt;marking&lt;button type=\"button\" class=\"btn btn-bd-tip-info-hidden btn-sm position-relative\"&gt;.&lt;span class=\"position-absolute top-0 start-100 translate-middle\"&gt;{{ icon_info }}&lt;/span&gt;&lt;/button&gt;&lt;/a&gt;"</t>
  </si>
  <si>
    <t xml:space="preserve">    typeid_marked_tu_abrv: "&lt;a href=\"09_glossary.html#typeid_marked\" target=\"_blank\" data-bs-toggle=\"tooltip\" data-bs-title=\"Marked individuals / populations / species: Individuals, populations, or species (varies with modelling approach and context) that can be identified using natural or artificial markings (e.g., coat patterns, scars, tags, collars).\"&gt;Marked&lt;button type=\"button\" class=\"btn btn-bd-tip-info-hidden btn-sm position-relative\"&gt;.&lt;span class=\"position-absolute top-0 start-100 translate-middle\"&gt;{{ icon_info }}&lt;/span&gt;&lt;/button&gt;&lt;/a&gt;"</t>
  </si>
  <si>
    <t xml:space="preserve">    typeid_marked_tu_full: "&lt;a href=\"09_glossary.html#typeid_marked\" target=\"_blank\" data-bs-toggle=\"tooltip\" data-bs-title=\"Marked individuals / populations / species: Individuals, populations, or species (varies with modelling approach and context) that can be identified using natural or artificial markings (e.g., coat patterns, scars, tags, collars).\"&gt;Marked individuals / populations / species&lt;button type=\"button\" class=\"btn btn-bd-tip-info-hidden btn-sm position-relative\"&gt;.&lt;span class=\"position-absolute top-0 start-100 translate-middle\"&gt;{{ icon_info }}&lt;/span&gt;&lt;/button&gt;&lt;/a&gt;"</t>
  </si>
  <si>
    <t xml:space="preserve">    typeid_marked_tu_mod: "&lt;a href=\"09_glossary.html#typeid_marked\" target=\"_blank\" data-bs-toggle=\"tooltip\" data-bs-title=\"Individuals, populations, or species (varies with modelling approach and context) that can be identified using natural or artificial markings (e.g., coat patterns, scars, tags, collars).\"&gt;Marking&lt;button type=\"button\" class=\"btn btn-bd-tip-info-hidden btn-sm position-relative\"&gt;.&lt;span class=\"position-absolute top-0 start-100 translate-middle\"&gt;{{ icon_info }}&lt;/span&gt;&lt;/button&gt;&lt;/a&gt;"</t>
  </si>
  <si>
    <t xml:space="preserve">    typeid_partially_marked_tl_abrv: "&lt;a href=\"09_glossary.html#typeid_partially_marked\" target=\"_blank\" data-bs-toggle=\"tooltip\" data-bs-title=\"Partially marked individuals / populations / species: 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marked.\"&gt;partially marked&lt;button type=\"button\" class=\"btn btn-bd-tip-info-hidden btn-sm position-relative\"&gt;.&lt;span class=\"position-absolute top-0 start-100 translate-middle\"&gt;{{ icon_info }}&lt;/span&gt;&lt;/button&gt;&lt;/a&gt;"</t>
  </si>
  <si>
    <t xml:space="preserve">    typeid_partially_marked_tl_full: "&lt;a href=\"09_glossary.html#typeid_partially_marked\" target=\"_blank\" data-bs-toggle=\"tooltip\" data-bs-title=\"Partially marked individuals / populations / species: 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marked.\"&gt;partially marked individuals / populations / species&lt;button type=\"button\" class=\"btn btn-bd-tip-info-hidden btn-sm position-relative\"&gt;.&lt;span class=\"position-absolute top-0 start-100 translate-middle\"&gt;{{ icon_info }}&lt;/span&gt;&lt;/button&gt;&lt;/a&gt;"</t>
  </si>
  <si>
    <t xml:space="preserve">    typeid_partially_marked_tu_abrv: "&lt;a href=\"09_glossary.html#typeid_partially_marked\" target=\"_blank\" data-bs-toggle=\"tooltip\" data-bs-title=\"Partially marked individuals / populations / species: 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marked.\"&gt;Partially marked&lt;button type=\"button\" class=\"btn btn-bd-tip-info-hidden btn-sm position-relative\"&gt;.&lt;span class=\"position-absolute top-0 start-100 translate-middle\"&gt;{{ icon_info }}&lt;/span&gt;&lt;/button&gt;&lt;/a&gt;"</t>
  </si>
  <si>
    <t xml:space="preserve">    typeid_partially_marked_tu_full: "&lt;a href=\"09_glossary.html#typeid_partially_marked\" target=\"_blank\" data-bs-toggle=\"tooltip\" data-bs-title=\"Partially marked individuals / populations / species: 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marked.\"&gt;Partially marked individuals / populations / species&lt;button type=\"button\" class=\"btn btn-bd-tip-info-hidden btn-sm position-relative\"&gt;.&lt;span class=\"position-absolute top-0 start-100 translate-middle\"&gt;{{ icon_info }}&lt;/span&gt;&lt;/button&gt;&lt;/a&gt;"</t>
  </si>
  <si>
    <t xml:space="preserve">    typeid_unmarked_tl_abrv: "&lt;a href=\"09_glossary.html#typeid_unmarked\" target=\"_blank\" data-bs-toggle=\"tooltip\" data-bs-title=\"Unmarked individuals / populations / species: 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2022).\"&gt;unmarked&lt;button type=\"button\" class=\"btn btn-bd-tip-info-hidden btn-sm position-relative\"&gt;.&lt;span class=\"position-absolute top-0 start-100 translate-middle\"&gt;{{ icon_info }}&lt;/span&gt;&lt;/button&gt;&lt;/a&gt;"</t>
  </si>
  <si>
    <t xml:space="preserve">    typeid_unmarked_tl_full: "&lt;a href=\"09_glossary.html#typeid_unmarked\" target=\"_blank\" data-bs-toggle=\"tooltip\" data-bs-title=\"Unmarked individuals / populations / species: 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2022).\"&gt;unmarked individuals / populations / species&lt;button type=\"button\" class=\"btn btn-bd-tip-info-hidden btn-sm position-relative\"&gt;.&lt;span class=\"position-absolute top-0 start-100 translate-middle\"&gt;{{ icon_info }}&lt;/span&gt;&lt;/button&gt;&lt;/a&gt;"</t>
  </si>
  <si>
    <t xml:space="preserve">    typeid_unmarked_tu_abrv: "&lt;a href=\"09_glossary.html#typeid_unmarked\" target=\"_blank\" data-bs-toggle=\"tooltip\" data-bs-title=\"Unmarked individuals / populations / species: 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2022).\"&gt;Unmarked&lt;button type=\"button\" class=\"btn btn-bd-tip-info-hidden btn-sm position-relative\"&gt;.&lt;span class=\"position-absolute top-0 start-100 translate-middle\"&gt;{{ icon_info }}&lt;/span&gt;&lt;/button&gt;&lt;/a&gt;"</t>
  </si>
  <si>
    <t xml:space="preserve">    typeid_unmarked_tu_full: "&lt;a href=\"09_glossary.html#typeid_unmarked\" target=\"_blank\" data-bs-toggle=\"tooltip\" data-bs-title=\"Unmarked individuals / populations / species: 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2022).\"&gt;Unmarked individuals / populations / species&lt;button type=\"button\" class=\"btn btn-bd-tip-info-hidden btn-sm position-relative\"&gt;.&lt;span class=\"position-absolute top-0 start-100 translate-middle\"&gt;{{ icon_info }}&lt;/span&gt;&lt;/button&gt;&lt;/a&gt;"</t>
  </si>
  <si>
    <t xml:space="preserve">    use_intensity_tl: "&lt;a href=\"09_glossary.html#use_intensity\" target=\"_blank\" data-bs-toggle=\"tooltip\" data-bs-title=\"Intensity of use: 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2013).\"&gt;intensity of use&lt;button type=\"button\" class=\"btn btn-bd-tip-info-hidden btn-sm position-relative\"&gt;.&lt;span class=\"position-absolute top-0 start-100 translate-middle\"&gt;{{ icon_info }}&lt;/span&gt;&lt;/button&gt;&lt;/a&gt;"</t>
  </si>
  <si>
    <t xml:space="preserve">    use_intensity_tl_ref: "&lt;a href=\"09_glossary.html#use_intensity\" target=\"_blank\" data-bs-toggle=\"tooltip\" data-bs-title=\"Intensity of use: 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2013).\"&gt;intensity of use (Keim et al., 2019)&lt;button type=\"button\" class=\"btn btn-bd-tip-info-hidden btn-sm position-relative\"&gt;.&lt;span class=\"position-absolute top-0 start-100 translate-middle\"&gt;{{ icon_info }}&lt;/span&gt;&lt;/button&gt;&lt;/a&gt;"</t>
  </si>
  <si>
    <t xml:space="preserve">    use_intensity_tu: "&lt;a href=\"09_glossary.html#use_intensity\" target=\"_blank\" data-bs-toggle=\"tooltip\" data-bs-title=\"Intensity of use: 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2013).\"&gt;Intensity of use&lt;button type=\"button\" class=\"btn btn-bd-tip-info-hidden btn-sm position-relative\"&gt;.&lt;span class=\"position-absolute top-0 start-100 translate-middle\"&gt;{{ icon_info }}&lt;/span&gt;&lt;/button&gt;&lt;/a&gt;"</t>
  </si>
  <si>
    <t xml:space="preserve">    use_intensity_tu_ref: "&lt;a href=\"09_glossary.html#use_intensity\" target=\"_blank\" data-bs-toggle=\"tooltip\" data-bs-title=\"Intensity of use: 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2013).\"&gt;Intensity of use (Keim et al., 2019)&lt;button type=\"button\" class=\"btn btn-bd-tip-info-hidden btn-sm position-relative\"&gt;.&lt;span class=\"position-absolute top-0 start-100 translate-middle\"&gt;{{ icon_info }}&lt;/span&gt;&lt;/button&gt;&lt;/a&gt;"</t>
  </si>
  <si>
    <t xml:space="preserve">    use_probability_tl: "&lt;a href=\"09_glossary.html#use_probability\" target=\"_blank\" data-bs-toggle=\"tooltip\" data-bs-title=\"Probability of use: The probability of at least one, use event of that resource unit during a unit of time' (i.e.,  would a particular resource unit be used at least once) (Keim et al., 2019).\"&gt;probability of use&lt;button type=\"button\" class=\"btn btn-bd-tip-info-hidden btn-sm position-relative\"&gt;.&lt;span class=\"position-absolute top-0 start-100 translate-middle\"&gt;{{ icon_info }}&lt;/span&gt;&lt;/button&gt;&lt;/a&gt;"</t>
  </si>
  <si>
    <t xml:space="preserve">    use_probability_tu: "&lt;a href=\"09_glossary.html#use_probability\" target=\"_blank\" data-bs-toggle=\"tooltip\" data-bs-title=\"Probability of use: The probability of at least one, use event of that resource unit during a unit of time' (i.e.,  would a particular resource unit be used at least once) (Keim et al., 2019).\"&gt;Probability of use&lt;button type=\"button\" class=\"btn btn-bd-tip-info-hidden btn-sm position-relative\"&gt;.&lt;span class=\"position-absolute top-0 start-100 translate-middle\"&gt;{{ icon_info }}&lt;/span&gt;&lt;/button&gt;&lt;/a&gt;"</t>
  </si>
  <si>
    <t xml:space="preserve">    utm_zone_cam_location_tu: "&lt;a href=\"09_glossary.html#utm_zone_cam_location\" target=\"_blank\" data-bs-toggle=\"tooltip\" data-bs-title=\"UTM Zone Camera Location: The number corresponding to the Universal Transverse Mercator (UTM) grid zone where the camera was placed (e.g., '12'). UTM is a coordinate system that divides the earth into grid zones that are identified with a number (representing a width of latitude) and letter (representing the hemisphere). &lt;br&gt; &lt;br&gt;In Alberta the UTM zones are either 11, 12, or TTM. Enter all other UTM zones in the Camera Location Comments field (e.g., zones 7-10 for British Columbia), or use Latitude and Longitude instead of UTM coordinates. &lt;br&gt; &lt;br&gt;\"&gt;UTM Zone Camera Location&lt;button type=\"button\" class=\"btn btn-bd-tip-info-hidden btn-sm position-relative\"&gt;.&lt;span class=\"position-absolute top-0 start-100 translate-middle\"&gt;{{ icon_info }}&lt;/span&gt;&lt;/button&gt;&lt;/a&gt;"</t>
  </si>
  <si>
    <t xml:space="preserve">    variance_tl: "&lt;a href=\"09_glossary.html#variance\" target=\"_blank\" data-bs-toggle=\"tooltip\" data-bs-title=\"The spread of numbers in a dataset compared to the mean of the dataset' (Clarke et al., 2023).\"&gt;variance&lt;button type=\"button\" class=\"btn btn-bd-tip-info-hidden btn-sm position-relative\"&gt;.&lt;span class=\"position-absolute top-0 start-100 translate-middle\"&gt;{{ icon_info }}&lt;/span&gt;&lt;/button&gt;&lt;/a&gt;"</t>
  </si>
  <si>
    <t xml:space="preserve">    variance_tu: "&lt;a href=\"09_glossary.html#variance\" target=\"_blank\" data-bs-toggle=\"tooltip\" data-bs-title=\"The spread of numbers in a dataset compared to the mean of the dataset' (Clarke et al., 2023).\"&gt;Variance&lt;button type=\"button\" class=\"btn btn-bd-tip-info-hidden btn-sm position-relative\"&gt;.&lt;span class=\"position-absolute top-0 start-100 translate-middle\"&gt;{{ icon_info }}&lt;/span&gt;&lt;/button&gt;&lt;/a&gt;"</t>
  </si>
  <si>
    <t xml:space="preserve">    visit_comments_tu: "&lt;a href=\"09_glossary.html#visit_comments\" target=\"_blank\" data-bs-toggle=\"tooltip\" data-bs-title=\"Visit Comments: Comments describing additional details about the deployment and*/or Service*/Retrieval visits.\"&gt;Visit Comments&lt;button type=\"button\" class=\"btn btn-bd-tip-info-hidden btn-sm position-relative\"&gt;.&lt;span class=\"position-absolute top-0 start-100 translate-middle\"&gt;{{ icon_info }}&lt;/span&gt;&lt;/button&gt;&lt;/a&gt;"</t>
  </si>
  <si>
    <t xml:space="preserve">    visit_metadata_tl: "&lt;a href=\"09_glossary.html#visit_metadata\" target=\"_blank\" data-bs-toggle=\"tooltip\" data-bs-title=\"Visit metadata: Metadata that should be collected each time a camera location is visited to deploy, Service*/Retrieval Field Datasheet.\"&gt;visit metadata&lt;button type=\"button\" class=\"btn btn-bd-tip-info-hidden btn-sm position-relative\"&gt;.&lt;span class=\"position-absolute top-0 start-100 translate-middle\"&gt;{{ icon_info }}&lt;/span&gt;&lt;/button&gt;&lt;/a&gt;"</t>
  </si>
  <si>
    <t xml:space="preserve">    visit_metadata_tu: "&lt;a href=\"09_glossary.html#visit_metadata\" target=\"_blank\" data-bs-toggle=\"tooltip\" data-bs-title=\"Visit metadata: Metadata that should be collected each time a camera location is visited to deploy, Service*/Retrieval Field Datasheet.\"&gt;Visit metadata&lt;button type=\"button\" class=\"btn btn-bd-tip-info-hidden btn-sm position-relative\"&gt;.&lt;span class=\"position-absolute top-0 start-100 translate-middle\"&gt;{{ icon_info }}&lt;/span&gt;&lt;/button&gt;&lt;/a&gt;"</t>
  </si>
  <si>
    <t xml:space="preserve">    visit_tl: "&lt;a href=\"09_glossary.html#visit\" target=\"_blank\" data-bs-toggle=\"tooltip\" data-bs-title=\"Visit: When a crew has gone to a location to deploy, service, or retrieve a remote camera.\"&gt;visit&lt;button type=\"button\" class=\"btn btn-bd-tip-info-hidden btn-sm position-relative\"&gt;.&lt;span class=\"position-absolute top-0 start-100 translate-middle\"&gt;{{ icon_info }}&lt;/span&gt;&lt;/button&gt;&lt;/a&gt;"</t>
  </si>
  <si>
    <t xml:space="preserve">    visit_tl_pl: "&lt;a href=\"09_glossary.html#visit\" target=\"_blank\" data-bs-toggle=\"tooltip\" data-bs-title=\"Visit: When a crew has gone to a location to deploy, service, or retrieve a remote camera.\"&gt;visits&lt;button type=\"button\" class=\"btn btn-bd-tip-info-hidden btn-sm position-relative\"&gt;.&lt;span class=\"position-absolute top-0 start-100 translate-middle\"&gt;{{ icon_info }}&lt;/span&gt;&lt;/button&gt;&lt;/a&gt;"</t>
  </si>
  <si>
    <t xml:space="preserve">    visit_tu: "&lt;a href=\"09_glossary.html#visit\" target=\"_blank\" data-bs-toggle=\"tooltip\" data-bs-title=\"Visit: When a crew has gone to a location to deploy, service, or retrieve a remote camera.\"&gt;Visit&lt;button type=\"button\" class=\"btn btn-bd-tip-info-hidden btn-sm position-relative\"&gt;.&lt;span class=\"position-absolute top-0 start-100 translate-middle\"&gt;{{ icon_info }}&lt;/span&gt;&lt;/button&gt;&lt;/a&gt;"</t>
  </si>
  <si>
    <t xml:space="preserve">    visit_tu_pl: "&lt;a href=\"09_glossary.html#visit\" target=\"_blank\" data-bs-toggle=\"tooltip\" data-bs-title=\"Visit: When a crew has gone to a location to deploy, service, or retrieve a remote camera.\"&gt;Visits&lt;button type=\"button\" class=\"btn btn-bd-tip-info-hidden btn-sm position-relative\"&gt;.&lt;span class=\"position-absolute top-0 start-100 translate-middle\"&gt;{{ icon_info }}&lt;/span&gt;&lt;/button&gt;&lt;/a&gt;"</t>
  </si>
  <si>
    <t xml:space="preserve">    walktest_complete_tu: "&lt;a href=\"09_glossary.html#walktest_complete\" target=\"_blank\" data-bs-toggle=\"tooltip\" data-bs-title=\"Walktest Complete: Whether a walktest was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flash).\"&gt;Walktest Complete&lt;button type=\"button\" class=\"btn btn-bd-tip-info-hidden btn-sm position-relative\"&gt;.&lt;span class=\"position-absolute top-0 start-100 translate-middle\"&gt;{{ icon_info }}&lt;/span&gt;&lt;/button&gt;&lt;/a&gt;"</t>
  </si>
  <si>
    <t xml:space="preserve">    walktest_distance_tu_nu: "&lt;a href=\"09_glossary.html#walktest_distance\" target=\"_blank\" data-bs-toggle=\"tooltip\" data-bs-title=\"Walktest Distance (m): The horizontal distance from the camera at which the crew performs the walktest (metres; to the nearest 0.05 m). Leave blank if not applicable.\"&gt;Walktest Distance&lt;button type=\"button\" class=\"btn btn-bd-tip-info-hidden btn-sm position-relative\"&gt;.&lt;span class=\"position-absolute top-0 start-100 translate-middle\"&gt;{{ icon_info }}&lt;/span&gt;&lt;/button&gt;&lt;/a&gt;"</t>
  </si>
  <si>
    <t xml:space="preserve">    walktest_distance_tu_u: "&lt;a href=\"09_glossary.html#walktest_distance\" target=\"_blank\" data-bs-toggle=\"tooltip\" data-bs-title=\"Walktest Distance (m): The horizontal distance from the camera at which the crew performs the walktest (metres; to the nearest 0.05 m). Leave blank if not applicable.\"&gt;Walktest Distance (m)&lt;button type=\"button\" class=\"btn btn-bd-tip-info-hidden btn-sm position-relative\"&gt;.&lt;span class=\"position-absolute top-0 start-100 translate-middle\"&gt;{{ icon_info }}&lt;/span&gt;&lt;/button&gt;&lt;/a&gt;"</t>
  </si>
  <si>
    <t xml:space="preserve">    walktest_height_tu_nu: "&lt;a href=\"09_glossary.html#walktest_height\" target=\"_blank\" data-bs-toggle=\"tooltip\" data-bs-title=\"Walktest Height (m): The vertical distance from the camera at which the crew performs the walktest (metres; to the nearest 0.05 m). Leave blank if not applicable.\"&gt;Walktest Height&lt;button type=\"button\" class=\"btn btn-bd-tip-info-hidden btn-sm position-relative\"&gt;.&lt;span class=\"position-absolute top-0 start-100 translate-middle\"&gt;{{ icon_info }}&lt;/span&gt;&lt;/button&gt;&lt;/a&gt;"</t>
  </si>
  <si>
    <t xml:space="preserve">    walktest_height_tu_u: "&lt;a href=\"09_glossary.html#walktest_height\" target=\"_blank\" data-bs-toggle=\"tooltip\" data-bs-title=\"Walktest Height (m): The vertical distance from the camera at which the crew performs the walktest (metres; to the nearest 0.05 m). Leave blank if not applicable.\"&gt;Walktest Height (m)&lt;button type=\"button\" class=\"btn btn-bd-tip-info-hidden btn-sm position-relative\"&gt;.&lt;span class=\"position-absolute top-0 start-100 translate-middle\"&gt;{{ icon_info }}&lt;/span&gt;&lt;/button&gt;&lt;/a&gt;"</t>
  </si>
  <si>
    <t xml:space="preserve">    walktest_tl: "&lt;a href=\"09_glossary.html#walktest\" target=\"_blank\" data-bs-toggle=\"tooltip\" data-bs-title=\"Walktest: A test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flash).\"&gt;walktest&lt;button type=\"button\" class=\"btn btn-bd-tip-info-hidden btn-sm position-relative\"&gt;.&lt;span class=\"position-absolute top-0 start-100 translate-middle\"&gt;{{ icon_info }}&lt;/span&gt;&lt;/button&gt;&lt;/a&gt;"</t>
  </si>
  <si>
    <t xml:space="preserve">    walktest_tu: "&lt;a href=\"09_glossary.html#walktest\" target=\"_blank\" data-bs-toggle=\"tooltip\" data-bs-title=\"Walktest: A test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flash).\"&gt;Walktest&lt;button type=\"button\" class=\"btn btn-bd-tip-info-hidden btn-sm position-relative\"&gt;.&lt;span class=\"position-absolute top-0 start-100 translate-middle\"&gt;{{ icon_info }}&lt;/span&gt;&lt;/button&gt;&lt;/a&gt;"</t>
  </si>
  <si>
    <t xml:space="preserve">    hr_tl: "&lt;a href=\"09_glossary.html#hr\" target=\"_blank\" data-bs-toggle=\"tooltip\" data-bs-title=\"Home range: the area within which an animal normally lives and finds what it needs to survive and reproduce.\"&gt;home range&lt;button type=\"button\" class=\"btn btn-bd-tip-info-hidden btn-sm position-relative\"&gt;.&lt;span class=\"position-absolute top-0 start-100 translate-middle\"&gt;{{ icon_info }}&lt;/span&gt;&lt;/button&gt;&lt;/a&gt;"</t>
  </si>
  <si>
    <t xml:space="preserve">    hr_tl_pl: "&lt;a href=\"09_glossary.html#hr\" target=\"_blank\" data-bs-toggle=\"tooltip\" data-bs-title=\"Home range: the area within which an animal normally lives and finds what it needs to survive and reproduce.\"&gt;home ranges&lt;button type=\"button\" class=\"btn btn-bd-tip-info-hidden btn-sm position-relative\"&gt;.&lt;span class=\"position-absolute top-0 start-100 translate-middle\"&gt;{{ icon_info }}&lt;/span&gt;&lt;/button&gt;&lt;/a&gt;"</t>
  </si>
  <si>
    <t xml:space="preserve">    hr_tu: "&lt;a href=\"09_glossary.html#hr\" target=\"_blank\" data-bs-toggle=\"tooltip\" data-bs-title=\"Home range: the area within which an animal normally lives and finds what it needs to survive and reproduce.\"&gt;Home range&lt;button type=\"button\" class=\"btn btn-bd-tip-info-hidden btn-sm position-relative\"&gt;.&lt;span class=\"position-absolute top-0 start-100 translate-middle\"&gt;{{ icon_info }}&lt;/span&gt;&lt;/button&gt;&lt;/a&gt;"</t>
  </si>
  <si>
    <t xml:space="preserve">    hr_tu_pl: "&lt;a href=\"09_glossary.html#hr\" target=\"_blank\" data-bs-toggle=\"tooltip\" data-bs-title=\"Home range: the area within which an animal normally lives and finds what it needs to survive and reproduce.\"&gt;Home ranges&lt;button type=\"button\" class=\"btn btn-bd-tip-info-hidden btn-sm position-relative\"&gt;.&lt;span class=\"position-absolute top-0 start-100 translate-middle\"&gt;{{ icon_info }}&lt;/span&gt;&lt;/button&gt;&lt;/a&gt;"</t>
  </si>
  <si>
    <t>clustered</t>
  </si>
  <si>
    <t>{{ sampledesign_stratified_random_tl_abrv }}</t>
  </si>
  <si>
    <t>simple random</t>
  </si>
  <si>
    <t>abrv3</t>
  </si>
  <si>
    <t>Clustered</t>
  </si>
  <si>
    <t>{{ use_intensity_tl }}</t>
  </si>
  <si>
    <t>{{ sampledesign_clustered_tl_abrv }}</t>
  </si>
  <si>
    <t>{{ sampledesign_targeted_tl_abrv }}</t>
  </si>
  <si>
    <t>{{ obj_occupancy_tl }}</t>
  </si>
  <si>
    <t>convenience sampling</t>
  </si>
  <si>
    <t>Convenience sampling</t>
  </si>
  <si>
    <t>{{ obj_vital_rate_tu }}</t>
  </si>
  <si>
    <t>Birth rate</t>
  </si>
  <si>
    <r>
      <t xml:space="preserve">is the process by which new individuals are added to an existing population, whether by birth and maturation or by immigration. </t>
    </r>
    <r>
      <rPr>
        <b/>
        <sz val="12"/>
        <color rgb="FF000000"/>
        <rFont val="Calibri"/>
        <family val="2"/>
      </rPr>
      <t xml:space="preserve">Recruitment rate </t>
    </r>
    <r>
      <rPr>
        <sz val="12"/>
        <color theme="1"/>
        <rFont val="Calibri"/>
        <family val="2"/>
      </rPr>
      <t>is really a measure of how many individuals are added to the reproductive pool; individuals are considered to have been recruited once they've reached a certain age ({{ ts_species_dependent }}), and this age is generally related to when they begin to reproduce. (modified from {{ rtxt_nbckc_2024a }})</t>
    </r>
  </si>
  <si>
    <t>Population growth rate</t>
  </si>
  <si>
    <t>The rate of population growth over time. Used as a short-term estimator of growth trend. May also be refferred to as 'The rate of population change'. The rate of population change (increase or decrease) can be estimated, for example, from two or more population estimates (or relative abundance indices) over time.' ({{ rtxt_nbckc_2024a }})</t>
  </si>
  <si>
    <t>obj_vital_rate_birth</t>
  </si>
  <si>
    <t>obj_vital_rate_recruitment</t>
  </si>
  <si>
    <t>obj_vital_rate_popln_growth</t>
  </si>
  <si>
    <t>The average number of offspring produced per individual per unit time.' ({{ rtxt_nbckc_2024a }})</t>
  </si>
  <si>
    <t>key_ref</t>
  </si>
  <si>
    <t>Behaviour (tag)</t>
  </si>
  <si>
    <t>dddd</t>
  </si>
  <si>
    <t>merged</t>
  </si>
  <si>
    <t>merged2</t>
  </si>
  <si>
    <t>{{ sampledesign_targeted_tu }}</t>
  </si>
  <si>
    <t>cryptic</t>
  </si>
  <si>
    <t>elusive</t>
  </si>
  <si>
    <t xml:space="preserve">    mod_appl_mod_2flankspim</t>
  </si>
  <si>
    <t xml:space="preserve">    mod_appl_mod_behaviour</t>
  </si>
  <si>
    <t xml:space="preserve">    mod_appl_mod_catspim</t>
  </si>
  <si>
    <t xml:space="preserve">    mod_appl_mod_cr_cmr</t>
  </si>
  <si>
    <t xml:space="preserve">    mod_appl_mod_divers_rich_alpha</t>
  </si>
  <si>
    <t xml:space="preserve">    mod_appl_mod_divers_rich_beta</t>
  </si>
  <si>
    <t xml:space="preserve">    mod_appl_mod_divers_rich_divers</t>
  </si>
  <si>
    <t xml:space="preserve">    mod_appl_mod_divers_rich_gamma</t>
  </si>
  <si>
    <t xml:space="preserve">    mod_appl_mod_divers_rich_rich</t>
  </si>
  <si>
    <t xml:space="preserve">    mod_appl_mod_ds</t>
  </si>
  <si>
    <t xml:space="preserve">    mod_appl_mod_inventory</t>
  </si>
  <si>
    <t xml:space="preserve">    mod_appl_mod_is</t>
  </si>
  <si>
    <t xml:space="preserve">    mod_appl_mod_occupancy</t>
  </si>
  <si>
    <t xml:space="preserve">    mod_appl_mod_rai_hurdle</t>
  </si>
  <si>
    <t xml:space="preserve">    mod_appl_mod_rai_nb</t>
  </si>
  <si>
    <t xml:space="preserve">    mod_appl_mod_rai</t>
  </si>
  <si>
    <t xml:space="preserve">    mod_appl_mod_rai_zinb</t>
  </si>
  <si>
    <t xml:space="preserve">    mod_appl_mod_rai_zip</t>
  </si>
  <si>
    <t xml:space="preserve">    mod_appl_mod_rem</t>
  </si>
  <si>
    <t xml:space="preserve">    mod_appl_mod_rest</t>
  </si>
  <si>
    <t xml:space="preserve">    mod_appl_mod_sc</t>
  </si>
  <si>
    <t xml:space="preserve">    mod_appl_mod_scr_secr</t>
  </si>
  <si>
    <t xml:space="preserve">    mod_appl_mod_smr</t>
  </si>
  <si>
    <t xml:space="preserve">    mod_appl_mod_ste</t>
  </si>
  <si>
    <t xml:space="preserve">    mod_appl_mod_tifc</t>
  </si>
  <si>
    <t xml:space="preserve">    mod_appl_mod_tte</t>
  </si>
  <si>
    <t xml:space="preserve">    name_mod_2flankspim</t>
  </si>
  <si>
    <t xml:space="preserve">    name_mod_behaviour</t>
  </si>
  <si>
    <t xml:space="preserve">    name_mod_catspim</t>
  </si>
  <si>
    <t xml:space="preserve">    name_mod_cr_cmr</t>
  </si>
  <si>
    <t xml:space="preserve">    name_mod_divers_rich</t>
  </si>
  <si>
    <t xml:space="preserve">    name_mod_ds</t>
  </si>
  <si>
    <t xml:space="preserve">    name_mod_inventory</t>
  </si>
  <si>
    <t xml:space="preserve">    name_mod_is</t>
  </si>
  <si>
    <t xml:space="preserve">    name_mod_occupancy</t>
  </si>
  <si>
    <t xml:space="preserve">    name_mod_rai_hurdle</t>
  </si>
  <si>
    <t xml:space="preserve">    name_mod_rai_nb</t>
  </si>
  <si>
    <t xml:space="preserve">    name_mod_rai</t>
  </si>
  <si>
    <t xml:space="preserve">    name_mod_rai_zinb</t>
  </si>
  <si>
    <t xml:space="preserve">    name_mod_rai_zip</t>
  </si>
  <si>
    <t xml:space="preserve">    name_mod_rem</t>
  </si>
  <si>
    <t xml:space="preserve">    name_mod_rest</t>
  </si>
  <si>
    <t xml:space="preserve">    name_mod_sc</t>
  </si>
  <si>
    <t xml:space="preserve">    name_mod_scr_secr</t>
  </si>
  <si>
    <t xml:space="preserve">    name_mod_smr</t>
  </si>
  <si>
    <t xml:space="preserve">    name_mod_ste</t>
  </si>
  <si>
    <t xml:space="preserve">    name_mod_tifc</t>
  </si>
  <si>
    <t xml:space="preserve">    name_mod_tte</t>
  </si>
  <si>
    <t xml:space="preserve">    name_obj_abundance</t>
  </si>
  <si>
    <t xml:space="preserve">    name_obj_behaviour</t>
  </si>
  <si>
    <t xml:space="preserve">    name_obj_density</t>
  </si>
  <si>
    <t xml:space="preserve">    name_obj_divers_rich</t>
  </si>
  <si>
    <t xml:space="preserve">    name_obj_inventory</t>
  </si>
  <si>
    <t xml:space="preserve">    name_obj_occupancy</t>
  </si>
  <si>
    <t xml:space="preserve">    name_obj_rel_abund</t>
  </si>
  <si>
    <t xml:space="preserve">    name_obj_vital_rate</t>
  </si>
  <si>
    <t xml:space="preserve">    title_i_mod_2flankspim</t>
  </si>
  <si>
    <t xml:space="preserve">    title_i_mod_behaviour</t>
  </si>
  <si>
    <t xml:space="preserve">    title_i_mod_catspim</t>
  </si>
  <si>
    <t xml:space="preserve">    title_i_mod_cr_cmr</t>
  </si>
  <si>
    <t xml:space="preserve">    title_i_mod_divers_rich</t>
  </si>
  <si>
    <t xml:space="preserve">    title_i_mod_ds</t>
  </si>
  <si>
    <t xml:space="preserve">    title_i_mod_inventory</t>
  </si>
  <si>
    <t xml:space="preserve">    title_i_mod_is</t>
  </si>
  <si>
    <t xml:space="preserve">    title_i_mod_occupancy</t>
  </si>
  <si>
    <t xml:space="preserve">    title_i_mod_rai</t>
  </si>
  <si>
    <t xml:space="preserve">    title_i_mod_rai_hurdle</t>
  </si>
  <si>
    <t xml:space="preserve">    title_i_mod_rai_nb</t>
  </si>
  <si>
    <t xml:space="preserve">    title_i_mod_rai_poisson</t>
  </si>
  <si>
    <t xml:space="preserve">    title_i_mod_rai_zinb</t>
  </si>
  <si>
    <t xml:space="preserve">    title_i_mod_rai_zip</t>
  </si>
  <si>
    <t xml:space="preserve">    title_i_mod_rem</t>
  </si>
  <si>
    <t xml:space="preserve">    title_i_mod_rest</t>
  </si>
  <si>
    <t xml:space="preserve">    title_i_mod_sc</t>
  </si>
  <si>
    <t xml:space="preserve">    title_i_mod_scr_secr</t>
  </si>
  <si>
    <t xml:space="preserve">    title_i_mod_smr</t>
  </si>
  <si>
    <t xml:space="preserve">    title_i_mod_ste</t>
  </si>
  <si>
    <t xml:space="preserve">    title_i_mod_tifc</t>
  </si>
  <si>
    <t xml:space="preserve">    title_i_mod_tte</t>
  </si>
  <si>
    <t xml:space="preserve">    def_obj_abundance</t>
  </si>
  <si>
    <t xml:space="preserve">    def_obj_behaviour</t>
  </si>
  <si>
    <t xml:space="preserve">    def_obj_density</t>
  </si>
  <si>
    <t xml:space="preserve">    def_obj_divers_rich</t>
  </si>
  <si>
    <t xml:space="preserve">    def_obj_inventory</t>
  </si>
  <si>
    <t xml:space="preserve">    def_obj_occupancy</t>
  </si>
  <si>
    <t xml:space="preserve">    def_obj_rel_abund</t>
  </si>
  <si>
    <t xml:space="preserve">    def_obj_vital_rate</t>
  </si>
  <si>
    <t>Spatial Partial Identity Model (2-flank SPIM)</t>
  </si>
  <si>
    <t>Spatial Partial Identity Model (Categorical SPIM; catSPIM)</t>
  </si>
  <si>
    <t>Occupancy models</t>
  </si>
  <si>
    <t>Relative abundance indices - Hurdle</t>
  </si>
  <si>
    <t>Relative abundance indices - Negative binomial (NB)</t>
  </si>
  <si>
    <t>Relative abundance indices - Poisson</t>
  </si>
  <si>
    <t>Relative abundance indices - Zero-inflated negative binomial (ZINB)</t>
  </si>
  <si>
    <t>Relative abundance indices - Zero-inflated poisson (ZIP)</t>
  </si>
  <si>
    <t>{{ def_mod_abundance }}</t>
  </si>
  <si>
    <t>{{ def_mod_behaviour }}</t>
  </si>
  <si>
    <t>{{ def_mod_density }}</t>
  </si>
  <si>
    <t>{{ def_mod_divers_rich }}</t>
  </si>
  <si>
    <t>{{ def_mod_inventory }}</t>
  </si>
  <si>
    <t>{{ def_mod_occupancy }}</t>
  </si>
  <si>
    <t>{{ def_mod_rel_abund }}</t>
  </si>
  <si>
    <t>{{ def_mod_vital_rate }}</t>
  </si>
  <si>
    <t>ferguson_2021</t>
  </si>
  <si>
    <t>Ferguson, L. (2021, Apr 27). *Dispersal &amp; Animal Home Range.*  [Video]. YouTube. &lt;https://www.youtube.com/watch?v=7447x_f-now&gt;</t>
  </si>
  <si>
    <t>Ferguson, 2021</t>
  </si>
  <si>
    <t>proteus_2018b</t>
  </si>
  <si>
    <t>Proteus (2018b, Sep 21).  *Occupancy modelling - home range vs grid cell size.* &lt;https://www.youtube.com/watch?v=6TtVXy91AY4&gt;</t>
  </si>
  <si>
    <t>Proteus, 2018b</t>
  </si>
  <si>
    <t>ecol_appl_r_2021</t>
  </si>
  <si>
    <t>https://www.youtube.com/embed/6TtVXy91AY4?si=4-C043iMoo5U17BI</t>
  </si>
  <si>
    <t>https://www.youtube.com/shorts/WZEHRu8JMYM</t>
  </si>
  <si>
    <t>Ecological Applications in R, 2021</t>
  </si>
  <si>
    <t>def_obj_abundance</t>
  </si>
  <si>
    <t>def_obj_behaviour</t>
  </si>
  <si>
    <t>def_obj_density</t>
  </si>
  <si>
    <t>def_obj_divers_rich</t>
  </si>
  <si>
    <t>def_obj_inventory</t>
  </si>
  <si>
    <t>def_obj_occupancy</t>
  </si>
  <si>
    <t>def_obj_rel_abund</t>
  </si>
  <si>
    <t>def_obj_vital_rate</t>
  </si>
  <si>
    <t>mod_appl_mod_2flankspim</t>
  </si>
  <si>
    <t>mod_appl_mod_behaviour</t>
  </si>
  <si>
    <t>mod_appl_mod_catspim</t>
  </si>
  <si>
    <t>mod_appl_mod_cr_cmr</t>
  </si>
  <si>
    <t>mod_appl_mod_divers_rich_alpha</t>
  </si>
  <si>
    <t>mod_appl_mod_divers_rich_beta</t>
  </si>
  <si>
    <t>mod_appl_mod_divers_rich_divers</t>
  </si>
  <si>
    <t>mod_appl_mod_divers_rich_gamma</t>
  </si>
  <si>
    <t>mod_appl_mod_divers_rich_rich</t>
  </si>
  <si>
    <t>mod_appl_mod_ds</t>
  </si>
  <si>
    <t>mod_appl_mod_inventory</t>
  </si>
  <si>
    <t>mod_appl_mod_is</t>
  </si>
  <si>
    <t>mod_appl_mod_occupancy</t>
  </si>
  <si>
    <t>mod_appl_mod_rai_hurdle</t>
  </si>
  <si>
    <t>mod_appl_mod_rai_nb</t>
  </si>
  <si>
    <t>mod_appl_mod_rai</t>
  </si>
  <si>
    <t>mod_appl_mod_rai_zinb</t>
  </si>
  <si>
    <t>mod_appl_mod_rai_zip</t>
  </si>
  <si>
    <t>mod_appl_mod_rem</t>
  </si>
  <si>
    <t>mod_appl_mod_rest</t>
  </si>
  <si>
    <t>mod_appl_mod_sc</t>
  </si>
  <si>
    <t>mod_appl_mod_scr_secr</t>
  </si>
  <si>
    <t>mod_appl_mod_smr</t>
  </si>
  <si>
    <t>mod_appl_mod_ste</t>
  </si>
  <si>
    <t>mod_appl_mod_tifc</t>
  </si>
  <si>
    <t>mod_appl_mod_tte</t>
  </si>
  <si>
    <t>03_16_mod_2flankspim</t>
  </si>
  <si>
    <t>03_24_mod_behaviour</t>
  </si>
  <si>
    <t>03_15_mod_catspim</t>
  </si>
  <si>
    <t>03_10_mod_cr_cmr</t>
  </si>
  <si>
    <t>03_02_mod_divers_rich</t>
  </si>
  <si>
    <t>03_20_mod_ds</t>
  </si>
  <si>
    <t>03_01_mod_inventory</t>
  </si>
  <si>
    <t>03_23_mod_is</t>
  </si>
  <si>
    <t>03_03_mod_occupancy</t>
  </si>
  <si>
    <t>03_09_mod_rai_hurdle</t>
  </si>
  <si>
    <t>03_07_mod_rai_nb</t>
  </si>
  <si>
    <t>03_04_mod_rai</t>
  </si>
  <si>
    <t>03_08_mod_rai_zinb</t>
  </si>
  <si>
    <t>03_06_mod_rai_zip</t>
  </si>
  <si>
    <t>03_17_mod_rem</t>
  </si>
  <si>
    <t>03_18_mod_rest</t>
  </si>
  <si>
    <t>03_14_mod_sc</t>
  </si>
  <si>
    <t>03_11_mod_scr_secr</t>
  </si>
  <si>
    <t>03_13_mod_smr</t>
  </si>
  <si>
    <t>03_22_mod_ste</t>
  </si>
  <si>
    <t>03_19_mod_tifc</t>
  </si>
  <si>
    <t>03_21_mod_tte</t>
  </si>
  <si>
    <t>03_05_mod_rai_poisson</t>
  </si>
  <si>
    <t>https://doi.org/10.32614/CRAN.package.glmmTMB</t>
  </si>
  <si>
    <t>https://creemmural.org/secr.html</t>
  </si>
  <si>
    <t>TOC</t>
  </si>
  <si>
    <t>tooltips</t>
  </si>
  <si>
    <t>zi_re_overdispersed_true</t>
  </si>
  <si>
    <t>YES</t>
  </si>
  <si>
    <t>zi_re_overdispersed</t>
  </si>
  <si>
    <t>01_phase1</t>
  </si>
  <si>
    <t>zi_re_overdispersed_false</t>
  </si>
  <si>
    <t>NO</t>
  </si>
  <si>
    <t>zi_process_true</t>
  </si>
  <si>
    <t>zi_process</t>
  </si>
  <si>
    <t>zi_process_false</t>
  </si>
  <si>
    <t>zi_overdispersed_true</t>
  </si>
  <si>
    <t>zi_overdispersed</t>
  </si>
  <si>
    <t>zi_overdispersed_false</t>
  </si>
  <si>
    <t>zeroinflation_true</t>
  </si>
  <si>
    <t>zeroinflation</t>
  </si>
  <si>
    <t>zeroinflation_false</t>
  </si>
  <si>
    <t>user_entry_study_design</t>
  </si>
  <si>
    <t>Design a new remote camera project</t>
  </si>
  <si>
    <t>study_design</t>
  </si>
  <si>
    <t>user_entry</t>
  </si>
  <si>
    <t>02_phase2</t>
  </si>
  <si>
    <t>user_entry_analysis</t>
  </si>
  <si>
    <t>Analyze data that was already collected</t>
  </si>
  <si>
    <t>analysis</t>
  </si>
  <si>
    <t>study_area_mult_true</t>
  </si>
  <si>
    <t>study_area_mult</t>
  </si>
  <si>
    <t>study_area_mult_false</t>
  </si>
  <si>
    <t>Hoofed mammals (e.g., White-tailed Deer, Mule Deer, Moose, Caribou, etc.)</t>
  </si>
  <si>
    <t>sp_type_ungulate</t>
  </si>
  <si>
    <t>Ungulate</t>
  </si>
  <si>
    <t>ungulate</t>
  </si>
  <si>
    <t>sp_type</t>
  </si>
  <si>
    <t>00_demo</t>
  </si>
  <si>
    <t>Any other mammal species that does not fit in either 'Carnivore' or 'Ungulate'</t>
  </si>
  <si>
    <t>sp_type_other</t>
  </si>
  <si>
    <t>Other</t>
  </si>
  <si>
    <t>An organism that eats mostly meat, or the flesh of animals. Sometimes carnivores are called predators.</t>
  </si>
  <si>
    <t>sp_type_carnivore</t>
  </si>
  <si>
    <t>Carnivore</t>
  </si>
  <si>
    <t>carnivore</t>
  </si>
  <si>
    <t>Rodents and similarly sized species in the “Mustelidae” family [i.e., weasels, badgers, otters, martens, wolverine, etc.])</t>
  </si>
  <si>
    <t>sp_size_sm</t>
  </si>
  <si>
    <t>Small</t>
  </si>
  <si>
    <t>sm</t>
  </si>
  <si>
    <t>sp_size</t>
  </si>
  <si>
    <t>The study is designed to detect multiple species.</t>
  </si>
  <si>
    <t>Multiple</t>
  </si>
  <si>
    <t>multiple</t>
  </si>
  <si>
    <t>Small and mid-sized species, ~&lt; 33 lbs (or 15 kilograms), such as meso-carnivores (i.e., Red, fox, Coyote) ({{ rtxt_roemer_et_al_2009 }})</t>
  </si>
  <si>
    <t>Medium</t>
  </si>
  <si>
    <t>med</t>
  </si>
  <si>
    <t>sp_size_lg</t>
  </si>
  <si>
    <t>Large</t>
  </si>
  <si>
    <t>lg</t>
  </si>
  <si>
    <t>Very rare</t>
  </si>
  <si>
    <t>very-rare</t>
  </si>
  <si>
    <t>Select this option if you haven't decided which state variable you're interested in. Note that the tool will ask you questions related to all of the state variables, and the results will be reflected accordingly.</t>
  </si>
  <si>
    <t>Unknown</t>
  </si>
  <si>
    <t>unkn</t>
  </si>
  <si>
    <t>Rare</t>
  </si>
  <si>
    <t>rare</t>
  </si>
  <si>
    <t>Less common</t>
  </si>
  <si>
    <t>less common</t>
  </si>
  <si>
    <t>Common</t>
  </si>
  <si>
    <t>common</t>
  </si>
  <si>
    <t>sp_rarity_rare</t>
  </si>
  <si>
    <t>sp_rarity_multiple</t>
  </si>
  <si>
    <t>sp_rarity_less common</t>
  </si>
  <si>
    <t>sp_rarity_common</t>
  </si>
  <si>
    <t>sp_occ_restr_yes</t>
  </si>
  <si>
    <t>yes</t>
  </si>
  <si>
    <t>sp_occ_restr</t>
  </si>
  <si>
    <t>sp_occ_restr_no</t>
  </si>
  <si>
    <t>no</t>
  </si>
  <si>
    <t>I'm not sure</t>
  </si>
  <si>
    <t>sp_info_well</t>
  </si>
  <si>
    <t>Well known</t>
  </si>
  <si>
    <t>well</t>
  </si>
  <si>
    <t>sp_info</t>
  </si>
  <si>
    <t>sp_info_poor</t>
  </si>
  <si>
    <t>Poorly known</t>
  </si>
  <si>
    <t>poor</t>
  </si>
  <si>
    <t>sp_detprob_cat_multiple</t>
  </si>
  <si>
    <t>sp_detprob_cat_med</t>
  </si>
  <si>
    <t>sp_detprob_cat_low</t>
  </si>
  <si>
    <t>Low</t>
  </si>
  <si>
    <t>low</t>
  </si>
  <si>
    <t>sp_detprob_cat_high</t>
  </si>
  <si>
    <t>High</t>
  </si>
  <si>
    <t>high</t>
  </si>
  <si>
    <t>sp_detprob_cat</t>
  </si>
  <si>
    <t>sp_dens_low_yes</t>
  </si>
  <si>
    <t>sp_dens_low</t>
  </si>
  <si>
    <t>sp_dens_low_no</t>
  </si>
  <si>
    <t>sp_common_pop_lg_true</t>
  </si>
  <si>
    <t>sp_common_pop_lg</t>
  </si>
  <si>
    <t>sp_common_pop_lg_false</t>
  </si>
  <si>
    <t>sp_behav_season</t>
  </si>
  <si>
    <t>sp_behav_multi_variable</t>
  </si>
  <si>
    <t>Variable</t>
  </si>
  <si>
    <t>variable</t>
  </si>
  <si>
    <t>sp_behav_multi</t>
  </si>
  <si>
    <t>sp_behav_neutral</t>
  </si>
  <si>
    <t>sp_behav_multi_neutral</t>
  </si>
  <si>
    <t>Same behaviour - Neutral</t>
  </si>
  <si>
    <t>neutral</t>
  </si>
  <si>
    <t>sp_behav_exploratory</t>
  </si>
  <si>
    <t>sp_behav_multi_exploratory</t>
  </si>
  <si>
    <t>Same behaviour - Exploratory</t>
  </si>
  <si>
    <t>exploratory</t>
  </si>
  <si>
    <t>sp_behav_avoidant</t>
  </si>
  <si>
    <t>sp_behav_multi_avoidant</t>
  </si>
  <si>
    <t>Same behaviour - Avoidant</t>
  </si>
  <si>
    <t>avoidant</t>
  </si>
  <si>
    <t>Neutral</t>
  </si>
  <si>
    <t>sp_behav</t>
  </si>
  <si>
    <t>Exploratory</t>
  </si>
  <si>
    <t>Avoidant</t>
  </si>
  <si>
    <t>sp_asymptote_true</t>
  </si>
  <si>
    <t>sp_asymptote</t>
  </si>
  <si>
    <t>sp_asymptote_false</t>
  </si>
  <si>
    <t>overdispersion_true</t>
  </si>
  <si>
    <t>overdispersion_false</t>
  </si>
  <si>
    <t>obj_unknown</t>
  </si>
  <si>
    <t>Rapid assessment surveys used to determine what species are present in a given area at a given point in time; there is no attempt made to quantify aspects of communities or populations ({{ rtxt_wearn_gloverkapfer_2017 }}).</t>
  </si>
  <si>
    <t>Behaviour focused objectives vary greatly; they may be qualitative or quantitative (e.g., diel activity patterns, mating, boldness, predation, foraging, activity patterns, vigilance, parental care (Caravaggi et al., 2020; {{ rtxt_wearn_gloverkapfer_2017 }}).</t>
  </si>
  <si>
    <t>The study is designed to detect a single species.</t>
  </si>
  <si>
    <t>obj_targ_sp_single</t>
  </si>
  <si>
    <t>Single</t>
  </si>
  <si>
    <t>single</t>
  </si>
  <si>
    <t>obj_targ_sp</t>
  </si>
  <si>
    <t>num_cams_limited</t>
  </si>
  <si>
    <t>multisamp_per_loc_true</t>
  </si>
  <si>
    <t>multisamp_per_loc</t>
  </si>
  <si>
    <t>multisamp_per_loc_false</t>
  </si>
  <si>
    <t>modmixed_true</t>
  </si>
  <si>
    <t>modmixed</t>
  </si>
  <si>
    <t>modmixed_false</t>
  </si>
  <si>
    <t>marking_code_unmarked</t>
  </si>
  <si>
    <t>marking_code</t>
  </si>
  <si>
    <t>marking_code_marked</t>
  </si>
  <si>
    <t>marking_allsub_subset</t>
  </si>
  <si>
    <t>Subset</t>
  </si>
  <si>
    <t>marking_allsub</t>
  </si>
  <si>
    <t>marking_allsub_all</t>
  </si>
  <si>
    <t>All</t>
  </si>
  <si>
    <t>focalarea_calc_measured</t>
  </si>
  <si>
    <t>Measured</t>
  </si>
  <si>
    <t>focalarea_calc</t>
  </si>
  <si>
    <t>focalarea_calc_binned</t>
  </si>
  <si>
    <t>Binned</t>
  </si>
  <si>
    <t>cam_targ_feature_same_true</t>
  </si>
  <si>
    <t>cam_targ_feature_same</t>
  </si>
  <si>
    <t>cam_targ_feature_same_false</t>
  </si>
  <si>
    <t>cam_targ_feature_true</t>
  </si>
  <si>
    <t>cam_targ_feature</t>
  </si>
  <si>
    <t>cam_targ_feature_false</t>
  </si>
  <si>
    <t>cam_strat_covar_true</t>
  </si>
  <si>
    <t>cam_strat_covar</t>
  </si>
  <si>
    <t>cam_strat_covar_false</t>
  </si>
  <si>
    <t>cam_settings_mult_true</t>
  </si>
  <si>
    <t>cam_settings_mult</t>
  </si>
  <si>
    <t>cam_settings_mult_false</t>
  </si>
  <si>
    <t>cam_protocol_ht_angle_variable</t>
  </si>
  <si>
    <t>cam_protocol_ht_angle</t>
  </si>
  <si>
    <t>cam_protocol_ht_angle_consistent</t>
  </si>
  <si>
    <t>Consistent</t>
  </si>
  <si>
    <t>cam_makemod_same_true</t>
  </si>
  <si>
    <t>cam_makemod_same</t>
  </si>
  <si>
    <t>cam_makemod_same_false</t>
  </si>
  <si>
    <t>cam_independent_true</t>
  </si>
  <si>
    <t>cam_independent</t>
  </si>
  <si>
    <t>cam_independent_false</t>
  </si>
  <si>
    <t>cam_high_dens_true</t>
  </si>
  <si>
    <t>cam_high_dens</t>
  </si>
  <si>
    <t>cam_high_dens_false</t>
  </si>
  <si>
    <t>cam_direction_ds_true</t>
  </si>
  <si>
    <t>cam_direction_ds</t>
  </si>
  <si>
    <t>cam_direction_ds_false</t>
  </si>
  <si>
    <t>cam_dens_gradient_true</t>
  </si>
  <si>
    <t>cam_dens_gradient</t>
  </si>
  <si>
    <t>cam_dens_gradient_false</t>
  </si>
  <si>
    <t>All Camera Locations</t>
  </si>
  <si>
    <t>baitlure_allcams</t>
  </si>
  <si>
    <t>bait_lure_cams</t>
  </si>
  <si>
    <t>A subset of Camera Locations</t>
  </si>
  <si>
    <t>baitlure_subsetcams</t>
  </si>
  <si>
    <t>YES - Single type of bait/lure</t>
  </si>
  <si>
    <t>baitlure_single</t>
  </si>
  <si>
    <t>bait_lure</t>
  </si>
  <si>
    <t>YES - Multiple types of bait/lure</t>
  </si>
  <si>
    <t>baitlure_multi</t>
  </si>
  <si>
    <t>bait_lure_none</t>
  </si>
  <si>
    <t>No bait/lure</t>
  </si>
  <si>
    <t>none</t>
  </si>
  <si>
    <t>auxillary_info_none</t>
  </si>
  <si>
    <t>None of these options</t>
  </si>
  <si>
    <t>auxillary_info</t>
  </si>
  <si>
    <t>auxillary_info_timeinfront</t>
  </si>
  <si>
    <t>Measuring time individuals spend in front of the camera</t>
  </si>
  <si>
    <t>timeinfront</t>
  </si>
  <si>
    <t>auxillary_info_dist_to_cam</t>
  </si>
  <si>
    <t>Distance from animals to the camera</t>
  </si>
  <si>
    <t>dist_to_cam</t>
  </si>
  <si>
    <t>auxillary_info_timelapse</t>
  </si>
  <si>
    <t>Collecting time-lapse images</t>
  </si>
  <si>
    <t>timelapse</t>
  </si>
  <si>
    <t>auxillary_info_cannot_collect</t>
  </si>
  <si>
    <t>Cannot be collected</t>
  </si>
  <si>
    <t>cannot_collect</t>
  </si>
  <si>
    <t>auxillary_info_mvmt_speed</t>
  </si>
  <si>
    <t>Animal movement speed</t>
  </si>
  <si>
    <t>mvmt_speed</t>
  </si>
  <si>
    <t>aux_count_possible</t>
  </si>
  <si>
    <t>3ormore_cat_ids</t>
  </si>
  <si>
    <t>3ormore_cat_ids_true</t>
  </si>
  <si>
    <t>3ormore_cat_ids_false</t>
  </si>
  <si>
    <t>field_option_code</t>
  </si>
  <si>
    <t>q_option_label</t>
  </si>
  <si>
    <t>q_option_code</t>
  </si>
  <si>
    <t>question_code</t>
  </si>
  <si>
    <t>phase</t>
  </si>
  <si>
    <t>Bears or ungulates (i.e., large mammals with hooves, such as White-tailed deer, Elk, Moose, etc.)</t>
  </si>
  <si>
    <t>sp_size_md</t>
  </si>
  <si>
    <t>https://www.youtube.com/watch?v=dsPsRPZiOC0</t>
  </si>
  <si>
    <t>https://www.youtube.com/watch?v=7447x_f-now</t>
  </si>
  <si>
    <t>https://github.com/FabiolaIannarilli/HMs_Activit</t>
  </si>
  <si>
    <t>https://doi.org/10.1111/1365-2656.14213</t>
  </si>
  <si>
    <t>https://www.youtube.com/watch?v=6TtVXy91AY4</t>
  </si>
  <si>
    <t>https://www.cclmportal.ca/resource/creating-common-language-glossary#:~:text=The%20goal%20of%20the%20National,A%20Toolkit%20for%20Respectful%20Collaboration</t>
  </si>
  <si>
    <t>Gilbert, N. A. (2022). &lt;i&gt;Towards a temporal ecology of wildlife populations and communities.&lt;/i&gt; [Doctor of Philosophy]. University of Wisconsin-Madison.</t>
  </si>
  <si>
    <t>Snow Leopard Network. (2020b, Aug 2).&lt;i&gt;PAWS: Spatial Capture Recapture Data Analysis Part 2.&lt;/i&gt; [Video]. YouTube.</t>
  </si>
  <si>
    <t>Chao, A., Ma, K. H., &amp; Hsieh, T. C. (2016). &lt;i&gt;iNEXT Online: Software for Interpolation and Extrapolation of Species Diversity.&lt;/i&gt; Program and User’s Guide published at</t>
  </si>
  <si>
    <t>McCullagh, P., &amp; Nelder, J. A. (1989). &lt;i&gt;Generalised Linear Models,&lt;/i&gt; 2nd edn. Chapman and Hall, London.</t>
  </si>
  <si>
    <t>Augustine, B. C., Royle, J. A., Kelly, M. J., Satter, C. B., Alonso, R. S., Boydston, E. E., &amp; Crooks, K. R. (2016). Spatial capture-recapture with partial identity: An application to camera traps. &lt;i&gt;bioRxiv.&lt;/i&gt;</t>
  </si>
  <si>
    <t>Wearn, O. R., &amp; Glover-Kapfer, P. (2017). Camera-Trapping for Conservation: A Guide to Best-ractices. &lt;i&gt;WWF conservation technology series, 1&lt;/i&gt;, 1-181.</t>
  </si>
  <si>
    <t>Steenweg, R., Whittington, J., &amp; Hebblewhite, M. (2015). &lt;i&gt;Canadian Rockies remote camera multi-species occupancy project: Examining trends in carnivore populations and their prey&lt;/i&gt;. University of Montana.</t>
  </si>
  <si>
    <t>Efford, M. (2004). Density Estimation in Live-Trapping Studies. &lt;i&gt;Oikos, 106&lt;/i&gt;(3), 598-610.</t>
  </si>
  <si>
    <t>Alberta Biodiversity Monitoring Institute [ABMI] (2021). &lt;i&gt;Terrestrial ARU and Remote Camera Trap Protocols.&lt;/i&gt; Edmonton, Alberta.</t>
  </si>
  <si>
    <t>Becker, M. (2024, June 4-6). &lt;i&gt;Comparisons between moose densities with aerial surveys and integrated camera projects.&lt;/i&gt; [Conference presentation]. Government of Alberta Ungulate Monitoring Methods Workshop, Edmonton, AB, Canada.</t>
  </si>
  <si>
    <t>Alberta Remote Camera Steering Committee [RCSC], Stevenson, C., Hubbs, A., &amp; Wildlife Cameras for Adaptive Management (WildCAM). (2024). &lt;i&gt;Remote Camera Survey Guidelines: Guidelines for Western Canada&lt;/i&gt;. Version 3.0. Edmonton, Alberta.</t>
  </si>
  <si>
    <t>Alberta Remote Camera Steering Committee [RCSC]. (2024). &lt;i&gt;Remote Camera Metadata Standards: Standards for Alberta&lt;/i&gt;. Version 2.0. Edmonton, Alberta.</t>
  </si>
  <si>
    <t>Vidal, M., Wolf, N., Rosenberg, B., Harris, B. P., &amp; Mathis, A. (2021). Perspectives on Individual Animal Identification from Biology and Computer Vision. &lt;i&gt;Integrative and Comparative Biology, 61&lt;/i&gt;(3), 900-916.</t>
  </si>
  <si>
    <t>Morris, D. (2022). &lt;i&gt;Everything I know about machine learning and camera traps.&lt;/i&gt;</t>
  </si>
  <si>
    <t>Kays, R., Tilak, S., Kranstauber, B., Jansen, P. A., Carbone, C., Rowcliffe, M. J., &amp; He, Z. (2010). Monitoring wild animal communities with arrays of motion sensitive camera traps. &lt;i&gt;arXiv Preprint&lt;/i&gt;, arXiv:1009. 5718.</t>
  </si>
  <si>
    <t>Schenider, S., Taylor, G. W., Linquist, S., &amp; Kremer, S. C. (2018). Past, Present, and Future Approaches Using Computer Vision for Animal Re-Identification from Camera Trap Data. &lt;i&gt;Methods in Ecology and Evolution, 10&lt;/i&gt;, 461-470.</t>
  </si>
  <si>
    <t>Gerhart-Barley, L., M. (n.d.). &lt;i&gt;2.2: Measuring Species Diversity&lt;/i&gt;</t>
  </si>
  <si>
    <t>WildCo Lab (2021b). &lt;i&gt;WildCo: Reproducible camera trap data exploration and analysis examples in R&lt;/i&gt;. University of British Columbia.</t>
  </si>
  <si>
    <t>WildCo Lab (2021d). &lt;i&gt;Chapter 12 Activity&lt;/i&gt;.</t>
  </si>
  <si>
    <t>WildCo Lab (2021e). &lt;i&gt;Chapter 14 Behavior&lt;/i&gt;.</t>
  </si>
  <si>
    <t>WildCo Lab (2021c). &lt;i&gt;Chapter 11 Occupancy&lt;/i&gt;.</t>
  </si>
  <si>
    <t>Leroy, B. (2024). &lt;i&gt;Rarity Indices.&lt;/i&gt;</t>
  </si>
  <si>
    <t>Hartig, F. (2019). &lt;i&gt;DHARMa: Residual Diagnostics for Hierarchical (Multi-Level/Mixed) Regression Models.&lt;/i&gt; R package version 0.2.2,</t>
  </si>
  <si>
    <t>Efford, M. (2023). &lt;i&gt;openCR: Open population capture-recapture models&lt;/i&gt;. R package version 2.2.6.</t>
  </si>
  <si>
    <t>Efford, M. (2024a). &lt;i&gt;Package 'secr': Spatially Explicit Capture-Recapture&lt;/i&gt;. R package version 4.6.9.</t>
  </si>
  <si>
    <t>Rowcliffe, M. (2023). &lt;i&gt;Package ‘activity. &lt;/i&gt; R package version 1.3.4.</t>
  </si>
  <si>
    <t>Solymos, P. (2023). &lt;i&gt;Package ‘detect': Analyzing Wildlife Data with Detection Error.&lt;/i&gt; R package version 0.4-6.</t>
  </si>
  <si>
    <t>Campbell, A. (2024). &lt;i&gt;Package ‘overlap’&lt;/i&gt;. R package version 0.3.9.</t>
  </si>
  <si>
    <t>Jackman, (2024). &lt;i&gt;R package ’Pscl’&lt;/i&gt;. R package version 1.5.9.</t>
  </si>
  <si>
    <t>Leroy, B. (2023). &lt;i&gt;Package ‘Rarity’: Calculation of Rarity Indices for Species and Assemblages of Species.&lt;/i&gt; R package version 1.3-8,</t>
  </si>
  <si>
    <t>Efford, M. (2024b). &lt;i&gt;secr 4.6 - spatially explicit capture-recapture in R.&lt;/i&gt;</t>
  </si>
  <si>
    <t>CREEM Mural (N.D.) &lt;i&gt;Spatial Capture-Recapture&lt;/i&gt;</t>
  </si>
  <si>
    <t>Found, R., &amp; Patterson, B. R. (2020). Assessing Ungulate Populations in Temperate North America. &lt;i&gt;Canadian Wildlife Biology and Management, 9&lt;/i&gt;(1), 21-42.</t>
  </si>
  <si>
    <t>McNeil, D. (n.d.). &lt;i&gt;Multi-season Occupancy Models&lt;/i&gt;.</t>
  </si>
  <si>
    <t>Welbourne, D. J., Claridge, A. W., Paul, D. J., &amp; Lambert, A. (2016). How do passive infrared triggered camera traps operate and why does it matter? Breaking down common misconceptions. &lt;i&gt;Remote Sensing in Ecology and Conservation&lt;/i&gt;, 77-83.</t>
  </si>
  <si>
    <t>Fisher, J. T., &amp; Burton, C. (2012). &lt;i&gt;Monitoring Mammals in Alberta: Recommendations for Remote Camera Trapping&lt;/i&gt;. Alberta Innovates - Technology Futures &amp; Alberta Biodiversity Monitoring Institute.</t>
  </si>
  <si>
    <t>Clarke, J. D. (2019).comparing Clustered Sampling Designs for Spatially Explicit Estimation of Population Density. &lt;i&gt;Population Ecology, 61&lt;/i&gt;, 93-101.</t>
  </si>
  <si>
    <t>Després‐Einspenner, M., Howe, E. J., Drapeau, P., &amp; Kühl, H. S. (2017). An empirical evaluation of camera trapping and spatially explicit capture‐recapture models for estimating chimpanzee density. &lt;i&gt;American Journal of Primatology, 79&lt;/i&gt;(7), e22647.</t>
  </si>
  <si>
    <t>Cappelle, N., Després‐Einspenner, M., Howe, E. J., Boesch, C., &amp; Kühl, H. S. (2019). Validating camera trap distance sampling for chimpanzees. &lt;i&gt;American Journal of Primatology, 81&lt;/i&gt;(3), e22962.</t>
  </si>
  <si>
    <t>Southwell, D. M., Einoder, L. D., Lahoz‐Monfort, J. J., Fisher, A., Gillespie, G. R., &amp; Wintle, B. A. (2019). Spatially explicit power analysis for detecting occupancy trends for multiple species. &lt;i&gt;Ecological Applications, 29&lt;/i&gt;, e01950.</t>
  </si>
  <si>
    <t>Loonam, K. E., Lukacs, P. M., Ausband, D. E., Mitchell, M. S., &amp; Robinson, H. S. (2021b). Assessing the robustness of time-to-event models for estimating unmarked wildlife abundance using remote cameras. &lt;i&gt;Ecological Applications, 31&lt;/i&gt;(6), Article e02388.</t>
  </si>
  <si>
    <t>Fleming, J., Grant, E. H. C., Sterrett, S. C., &amp; Sutherland, C. (2021). Experimental evaluation of spatial capture-recapture study design. &lt;i&gt;Ecological Applications, 31&lt;/i&gt;(7), e02419.</t>
  </si>
  <si>
    <t>Schmidt, G. M., Graves, T. A., Pederson, J. C., &amp; Carroll, S. L. (2022). Precision and bias of spatial capture-recapture estimates: A multi‐site, multi‐year Utah black bear case study. &lt;i&gt;Ecological Applications, 32&lt;/i&gt;(5), e2618.</t>
  </si>
  <si>
    <t>Yu, H., Lin, Z., &amp; F. Xiao. (2024). Role of Body Size and Shape in Animal Camouflage. &lt;i&gt;Ecology and Evolution, 14&lt;/i&gt;(5), e11434.</t>
  </si>
  <si>
    <t>McClintock, B. T. (2015). multimark: An R package for analysis of capture-recapture data consisting of multiple 'noninvasive' marks. &lt;i&gt;Ecology and Evolution, 5&lt;/i&gt;(21), 4920-4931.</t>
  </si>
  <si>
    <t>Young, S., Rode-Margono, J., &amp; Amin, R. (2018). Software to facilitate and streamline camera trap data management: A review. &lt;i&gt;Ecology and Evolution, 8&lt;/i&gt;(19), 9947-9957.</t>
  </si>
  <si>
    <t>Hofmeester, T. R., Cromsigt, J. P. G. M., Odden, J., Andrén, H., Kindberg, J., &amp; Linnell, J. D. C. (2019). Framing Pictures: A Conceptual Framework to Identify and Correct for Biases in Detection Probability of Camera Traps Enabling Multi-Species Comparison. &lt;i&gt;Ecology and Evolution, 9&lt;/i&gt;(4), 2320-2336.</t>
  </si>
  <si>
    <t>Broadley, K., Burton, A. C., Avgar, T., &amp; Boutin, S. (2019). Density‐dependent space use affects interpretation of camera trap detection rates. &lt;i&gt;Ecology and Evolution, 9&lt;/i&gt;(24), 14031-14041.</t>
  </si>
  <si>
    <t>McFarlane, S., Manseau, M., Steenweg, R., Hervieux, D., Hegel, T., Slater, S., &amp; Wilson, P. J. (2020). An assessment of sampling designs using SCR analyses to estimate abundance of boreal caribou. &lt;i&gt;Ecology and Evolution, 10&lt;/i&gt;(20), 11631-11642.</t>
  </si>
  <si>
    <t>Jiménez, J., C. Augustine, B., Linden, D. W., B. Chandler, R., &amp; Royle, J. A. (2021). Spatial capture-recapture with random thinning for unidentified encounters. &lt;i&gt;Ecology and Evolution, 11&lt;/i&gt;, 1187-1198.</t>
  </si>
  <si>
    <t>Pettigrew, P., Sigouin, D., &amp; St‐Laurent, M. (2021). Testing the precision and sensitivity of density estimates obtained with a camera‐trap method revealed limitations and opportunities. &lt;i&gt;Ecology and Evolution, 11&lt;/i&gt;(12), 7879-7889.</t>
  </si>
  <si>
    <t>Tourani, M. (2022). A review of spatial capture-recapture: Ecological insights, limitations, and prospects. &lt;i&gt;Ecology and Evolution, 12&lt;/i&gt;, e8468.</t>
  </si>
  <si>
    <t>Fidino, M., &amp; Magle, S. B. (2017). Using Fourier series to predict periodic patterns in dynamic occupancy models. &lt;i&gt;Ecosphere,8&lt;/i&gt;(9) , e01944.</t>
  </si>
  <si>
    <t>Neilson, E. W., Avgar, T., Burton, A. C., Broadley, K., &amp; Boutin, S. (2018). Animal movement affects interpretation of occupancy models from camera‐trap Surveys of unmarked animals. &lt;i&gt;Ecosphere, 9&lt;/i&gt;(1).</t>
  </si>
  <si>
    <t>Stewart, F. E. C., Fisher, J. T., Burton, A. C., &amp; Volpe, J. P. (2018). Species occurrence data reflect the magnitude of animal movements better than the proximity of animal space use. &lt;i&gt;Ecosphere, 9&lt;/i&gt;(2), e02112.</t>
  </si>
  <si>
    <t>Moeller, A. K., Lukacs, P. M., &amp; Horne, J. S. (2018). Three Novel Methods to Estimate Abundance of Unmarked Animals using Remote Cameras. &lt;i&gt;Ecosphere, 9&lt;/i&gt;(8), Article e02331.</t>
  </si>
  <si>
    <t>Augustine, B. C., Royle, J. A., Murphy, S. M., Chandler, R. B., Cox, J. J., &amp; Kelly, M. J. (2019). Spatial Capture-Recapture for Categorically Marked Populations with an Application to Genetic Capture-Recapture. &lt;i&gt;Ecosphere, 10&lt;/i&gt;(4) e02627-n/a.</t>
  </si>
  <si>
    <t>Steenweg, R., Hebblewhite, M., Whittington, J., &amp; Mckelvey, K. (2019). Species‐specific Differences in Detection and Occupancy Probabilities Help Drive Ability to Detect Trends in Occupancy. &lt;i&gt;Ecosphere, 10&lt;/i&gt;(4), Article e02639.</t>
  </si>
  <si>
    <t>Cappelle, N., Howe, E. J., Boesch, C., &amp; Kühl, H. S. (2021). Estimating Animal Abundance and Effort-Precision Relationship with Camera Trap Distance Sampling. &lt;i&gt;Ecosphere, 12&lt;/i&gt;(1).</t>
  </si>
  <si>
    <t>Chatterjee, N., Schuttler, T. G., Nigam, P., &amp; Habib, B. (2021). Deciphering the rarity-detectability continuum: optimizing Survey design for terrestrial mammalian community. &lt;i&gt;Ecosphere 12&lt;/i&gt;(9), e03748.</t>
  </si>
  <si>
    <t>Ausband, D. E., Lukacs, P. M., Hurley, M., Roberts, S., Strickfaden, K., &amp; Moeller, A. K. (2022). Estimating Wolf Abundance from Cameras. &lt;i&gt;Ecosphere, 13&lt;/i&gt;(2), e3933.</t>
  </si>
  <si>
    <t>Becker, M., Huggard, D. J., Dickie, M., Warbington, C., Schieck, J., Herdman, E., Serrouya, R., &amp; Boutin, S. (2022). Applying and Testing a Novel Method to Estimate Animal Density from Motion-Triggered Cameras. &lt;i&gt;Ecosphere, 13&lt;/i&gt;(4), 1-14.</t>
  </si>
  <si>
    <t>Twining, J. P., McFarlane, C., O'Meara, D., O'Reilly, C., Reyne, M., Montgomery, W. I., Helyar, S., Tosh, D. G., &amp; Augustine, B. C. (2022) A Comparison of Density Estimation Methods for Monitoring Marked and Unmarked Animal Populations. &lt;i&gt;Ecosphere, 13&lt;/i&gt;(10), e4165.</t>
  </si>
  <si>
    <t>Dupont, G., Royle, J. A., Nawaz, M. A., &amp; Sutherland, C. (2021). Optimal sampling design for spatial capture-recapture. &lt;i&gt;Ecology, 102&lt;/i&gt;(3), e03262.</t>
  </si>
  <si>
    <t>Stewart, F. E. C., Volpe, J. P., &amp; Fisher, J. T. (2019b). The Debate About Bait: A Red Herring in Wildlife Research. &lt;i&gt;The Journal of Wildlife Management, 83&lt;/i&gt;(4), 985-992.</t>
  </si>
  <si>
    <t>Garland, L., Neilson, E., Avgar, T., Bayne, E., &amp; Boutin, S. (2020). Random Encounter and Staying Time Model Testing with Human Volunteers. &lt;i&gt;The Journal of Wildlife Management, 84&lt;/i&gt;(6), 1179-1184.</t>
  </si>
  <si>
    <t>Loonam, K. E., Ausband, D. E., Lukacs, P. M., Mitchell, M. S., &amp; Robinson, H. S. (2021a). Estimating Abundance of an Unmarked, Low‐Density Species using Cameras. &lt;i&gt;The Journal of Wildlife Management, 85&lt;/i&gt;(1), 87-96.</t>
  </si>
  <si>
    <t>Coltrane, J., DeCesare, N. J., Horne, J. S., &amp; Lukacs, P. M. (2024). Comparing camera-based ungulate Density estimates: A case study using island populations of bighorn sheep and mule deer. &lt;i&gt;The Journal of Wildlife Management, 88&lt;/i&gt;(7), e22636.</t>
  </si>
  <si>
    <t>Blanc, L., Marboutin, E., Gatti, S., &amp; Gimenez, O. (2013). Abundance of Rare and Elusive Species: Empirical Investigation of Closed versus Spatially Explicit Capture-Recapture Models with Lynx as a Case Study. &lt;i&gt;Journal of Wildlife Management, 77&lt;/i&gt;(2), 372-78.</t>
  </si>
  <si>
    <t>Rowcliffe, J. M., Kays, R., Carbone, C., &amp; Jansen, P. A. (2013). Clarifying assumptions behind the estimation of animal Density from camera trap rates. &lt;i&gt;The Journal of Wildlife Management, 77&lt;/i&gt;(5), 876-876.</t>
  </si>
  <si>
    <t>Tigner, J., Bayne, E. M., &amp; Boutin, S. (2014). Black bear use of seismic lines in Northern Canada. &lt;i&gt;Journal of Wildlife Management, 78&lt;/i&gt;(2), 282-292.</t>
  </si>
  <si>
    <t>Glover‐Kapfer, P., Soto‐Navarro, C. A., Wearn, O. R., Rowcliffe, M., &amp; Sollmann, R. (2019). Camera‐trapping version 3.0: Current constraints and future priorities for development. &lt;i&gt;Remote Sensing in Ecology and Conservation, 5&lt;/i&gt;(3), 209-223.</t>
  </si>
  <si>
    <t>Schaus, J., Uzal, A., Gentle, L. K., Baker, P. J., Bearman‐Brown, L., Bullion, S., Gazzard, A., Lockwood, H., North, A., Reader, T., Scott, D. M., Sutherland, C. S., &amp; Yarnell, R. W. (2020). Application of the Random Encounter Model in citizen science projects to monitor animal densities. &lt;i&gt;Remote Sensing in Ecology and Conservation, 6&lt;/i&gt;(4), 514-528.</t>
  </si>
  <si>
    <t>Rowcliffe, J. M., Jansen, P. A., Kays, R., Kranstauber, B., &amp; Carbone, C. (2016). Wildlife speed cameras: measuring animal travel speed and day range using camera traps. &lt;i&gt;Remote Sensing in Ecology and Conservation, 2&lt;/i&gt;, 84-94.</t>
  </si>
  <si>
    <t>Sun, C., Beirne, C., Burgar, J. M., Howey, T., Fisher, J. T., Burton, A. C., Rowcliffe, M., &amp; Hofmeester, T. (2021). Simultaneous Monitoring of Vegetation Dynamics and Wildlife Activity with Camera Traps to Assess Habitat Change. &lt;i&gt;Remote Sensing in Ecology and Conservation, 7&lt;/i&gt;(4), 666-684.</t>
  </si>
  <si>
    <t>Hofmeester, T. R., Rowcliffe, J. M., Jansen, P. A., Williams, R., &amp; Kelly, N. (2017). A simple method for estimating the effective detection distance of camera traps. &lt;i&gt;Remote Sensing in Ecology and Conservation, 3&lt;/i&gt;(2), 81-89.</t>
  </si>
  <si>
    <t>Palencia, P., Barroso, P., Vicente, J., Hofmeester, T. R., Ferreres, J., &amp; Acevedo, P. (2022b). Random encounter model is a reliable method for estimating population density of multiple species using camera traps. &lt;i&gt;Remote Sensing in Ecology and Conservation, 8&lt;/i&gt;(5), 670-682.</t>
  </si>
  <si>
    <t>Meek, P. D., Ballard, G. A., &amp; Falzon, G. (2016). The Higher You Go the Less You Will Know: Placing Camera Traps High to Avoid Theft Will Affect Detection. &lt;i&gt;Remote Sensing in Ecology and Conservation, 2&lt;/i&gt;(4), 204-211.</t>
  </si>
  <si>
    <t>Moeller, A. K., Waller, S. J., DeCesare, N. J., Chitwood, M. C., &amp; Lukacs, P. M. (2023). Best practices to account for capture probability and viewable area in camera‐based abundance estimation. &lt;i&gt;Remote Sensing in Ecology and Conservation.&lt;/i&gt;</t>
  </si>
  <si>
    <t>Caravaggi, A., Banks, P. B., Burton, A. C., Finlay, C. M. V., Haswell, P. M., Hayward, M. W., Rowcliffe, M. J., Wood, M. D., Pettorelli, N., &amp; Sollmann, R. (2017). A review of camera trapping for conservation behaviour research&lt;i&gt;. Remote Sensing in Ecology and Conservation, 3&lt;/i&gt;(3), 109-122.</t>
  </si>
  <si>
    <t>Scotson, L., Johnston, L. R., Lannarilli, F., Wearn, O. R., Mohd‐Azlan, J., Wong, W. M., Gray, T. N. E., Dinata, Y., Suzuki, A., Willard, C. E., Frechette, J., Loken, B., Steinmetz, R., Moßbrucker, A. M., Clements, G. R., &amp; Fieberg, J. (2017). Best Practices and Software for the Management and Sharing of Camera Trap Data for Small and Large Scales Studies. &lt;i&gt;Remote Sensing in Ecology and Conservation, 3&lt;/i&gt;(3), 158-172.</t>
  </si>
  <si>
    <t>Pfeffer, S. E., Spitzer, R., Allen, A. M., Hofmeester, T. R., Ericsson, G., Widemo, F., Singh, N. J., &amp; Cromsigt, J. P. G. M. (2018). Pictures or pellets? Comparing camera trapping and dung counts as methods for estimating population densities of ungulates. &lt;i&gt;Remote Sensing in Ecology and Conservation, 4&lt;/i&gt;(2), 173-183.</t>
  </si>
  <si>
    <t>Sirén, A. P. K., Somos‐Valenzuela, M., Callahan, C., Kilborn, J. R., Duclos, T., Tragert, C., &amp; Morelli., T. L. (2018) Looking beyond Wildlife: Using Remote Cameras to Evaluate Accuracy of Gridded Snow Data. Edited by Marcus Rowcliffe and Sadie Ryan. &lt;i&gt;Remote Sensing in Ecology and Conservation, 4&lt;/i&gt;(4), 375-86.</t>
  </si>
  <si>
    <t>Webster, S. C., &amp; Beasley, J. C. (2019). Influence of lure choice and Survey duration on scent stations for carnivore Surveys. &lt;i&gt;Wildlife Society Bulletin, 43&lt;/i&gt;(4), 661-668.</t>
  </si>
  <si>
    <t>Robinson, S. G., Weithman, C. E., Bellman, H. A., Prisley, S. P., Fraser, J. D., Catlin, D. H., &amp; Karpanty, S. M. (2020). Assessing Error in Locations of Conspicuous Wildlife Using Handheld GPS Units and Location Offset Methods. &lt;i&gt;Wildlife Society Bulletin, 44&lt;/i&gt;(1), 163-172.</t>
  </si>
  <si>
    <t>Fidino, M., Barnas, G. R., Lehrer, E. W., Murray, M. H., &amp; Magle, S. B. (2020). Effect of Lure on Detecting Mammals with Camera Traps. &lt;i&gt;Wildlife Society Bulletin&lt;/i&gt;.</t>
  </si>
  <si>
    <t>McMurry, S., Moeller, A. K., Goerz, J., &amp; Robinson, H. S. (2023). Using space to event modeling to estimate density of multiple species in northeastern Washington. &lt;i&gt;Wildlife Society Bulletin, 47&lt;/i&gt;(1).</t>
  </si>
  <si>
    <t>Li, S., McShea, W. J., Wang, D. J., Huang, J. Z., &amp; Shao, L. K. (2012). A Direct Comparison of Camera-Trapping and Sign Transects for Monitoring Wildlife in the Wanglang National Nature Reserve, China. &lt;i&gt;Wildlife Society Bulletin, 36&lt;/i&gt;(3), 538-545.</t>
  </si>
  <si>
    <t>Wellington, K., Bottom, C., Merrill, C., &amp; Litvaitis, J. A. (2014). Identifying performance differences among trail cameras used to monitor forest mammals. &lt;i&gt;Wildlife Society Bulletin, 38&lt;/i&gt;(3), 634-638.</t>
  </si>
  <si>
    <t>Manly, B. F. J., McDonald, L. L., &amp; Thomas, D. L. (1993). &lt;i&gt;Resource Selection by Animals: Statistical Design and Analysis for Field Studies.&lt;/i&gt; Chapman &amp; Hall, London, p. 177.</t>
  </si>
  <si>
    <t>Morrison, M. L., Block, W. M., Strickland, M. D., Collier, B. A. &amp; Peterson, M. J. (2008). &lt;i&gt;Wildlife Study Design&lt;/i&gt;. Springer, New York.</t>
  </si>
  <si>
    <t>Efford, M. G., Borchers, D. L., &amp; Byrom, A. E. (2009a). Density Estimation by Spatially Explicit Capture-Recapture: Likelihood-Based Methods. &lt;i&gt;In&lt;/i&gt; D. L. Thomson, E. G. Cooch, &amp; M. J. Conroy (Eds.), &lt;i&gt;Modeling Demographic Processes In Marked Populations&lt;/i&gt; (pp. 255-269).</t>
  </si>
  <si>
    <t>Schweiger, A. K. (2020). Spectral Field Campaigns: Planning and Data Collection. In Cavender-Bares, J., Gamon, J. A., &amp; Townsend, P. A (Eds.), &lt;i&gt;Remote Sensing of Plant Biodiversity&lt;/i&gt; (pp. 385-423).</t>
  </si>
  <si>
    <t>Buckland, S. T., E. A. Rexstad, T. A. Marques, C. S. Oedekoven. (2015). &lt;i&gt;Mathematics and Statistics. Distance Sampling: Methods and Applications.&lt;/i&gt; Springer International Publishing.</t>
  </si>
  <si>
    <t>Bridges, A. S., &amp; Noss, A. J. (2011). Behavior and Activity Patterns. In A. F. O'Connell, J. D. Nichols, &amp; K. U. Karanth (Eds.), &lt;i&gt;Camera Traps In Animal Ecology: Methods and Analyses&lt;/i&gt; (pp. 57-70). Springer.</t>
  </si>
  <si>
    <t>Karanth, K. U., Nichols, J. D., &amp; Kumar, N. S. (2011). Estimating tiger abundance from camera trap data: field Surveys and analytical issues. In A. F. O'Connell, J. D. Nichols, &amp; K. U. Karanth (Eds.), &lt;i&gt;Camera Traps In Animal Ecology: Methods and Analyses&lt;/i&gt; (pp. 9-117). Springer.</t>
  </si>
  <si>
    <t>O'Connell, A. F., Nichols, J. D., &amp; Karanth, K. U. (Eds. ). (2010). &lt;i&gt;Camera traps in Animal Ecology: Methods and Analyses&lt;/i&gt;. Springer.</t>
  </si>
  <si>
    <t>Kucera, T. E., &amp; R. H. Barrett. (2011). A History of Camera Trapping. In A. F. O'Connell, J. D. Nichols, &amp; K. U. Karanth (Eds.), &lt;i&gt;Camera Traps In Animal Ecology: Methods and Analyses&lt;/i&gt; (pp. 9-26). Springer.</t>
  </si>
  <si>
    <t>O'Brien, T. G. (2011). Abundance, Density and Relative Abundance: A Conceptual Framework. In A. F. O'Connell, J. D. Nichols, &amp; K. U. Karanth (Eds.), &lt;i&gt;Camera Traps In Animal Ecology: Methods and Analyses&lt;/i&gt; (pp. 71-96). Springer.</t>
  </si>
  <si>
    <t>O'Brien, T. G., Kinnaird, M. F., &amp; Wibisono, H. T. (2011). Estimation of Species Richness of Large Vertebrates Using Camera Traps: An Example from an Indonesian Rainforest. In A. F. O'Connell, J. D. Nichols, &amp; K. U. Karanth (Eds.), &lt;i&gt;Camera Traps In Animal Ecology: Methods and Analyses&lt;/i&gt; (pp. 233-252). Springer.</t>
  </si>
  <si>
    <t>O'Connell, A. F., &amp; Bailey, L. L. (2011a). Inference for Occupancy and Occupancy Dynamics. In O'Connell, A. F. Nichols, J. D. &amp; Karanth, K. U. (Eds.), &lt;i&gt;Camera Traps In Animal Ecology: Methods and Analyses&lt;/i&gt; (pp. 191-206). Springer.</t>
  </si>
  <si>
    <t>Buckland, S. T., D.R. Anderson, K.P. Burnham, &amp; J.L. Laake. (1998). &lt;i&gt;Distance Sampling: Estimating Abundance of Biological Populations&lt;/i&gt;. Chapman &amp; Hall, London.</t>
  </si>
  <si>
    <t>Fancourt, B. A. (2016). Avoiding the subject: The implications of avoidance behaviour for detecting predators. &lt;i&gt;Behavioral Ecology and Sociobiology, 70&lt;/i&gt;(9), 1535-1546.</t>
  </si>
  <si>
    <t>Tschumi, M., Ekroos, J., Hjort, C., Smith, H. G., &amp; Birkhofer, K. (2018). Rodents, not birds, dominate predation-related ecosystem services and disservices in vertebrate communities of agricultural landscapes. &lt;i&gt;Oecologia, 188&lt;/i&gt;(3), 863-873.</t>
  </si>
  <si>
    <t>Gerber, B. D., Karpanty, S. M., &amp; Kelly, M. J. (2011). Evaluating the potential biases in carnivore capture-recapture studies associated with the use of lure and varying Density estimation techniques using photographic-sampling data of the Malagasy civet. &lt;i&gt;Population Ecology, 54&lt;/i&gt;(1), 43-54.</t>
  </si>
  <si>
    <t>Borchers, D. (2012). A non-technical overview of spatially explicit capture-recapture models. &lt;i&gt;Journal of Ornithology, 152&lt;/i&gt;(S2), 435-444.</t>
  </si>
  <si>
    <t>Royle, J. A., &amp; Dorazio, R. M. (2012). Parameter-expanded data augmentation for Bayesian analysis of capture-recapture models. &lt;i&gt;Journal of Ornithology, 152&lt;/i&gt;(S2), 521-537.</t>
  </si>
  <si>
    <t>Suárez-Tangil, B. D., &amp; Rodríguez, A. (2017). Detection of Iberian terrestrial mammals employing olfactory, visual and auditory attractants. &lt;i&gt;European Journal of Wildlife Research, 63&lt;/i&gt;(6).</t>
  </si>
  <si>
    <t>Kruger, H., Vaananen, V. -M., Holopainen, S., &amp; Nummi, P. (2018). The new faces of nest predation in agricultural landscapes - a camera trap Survey with artificial nests. European &lt;i&gt;Journal of Wildlife Research, 64&lt;/i&gt;(6), 76.</t>
  </si>
  <si>
    <t>Ford, A. T., Sunter, E. J., Fauvelle, C., Bradshaw, J. L., Ford, B., Hutchen, J., Phillipow, N., &amp; Teichman, K. J. (2020). Effective corridor width: Linking the spatial ecology of wildlife with land use policy. &lt;i&gt;European Journal of Wildlife Research, 66&lt;/i&gt;(4), 69.</t>
  </si>
  <si>
    <t>Kavčić, K., Palencia, P., Apollonio, M., Vicente, J., &amp; Šprem, N. (2021). Random encounter model to estimate density of mountain-dwelling ungulate. &lt;i&gt;European Journal of Wildlife Research, 67&lt;/i&gt;(5), 87.</t>
  </si>
  <si>
    <t>Espartosa, K. D., Pinotti, B. T., &amp; Pardini, R. (2011). Performance of Camera Trapping and Track Counts for Surveying Large Mammals in Rainforest Remnants. &lt;i&gt;Biodiversity Conservation, 20&lt;/i&gt;(12), 2815-2829.</t>
  </si>
  <si>
    <t>Meek, P. D., Ballard, G., Claridge, A., Kays, R., Moseby, K., O'Brien, T., O'Connell, A., Sanderson, J., Swann, D. E., Tobler, M., &amp; Townsend, S. (2014a). Recommended Guiding Principles for Reporting on Camera trap Trapping Research. &lt;i&gt;Biodiversity and Conservation, 23&lt;/i&gt;(9), 2321-2343.</t>
  </si>
  <si>
    <t>Colyn, R. B., Radloff, F., &amp; O'Riain, M. J. (2018). Camera trapping mammals in the scrubland’s of the cape floristic kingdom - the importance of effort, spacing and trap placement. &lt;i&gt;Biodiversity and Conservation, 27&lt;/i&gt;(2), 503-520.</t>
  </si>
  <si>
    <t>McShea, W. J., Forrester, T., Costello, R., He, Z., &amp; Kays, R. (2015). Volunteer-Run Cameras as Distributed Sensors for Macrosystem Mammal Research. &lt;i&gt;Landscape Ecology, 31,&lt;/i&gt; 1-13.</t>
  </si>
  <si>
    <t>Moqanaki, E. S., Milleret, C., Tourani, M., Dupont, P., &amp; Bischof, R. (2021). Consequences of ignoring variable and spatially autocorrelated detection probability in spatial capture- recapture. &lt;i&gt;Landscape Ecology, 36&lt;/i&gt;, 2879-2895.</t>
  </si>
  <si>
    <t>Ferreira-Rodríguez, N., &amp; Pombal, M. A. (2019). Bait effectiveness in camera trap studies in the Iberian Peninsula. &lt;i&gt;Mammal Research, 64&lt;/i&gt;(2), 155-164.</t>
  </si>
  <si>
    <t>Findlay, M. A., Briers, R. A., &amp; White, P. J. C. (2020). Component processes of detection probability in camera-trap studies: understanding the occurrence of false-negatives. &lt;i&gt;Mammal Research, 65&lt;/i&gt;, 167-180.</t>
  </si>
  <si>
    <t>Zuckerberg, B., Cohen, J. M., Nunes, L. A., Bernath-Plaisted, J., Clare, J. D. J., Gilbert, N. A., Kozidis, S. S., Maresh Nelson, S. B., Shipley, A. A., Thompson, K. L., &amp; Desrochers, A. (2020). A Review of Overlapping Landscapes: Pseudoreplication or a Red Herring in Landscape Ecology? &lt;i&gt;Current Landscape Ecology Reports, 5&lt;/i&gt;(4), 140-148.</t>
  </si>
  <si>
    <t>Moeller, A. K.,&amp; Lukacs, P. M. (2021) spaceNtime: an R package for estimating abundance of unmarked animals using camera-trap photographs. &lt;i&gt;Mammalian Biology, 102&lt;/i&gt;, 581-590.</t>
  </si>
  <si>
    <t>Karanth, K. U. (1995). Estimating tiger Panthera tigris populations from camera-trap data using capture-recapture models. &lt;i&gt;Biological Conservation, 71&lt;/i&gt;(3), 333-338.</t>
  </si>
  <si>
    <t>Mullahy, J. (1986). Specification and Testing of Some Modified Count Data Models. &lt;i&gt;Journal of Econometrics, 33&lt;/i&gt;(3), 341-365.</t>
  </si>
  <si>
    <t>Royle, J. A., &amp; Dorazio, R. M. (2008). &lt;i&gt;Hierarchical Modeling and Inference in Ecology: The Analysis of Data from Populations, Metapopulations and Communities.&lt;/i&gt; 1st ed. Academic Press, Amsterdam; Boston.</t>
  </si>
  <si>
    <t>Gotelli, N. J., &amp; Chao, A. (2013). Measuring and Estimating Species Richness, Species Diversity, and Biotic Similarity from Sampling Data. In &lt;i&gt;Encyclopedia of Biodiversity&lt;/i&gt; (pp. 195-211). Elsevier.</t>
  </si>
  <si>
    <t>Thompson, W. L., White, G. C., &amp; Gowan, C. (1998). “Chapter 3 - Enumeration Methods.” In &lt;i&gt;Monitoring Vertebrate Populations&lt;/i&gt;, edited by Thompson, W. L., White, G. C., &amp; Gowan, C., 75-121. San Diego: Academic Press.</t>
  </si>
  <si>
    <t>Levitis, D. A., Lidicker, W. Z., &amp; Freund, G. (2009). Behavioural biologists don't agree on what constitutes behaviour. &lt;i&gt;Animal Behaviour, 78&lt;/i&gt;(1), 103-110.</t>
  </si>
  <si>
    <t>Garamszegi, L. Z. (2016). A simple statistical guide for the analysis of behaviour when data are constrained due to practical or ethical reasons. &lt;i&gt;Animal Behaviour, 120&lt;/i&gt;, 223-234.</t>
  </si>
  <si>
    <t>Stanton, L. A., Sullivan, M. S., &amp; Fazio, J. M. (2015). A standardized ethogram for the felidae: A tool for behavioral researchers. &lt;i&gt;Applied Animal Behaviour Science, 173&lt;/i&gt;, 3-16.</t>
  </si>
  <si>
    <t>Santini, G., Abolaffio, M., Ossi, F., Franzetti, B., Cagnacci, F., &amp; Focardi, S. (2022) Population Assessment without Individual Identification Using Camera-Traps: A Comparison of Four Methods. &lt;i&gt;Basic and Applied Ecology, 61&lt;/i&gt;, 68-81.</t>
  </si>
  <si>
    <t>Clevenger, A. P., &amp; Waltho, N. (2005). Performance indices to identify attributes of highway crossing structures facilitating movement of large mammals. &lt;i&gt;Biological Conservation, 121&lt;/i&gt;(3), 453-464.</t>
  </si>
  <si>
    <t>Sollmann, R., Furtado, M. M., Gardner, B., Hofer, H., Jácomo, A. T. A., Tôrres, N. M., &amp; Silveira, L. (2011). Improving Density Estimates for Elusive Carnivores: Accounting for Sex-Specific Detection and Movements Using Spatial Capture-Recapture Models for Jaguars in Central Brazil. &lt;i&gt;Biological Conservation, 144&lt;/i&gt;(3), 1017-24.</t>
  </si>
  <si>
    <t>Tobler, M. W. &amp; Powell, G. V. N. (2013). Estimating jaguar densities with camera traps: problems with current designs and recommendations for future studies. &lt;i&gt;Biological Conservation, 159&lt;/i&gt;, 109-118.</t>
  </si>
  <si>
    <t>Sollmann, R., Mohamed, A., Samejima, H., &amp; Wilting, A. (2013c). Risky Business or Simple Solution - Relative Abundance Indices from Camera-Trapping. &lt;i&gt;Biological Conservation, 159&lt;/i&gt;, 405-412.</t>
  </si>
  <si>
    <t>Stewart, F. E. C., Volpe, J. P., Eaton, B. R., Hood, G. A., Vujnovic, D., &amp; Fisher, J. T. (2019b). Protected areas alone rarely predict mammalian biodiversity across spatial scales in an Albertan working landscape. &lt;i&gt;Biological Conservation, 240&lt;/i&gt;, 108252.</t>
  </si>
  <si>
    <t>Nakashima, Y., Hongo, S., &amp; Akomo-Okoue, E. F. (2020). Landscape-scale estimation of forest ungulate density and biomass using camera traps: Applying the REST model. &lt;i&gt;Biological Conservation, 241&lt;/i&gt;, 108381.</t>
  </si>
  <si>
    <t>Fegraus, E. H., Lin, K., Ahumada, J. A., Baru, C., Chandra, S., &amp; Youn, C. (2011). Data acquisition and management software for camera trap data: A case study from the TEAM Network. &lt;i&gt;Ecological Informatics, 6&lt;/i&gt;(6), 345-353.</t>
  </si>
  <si>
    <t>Haucke, T., Kühl, H. S., Hoyer, J., &amp; Steinhage, V. (2022). Overcoming the distance estimation bottleneck in estimating animal abundance with camera traps. &lt;i&gt;Ecological Informatics, 68&lt;/i&gt;, 101536.</t>
  </si>
  <si>
    <t>Dey, S., Moqanaki, E., Milleret, C., Dupont, P., Tourani, M., &amp; Bischof, R. (2023). Modelling spatially autocorrelated detection probabilities in spatial capture-recapture using random effects. &lt;i&gt;Ecological Modelling, 479&lt;/i&gt;, 110324.</t>
  </si>
  <si>
    <t>Samejima, H., Ong, R., Lagan, P. &amp; Kitayama, K. (2012). Camera-trapping rates of mammals and birds in a Bornean tropical rainforest under sustainable forest management. &lt;i&gt;Forest Ecology and Management, 270&lt;/i&gt;, 248-256.</t>
  </si>
  <si>
    <t>Burgar, J. M., Stewart, F. E. C., Volpe, J. P., Fisher, J. T., &amp; Burton, A. C. (2018). Estimating Density for species conservation: comparing camera trap spatial count models to genetic spatial capture-recapture models. &lt;i&gt;Global Ecology and Conservation, 15&lt;/i&gt;, Article e00411.</t>
  </si>
  <si>
    <t>Warbington, C. H., &amp; Boyce, M. S. (2020). Population Density of sitatunga in riverine wetland habitats. &lt;i&gt;Global Ecology and Conservation, 24&lt;/i&gt;.</t>
  </si>
  <si>
    <t>Morin, D. J., Boulanger, J., Bischof, R., Lee, D. C., Ngoprasert, D., Fuller, A. K., McLellan, B., Steinmetz, R., Sharma, S., Garshelis, D., Gopalaswamy, A., Nawaz, M. A., &amp; Karanth, U. (2022).comparison of methods for estimating Density and population trends for low-Density Asian bears. &lt;i&gt;Global Ecology and Conservation, 35&lt;/i&gt;, e02058</t>
  </si>
  <si>
    <t>Proctor, M. F., Garshelis, D. L., Thatte, P., Steinmetz, R., Crudge, B., McLellan, B. N., McShea, W. J., Ngoprasert, D., Nawaz, M. A., Te Wong, S., Sharma, S., Fuller, A. K., Dharaiya, N., Pigeon, K. E., Fredriksson, G., Wang, D., Li, S., &amp; Hwang, M. (2022). Review of field methods for monitoring Asian bears. &lt;i&gt;Global Ecology and Conservation, 35&lt;/i&gt;, e02080.</t>
  </si>
  <si>
    <t>Fennell, M., Beirne, C., &amp; Burton, A. C. (2022). Use of object detection in camera trap image identification: Assessing a method to rapidly and accurately classify human and animal detections for research and application in recreation ecology. &lt;i&gt;Global Ecology and Conservation, 35&lt;/i&gt;.</t>
  </si>
  <si>
    <t>Sun, C., Burgar, J. M., Fisher, J. T., &amp; Burton, A. C. (2022). A Cautionary Tale Comparing Spatial Count and Partial Identity Models for Estimating Densities of Threatened and Unmarked Populations. &lt;i&gt;Global Ecology and Conservation, 38&lt;/i&gt;, e02268.</t>
  </si>
  <si>
    <t>Markle, D. F., Janik, A., Peterson, J. T., Choudhury, A., Simon, D. C., Tkach, V. V., Terwilliger, M. R., Sanders, J. L., &amp; Kent, M. L. (2020). Odds Ratios and Hurdle Models: A Long-Term Analysis of Parasite Infection Patterns in Endangered Young-Of-The-Year Suckers from Upper Klamath Lake, Oregon, USA. &lt;i&gt;International Journal for Parasitology, 50&lt;/i&gt;(4), 315-330.</t>
  </si>
  <si>
    <t>Iknayan, K. J., Tingley, M. W., Furnas, B. J., &amp; Beissinger, S. R. (2014). Detecting Diversity: Emerging Methods to Estimate Species Diversity. &lt;i&gt;Trends in Ecology &amp; Evolution, 29&lt;/i&gt;(2), 97-106.</t>
  </si>
  <si>
    <t>Blackburn, T., &amp; Gaston, K. (1999). The relationship between animal abundance and body size: A review of the mechanisms. In &lt;i&gt;A. Fitter &amp; D. Raffaelli (Eds.), Advances In Ecological Research, Vol 28&lt;/i&gt;, 181-210.</t>
  </si>
  <si>
    <t>Gerber, B., Karpanty, S. S. M., Crawford, C., Kotschwar, M., &amp; Randrianantenaina, J. (2010). An assessment of carnivore relative abundance and Density in the eastern rainforests of Madagascar using remotely-triggered camera traps. &lt;i&gt;Oryx, 44&lt;/i&gt;(2), 219-222.</t>
  </si>
  <si>
    <t>Ahumada, J. A., Fegraus, E., Birch, T., Flores, N., Kays, R., O'Brien, T. G., Palmer, J., Schuttler, S., Zhao, J. Y., Jetz, W., Kinnaird, M., Kulkarni, S., Lyet, A., Thau, D., Duong, M., Oliver, R., &amp; Dancer, A. (2019). Wildlife Insights: A Platform to Maximize the Potential of Camera Trap and Other Passive Sensor Wildlife Data for the Planet. &lt;i&gt;Environmental Conservation, 47&lt;/i&gt;(1), 1-6.</t>
  </si>
  <si>
    <t>Carbone, C., Christie, S., Conforti, K., Coulson, T., Franklin, N., Ginsberg, J. R., Griffiths, M., Holden, J., Kawanishi, K., Kinnaird, M., Laidlaw, R., Lynam, A., Macdonald, D. W., Martyr, D., McDougal, C., Nath, L., O'Brien, T., Seidensticker, J., Smith, D. J. L., Wan Shahruddin, W. N. (2001). The use of photographic rates to estimate densities of tigers and other cryptic mammals. &lt;i&gt;Animal Conservation, 4&lt;/i&gt;(1), 75-79.</t>
  </si>
  <si>
    <t>Jennelle, C. S., Runge, M. C., &amp; MacKenzie, D. I. (2002). The Use of Photographic Rates to Estimate Densities of Tigers and Other Cryptic Mammals: A Comment on Misleading Conclusions. &lt;i&gt;Animal Conservation, 5&lt;/i&gt;(2), 119-120.</t>
  </si>
  <si>
    <t>O'Brien, T. G., Kinnaird, M. F., &amp; Wibisono, H. T. (2003). Crouching tigers, hidden prey: Sumatran tiger and prey populations in a tropical forest landscape. &lt;i&gt;Animal Conservation, 6&lt;/i&gt;(2), 131-139.</t>
  </si>
  <si>
    <t>Wegge, P., C. P. Pokheral, &amp; Jnawali, S. R. (2004). Effects of trapping effort and trap shyness on estimates of tiger abundance from camera trap studies. &lt;i&gt;Animal Conservation, 7&lt;/i&gt;, 251-256.</t>
  </si>
  <si>
    <t>Kelejian, H. H., &amp; Prucha, I. R. (1998). A Generalized Spatial Two-Stage Least Squares Procedure for Estimating a Spatial Autoregressive Model with Autoregressive Disturbances. &lt;i&gt;Journal of Real Estate Finance and Economics, 17&lt;/i&gt;, 99-121.</t>
  </si>
  <si>
    <t>Tanwar, K. S., Sadhu, A., &amp; Jhala, Y. V. (2021). Camera trap placement for evaluating species richness, abundance, and activity. &lt;i&gt;Scientific Reports, 11&lt;/i&gt;(1), 23050.</t>
  </si>
  <si>
    <t>Nawaz, M. A., Khan, B. U., Mahmood, A., Younas, M., Din, J. U., &amp; Sutherland, C. (2021). An empirical demonstration of the effect of study design on density estimations. &lt;i&gt;Scientific Reports, 11&lt;/i&gt;(1), 13104. PubMed-not-MEDLINE.</t>
  </si>
  <si>
    <t>Clark, T. G., Bradburn, M. J., Love, S. B., &amp; Altman, D. G. (2003). Survival Analysis Part I: Basic Concepts and First Analyses. &lt;i&gt;British Journal of Cancer, 89&lt;/i&gt;(2), 232-38.</t>
  </si>
  <si>
    <t>Gaston, K. J., Blackburn, T. M., Greenwood, J. J. D., Gregory, R. D., Quinn, R. M., &amp; Lawton, J. H. (2000). Abundance-Occupancy Relationships. &lt;i&gt;The Journal of Applied Ecology, 37&lt;/i&gt;(s1), 39-59.</t>
  </si>
  <si>
    <t>Gotelli, N., &amp; Colwell, R. (2001). Quantifying biodiversity: procedures and pitfalls in the measurement and comparison of species richness. &lt;i&gt;Ecology Letters, 4&lt;/i&gt;, 379-391.</t>
  </si>
  <si>
    <t>Soberón, J., &amp; Llorente, J. (1993). The Use of Species Accumulation Functions for the Prediction of Species Richness. &lt;i&gt;Conservation Biology, 7&lt;/i&gt;(3), 480-488.</t>
  </si>
  <si>
    <t>Stokeld, D., Frank, A. S., Hill, B., Choy, J. L., Mahney, T., Stevens, A., &amp; Gillespie, G. R. (2016). Multiple Cameras Required to Reliably Detect Feral Cats in Northern Australian Tropical Savannah: An Evaluation of Sampling Design When Using Camera Traps. &lt;i&gt;Wildlife Research, 42&lt;/i&gt;(8), 642-649.</t>
  </si>
  <si>
    <t>Moll, R. J., Ortiz-Calo, W., Cepek, J. D., Lorch, P. D., Dennis, P. M., Robison, T., &amp; Montgomery, R. A. (2020). The effect of camera-trap viewshed obstruction on wildlife detection: implications for inference. &lt;i&gt;Wildlife Research, 47&lt;/i&gt;(2).</t>
  </si>
  <si>
    <t>Ladd, R., Meek, P., &amp; Leung, L. K.-P. (2022). The influence of camera-trap flash type on the behavioural response, detection rate and individual recognition of Eld's deer. &lt;i&gt;Wildlife Research, 50&lt;/i&gt;(6), 475-483.</t>
  </si>
  <si>
    <t>Kleiber, C., &amp; Zeileis, A. (2016). Visualizing Count Data Regressions Using Rootograms. &lt;i&gt;The American Statistician, 70&lt;/i&gt;(3), 296-303.</t>
  </si>
  <si>
    <t>Borchers, D. L., Stevenson, B. C., Kidney, D., Thomas, L., &amp; Marques, T. A. (2015). A Unifying Model for Capture-Recapture and Distance Sampling Surveys of Wildlife Populations. &lt;i&gt;Journal of the American Statistical Association, 110&lt;/i&gt;(509), 195-204.</t>
  </si>
  <si>
    <t>Lahoz-Monfort, J. J., &amp; Magrath, M. J. L. (2021). A Comprehensive Overview of Technologies for Species and Habitat Monitoring and Conservation. &lt;i&gt;Bioscience, 71&lt;/i&gt;(10), 1038-1062.</t>
  </si>
  <si>
    <t>Ames E. M., Gade M. R., Nieman C. L., Wright J. R, Tonra C. M., Marroquin C. M., Tutterow A. M, &amp; Gray S. M. (2020) Striving for population-level conservation: integrating physiology across the biological hierarchy. &lt;i&gt;Conservation Physiology, 8&lt;/i&gt;(1): coaa019.</t>
  </si>
  <si>
    <t>Jensen, P. O., Wirsing, A. J., &amp; Thornton, D. H. (2022). Using camera traps to estimate density of snowshoe hare ( Lepus americanus ): A keystone boreal forest herbivore. &lt;i&gt;Journal of Mammalogy, 103&lt;/i&gt;(3), 693-710.</t>
  </si>
  <si>
    <t>Parsons, A. W., Forrester, T., McShea, W. J., Baker-Whatton, M. C., Millspaugh, J. J., &amp; Kays, R. (2017). Do occupancy or detection rates from camera traps reflect deer density? &lt;i&gt;Journal of Mammalogy, 98&lt;/i&gt;(6), 1547-1557.</t>
  </si>
  <si>
    <t>Steinbeiser, C. M., Kioko, J., Maresi, A., Kaitilia, R., &amp; Kiffner, C. (2019). Relative Abundance and Activity Patterns Explain Method-Related Differences in Mammalian Species Richness Estimates. &lt;i&gt;Journal of Mammalogy, 100&lt;/i&gt;(1), 192-201.</t>
  </si>
  <si>
    <t>Colwell, R., Chao, A., Gotelli, N., Lin, S., Mao, C., Chazdon, R., &amp; Longino, J. (2012). Models and estimators linking individual-based and sample-based rarefaction, extrapolation and comparison of assemblages. &lt;i&gt;Journal of Plant Ecology, 5&lt;/i&gt;(1), 3-21.</t>
  </si>
  <si>
    <t>Codling, E. A., Plank, M. J., &amp; Benhamou, S. (2008). Random walk models in biology. &lt;i&gt;Journal of The Royal Society Interface, 5&lt;/i&gt;(25), 813-834.</t>
  </si>
  <si>
    <t>Ofstad, E. G., Herfindal, I., Solberg, E. J., &amp; Saether, B. E. (2016). Home ranges, habitat and body mass: Simple correlates of home range size in ungulates. &lt;i&gt;Proceedings of the Royal Society B: Biological Sciences, 283&lt;/i&gt;(1845), 20161234.</t>
  </si>
  <si>
    <t>Colwell, R. K., &amp; Coddington, J. A. (1994).Estimating terrestrial biodiversity through extrapolation. &lt;i&gt;Philosophical Transactions of the Royal Society of London. Series B, Biological Sciences, 345&lt;/i&gt;, 101-118.</t>
  </si>
  <si>
    <t>Ahumada, J. A., Silva, C. E. F., Gajapersad, K., Hallam, C., Hurtado, J., Martin, E., McWilliam, A., Mugerwa, B., O'Brien, T., Rovero, F., Sheil, D., Spironello, W. R., Winarni, N., &amp; Andelman, S. J. (2011). Community Structure and Diversity of Tropical Forest Mammals: Data from a Global Camera Trap Network. &lt;i&gt;Philosophical Transactions: Biological Sciences, 366&lt;/i&gt;(1578), 2703-2711.</t>
  </si>
  <si>
    <t>Gerber, B. D., Devarajan, K., Farris, Z. J., &amp; Fidino, M. (2023). A model-based hypothesis framework to define and estimate the diel niche via the ‘Diel.Niche’ R package. &lt;i&gt;bioRxiv, 2023.06.21.545898.&lt;/i&gt;</t>
  </si>
  <si>
    <t>Carswell, B. M., Avgar, T., Street, G. M., Boyle, S. P., &amp; Vander Wal, E. (2024). One size does not fit all: A novel approach for determining the Realised Viewshed Size for remote camera traps. &lt;i&gt;Ecology&lt;/i&gt;.</t>
  </si>
  <si>
    <t>Kays, R., Kranstauber, B., Jansen, P., Carbone, C., Rowcliffe, M., Fountain, T., &amp; Tilak, S. (2009). Camera traps as sensor networks for monitoring animal communities. &lt;i&gt;2009 IEEE 34th Conference on Local Computer Networks&lt;/i&gt;, 811-818.</t>
  </si>
  <si>
    <t>Lele, S. R., Merrill, E. H., Keim, J., &amp; Boyce, M. S. (2013). Selection, use, choice and occupancy: Clarifying concepts in resource selection studies. &lt;i&gt;Journal of Animal Ecology, 82&lt;/i&gt;(6), 1183-1191.</t>
  </si>
  <si>
    <t>Keim, J. L., Lele, S. R., DeWitt, P. D., Fitzpatrick, J. J., Jenni, N. S. (2019). Estimating the intensity of use by interacting predators and prey using camera traps. &lt;i&gt;Journal of Animal Ecology, 88&lt;/i&gt;, 690-701.</t>
  </si>
  <si>
    <t>Gallo, T., Fidino, M., Lehrer, E. W., &amp; Magle, S. (2019). Urbanization Alters Predator-Avoidance Behaviours. &lt;i&gt;Journal of Animal Ecology, 88&lt;/i&gt;(5), 793-803.</t>
  </si>
  <si>
    <t>Abolaffio, M., Focardi, S., &amp; Santini, G. (2019). Avoiding misleading messages: Population assessment using camera trapping is not a simple task. &lt;i&gt;Journal of Animal Ecology, 88&lt;/i&gt;(12), 2011-2016. Medline.</t>
  </si>
  <si>
    <t>Murray, M. H., Fidino, M., Lehrer, E. W., Simonis, J. L., &amp; Magle, S. B. (2021). A multi-state occupancy model to non-invasively monitor visible signs of wildlife health with camera traps that accounts for image quality. &lt;i&gt;Journal of Animal Ecology, 90&lt;/i&gt;(8), 1973-1984.</t>
  </si>
  <si>
    <t>Iannarilli, F., Gerber, B. D., Erb, J., &amp; Fieberg, J. R. (2024a). A ‘how‐to’ guide for estimating animal diel activity using hierarchical models. &lt;i&gt;Journal of Animal Ecology&lt;/i&gt;, 1365-2656. 14213.</t>
  </si>
  <si>
    <t>Sollmann, R., Gardner, B., Chandler, R. B., Shindle, D. B., Onorato, D. P., Royle, J. A., O'Connell, A. F., &amp; Lukacs, P. (2013a). Using multiple data sources provides Density estimates for endangered Florida panther. &lt;i&gt;Journal of Applied Ecology, 50&lt;/i&gt;(4), 961-968.</t>
  </si>
  <si>
    <t>Banks‐Leite, C., Pardini, R., Boscolo, D., Cassano, C. R., Püttker, T., Barros, C. S., &amp; Barlow, J. (2014). Assessing the utility of statistical adjustments for imperfect detection in tropical conservation science. &lt;i&gt;Journal of Applied Ecology, 51&lt;/i&gt;(4), 849-859.</t>
  </si>
  <si>
    <t>Linden, D. W., Fuller, A. K., Royle, J. A., &amp; Hare, M. P. (2017). Examining the occupancy-Density relationship for a low‐Density carnivore. &lt;i&gt;Journal of Applied Ecology, 54&lt;/i&gt;(6), 2043-2052.</t>
  </si>
  <si>
    <t>Whittington, J., Hebblewhite, M., Chandler, R. B., &amp; Lentini, P. (2018). Generalized spatial mark-resight models with an application to grizzly bears. &lt;i&gt;Journal of Applied Ecology, 55&lt;/i&gt;(1), 157-168.</t>
  </si>
  <si>
    <t>Nakashima, Y., Fukasawa, &amp; K., Samejima, H. (2017). Estimating Animal Density Without Individual Recognition Using Information Derivable Exclusively from Camera Traps. &lt;i&gt;Journal of Applied Ecology, 55&lt;/i&gt;(2), 735-744.</t>
  </si>
  <si>
    <t>Evans, M. J. &amp; Rittenhouse, T. A. G. (2018). Evaluating Spatially Explicit Density Estimates of Unmarked Wildlife Detected by Remote Cameras. &lt;i&gt;The Journal of Applied Ecology 55&lt;/i&gt;(6), 2565-74.</t>
  </si>
  <si>
    <t>Bessone, M., Kühl, H. S., Hohmann, G., Herbinger, I., N'Goran, K. P., Asanzi, P., Da Costa, P. B., Dérozier, V., Fotsing, E. D. B., Beka, B. I., Iyomi, M. D., Iyatshi, I. B., Kafando, P., Kambere, M. A., Moundzoho, D. B., Wanzalire, M. L. K., Fruth, B., &amp; Michalski, F. (2020). Drawn out of the Shadows: Surveying Secretive Forest Species with Camera Trap Distance Sampling. &lt;i&gt;Journal of Applied Ecology, 57&lt;/i&gt;(5), 963-974.</t>
  </si>
  <si>
    <t>Palencia, P., Rowcliffe, J. M., Vicente, J., &amp; Acevedo, P. (2021). Assessing the camera trap methodologies used to estimate Density of unmarked populations. &lt;i&gt;Journal of Applied Ecology, 58&lt;/i&gt;(8), 1583-1592.</t>
  </si>
  <si>
    <t>Royle, J. A., Converse, S. J., &amp; Freckleton, R. (2014). Hierarchical spatial capture-recapture models: modelling population Density in stratified populations. &lt;i&gt;Methods in Ecology and Evolution, 5&lt;/i&gt;(1), 37-43.</t>
  </si>
  <si>
    <t>Dénes, F. V., Silveira, L. F., Beissinger, S. R., &amp; Isaac, N. (2015). Estimating Abundance of Unmarked Animal Populations: Accounting for Imperfect Detection and Other Sources of Zero Inflation. &lt;i&gt;Methods in Ecology and Evolution, 6&lt;/i&gt;(5), 543-556.</t>
  </si>
  <si>
    <t>Lynch, T. P., Alderman, R., &amp; Hobday, A. J. (2015). A high-resolution panorama camera system for monitoring colony-wide seabird nesting behaviour. &lt;i&gt;Methods in Ecology and Evolution, 6&lt;/i&gt;(5), 491-499.</t>
  </si>
  <si>
    <t>Pacifici, K., Reich, B. J., Dorazio, R. M., Conroy, M. J., &amp; McPherson, J. (2016). Occupancy estimation for rare species using a spatially‐adaptive sampling design. &lt;i&gt;Methods in Ecology and Evolution, 7&lt;/i&gt;(3), 285-293.</t>
  </si>
  <si>
    <t>Tabak, M. A., Norouzzadeh, M. S., Wolfson, D. W., Sweeney, S. J., Vercauteren, K. C., Snow, N. P., Halseth, J. M., Di Salvo, P. A., Lewis, J. S., White, M. D., Teton, B., Beasley, J. C., Schlichting, P. E., Boughton, R. K., Wight, B., Newkirk, E. S., Ivan, J. S., Odell, E. A., Brook, R. K., . . . Photopoulou, T. (2018). Machine Learning to Classify Animal Species in Camera Trap Images: Applications in Ecology. &lt;i&gt;Methods in Ecology and Evolution, 10&lt;/i&gt;(4), 585-590.</t>
  </si>
  <si>
    <t>Blasco‐Moreno, A., Pérez‐Casany, M., Puig, P., Morante, M., Castells, E., &amp; O'Hara, R. B. (2019). What Does a Zero Mean? Understanding False, Random and Structural Zeros in Ecology. &lt;i&gt;Methods in Ecology and Evolution, 10&lt;/i&gt;(7), 949-959.</t>
  </si>
  <si>
    <t>Efford, M. G., &amp; Boulanger, J. (2019). Fast Evaluation of Study Designs for Spatially Explicit Capture-Recapture. &lt;i&gt;Methods in Ecology and Evolution, 10&lt;/i&gt;(9), 1529-1535.</t>
  </si>
  <si>
    <t>Norouzzadeh, M. S., Morris, D., Beery, S., Joshi, N., Jojic, N., Clune, J., &amp; Schofield, M. (2020). A deep active learning system for species identification and counting in camera trap images. &lt;i&gt;Methods in Ecology and Evolution, 12&lt;/i&gt;(1), 150-161.</t>
  </si>
  <si>
    <t>Pascal, L., Memarzadeh, M., Boettiger, C., Lloyd, H., &amp; Chadès, I. (2020). A Shiny R app to solve the problem of when to stop managing or surveying species under imperfect detection. Methods in &lt;i&gt;Ecology and Evolution, 11&lt;/i&gt;(12), 1707-1715.</t>
  </si>
  <si>
    <t>Velez, J., McShea, W., Shamon, H., Castiblanco-Camacho, P. J., Tabak, M. A., Chalmers, C., Fergus, P., &amp; Fieberg, J. (2023). An Evaluation of Platforms for Processing Camera-Trap Data using Artificial Intelligence. &lt;i&gt;Methods in Ecology and Evolution, 145&lt;/i&gt;, 459-477.</t>
  </si>
  <si>
    <t>Delisle, Z. J., Henrich, M., Palencia, P., &amp; Swihart, R. K. (2023). Reducing bias in density estimates for unmarked populations that exhibit reactive behaviour towards camera traps. &lt;i&gt;Methods in Ecology and Evolution, 14&lt;/i&gt;(12), 3100-3111.</t>
  </si>
  <si>
    <t>Donovan, T., Hines, J., &amp; MacKenzie, D. (2024). OCCUPANCYTUTS: Occupancy modelling tutorials with RPRESENCE. &lt;i&gt;Methods in Ecology and Evolution, 15&lt;/i&gt;(3), 477-483.</t>
  </si>
  <si>
    <t>Anile, S., &amp; Devillard, S. (2016). Study Design and Body Mass Influence RAIs from Camera Trap Studies: Evidence from the Felidae. &lt;i&gt;Animal Conservation, 19&lt;/i&gt;(1), 35-45.</t>
  </si>
  <si>
    <t>Sollmann, R. (2018). A gentle introduction to camera‐trap data analysis. &lt;i&gt;African Journal of Ecology,&lt;/i&gt; 56, 740-749.</t>
  </si>
  <si>
    <t>Apps, P. J., &amp; McNutt, J. W. (2018). How Camera Traps work and how to work them. &lt;i&gt;African Journal of Ecology, 56&lt;/i&gt;(4), 702-709.</t>
  </si>
  <si>
    <t>Efford, M. G., &amp; Hunter, C. M. (2018). Spatial Capture-mark-resight Estimation of Animal Population Density. &lt;i&gt;Biometrics, 74&lt;/i&gt;(2), 411-420.</t>
  </si>
  <si>
    <t>Parsons, M. H., Apfelbach, R., Banks, P. B., Cameron, E. Z., Dickman, C. R., Frank, A. S. K., Jones, M. E., McGregor, I. S., McLean, S., Muller-Schwarze, D., Sparrow, E. E., &amp; Blumstein, D. T. (2018). Biologically meaningful scents: A framework for understanding predator-prey research across disciplines. &lt;i&gt;Biological reviews of the Cambridge Philosophical Society, 93&lt;/i&gt;(1), 98-114.</t>
  </si>
  <si>
    <t>Fisher, J. T., Wheatley, M., &amp; Mackenzie, D. (2014). Spatial Patterns of Breeding Success of Grizzly Bears derived from Hierarchical Multistate Models. &lt;i&gt;Conservation Biology, 28&lt;/i&gt;(5), 1249-1259.</t>
  </si>
  <si>
    <t>Brodie, J. F., Giordano, A. J., Zipkin, E. F., Bernard, H., Mohd‐Azlan, J., &amp; Ambu, L. (2015). Correlation and persistence of hunting and logging impacts on tropical rainforest mammals. &lt;i&gt;Conservation Biology, 29&lt;/i&gt;(1), 110-121.</t>
  </si>
  <si>
    <t>Burgar, J. M., Burton, A. C., &amp; Fisher, J. T. (2019). The importance of considering multiple interacting species for conservation of species at risk. &lt;i&gt;Conservation Biology, 33&lt;/i&gt;(3), 709-715.</t>
  </si>
  <si>
    <t>Gilbert, N. A., Clare, J. D. J., Stenglein, J. L., &amp; Zuckerberg, B. (2020). Abundance Estimation of Unmarked Animals based on Camera-Trap Data. &lt;i&gt;Conservation Biology, 35&lt;/i&gt;(1), 88-100.</t>
  </si>
  <si>
    <t>Kusi, N., Sillero‐Zubiri, C., Macdonald, D. W., Johnson, P. J., &amp; Werhahn, G. (2019). Perspectives of traditional Himalayan communities on fostering coexistence with Himalayan wolf and snow leopard. &lt;i&gt;Conservation Science and Practice, 2&lt;/i&gt;(3).</t>
  </si>
  <si>
    <t>Caravaggi, A., Burton, A. C., Clark, D. A., Fisher, J. T., Grass, A., Green, S., Hobaiter, C., Hofmeester, T. R., Kalan, A. K., Rabaiotti, D., &amp; Rivet, D. (2020). A Review of Factors To Consider When Using Camera Traps To Study Animal Behavior To Inform Wildlife Ecology And Conservation. &lt;i&gt;Conservation Science and Practice, 2&lt;/i&gt;(8).</t>
  </si>
  <si>
    <t>Guillera‐Arroita, G. (2017). Modelling of species distributions, range dynamics and communities under imperfect detection: Advances, challenges and opportunities. &lt;i&gt;Ecography, 40&lt;/i&gt;(2), 281-295.</t>
  </si>
  <si>
    <t>Sutherland, C., Royle, J. A., &amp; Linden, D. W. (2019). oSCR: A spatial capture-recapture R package for inference about spatial ecological processes. &lt;i&gt;Ecography, 42&lt;/i&gt;(9), 1459-1469.</t>
  </si>
  <si>
    <t>Crisfield, V. E., Guillaume Blanchet, F., Raudsepp‐Hearne, C., &amp; Gravel, D. (2024). How and why species are rare: Towards an understanding of the ecological causes of rarity. &lt;i&gt;Ecography, 2024&lt;/i&gt;(2), e07037.</t>
  </si>
  <si>
    <t>Rendall, A. R., White, J. G., Cooke, R., Whisson, D. A., Schneider, T., Beilharz, L., Poelsma, E., Ryeland, J., &amp; Weston, M. A. (2021). Taking the bait: The influence of attractants and microhabitat on detections of fauna by remote‐sensing cameras. &lt;i&gt;Ecological Management &amp; Restoration, 22&lt;/i&gt;(1), 72-79.</t>
  </si>
  <si>
    <t>Broekman, M. J. E., Hoeks, S., Freriks, R., Langendoen, M. M., Runge, K. M., Savenco, E., Ter Harmsel, R., Huijbregts, M. A. J., &amp; Tucker, M. A. (2023). HomeRange: A global database of mammalian home ranges. &lt;i&gt;Global Ecology and Biogeography, 32&lt;/i&gt;(2), 198-205.</t>
  </si>
  <si>
    <t>Welsh, A. H., Cunningham, R. B., &amp; Chambers, R. L. (2000). Methodology for estimating the abundance of rare animals: Seabird nesting on North East Herald Cay. &lt;i&gt;Biometrics, 56&lt;/i&gt;(1), 22-30.</t>
  </si>
  <si>
    <t>MacKenzie, D. I., Bailey, L. L., &amp; Nichols, J. D. (2004). Investigating Species Co-Occurrence Patterns When Species Are Detected Imperfectly. &lt;i&gt;Journal of Animal Ecology, 73&lt;/i&gt;(3), 546-555.</t>
  </si>
  <si>
    <t>Bowkett, A. E., Rovero, F., &amp; Marshall, A. R. (2008). The use of camera-trap data to model habitat use by antelope species in the udzungwa mountain forests, tanzania. &lt;i&gt;African Journal of Ecology, 46&lt;/i&gt;(4), 479-487.</t>
  </si>
  <si>
    <t>Mackenzie, D. I., &amp; Royle, J. A. (2005). Designing occupancy studies: general advice and allocating Survey effort. &lt;i&gt;Journal of Applied Ecology, 42&lt;/i&gt;, 1105-1114.</t>
  </si>
  <si>
    <t>Royle, J. A., Nichols, J. D., Karanth, K. U., &amp; Gopalaswamy, A. M. (2009). A hierarchical model for estimating Density in camera-trap studies. &lt;i&gt;Journal of Applied Ecology, 46&lt;/i&gt;(1), 118-127.</t>
  </si>
  <si>
    <t>Obbard, M. E., Howe, E. J., &amp; Kyle, C. J. (2010). Empirical Comparison of Density Estimators for Large Carnivores. &lt;i&gt;Journal of Applied Ecology, 47&lt;/i&gt;(1), 76-84.</t>
  </si>
  <si>
    <t>Martin, T. G., Wintle, B. A., Rhodes, J. R., Kuhnert, P. M., Field, S. A., Low-Choy, S. J., Tyre, A. J., &amp; Possingham, H. P. (2005). Zero Tolerance Ecology: Improving Ecological Inference by Modelling the Source of Zero Observations. &lt;i&gt;Ecology Letters, 8&lt;/i&gt;(11), 1235-1246.</t>
  </si>
  <si>
    <t>Tobler, M. W., Pitman, R. L., Mares, R. &amp; Powell, G. (2008). An Evaluation of Camera Traps for Inventorying Large- and Medium-Sized Terrestrial Rainforest Mammals. &lt;i&gt;Animal Conservation, 11&lt;/i&gt;, 169-178.</t>
  </si>
  <si>
    <t>Rowcliffe, J. M., &amp; Carbone, C. (2008). Surveys Using Camera Traps: Are We Looking to a Brighter Future? &lt;i&gt;Animal Conservation, 11&lt;/i&gt;(3), 185-86.</t>
  </si>
  <si>
    <t>Sharma, R.K., Jhala, Y., Qureshi, Q., Vattakaven, J., Gopal, R. &amp; Nayak, K. (2010). Evaluating capture-recapture population and Density estimation of tigers in a population with known parameters. &lt;i&gt;Animal Conservation, 13&lt;/i&gt;(1), 94-103.</t>
  </si>
  <si>
    <t>Pettorelli, N., Lobora, A. L., Msuha, M. J., Foley, C., &amp; Durant, S. M. (2010). Carnivore biodiversity in Tanzania: Revealing the distribution patterns of secretive mammals using camera traps. &lt;i&gt;Animal Conservation, 13&lt;/i&gt;(2), 131-139.</t>
  </si>
  <si>
    <t>Noss, A. J., Gardner, B., Maffei, L., Cuéllar, E., Montaño, R., Romero-Muñoz, A., Sollman, R., O'Connell, A. F., &amp; Altwegg, R. (2012).comparison of Density estimation methods for mammal populations with camera traps in the Kaa-Iya del Gran Chaco landscape. &lt;i&gt;Animal Conservation, 15&lt;/i&gt;(5), 527-535.</t>
  </si>
  <si>
    <t>Garland, T. (1983). The relation between maximal running speed and body mass in terrestrial mammals. &lt;i&gt;Journal of Zoology, 199&lt;/i&gt;(2), 157-170.</t>
  </si>
  <si>
    <t>Jenny, D. (1996). Spatial organization of leopards Panthera pardus in Taï National Park, Ivory Coast: Is rainforest habitat a ‘tropical haven’? &lt;i&gt;Journal of Zoology, 240&lt;/i&gt;(3), 427-440.</t>
  </si>
  <si>
    <t>Dillon, A., &amp; Kelly, M. J. (2008). Ocelot Home Range, Overlap and Density: Comparing Radio Telemetry with Camera Trapping. &lt;i&gt;Journal of Zoology, 275&lt;/i&gt;, 391-398.</t>
  </si>
  <si>
    <t>Noon, B. R., Bailey, L. L., Sisk, T. D., &amp; McKelvey, K. S. (2012). Efficient Species-Level Monitoring at the Landscape Scale. &lt;i&gt;Conservation Biology, 26&lt;/i&gt;(3), 432-41.</t>
  </si>
  <si>
    <t>Borchers, D. L., &amp; Efford, M. G. (2008). Spatially Explicit Maximum Likelihood Methods for Capture-Recapture Studies. &lt;i&gt;Biometrics, 64&lt;/i&gt;(2), 377-385.</t>
  </si>
  <si>
    <t>McClintock, B. T., White, G. C., Antolin, M. F., &amp; Tripp, D. W. (2009). Estimating abundance using mark-resight when sampling is with replacement or the number of marked individuals is unknown. &lt;i&gt;Biometrics, 65&lt;/i&gt;(1), 237-246.</t>
  </si>
  <si>
    <t>Maffei, L., &amp; Noss, A. J. (2008). How Small Is Too Small? Camera Trap Survey Areas and Density Estimates for Ocelots in the Bolivian Chaco. &lt;i&gt;Biotropica, 40&lt;/i&gt;(1), 71-75.</t>
  </si>
  <si>
    <t>Zuur, A. K., Ieno, E. N., &amp; Smith, G. M. (2007). Generalised linear modelling. In, M. Gail, K. Krickeberg, J. Samet, A. Tsiatis, &amp; W. Wong (Eds.), &lt;i&gt;Analysing Ecological Data&lt;/i&gt; (pp 79-96). Springer.</t>
  </si>
  <si>
    <t>Walther, B. A., &amp; Moore, J. L. (2005). The Concepts of Bias, Precision and Accuracy, and Their Use in Testing the Performance of Species Richness Estimators, with a Literature Review of Estimator Performance. &lt;i&gt;Ecography, 28&lt;/i&gt;, 815-829.</t>
  </si>
  <si>
    <t>Guillera-Arroita, G., Ridout, M. S., &amp; Morgan, B. J. T. (2010). Design of Occupancy Studies with Imperfect Detection. &lt;i&gt;Methods in Ecology and Evolution, 1&lt;/i&gt;, 131-139.</t>
  </si>
  <si>
    <t>Rowcliffe, M. J., Carbone, C., Jansen, P. A., Kays, R., &amp; Kranstauber, B. (2011). Quantifying the sensitivity of camera traps: an adapted distance sampling approach. &lt;i&gt;Methods in Ecology and Evolution, 2&lt;/i&gt;(5), 464-476.</t>
  </si>
  <si>
    <t>Guillera-Arroita, G., &amp; Lahoz-Monfort, J. J. (2012). Designing studies to detect differences in species occupancy: Power analysis under imperfect detection. &lt;i&gt;Methods in Ecology and Evolution, 3&lt;/i&gt;(5), 860-869.</t>
  </si>
  <si>
    <t>Gopalaswamy, A. M., Royle, J. A., Hines, J. E., Singh, P., Jathanna, D., Kumar, N. S., &amp; Karanth, K. U. (2012). Program SPACECAP: software for estimating animal Density using spatially explicit capture-recapture models. &lt;i&gt;Methods in Ecology and Evolution, 3&lt;/i&gt;(6), 1067-1072.</t>
  </si>
  <si>
    <t>Tourani, M., Brøste, E. N., Bakken, S., Odden, J., Bischof, R., &amp; Hayward, M. (2020). Sooner, closer, or longer: Detectability of mesocarnivores at camera traps. &lt;i&gt;Journal of Zoology, 312&lt;/i&gt;(4), 259-270.</t>
  </si>
  <si>
    <t>Palencia, P., Vicente, J., Soriguer, R. C., &amp; Acevedo, P. (2022). Towards a best‐practices guide for camera trapping: assessing differences among camera trap models and settings under field conditions. &lt;i&gt;Journal of Zoology, 316&lt;/i&gt;(3), 197-208.</t>
  </si>
  <si>
    <t>Séquin, E. S., Jaeger M. M., Brussard P. F., &amp; Barrett, R. H. (2003). Wariness of Coyotes to Camera Traps Relative to Social Status and Territory Boundaries. Lincoln, NE, USA: University of Nebraska-Lincoln.</t>
  </si>
  <si>
    <t>Krebs, C. J., Gilbert, B. S., Boutin, S., &amp; Boonstra, R. (1987). Estimation of snowshoe hare population density from turd transects. &lt;i&gt;Canadian Journal of Zoology, 65&lt;/i&gt;(3), 565-567.</t>
  </si>
  <si>
    <t>LaBarbera, M. (2003). Analyzing Body Size as a Factor in Ecology and Evolution. &lt;i&gt;Annual Review of Ecology and Systematics, 20&lt;/i&gt;(1), 97-117.</t>
  </si>
  <si>
    <t>Junker, J., Kühl, H., Orth, L., Smith, R., Petrovan, S., &amp; Sutherland, W. (2021). &lt;i&gt;7. Primate Conservation.&lt;/i&gt; (pp. 435-486).</t>
  </si>
  <si>
    <t>Zorn, C. J. W. (1998). An Analytic and Empirical Examination of Zero-inflated and Hurdle Poisson Specifications. &lt;i&gt;Sociological Methods and Research 26&lt;/i&gt;(3), 368-400.</t>
  </si>
  <si>
    <t>Frampton, G., Whaley, P., Bennett, M., Bilotta, G., Dorne, J. L. C. M., Eales, J., James, K., Kohl, C., Land, M., Livoreil, B., Makowski, D., Muchiri, E., Petrokofsky, G., Randall, N., &amp; Schofield, K. (2022). Principles and framework for assessing the risk of bias for studies included in comparative quantitative environmental systematic reviews. &lt;i&gt;Environmental Evidence, 11&lt;/i&gt;(1), 12.</t>
  </si>
  <si>
    <t>Kays, R., Hody, A., Jachowski, D. S., &amp; Parsons, A. W. (2021). Empirical Evaluation of the Spatial Scale and Detection Process of Camera Trap Surveys. &lt;i&gt;Movement Ecology, 9&lt;/i&gt;, 41.</t>
  </si>
  <si>
    <t>Ridout, M. S., &amp; Linkie, M. (2009). Estimating overlap of daily activity patterns from camera trap data. &lt;i&gt;Journal of Agricultural, Biological, and Environmental Statistics, 14&lt;/i&gt;(3), 322-337.</t>
  </si>
  <si>
    <t>Chandler, R. B., &amp; Royle, J. A. (2013). Spatially explicit models for inference about Density in unmarked or partially marked populations. &lt;i&gt;The Annals of Applied Statistics, 7&lt;/i&gt;(2), 936-954.</t>
  </si>
  <si>
    <t>Augustine, B. C., Royle, J. A., Kelly, M. J., Satter, C. B., Alonso, R. S., Boydston, E. E., &amp; Crooks, K. R. (2018). Spatial Capture-Recapture with Partial Identity: An Application to Camera Traps. &lt;i&gt;The Annals of Applied Statistics, 12&lt;/i&gt;(1), 67-95.</t>
  </si>
  <si>
    <t>Clarke, J., Bohm, H., Burton, C., Constantinou, A. (2023). &lt;i&gt;Using Camera Traps to Estimate Medium and Large Mammal Density: Comparison of Methods and Recommendations for Wildlife Managers&lt;/i&gt;.</t>
  </si>
  <si>
    <t>Molloy, S. W. (2018). &lt;i&gt;A Practical Guide to Using Camera Traps for Wildlife Monitoring in Natural Resource Management Projects&lt;/i&gt;.</t>
  </si>
  <si>
    <t>Muhly, T. B., Semeniuk, C., Massolo, A., Hickman, L., &amp; Musiani, M. (2011). Human activity helps prey win the predator-prey space race. &lt;i&gt;PloS One, 6&lt;/i&gt;(3), e17050.</t>
  </si>
  <si>
    <t>Sollmann, R., Gardner, B., &amp; Belant, J. L. (2012). How does Spatial Study Design Influence Density Estimates from Spatial capture-recapture models? &lt;i&gt;PLoS One, 7&lt;/i&gt;, e34575.</t>
  </si>
  <si>
    <t>Glen, A. S., Cockburn, S., Nichols, M., Ekanayake, J., &amp; Warburton, B. (2013) Optimising Camera Traps for Monitoring Small Mammals. &lt;i&gt;PloS one, 8&lt;/i&gt;(6), Article e67940.</t>
  </si>
  <si>
    <t>Wearn, O. R., Rowcliffe, J. M., Carbone, C., Bernard, H., &amp; Ewers, R. M. (2013). Assessing the status of wild felids in a highly-disturbed commercial forest reserve in Borneo and the implications for camera trap Survey design. &lt;i&gt;PLoS One, 8&lt;/i&gt;(11), e77598.</t>
  </si>
  <si>
    <t>Sun, C. C., Fuller, A. K., &amp; Royle., J. A. (2014). Trap Configuration and Spacing Influences Parameter Estimates in Spatial Capture-Recapture Models. &lt;i&gt;PLoS One, 9&lt;/i&gt;(2): e88025.</t>
  </si>
  <si>
    <t>Alonso, R. S., McClintock, B. T., Lyren, L. M., Boydston, E. E., &amp; Crooks, K. R. (2015). Mark-recapture and Mark-resight Methods for Estimating Abundance with Remote Cameras: A Carnivore Case Study. &lt;i&gt;PLoS One, 10&lt;/i&gt;(3), e0123032.</t>
  </si>
  <si>
    <t>Muhly, T., Serrouya, R., Neilson, E., Li, H., &amp; Boutin, S. (2015). Influence of In-Situ Oil Sands Development on Caribou (Rangifer tarandus) Movement. &lt;i&gt;PloS One, 10&lt;/i&gt;(9), e0136933.</t>
  </si>
  <si>
    <t>Mills, C. A., Godley, B. J., &amp; Hodgson, D. J. (2016). Take Only Photographs, Leave Only Footprints: Novel Applications of Non-Invasive Survey Methods for Rapid Detection of Small, Arboreal Animals. &lt;i&gt;PloS One, 11&lt;/i&gt;(1), e0146142.</t>
  </si>
  <si>
    <t>Pease, B. S., Nielsen, C. K., &amp; Holzmueller, E. J. (2016). Single-Camera Trap Survey Designs Miss Detections: Impacts on Estimates of Occupancy and Community Metrics. &lt;i&gt;PloS One, 11&lt;/i&gt;(11), e0166689.</t>
  </si>
  <si>
    <t>O'Connor, K. M., Nathan, L. R., Liberati, M. R., Tingley, M. W., Vokoun, J. C., &amp; Rittenhouse, T. A. G. (2017). Camera trap arrays improve detection probability of wildlife: Investigating study design considerations using an empirical dataset. &lt;i&gt;PloS One, 12&lt;/i&gt;(4), e0175684.</t>
  </si>
  <si>
    <t>Estevo, C. A., Nagy-Reis, M. B., &amp; Nichols, J. D. (2017). When habitat matters: Habitat preferences can modulate co-occurrence patterns of similar sympatric species. &lt;i&gt;PLOS ONE, 12&lt;/i&gt;(7), e0179489.</t>
  </si>
  <si>
    <t>Estevo, C. A., Nagy-Reis, M. B., &amp; Nichols, J. D. (2017). When habitat matters: Habitat preferences can modulate co-occurrence patterns of similar sympatric species. &lt;i&gt;PLOS One, 12&lt;/i&gt;(7), e0179489.</t>
  </si>
  <si>
    <t>Romairone, J., Jiménez, J., Luque-Larena, J. J., &amp; Mougeot, F. (2018). Spatial capture-recapture design and modelling for the study of small mammals. &lt;i&gt;PLOS ONE, 13&lt;/i&gt;(6), e0198766.</t>
  </si>
  <si>
    <t>Mills, D., Fattebert, J., Hunter, L., &amp; Slotow, R. (2019). Maximising camera trap data: Using attractants to improve detection of elusive species in multi-species Surveys. &lt;i&gt;PLoS ONE, 14&lt;/i&gt;(5), e0216447.</t>
  </si>
  <si>
    <t>Holinda, D., Burgar, J. M., &amp; Burton, A. C. (2020). Effects of scent lure on camera trap detections vary across mammalian predator and prey species. &lt;i&gt;PLoS One, 15&lt;/i&gt;(5), e0229055.</t>
  </si>
  <si>
    <t>Buckland, S. T. (2006). Point-Transect Surveys for Songbirds: Robust Methodologies. &lt;i&gt;The American Ornithologists’ Union, 123&lt;/i&gt;(2), 345-357.</t>
  </si>
  <si>
    <t>Kelly, M. J., Noss, A. J., Bitetti, M. S., Maffei, L., Arispe, R. L., Paviolo, A., Angelo, C. D. D., &amp; Di Blanco, Y. E. (2008). Estimating Puma Densities from Camera Trapping Across Three Study Sites: Bolivia, Argentina, And Belize. &lt;i&gt;Journal of Mammalogy, 89&lt;/i&gt;(2), 408-418.</t>
  </si>
  <si>
    <t>Krebs, C. J., Boonstra, R., Gilbert, S., Reid, D., Kenney, A. J., Hofer, E. J., &amp; an Vuren, D. H. (2011). Density estimation for small mammals from livetrapping grids: rodents in northern Canada. &lt;i&gt;Journal of Mammalogy, 92&lt;/i&gt;(5), 974-981.</t>
  </si>
  <si>
    <t>Powell, R. A., &amp; Mitchell, M. S. (2012). What is a home range? &lt;i&gt;Journal of Mammalogy, 93&lt;/i&gt;(4), 948-958.</t>
  </si>
  <si>
    <t>Spencer, W. D. (2012). Home ranges and the value of spatial information. &lt;i&gt;Journal of Mammalogy, 93&lt;/i&gt;(4), 929-947.</t>
  </si>
  <si>
    <t>Rich, L. N., Kelly, M. J., Sollmann, R., Noss, A. J., Maffei, L., Arispe, R. L., Paviolo, A., De Angelo, C. D., Di Blanco, Y. E., &amp; Di Bitetti, M. S. (2014).comparing capture-recapture, mark-resight, and spatial mark-resight models for estimating puma densities via camera traps. &lt;i&gt;Journal of Mammalogy, 95&lt;/i&gt;(2), 382-391.</t>
  </si>
  <si>
    <t>Zeileis, A., Kleiber, C., &amp; Jackman, S. (2008). Regression Models for Count Data in R. &lt;i&gt;Journal of Statistical Software, 27&lt;/i&gt;(8).</t>
  </si>
  <si>
    <t>Parmenter, R. R., Yates, T. L., Anderson, D. R., Burnham, K. P., Dunnum, J. L., Franklin, A. B., Friggens, M. T., Lubow, B. C., Miller, M., Olson, G. S., Parmenter, C. A., Pollard, J., Rexstad, E., Shenk, T. M., Stanley, T. R., &amp; White, G. C. (2003). Small-mammal Density estimation: A field comparison of grid-based vs. web-based Density estimators. &lt;i&gt;Ecological Monographs, 73&lt;/i&gt;(1), 1-26.</t>
  </si>
  <si>
    <t>MacKenzie, D. I., &amp; Kendall, W. L. (2002) How Should Detection Probability Be Incorporated into Estimates of Relative Abundance? &lt;i&gt;Ecology, 83&lt;/i&gt;(9), 2387-93.</t>
  </si>
  <si>
    <t>Royle, J. A., &amp; Nichols, J. D. (2003). Estimating abundance from repeated presence-absence data or point counts. &lt;i&gt;Ecology, 84&lt;/i&gt;, 777-790.</t>
  </si>
  <si>
    <t>Karanth, K. U., Nichols, J. D., Kumar, N. S., &amp; Hines, J. E. (2006). Assessing Tiger Population Dynamics Using Photographic Capture-Recapture Sampling. &lt;i&gt;Ecology, 87&lt;/i&gt;(11), 2925-2937.</t>
  </si>
  <si>
    <t>MacKenzie, D. I., Nichols, J. D., Hines, J. E., Knutson, M. G., &amp; Franklin, A. B. (2003). Estimating site occupancy, colonization, and local extinction when a species is detected imperfectly. &lt;i&gt;Ecology, 84&lt;/i&gt;(8), 2200-2207.</t>
  </si>
  <si>
    <t>Colwell, R. K., Mao, C. X., &amp; Chang, J. (2004). Interpolating, Extrapolating, and Comparing Incidence-based Species Accumulation Curves. &lt;i&gt;Ecology, 85&lt;/i&gt;(10), 2717-2727.</t>
  </si>
  <si>
    <t>Royle, J. A., &amp; Young, K. V. (2008). A hierarchical model for spatial capture-recapture data. &lt;i&gt;Ecology, 89&lt;/i&gt;(8), 2281-2289.</t>
  </si>
  <si>
    <t>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&lt;i&gt;Ecology, 90&lt;/i&gt;(9), 2648-2648.</t>
  </si>
  <si>
    <t>Efford, M. G., Dawson, D. K., &amp; Borchers, D. L. (2009b). Population Density estimated from locations of individuals on a passive detector array. &lt;i&gt;Ecology, 90&lt;/i&gt;(10), 2676-2682.</t>
  </si>
  <si>
    <t>Sollmann, R., Gardner, B., Parsons, A. W., Stocking, J. J., McClintock, B. T., Simons, T. R., Pollock, K. H., &amp; O'Connell, A. F. (2013b). A Spatial Mark-Resight Model Augmented with Telemetry Data. &lt;i&gt;Ecology, 94&lt;/i&gt;(3), 553-559.</t>
  </si>
  <si>
    <t>Chao, A., Gotelli, N.J., Hsieh, T. C., Sander, E. L., Ma, K. H., Colwell, R. K. &amp; Ellison, A. M. (2014). Rarefaction and extrapolation with Hill numbers: a framework for sampling and estimation in species diversity studies. &lt;i&gt;Ecological Monographs, 84&lt;/i&gt;, 45-67.</t>
  </si>
  <si>
    <t>Yue, S., Brodie, J. F., Zipkin, E. F., &amp; Bernard, H. (2015). Oil palm plantations fail to support mammal diversity. &lt;i&gt;Ecological Applications, 25&lt;/i&gt;(8), 2285-2292.</t>
  </si>
  <si>
    <t>Wearn, O. R., Carbone, C., Rowcliffe, J. M., Bernard, H. &amp; Ewers, R. M. (2016). Grain-dependent responses of mammalian diversity to land-use and the implications for conservation set-aside. &lt;i&gt;Ecological Applications, 26&lt;/i&gt;(5), 1409-1420.</t>
  </si>
  <si>
    <t>Efford, M. G., &amp; Dawson, D. K. (2012). Occupancy in continuous habitat. &lt;i&gt;Ecosphere, 3&lt;/i&gt;(4). Article 32.</t>
  </si>
  <si>
    <t>Lazenby, B. T., Mooney, N. J., &amp; Dickman, C. R. (2015). Detecting species interactions using remote cameras: Effects on small mammals of predators, conspecifics, and climate. &lt;i&gt;Ecosphere, 6&lt;/i&gt;(12), 1-18.</t>
  </si>
  <si>
    <t>Ganskopp, D. C., &amp; Johnson, D. D. (2007). GPS Error in Studies Addressing Animal Movements and Activities. &lt;i&gt;Rangeland Ecology and Management, 60&lt;/i&gt;, 350-358.</t>
  </si>
  <si>
    <t>O'Connell, A. F., Talancy, N. W., Bailey, L. L., Sauer, J. R., Cook, R., &amp; Gilbert, A. T. (2006). Estimating Site Occupancy and Detection Probability Parameters for Meso- And Large Mammals in a Coastal Ecosystem. &lt;i&gt;Journal of Wildlife Management, 70&lt;/i&gt;(6), 1625-1633.</t>
  </si>
  <si>
    <t>Lambert, D. (1992). Zero-Inflated Poisson Regression, with an application to Defects in Manufacturing. &lt;i&gt;Technometrics, 34&lt;/i&gt;(1), 1-14.</t>
  </si>
  <si>
    <t>Johnson, D. H. (1980). The Comparison of Usage and Availability Measurements for Evaluating Resource Preference. &lt;i&gt;Ecology, 61&lt;/i&gt;(1), 65-71.</t>
  </si>
  <si>
    <t>Hurlbert, S. (1984). Pseudoreplication and the design of ecological field experiments. &lt;i&gt;Ecological Monographs, 54&lt;/i&gt;(2), 187-211.</t>
  </si>
  <si>
    <t>Le Cren, E. D. (1965). A Note on the History of Mark-Recapture Population Estimates. &lt;i&gt;The Journal of Animal Ecology, 34&lt;/i&gt;(2),453-54.</t>
  </si>
  <si>
    <t>Bliss, C. I., &amp; Fisher, R. A. (1953). Fitting the Negative Binomial Distribution to Biological Data. &lt;i&gt;Biometrics, 9&lt;/i&gt;(2), 176-200.</t>
  </si>
  <si>
    <t>MacKenzie, D. I., Nichols, J. D., Lachman, G. B., Droege, S., Royle, J. A., &amp; Langtimm, C. A. (2002). Estimating Site Occupancy Rates When Detection Probabilities Are Less Than One. &lt;i&gt;Ecology, 83&lt;/i&gt;(8), 2248-2255.</t>
  </si>
  <si>
    <t>Arnason, A. N., Schwarz, C. J., &amp; Gerrard, J. M. (1991). Estimating Closed Population Size and Number of Marked Animals from Sighting Data. &lt;i&gt;Journal of Wildlife Management, 55&lt;/i&gt;(4), 716-730.</t>
  </si>
  <si>
    <t>Rönnegård, L., Sand, H., Andrén, H., Månsson, J., &amp; Pehrson, Å. (2008). Evaluation of four methods used to estimate population density of moose Alces alces. &lt;i&gt;Wildlife Biology, 14&lt;/i&gt;(3), 358-371.</t>
  </si>
  <si>
    <t>Bischof, R., Dupont, P., Milleret, C., ChipperfIeld, J., &amp; Royle, J. A. (2020). Consequences of Ignoring Group Association in Spatial Capture-Recapture Analysis. &lt;i&gt;Wildlife Biology, 2020&lt;/i&gt;(1).</t>
  </si>
  <si>
    <t>Iijima, H. (2020). A Review of Wildlife Abundance Estimation Models: Comparison of Models for Correct Application. &lt;i&gt;Mammal Study, 45&lt;/i&gt;(3), 177.</t>
  </si>
  <si>
    <t>Rowcliffe, M. (2014). &lt;i&gt;Package 'activity': Animal Activity Statistics.&lt;/i&gt; R package version 1.3.4.</t>
  </si>
  <si>
    <t>Hsieh, T. C., Ma, K. H., &amp; Chao, A. (2015). &lt;i&gt;iNEXT: Interpolation and Extrapolation for Species Diversity&lt;/i&gt;. R package version 2.6-6.1.</t>
  </si>
  <si>
    <t>Oksanen, J., Simpson, G. L., Blanchet, F. G., Kindt, R., Legendre, P., Minchin, P. R., O'Hara, R. B., Solymos, P., Stevens, M. H. H., Szoecs, E., Wagner, H., Barbour, M., Bedward, M., Bolker, B., Borcard, D., Carvalho, G., Chirico, M., De Caceres, M., Durand, S., … Weedon, J. (2024). &lt;i&gt;vegan: Community Ecology Package&lt;/i&gt;. R package version 2.6-6.1.</t>
  </si>
  <si>
    <t>Efford, M. G., Dawson, D. K., &amp; Robbins, C. S. (2004). DENSITY: Software for analysing capture-recapture data from passive detector arrays. &lt;i&gt;Animal Biodiversity and Conservation, 27&lt;/i&gt;(1), 217-228.</t>
  </si>
  <si>
    <t>Green, A. M., Chynoweth, M. W., &amp; Şekercioğlu, Ç. H. (2020). Spatially Explicit Capture-Recapture Through Camera Trapping: A Review of Benchmark Analyses for Wildlife Density Estimation. &lt;i&gt;Frontiers in Ecology and Evolution&lt;/i&gt;, 8, Article 563477.</t>
  </si>
  <si>
    <t>Henrich, M., Hartig, F., Dormann, C. F., Kühl, H. S., Peters, W., Franke, F., Peterka, T., Šustr, P., &amp; Heurich, M. (2022). Deer Behavior Affects Density Estimates With Camera Traps, but Is Outweighed by Spatial Variability. &lt;i&gt;Frontiers in Ecology and Evolution, 10&lt;/i&gt;, 881502.</t>
  </si>
  <si>
    <t>Windell, R. M., Lewis, J. S., Gramza, A. R., &amp; Crooks, K. R. (2019). Carnivore Carrying Behavior as Documented with Wildlife Camera Traps. &lt;i&gt;Western North American Naturalist, 79&lt;/i&gt;(4), 471.</t>
  </si>
  <si>
    <t>Forrester, T., O'Brien, T., Fegraus, E., Jansen, P. A., Palmer, J., Kays, R., Ahumada, J., Stern, B., &amp; McShea, W. (2016). An Open Standard for Camera Trap Data. &lt;i&gt;Biodiversity Data Journal, 4&lt;/i&gt;, e10197.</t>
  </si>
  <si>
    <t>Van Dooren, T. J. M. (2016). Pollinator species richness: Are the declines slowing down? &lt;i&gt;Nature Conservation, 15&lt;/i&gt;, 11-22.</t>
  </si>
  <si>
    <t>Thorn, M., Scott, D. M., Green, M., Bateman, P. W., &amp; Cameron, E. Z. (2009). Estimating Brown Hyaena Occupancy using Baited Camera Traps. &lt;i&gt;South African Journal of Wildlife Research, 39&lt;/i&gt;(1), 1-10.</t>
  </si>
  <si>
    <t>Beery, S., Morris, D., &amp; Yang, S. (2019). Efficient Pipeline for Camera Trap Image Review. &lt;i&gt;Microsoft AI for Earth&lt;/i&gt;.</t>
  </si>
  <si>
    <t>Johanns, P, Haucke, T., &amp; Steinhage, V. (2022) Automated Distance Estimation and Animal Tracking for Wildlife Camera Trapping. &lt;i&gt;Ecological Informatics, 70,&lt;/i&gt; arXiv:2202. 04613.</t>
  </si>
  <si>
    <t>Gallo, T., Fidino, M., Gerber, B., Ahlers, A. A., Angstmann, J. L., Amaya, M., Concilio, A. L., Drake, D., Gay, D., Lehrer, E. W., Murray, M. H., Ryan, T. J., St Clair, C. C., Salsbury, C. M., Sander, H. A., Stankowich, T., Williamson, J., Belaire, J. A., Simon, K., &amp; Magle, S. B. (2022). Mammals Adjust Diel Activity across Gradients of Urbanization. &lt;i&gt;Elife, 11&lt;/i&gt;.</t>
  </si>
  <si>
    <t>Si, X., Kays, R., &amp; Ding, P. (2014). How long is enough to detect terrestrial animals? Estimating the minimum trapping effort on camera traps. &lt;i&gt;PeerJ, 2&lt;/i&gt;, e374.</t>
  </si>
  <si>
    <t>Harrison, X. A., Donaldson, L., Correa-Cano, M. E., Evans, J., Fisher, D. N., Goodwin, C. E. D., Robinson, B. S., Hodgson, D. J., &amp; Inger, R. (2018). A Brief Introduction to Mixed Effects Modelling and Multi-Model Inference in Ecology. &lt;i&gt;PeerJ, 6&lt;/i&gt;, Article e4794.</t>
  </si>
  <si>
    <t>Shannon, G., Lewis, J. S. &amp; Gerber, B. D. (2014). Recommended Survey Designs for Occupancy Modelling using Motion-activated Cameras: Insights from Empirical Wildlife Data. &lt;i&gt;PeerJ, 2&lt;/i&gt;, e532.</t>
  </si>
  <si>
    <t>Shirane, Y., Mori, F., Yamanaka, M., Nakanishi, M., Ishinazaka, T., Mano, T., Jimbo, M., Sashika, M., Tsubota, T., &amp; Shimozuru, M. (2020). Development of a noninvasive photograph-based method for the evaluation of body condition in free-ranging brown bears. &lt;i&gt;PeerJ, 8&lt;/i&gt;, e9982.</t>
  </si>
  <si>
    <t>Foca, J. M. (2021). &lt;i&gt;Camera Traps for Evaluating Ungulate Densities and Interspecific Interactions in the Beaver Hills Region of Alberta&lt;/i&gt;. [Master's thesis, University of Alberta].</t>
  </si>
  <si>
    <t>Doran-Myers, D. (2018). &lt;i&gt;Methodological Comparison of Canada Lynx Density Estimation&lt;/i&gt; [Master of Science in Ecology thesis, University of Alberta]. ERA: Education and Research Archive.</t>
  </si>
  <si>
    <t>Heilbron, D. C. (1994). Zero-Altered and other Regression Models for Count Data with Added Zeros. &lt;i&gt;Biometrical Journal, 36&lt;/i&gt;(5), 531-547.</t>
  </si>
  <si>
    <t>Jennrich, R. I., &amp; Turner, F. B. (1969). Measurement of non-circular home range. &lt;i&gt;Journal of Theoretical Biology, 22&lt;/i&gt;(2), 227-237.</t>
  </si>
  <si>
    <t>Howe, E. J., Buckland, S. T., Després-Einspenner, M. -L., &amp; Kühl, H. S. (2017). Distance sampling with camera traps. &lt;i&gt;Methods in Ecology and Evolution, 8&lt;/i&gt;(11), 1558-1565.</t>
  </si>
  <si>
    <t>Strimas-Mackey, M., Hochachka, W. M., Ruiz-Gutierrez, V., Robinson, O. J., Miller, E. T., Auer, T., Kelling, S., Fink, D., &amp; Johnston, A. (2023). &lt;i&gt;Best Practices for Using eBird Data.&lt;/i&gt; Version 2.0.</t>
  </si>
  <si>
    <t>Babu, A. (N.D.). &lt;i&gt;Alpha, Beta and Gamma Diversity: Biodiversity at different scales&lt;/i&gt;.</t>
  </si>
  <si>
    <t>Gimenez, O. (2020a). &lt;i&gt;Bias in single-season occupancy models.&lt;/i&gt;</t>
  </si>
  <si>
    <t>Keim, J. L., DeWitt, P. D., Wilson, S. F., Fitzpatrick, J. J., Jenni, N. S., &amp; Lele, S. R. (2021). Managing animal movement conserves predator-prey dynamics. &lt;i&gt;Frontiers in Ecology and the Environment, 19&lt;/i&gt;(7), 379-385.</t>
  </si>
  <si>
    <t>Iannarilli, F., Gerber, B. D., Erb, J., and Fieberg, J. R. (2024a). &lt;i&gt;Data, R Code, and Output Supporting: A “How-to” Guide for Estimating Animal Diel Activity Using Hierarchical Models.&lt;/i&gt; Retrieved from the Data Repository for the University of Minnesota.</t>
  </si>
  <si>
    <t>Becker, M. Huggard, D. J., &amp; Alberta Biodiversity Monitoring Institute [ABMI]. (2021).&lt;i&gt;Estimating animal density using TIFC (Time In Front of Camera).&lt;/i&gt;</t>
  </si>
  <si>
    <t>Fidino, M. (2021e) &lt;i&gt;auto-logistic-occupancy.&lt;/i&gt;</t>
  </si>
  <si>
    <t>Fidino, M. (2023) &lt;i&gt;autoOcc: An R package for fitting autologistic occupancy models.&lt;/i&gt; R package version 0.1.1,</t>
  </si>
  <si>
    <t>Fidino, M. (2021a) &lt;i&gt;multi-state-occupancy-models.&lt;/i&gt;</t>
  </si>
  <si>
    <t>Fidino, M. (2021c) &lt;i&gt;integrated-occupancy-models&lt;/i&gt;</t>
  </si>
  <si>
    <t>Gimenez, O. (2020b). &lt;i&gt;Bias in occupancy estimate for a static model.&lt;/i&gt;</t>
  </si>
  <si>
    <t>Solymos, P., Moreno M., &amp; Lele, S. R. (2024). &lt;i&gt;detect: Analyzing Wildlife Data with Detection Error&lt;/i&gt;. R package version 0.5-0,</t>
  </si>
  <si>
    <t>Hoeks, S., Tucker, M., &amp; Broekman, M. (2024). &lt;i&gt;HomeRange&lt;/i&gt;</t>
  </si>
  <si>
    <t>WildCo Lab (2021a). &lt;i&gt;WildCo-FaceBlur.&lt;/i&gt;</t>
  </si>
  <si>
    <t>WildCo Lab (2020). &lt;i&gt;WildCo_Image_Renamer.&lt;/i&gt;</t>
  </si>
  <si>
    <t>Williams, B. K., Nichols, J. D., &amp; Conroy, M. J. (2002). &lt;i&gt;Analysis and Management of Animal Populations: Modeling, Estimation, and Decision Making&lt;/i&gt;. Book, Whole. San Diego: Academic Press.</t>
  </si>
  <si>
    <t>Paterson, J. (2024). &lt;i&gt;Implicit dynamics occupancy models in R.&lt;/i&gt;</t>
  </si>
  <si>
    <t>Van Wilgenburg, S. L., Mahon, C. L., Campbell, G., McLeod, L., Campbell, M., Evans, D., Easton, W., Francis, C. M., Hache, S., Machtans, C. S., Mader, C., Pankratz, R. F., Russell, R., Smith, A. C., Thomas, P., Toms, J. D., &amp; Tremblay, J. A. (2020). A Cost Efficient Spatially Balanced Hierarchical Sampling Design for Monitoring Boreal Birds Incorporating Access Costs and Habitat Stratification. &lt;i&gt;PLoS ONE, 15&lt;/i&gt;(6).</t>
  </si>
  <si>
    <t>Byrne, M. &amp; Golden, J. (2021). &lt;i&gt;Occupancy Modeling.&lt;/i&gt;</t>
  </si>
  <si>
    <t>O'Brien, K. M. (2010). &lt;i&gt;Wildlife Picture Index: Implementation Manual Version 1. 0.&lt;/i&gt; WCS Working Paper No. 39.</t>
  </si>
  <si>
    <t>Borcher, D. L., &amp; Marques, T. A. (2017). From Distance Sampling to Spatial Capture-Recapture. &lt;i&gt;Asta Advances In Statistical Analysis, 101&lt;/i&gt;, 475-494.</t>
  </si>
  <si>
    <t>Kunin, W. K. (1997). Introduction: on the causes and consequences of rare-common differences. In Kunin, W. K., &amp; Kevin, J. G. (Eds) &lt;i&gt;The Biology of Rarity. &lt;/i&gt; (pp. 3-4). Chapman &amp; Hall.</t>
  </si>
  <si>
    <t>Becker, M. Huggard, D. J., &amp; Alberta Biodiversity Monitoring Institute [ABMI]. (2020). &lt;i&gt;abmi.camera.extras.&lt;/i&gt; R package version 0.0.1.</t>
  </si>
  <si>
    <t>Fidino, M. (2021d) &lt;i&gt;So, you don't have enough data to fit a dynamic occupancy model? An introduction to auto-logistic occupancy models.&lt;/i&gt;</t>
  </si>
  <si>
    <t>Fidino, M. (2021b) &lt;i&gt;A gentle introduction to an integrated occupancy model that combines presence-only and detection/non-detection data, and how to fit it in JAGS&lt;/i&gt;</t>
  </si>
  <si>
    <t>Fidino, M. (2021F) &lt;i&gt;Using the mgcvmgcv package to create a generalized additive occupancy model in R.&lt;/i&gt;</t>
  </si>
  <si>
    <t>Gillespie, G. R., Brennan, K., Gentles, T., Hill, B., Low Choy, J., Mahney, T., Stevens, A., &amp; Stokeld, D. (2015). &lt;i&gt;A Guide for the use of Remote Cameras for Wildlife Survey in Northern Australia&lt;/i&gt;. Darwin: Charles Darwin University.</t>
  </si>
  <si>
    <t>Bioninja (N.D.). &lt;i&gt;Biodiversity&lt;/i&gt;.</t>
  </si>
  <si>
    <t>Palmer, M. S., Swanson, A., Kosmala, M., Arnold, T., &amp; Packer, C. (2018). Evaluating relative abundance indices for terrestrial herbivores from large‐scale camera trap Surveys. &lt;i&gt;African Journal of Ecology&lt;/i&gt;, 56, 791-803.</t>
  </si>
  <si>
    <t>Randler, C., &amp; Kalb, N. (2018). Distance and size matters: A comparison of six wildlife camera traps and their usefulness for wild birds. &lt;i&gt;Ecology and Evolution&lt;/i&gt;, 1-13.</t>
  </si>
  <si>
    <t>Alberta Environment and Parks. (2016). &lt;i&gt;Aerial Ungulate Surveys using Distance Sampling Techniques Protocol Manual.&lt;/i&gt;</t>
  </si>
  <si>
    <t>Natural Regions Committee. (2006). &lt;i&gt;Natural regions and subregions of Alberta&lt;/i&gt; (T/852; p. 264). Government of Alberta.</t>
  </si>
  <si>
    <t>Bayne, E., Dennett, J., Dooley, J., Kohler, M., Ball, J., Bidwell, M., Braid, A., Chetelat, J., Dillegeard, E., Farr, D., Fisher, J., Freemark, M., Foster, K., Godwin, C., Hebert, C., Huggard, D., McIssac, D., Narwani, T., Nielsen, S., Pauli, B., Prasad, S., Roberts, D., Slater, S., Song, S., Swanson, S., Thomas, P., Toms, J., Twitchell, C., White, S., Wyatt, F., &amp; Mundy, L. (2021). &lt;i&gt;Oil Sands Monitoring Program: A Before-After Dose- Response Terrestrial Biological Monitoring Framework for the Oil Sands&lt;/i&gt;. (OSM Technical Report Series No. 7).</t>
  </si>
  <si>
    <t>Mccomb, B., Vesely, D., &amp; Jordan, C. (2010). &lt;i&gt;Monitoring Animal Populations and Their Habitats: A Practitioner’s Guide&lt;/i&gt;. Oregon State University.</t>
  </si>
  <si>
    <t>Rovero, F., &amp; Zimmermann, F. (2016). &lt;i&gt;Camera Trapping for Wildlife Research&lt;/i&gt;. Exeter: Pelagic Publishing, UK.</t>
  </si>
  <si>
    <t>Greenberg, S. (2020). &lt;i&gt;Automated Image Recognition for Wildlife Camera Traps: Making it Work for You&lt;/i&gt;. Research report, University of Calgary: Prism Digital Repository, August 21, 15 pages,</t>
  </si>
  <si>
    <t>Thompson, P. R. (2024) &lt;i&gt;Zone of Influence Effect Size and Buffer Distance Calculator&lt;/i&gt;. University of Alberta, Canada.</t>
  </si>
  <si>
    <t>Royle, J. Chandler, R. B., Sollmann, R., Gardner, B. (2013). &lt;i&gt;Spatial capture-recapture&lt;/i&gt;. Academic Press, Waltham, MA, USA. 612 pp., ISBN: 978-0-12-405939-9.</t>
  </si>
  <si>
    <t>Otis, D. L., Burnham, K. P., White, G. C.. &amp; Anderson, D. R. (1978). Statistical Inference from Capture Data on Closed Animal Populations. &lt;i&gt;Wildlife Monographs, 62&lt;/i&gt;, 3-135.</t>
  </si>
  <si>
    <t>Roeland Kindt, R. (2020). &lt;i&gt;Species Accumulation Curves with vegan, BiodiversityR and ggplot2.&lt;/i&gt;</t>
  </si>
  <si>
    <t>Greenberg, S. (2018). &lt;i&gt;Timelapse: An Image Analyser for Camera Traps.&lt;/i&gt; University of Calgary.</t>
  </si>
  <si>
    <t>Loonam, K. E. (2019). &lt;i&gt;Assessing the Robustness of Time-to-Event Abundance Estimation&lt;/i&gt; [Thesis: Master of Science in Wildlife Biology, University of Montana].</t>
  </si>
  <si>
    <t>University of Cape Town. (2024a). &lt;i&gt;SEEC Toolbox seminars&lt;/i&gt;</t>
  </si>
  <si>
    <t>University of Cape Town. (2024d). &lt;i&gt;Single-season occupancy models using a Bayesian approach.&lt;/i&gt;</t>
  </si>
  <si>
    <t>University of Cape Town. (2024b). &lt;i&gt;SEEC Toolbox seminars - Spatial Capture-Recapture (SCR) models.&lt;/i&gt;</t>
  </si>
  <si>
    <t>University of Cape Town. (2024c). &lt;i&gt;Species Distribution Modelling.&lt;/i&gt;</t>
  </si>
  <si>
    <t>University of Cape Town. (2017). &lt;i&gt;SEEC Toolbox seminars.&lt;/i&gt; [Powerpoint].</t>
  </si>
  <si>
    <t>Benedetti, A. (2024). &lt;i&gt;Visualizing Biodiversity in [U.S.] National Parks.&lt;/i&gt;</t>
  </si>
  <si>
    <t xml:space="preserve">Dickie, M. (2022, April 19). “NEW PAPER ALERT!” Tweet. </t>
  </si>
  <si>
    <t>Lukacs, P. M. (2021, Oct 26).&lt;i&gt;Animal Abundance from Camera Data: Pipe Dream to Main Stream.&lt;/i&gt; Presented at the FCFC Seminar.</t>
  </si>
  <si>
    <t>Granados, A. (2021). &lt;i&gt;WildCAM Guide to Camera Trap Set Up. &lt;/i&gt; WildCAM.</t>
  </si>
  <si>
    <t>Kemp, C., Yarchuk, K., Menzies, A., &amp; Popp, J. (2022). &lt;i&gt;A Guide to Using Wildlife Cameras for Ecological Monitoring in a Community-based Context&lt;/i&gt;. WISE Lab.</t>
  </si>
  <si>
    <t>WildCAM Network (2019). &lt;i&gt;WildCAM Network Camera Trapping Best Practices Literature Synthesis.&lt;/i&gt;</t>
  </si>
  <si>
    <t>Huggard, D. (2018). &lt;i&gt;Animal Density from Camera Data&lt;/i&gt;. Alberta Biodiversity Monitoring Institute.</t>
  </si>
  <si>
    <t>Duquette, J. F., Belant, J. L., Svoboda, N. J., Beyer Jr., D. E., &amp; Albright, C. A. (2014). Comparison of occupancy modeling and radiotelemetry to estimate ungulate population dynamics. &lt;i&gt;Population Ecology, 56,&lt;/i&gt; 481-492.</t>
  </si>
  <si>
    <t>Government of Alberta (2023a) &lt;i&gt;LAT Overview.&lt;/i&gt; Edmonton, Alberta.</t>
  </si>
  <si>
    <t>Government of Alberta (2023b) &lt;i&gt;Proponent-led Indigenous consultations.&lt;/i&gt; Edmonton, Alberta.</t>
  </si>
  <si>
    <t>Dubey, A (n.d.). &lt;i&gt;species abundance.&lt;/i&gt;</t>
  </si>
  <si>
    <t>Hall, K. W., Cooper, J. K., &amp; Lawton, D. C. (2008). GPS accuracy: Hand-held versus RTK. &lt;i&gt;CREWES Research Report, 20&lt;/i&gt;.</t>
  </si>
  <si>
    <t>Freeman, E. A. &amp; Moisen, G. (2008). PresenceAbsence: An R Package for Presence Absence Analysis. &lt;i&gt;Journal of Statistical Software, 23&lt;/i&gt;(11).</t>
  </si>
  <si>
    <t>Schlexer, F. V. (2008). Attracting Animals to Detection Devices. In R. A. Long, P. MacKay, W. J. Zielinski, &amp; J. C. Ray (Eds.), &lt;i&gt;Noninvasive Survey Methods for Carnivores&lt;/i&gt; (pp. 263-292). Island Press.</t>
  </si>
  <si>
    <t>Fiske, I. &amp; Chandler, R. (2011). unmarked: An R Package for Fitting Hierarchical Models of Wildlife Occurrence and Abundance. &lt;i&gt;Journal of Statistical Software, 43&lt;/i&gt;(10), 1-23.</t>
  </si>
  <si>
    <t>Kellner, K. F., Smith, A. D., Royle, J. A., Kery, M, Belant, J. L., &amp; Chandler, R. B. (2023). The unmarked R package: Twelve years of advances in occurrence and abundance modelling in ecology. &lt;i&gt;Methods in Ecology and Evolution, 14&lt;/i&gt; (6), 1408-1415.</t>
  </si>
  <si>
    <t>Ramage, B. S., Sheil, D., Salim, H. M. W., Fletcher, C., Mustafa, N. -Z. A., Luruthusamay, J. C., Harrison, R. D., Butod, E., Dzulkiply, A. D., Kassim, A. R., &amp; Potts, M. D. (2013). Pseudoreplication in tropical forests and the resulting effects on biodiversity conservation. &lt;i&gt;Conservation Biology, 27&lt;/i&gt;(2), 364-372.</t>
  </si>
  <si>
    <t>Rovero, F., &amp; Marshall, A. R. (2009). Camera Trapping Photographic Rate as an Index of Density in Forest Ungulates. &lt;i&gt;Journal of Applied Ecology, 46&lt;/i&gt;(5), 1011-1017.</t>
  </si>
  <si>
    <t>Royle, J. A. (2004). N-mixture Models for estimating population size from spatially Repeated Counts. &lt;i&gt;International Biometric Society, 60&lt;/i&gt;(1), 108-115.</t>
  </si>
  <si>
    <t>Anderson, D. R. (2001). The Need to Get the Basics Right in Wildlife Field Studies. &lt;i&gt;Wildlife Society Bulletin, 29&lt;/i&gt;(4), 1294-1297.</t>
  </si>
  <si>
    <t>Kinnaird, M. F., &amp; O'Brien, T. G. (2011). Density estimation of sympatric carnivores using spatially explicit capture-recapture methods and standard trapping grid. &lt;i&gt;Ecological Applications, 21&lt;/i&gt;(8), 2908-2916.</t>
  </si>
  <si>
    <t>O'Brien, T. G., &amp; Kinnaird, M. F. (2011). Density estimation of sympatric carnivores using spatially explicit capture-recapture methods and standard trapping grid. &lt;i&gt;Ecological Applications, 21&lt;/i&gt;(8), 2908-2916.</t>
  </si>
  <si>
    <t>Hines, J. E. (2006). &lt;i&gt;PRESENCE - Software to estimate patch occupancy and related parameters.&lt;/i&gt;</t>
  </si>
  <si>
    <t>Singh, P., Gopalaswamy, A. M., Royle, A. J., Kumar, N. S. &amp; Karanth, K. U. (2010). SPACECAP: A Program to Estimate Animal Abundance and Density using Bayesian Spatially-Explicit Capture-Recapture Models. &lt;i&gt;Wildlife Conservation Society - India Program&lt;/i&gt;, Centre for Wildlife Studies, Bangalure, India. Version 1.0.</t>
  </si>
  <si>
    <t>Whittington, J., Low, P., &amp; Hunt, B. (2019). Temporal road closures improve habitat quality for wildlife. &lt;i&gt;Scientific Reports, 9&lt;/i&gt;(1), 3772.</t>
  </si>
  <si>
    <t>Pyron, M. (2010) Characterizing Communities. &lt;i&gt;Nature Education Knowledge, 3&lt;/i&gt;(10):39.</t>
  </si>
  <si>
    <t>Murray, M. H., Hill, J., Whyte, P., &amp; St Clair, C. C. (2016) Urban Compost Attracts Coyotes, Contains Toxins, and may Promote Disease in Urban-Adapted Wildlife. &lt;i&gt;EcoHealth, 13&lt;/i&gt;(2):285-92.</t>
  </si>
  <si>
    <t>Efford, M. G. (2022). &lt;i&gt;Mark-resight in secr 4. 5. 1-20. &lt;/i&gt;</t>
  </si>
  <si>
    <t>Kitamura, S., Thong-Aree, S., Madsri, S., &amp; Poonswad, P. (2010). Mammal diversity and conservation in a small isolated forest of southern Thailand. &lt;i&gt;Raffles Bulletin of Zoology, 58&lt;/i&gt;(1), 145-156.</t>
  </si>
  <si>
    <t>Brennan, L. A. (2019). &lt;i&gt;Quantitative Analyses in Wildlife Science&lt;/i&gt;. Johns Hopkins University Press, Baltimore.</t>
  </si>
  <si>
    <t>Proteus (N.D.). &lt;i&gt;Occupancy modelling - more than species presence/absence!&lt;/i&gt; [Webpage].</t>
  </si>
  <si>
    <t>Reconyx Inc. (2018). &lt;i&gt;Hyperfire Professional/Outdoor Instruction Manual&lt;/i&gt;. Holmen, WI, USA.</t>
  </si>
  <si>
    <t>Baddeley, A. (N.D.) &lt;i&gt;Spatial Point Processes and Their Applications.&lt;/i&gt; School of Mathematics &amp; Statistics, University of Western Australia.</t>
  </si>
  <si>
    <t>Noss, A., Cuéllar, R., Barrientos, J., Maffei, L., Cuéllar, E., Arispe, R., Rumiz, D., &amp; Rivero, K. (2003). A Camera trapping and radio telemetry study of lowland tapir (&lt;i&gt;Tapirus terrestris&lt;/i&gt;) in Bolivian dry forests. &lt;i&gt;Tapir Conservation, 12&lt;/i&gt;, 24-32.</t>
  </si>
  <si>
    <t>Rovero, F., &amp; Tobler, M., (2010). Camera trapping for inventorying terrestrial vertebrates. &lt;i&gt;Manual on Field Recording Techniques and Protocols for All Taxa Biodiversity Inventories and Monitoring&lt;/i&gt;.</t>
  </si>
  <si>
    <t>Gotelli, N., &amp; Colwell, R. (2011). Estimating species richness. In &lt;i&gt;Biological Diversity: Frontiers in Measurement and Assessment&lt;/i&gt; (eds. Magurran, A., &amp; McGill, B.). Oxford University Press. Oxford, pp. 39-54.</t>
  </si>
  <si>
    <t>Flather, C. H., &amp; Sieg, C. H. (2007). Species rarity: definition, causes, and classification. In M. G. Raphael, &amp; R. Molina (Eds.), &lt;i&gt;Conservation of Rare or Little-Known Species: Biological, Social, and Economic Considerations&lt;/i&gt; (pp. 40-66).</t>
  </si>
  <si>
    <t>Trolliet, F., Huynen, M., Vermeulen, C., &amp; Hambuckers, A. (2014). Use of Camera Traps for Wildlife Studies. A Review. &lt;i&gt;Biotechnology, Agronomy and Society and Environment 18&lt;/i&gt;(3), 446-54.</t>
  </si>
  <si>
    <t>Loreau, M. (2010). Estimating Species Richness Using Species Accumulation and Rarefaction Curves. In O. Kinne (Ed.), &lt;i&gt;The Challenges of Biodiversity Science&lt;/i&gt; (17th ed., Vol. 1, pp. 20-21). International Ecology Institute.</t>
  </si>
  <si>
    <t>Van Berkel, T. (2014). &lt;i&gt;Camera trapping for wildlife conservation: Expedition field techniques&lt;/i&gt;. Geography Outdoors.</t>
  </si>
  <si>
    <t>Colwell, R. K. (2022). &lt;i&gt;EstimateS: Statistical Estimation of Species Richness and Shared Species from Samples&lt;/i&gt;. Version 9.1.</t>
  </si>
  <si>
    <t>MacKenzie, D. I., Nichols, J. D., Royle, J. A., Pollock, K. H., Bailey, L. L., &amp; Hines, J. E. (2006). &lt;i&gt;Occupancy Estimation and Modeling: Inferring Patterns and Dynamics of Species Occurrence&lt;/i&gt;. Academic Press, USA.</t>
  </si>
  <si>
    <t>MacKenzie, D. I., Nichols, J. D., Royle, J. A., Pollock, K. H., Bailey, L. L., &amp; Hines, J. E. (2017). &lt;i&gt;Occupancy Estimation and Modeling: Inferring Patterns and Dynamics of Species Occurrence&lt;/i&gt;. 2nd ed. Academic Press, San Diego.</t>
  </si>
  <si>
    <t>Suwanrat, S., Ngoprasert, D., Sutherland, C., Suwanwareea, P., Savini, T. (2015). Estimating Density of secretive terrestrial birds (Siamese Fireback) in pristine and degraded forest using camera traps and distance sampling. &lt;i&gt;Global Ecology and Conservation, 3&lt;/i&gt;, 596-606.</t>
  </si>
  <si>
    <t>The WILDLABS Partnership (2021). &lt;i&gt;How do I get started with Megadetector?&lt;/i&gt; Siyu Y.</t>
  </si>
  <si>
    <t>Seccombe, S. (2017). &lt;i&gt;ZSL Trail Camera Comparison Testing.&lt;/i&gt; Zoological Society of London: Conservation Technology Unit.</t>
  </si>
  <si>
    <t>oscrpackage206 (2020) &lt;i&gt;oSCR Package.&lt;/i&gt; [Channel]. YouTube.</t>
  </si>
  <si>
    <t>Nakajima. (2021a, Jul 1). &lt;i&gt;Density Estimation with the REST Model.&lt;/i&gt; [Playlist]. YouTube.</t>
  </si>
  <si>
    <t>Styring, A. (2020b, Jun 22). &lt;i&gt;Generating a species accumulation plot in excel for BBS data.&lt;/i&gt; [Video]. YouTube.</t>
  </si>
  <si>
    <t>weecology (2020, Oct 30). &lt;i&gt;Introduction to Species Distribution Modeling Using R.&lt;/i&gt; [Video]. YouTube.</t>
  </si>
  <si>
    <t>mecks100 (2018, Feb 7). &lt;i&gt;Species accumulation and rarefaction curves&lt;/i&gt; [Video]. YouTube.</t>
  </si>
  <si>
    <t>Royle, A. J. (2016, Oct 17). &lt;i&gt;'Spatial Capture-Recapture Modelling.’ CompSustNet.&lt;/i&gt; [Video]. YouTube.</t>
  </si>
  <si>
    <t>Proteus (2018b, Sep 21).  &lt;i&gt;Occupancy modelling - home range vs grid cell size.&lt;/i&gt;</t>
  </si>
  <si>
    <t>Ferguson, L. (2021, Apr 27). &lt;i&gt;Dispersal &amp; Animal Home Range.&lt;/i&gt;  [Video]. YouTube.</t>
  </si>
  <si>
    <t>MarinStatsLectures-R Programming &amp; Statistics (2020a, Mar 17). &lt;i&gt;Poisson Regression Review.&lt;/i&gt; [Video]. YouTube.</t>
  </si>
  <si>
    <t>Snow Leopard Network. (2020a, Aug 1). &lt;i&gt;PAWS: Spatial Capture Recapture Data Analysis Part 1.&lt;/i&gt; [Video]. YouTube.</t>
  </si>
  <si>
    <t>Russell, M. (2020, Nov 29). &lt;i&gt;Fitting Poisson and zero-inflated Poisson models.&lt;/i&gt; [Video]. YouTube.</t>
  </si>
  <si>
    <t>Cove, M. (2020d, Sep 28). &lt;i&gt;Occupancy Modeling Video 4 -- How to Run and Interpret the Models in PRESENCE&lt;/i&gt; [Video]. YouTube.</t>
  </si>
  <si>
    <t>MarinStatsLectures-R Programming &amp; Statistics (2020b, Mar 17). &lt;i&gt;Poisson Regression: Zero Inflation (Excessive Zeros).&lt;/i&gt; [Video]. YouTube.</t>
  </si>
  <si>
    <t>Cove, M. (2020c, Sep 27). &lt;i&gt;Occupancy Modeling Video 3 -- What are Occupancy Models and What are the Applications?&lt;/i&gt; [Video]. YouTube.</t>
  </si>
  <si>
    <t>Project Dragonfly. (2019, Jan 24). &lt;i&gt;Abundance, species richness, and diversity&lt;/i&gt; [Video]. YouTube.</t>
  </si>
  <si>
    <t>The Wildlife Degree (2022, Feb 3). &lt;i&gt;Rarefied Species Accumulation Curves (the simple way) tutorial.&lt;/i&gt; [Video]. YouTube.</t>
  </si>
  <si>
    <t>Rob K Statistics (2018, Oct 16). &lt;i&gt;Species Accumulation Curves.&lt;/i&gt; [Video]. YouTube.</t>
  </si>
  <si>
    <t>Styring, A. (2020a, May 4). &lt;i&gt;Field Ecology - Diversity Metrics in R.&lt;/i&gt; [Video]. YouTube.</t>
  </si>
  <si>
    <t>Cove, M. (2020a, Sep 27). &lt;i&gt;Occupancy Modeling Video 1 -- Sampling Techniques for Mammals.&lt;/i&gt; [Video]. YouTube.</t>
  </si>
  <si>
    <t>Palencia, P. &amp; Project ENETWILD (2022, May 19). &lt;i&gt;Camera Trap Methods for Density Estimation.&lt;/i&gt; [Video]. YouTube.</t>
  </si>
  <si>
    <t>Nakajima. (2021b, Jul 1). &lt;i&gt;Density Estimation with the REST Model &gt; REST_01_Set_Focal_Area.&lt;/i&gt; [Video]. YouTube.</t>
  </si>
  <si>
    <t>Cao, A. (2021, Jun 14) &lt;i&gt;Hurdle models.&lt;/i&gt; [Video]. YouTube.</t>
  </si>
  <si>
    <t>Gimenez, O. (2023, May 16). &lt;i&gt;Workshop on estimating (wolf) occupancy with R&lt;/i&gt; [Video]. YouTube.</t>
  </si>
  <si>
    <t>Nakajima. (2021d, Jul 1). &lt;i&gt;Density Estimation with the REST Model &gt; REST_03_MeasureStayingTime.&lt;/i&gt; [Video]. YouTube.</t>
  </si>
  <si>
    <t>Proteus (2018, Mar 19). &lt;i&gt;Occupancy modelling - more than species presence/absence!&lt;/i&gt; [Video]. YouTube.</t>
  </si>
  <si>
    <t>Proteus. (2019b, Aug 22). &lt;i&gt;Occupancy models - how many covariates can I include?&lt;/i&gt; [Video]. YouTube.</t>
  </si>
  <si>
    <t>JNCC (2022, Mar 29). &lt;i&gt;Introduction to Distance Sampling Video 1&lt;/i&gt; [Video]. YouTube.</t>
  </si>
  <si>
    <t>Cove, M. (2020b, Sep 27). &lt;i&gt;Occupancy Modeling Video 2 -- Introductory Statistical Review.&lt;/i&gt; [Video]. YouTube.</t>
  </si>
  <si>
    <t>Baylor Tutoring Center. (2021, July 31). &lt;i&gt;Species Diversity and Species Richness&lt;/i&gt; [Video]. YouTube.</t>
  </si>
  <si>
    <t>Columbia Mountains Institute of Applied Ecology [CMI]. (2020) &lt;i&gt;Chris Beirne: Tips and Tricks for the Organization and Analysis of Camera Trap Data&lt;/i&gt;.</t>
  </si>
  <si>
    <t>Turlapaty, A. (2014, Jun 15). &lt;i&gt;Probability of Detection: Eg 01.&lt;/i&gt; [Video]. YouTube.</t>
  </si>
  <si>
    <t>VSN International (2022, Jul 13). &lt;i&gt;Species abundance tools in Genstat.&lt;/i&gt; [Video]. YouTube.</t>
  </si>
  <si>
    <t>Riffomonas Project (2022a, Mar 17). &lt;i&gt;Using vegan to calculate alpha diversity metrics within the tidyverse in R (CC196)&lt;/i&gt; [Video]. YouTube.</t>
  </si>
  <si>
    <t>Nakajima. (2021c, Jul 1). &lt;i&gt;Density Estimation with the REST Model &gt; REST_02_Set_Up_Emv.&lt;/i&gt; [Video]. YouTube.</t>
  </si>
  <si>
    <t>Royle, A. J. (2020, Oct 26) &lt;i&gt;Introduction to Spatial Capture-Recapture. oSCR Package.&lt;/i&gt; [Video]. YouTube.</t>
  </si>
  <si>
    <t>Riffomonas Project (2022b, Mar 24). &lt;i&gt;Generating a rarefaction curve from collector's curves in R within the tidyverse (CC198)&lt;/i&gt; [Video]. YouTube.</t>
  </si>
  <si>
    <t>Proteus. (2019a, May 30). &lt;i&gt;Occupancy modelling - the difference between probability and proportion of units occupied&lt;/i&gt; [Video]. YouTube.</t>
  </si>
  <si>
    <t>TileStats (2021, Apr 18). &lt;i&gt;Zero-inflated Poisson (ZIP) regression.&lt;/i&gt; [Video]. YouTube.</t>
  </si>
  <si>
    <t>Resources Information Standards Committee [RISC]. (2019). &lt;i&gt;Camera trap Metadata Protocol: Standards for Components of British Columbia’s Biodiversity No. 44&lt;/i&gt;. Province of British Columbia Knowledge Management Branch, Ministry of Environment and Climate Change Strategy, and Ministry of Forests, Lands, Natural Resource Operations and Rural Development. Victoria, B. C.</t>
  </si>
  <si>
    <t>Frey, S., Fisher, J. T., Burton, A. C., &amp; Volpe, J. P. (2017). Investigating Animal Activity Patterns and Temporal Niche Partitioning using Camera-Trap Data: Challenges and Opportunities. &lt;i&gt;Remote Sensing in Ecology and Conservation, 3&lt;/i&gt; (3), 123-132.</t>
  </si>
  <si>
    <t>Davis, R. S., Stone, E. L., Gentle, L. K., Mgoola, W. O., Uzal, A., &amp; Yarnell, R. W. (2021). Spatial Partial Identity Model Reveals Low Densities of Leopard and Spotted Hyaena in a Miombo Woodland. &lt;i&gt;Journal of Zoology, 313&lt;/i&gt;, 43-53.</t>
  </si>
  <si>
    <t>National Boreal Caribou Knowledge Consortium [NBCKC / CNSCB]. (2024). &lt;i&gt;National Boreal Caribou Knowledge Consortium Glossary: Creating a common language.&lt;/i&gt; National Boreal Caribou Knowledge Consortium (NBCKC / CNSCB).</t>
  </si>
  <si>
    <t>refbib_html_nolink</t>
  </si>
  <si>
    <t>https://www.youtube.com/watch?v=IHVez1a_hqg&amp;t=2675s</t>
  </si>
  <si>
    <t>https://search.proquest.com/openview/bfe15ec06593d5a8d3904add35055867/1?pq-origsite=gscholar&amp;cbl=18750&amp;diss=y</t>
  </si>
  <si>
    <t>National Boreal Caribou Knowledge Consortium [NBCKC / CNSCB]. (2024). *National Boreal Caribou Knowledge Consortium Glossary: Creating a common language*. National Boreal Caribou Knowledge Consortium (NBCKC / CNSCB). &gt;https://www.cclmportal.ca/resource/creating-common-language-glossary#:~:text=The%20goal%20of%20the%20National,A%20Toolkit%20for%20Respectful%20Collaboration&gt;</t>
  </si>
  <si>
    <t>icon_progress_bar_num7.png</t>
  </si>
  <si>
    <t>Recommendations - Analysis considersation</t>
  </si>
  <si>
    <t>prog_7_3</t>
  </si>
  <si>
    <t>Recommendations - Study design</t>
  </si>
  <si>
    <t>prog_7_2</t>
  </si>
  <si>
    <t>Recommendations - Modelling approach</t>
  </si>
  <si>
    <t>prog_7_1</t>
  </si>
  <si>
    <t>icon_progress_bar_num4.png</t>
  </si>
  <si>
    <t>Target species (multiple)</t>
  </si>
  <si>
    <t>Target species</t>
  </si>
  <si>
    <t>prog_4_2</t>
  </si>
  <si>
    <t>Target species (single)</t>
  </si>
  <si>
    <t>prog_4_1</t>
  </si>
  <si>
    <t>Timing</t>
  </si>
  <si>
    <t>prog_3_2</t>
  </si>
  <si>
    <t>Duration</t>
  </si>
  <si>
    <t>prog_3_1</t>
  </si>
  <si>
    <t>icon_progress_bar_num2.png</t>
  </si>
  <si>
    <t>Site selection constraints</t>
  </si>
  <si>
    <t>prog_2_2</t>
  </si>
  <si>
    <t>prog_2_1</t>
  </si>
  <si>
    <t>prog_4</t>
  </si>
  <si>
    <t>Study area &amp; Site selection constraints</t>
  </si>
  <si>
    <t>prog_2</t>
  </si>
  <si>
    <t>Recommendations</t>
  </si>
  <si>
    <t>prog_7</t>
  </si>
  <si>
    <t>icon_progress_bar_num1.png</t>
  </si>
  <si>
    <t>Objectives &amp; Resources</t>
  </si>
  <si>
    <t>prog_1</t>
  </si>
  <si>
    <t>icon_progress_bar_num5.png</t>
  </si>
  <si>
    <t>Equipment &amp; Deployment</t>
  </si>
  <si>
    <t>prog_5</t>
  </si>
  <si>
    <t>icon_progress_bar_num3.png</t>
  </si>
  <si>
    <t>Duration &amp; Timing</t>
  </si>
  <si>
    <t>prog_3</t>
  </si>
  <si>
    <t>icon_progress_bar_num6.png</t>
  </si>
  <si>
    <t>Data &amp; Analysis</t>
  </si>
  <si>
    <t>prog_6</t>
  </si>
  <si>
    <t>prog_bar_icon_filename</t>
  </si>
  <si>
    <t>prog_level_toc</t>
  </si>
  <si>
    <t>prog_level_text_progress_bar</t>
  </si>
  <si>
    <t>prog_level_id</t>
  </si>
  <si>
    <t>Open concept infobox as separate window</t>
  </si>
  <si>
    <t>sidebar_button</t>
  </si>
  <si>
    <t>button</t>
  </si>
  <si>
    <t>tool_interface</t>
  </si>
  <si>
    <t>https://ab-rcsc.github.io/rc-decision-support-tool_concept-library/02_dialog-boxes/08_references.html</t>
  </si>
  <si>
    <t>References</t>
  </si>
  <si>
    <t>https://ab-rcsc.github.io/rc-decision-support-tool_concept-library/index.html#i_data_analysis</t>
  </si>
  <si>
    <t>i_data_analysis</t>
  </si>
  <si>
    <t>sidebar_button_old</t>
  </si>
  <si>
    <t>https://ab-rcsc.github.io/rc-decision-support-tool_concept-library/index.html#i_equipment_deployment</t>
  </si>
  <si>
    <t>i_equipment_deployment</t>
  </si>
  <si>
    <t>https://ab-rcsc.github.io/rc-decision-support-tool_concept-library/index.html#i_target_species</t>
  </si>
  <si>
    <t>i_target_species</t>
  </si>
  <si>
    <t>https://ab-rcsc.github.io/rc-decision-support-tool_concept-library/index.html#i_duration_timing</t>
  </si>
  <si>
    <t>i_duration_timing</t>
  </si>
  <si>
    <t>https://ab-rcsc.github.io/rc-decision-support-tool_concept-library/index.html#i_study_area_site_selection_constraints</t>
  </si>
  <si>
    <t>i_study_area_site_selection_constraints</t>
  </si>
  <si>
    <t>https://ab-rcsc.github.io/rc-decision-support-tool_concept-library/index.html#i_objective_resources</t>
  </si>
  <si>
    <t>i_objective_resources</t>
  </si>
  <si>
    <t>https://ab-rcsc.github.io/rc-decision-support-tool_concept-library/02_dialog-boxes/09_glossary.html</t>
  </si>
  <si>
    <t>Glossary</t>
  </si>
  <si>
    <t>https://www.rc-decision-support-tool.ca/voila/render/objective.ipynb?</t>
  </si>
  <si>
    <t>Start over</t>
  </si>
  <si>
    <t>https://ab-rcsc.github.io/rc-decision-support-tool/</t>
  </si>
  <si>
    <t>Home</t>
  </si>
  <si>
    <t>https://ab-rcsc.github.io/rc-decision-support-tool</t>
  </si>
  <si>
    <t>00_00_welcome</t>
  </si>
  <si>
    <t>https://ab-rcsc.github.io/rc-decision-support-tool_concept-library/index.html#concept-library</t>
  </si>
  <si>
    <t>Concept library TOC</t>
  </si>
  <si>
    <t>concept-library</t>
  </si>
  <si>
    <t>https://ab-rcsc.github.io/rc-decision-support-tool_concept-library/02_dialog-boxes/01_08_surv_dur_min_max.html</t>
  </si>
  <si>
    <t>surv_dur_min_max</t>
  </si>
  <si>
    <t>info box page</t>
  </si>
  <si>
    <t>iframe-ref</t>
  </si>
  <si>
    <t>https://ab-rcsc.github.io/rc-decision-support-tool_concept-library/02_dialog-boxes/01_14_sp_type.html</t>
  </si>
  <si>
    <t>https://ab-rcsc.github.io/rc-decision-support-tool_concept-library/02_dialog-boxes/01_18_sp_size.htm</t>
  </si>
  <si>
    <t>https://ab-rcsc.github.io/rc-decision-support-tool_concept-library/02_dialog-boxes/01_19_sp_rarity.html</t>
  </si>
  <si>
    <t>https://ab-rcsc.github.io/rc-decision-support-tool_concept-library/02_dialog-boxes/01_16_sp_occ_restr.html</t>
  </si>
  <si>
    <t>https://ab-rcsc.github.io/rc-decision-support-tool_concept-library/02_dialog-boxes/01_13_sp_info.html</t>
  </si>
  <si>
    <t>https://ab-rcsc.github.io/rc-decision-support-tool_concept-library/02_dialog-boxes/01_17_sp_hr_size.html</t>
  </si>
  <si>
    <t>sp_hr_size</t>
  </si>
  <si>
    <t>https://ab-rcsc.github.io/rc-decision-support-tool_concept-library/02_dialog-boxes/01_20_sp_detprob_cat.html</t>
  </si>
  <si>
    <t>https://ab-rcsc.github.io/rc-decision-support-tool_concept-library/02_dialog-boxes/01_10_sp_asymptote.html</t>
  </si>
  <si>
    <t>https://ab-rcsc.github.io/rc-decision-support-tool_concept-library/02_dialog-boxes/01_12_obj_targ_sp.html</t>
  </si>
  <si>
    <t>https://ab-rcsc.github.io/rc-decision-support-tool_concept-library/02_dialog-boxes/01_02_objective.html</t>
  </si>
  <si>
    <t>https://ab-rcsc.github.io/rc-decision-support-tool_concept-library/02_dialog-boxes/01_03_num_cams.html</t>
  </si>
  <si>
    <t>num_cams</t>
  </si>
  <si>
    <t>https://ab-rcsc.github.io/rc-decision-support-tool_concept-library/02_dialog-boxes/01_06_cam_strat_covar.html</t>
  </si>
  <si>
    <t>https://ab-rcsc.github.io/rc-decision-support-tool_concept-library/02_dialog-boxes/01_47_cam_independent.html</t>
  </si>
  <si>
    <t>https://ab-rcsc.github.io/rc-decision-support-tool_concept-library/02_dialog-boxes/03_24_mod_behaviour</t>
  </si>
  <si>
    <t>Click here for more information</t>
  </si>
  <si>
    <t>https://ab-rcsc.github.io/rc-decision-support-tool_concept-library/02_dialog-boxes/03_23_mod_is</t>
  </si>
  <si>
    <t>https://ab-rcsc.github.io/rc-decision-support-tool_concept-library/02_dialog-boxes/03_22_mod_ste</t>
  </si>
  <si>
    <t>https://ab-rcsc.github.io/rc-decision-support-tool_concept-library/02_dialog-boxes/03_21_mod_tte</t>
  </si>
  <si>
    <t>https://ab-rcsc.github.io/rc-decision-support-tool_concept-library/02_dialog-boxes/03_20_mod_ds</t>
  </si>
  <si>
    <t>https://ab-rcsc.github.io/rc-decision-support-tool_concept-library/02_dialog-boxes/03_19_mod_tifc</t>
  </si>
  <si>
    <t>https://ab-rcsc.github.io/rc-decision-support-tool_concept-library/02_dialog-boxes/03_18_mod_rest</t>
  </si>
  <si>
    <t>https://ab-rcsc.github.io/rc-decision-support-tool_concept-library/02_dialog-boxes/03_17_mod_rem</t>
  </si>
  <si>
    <t>https://ab-rcsc.github.io/rc-decision-support-tool_concept-library/02_dialog-boxes/03_16_mod_2flankspim</t>
  </si>
  <si>
    <t>https://ab-rcsc.github.io/rc-decision-support-tool_concept-library/02_dialog-boxes/03_15_mod_catspim</t>
  </si>
  <si>
    <t>https://ab-rcsc.github.io/rc-decision-support-tool_concept-library/02_dialog-boxes/03_14_mod_sc</t>
  </si>
  <si>
    <t>https://ab-rcsc.github.io/rc-decision-support-tool_concept-library/02_dialog-boxes/03_13_mod_smr</t>
  </si>
  <si>
    <t>https://ab-rcsc.github.io/rc-decision-support-tool_concept-library/02_dialog-boxes/03_11_mod_scr_secr</t>
  </si>
  <si>
    <t>https://ab-rcsc.github.io/rc-decision-support-tool_concept-library/02_dialog-boxes/03_10_mod_cr_cmr</t>
  </si>
  <si>
    <t>https://ab-rcsc.github.io/rc-decision-support-tool_concept-library/02_dialog-boxes/03_04_mod_rai</t>
  </si>
  <si>
    <t>https://ab-rcsc.github.io/rc-decision-support-tool_concept-library/02_dialog-boxes/03_03_mod_occupancy</t>
  </si>
  <si>
    <t>https://ab-rcsc.github.io/rc-decision-support-tool_concept-library/02_dialog-boxes/03_02_mod_divers_rich</t>
  </si>
  <si>
    <t>https://ab-rcsc.github.io/rc-decision-support-tool_concept-library/02_dialog-boxes/03_01_mod_inventory</t>
  </si>
  <si>
    <t>{bdg-link-primary-line}`Species-accumulation curves&lt;https://ab-rcsc.github.io/rc-decision-support-tool_concept-library/02_dialog-boxes/01_10_sp_asymptote.html&gt;`</t>
  </si>
  <si>
    <t>Species-accumulation curves</t>
  </si>
  <si>
    <t>link_bdg_sp_asymptote</t>
  </si>
  <si>
    <t>bdg-link-primary-line</t>
  </si>
  <si>
    <t>concept-lib</t>
  </si>
  <si>
    <t>{bdg-link-primary-line}`Species rarity&lt;https://ab-rcsc.github.io/rc-decision-support-tool_concept-library/02_dialog-boxes/01_19_sp_rarity.html&gt;`</t>
  </si>
  <si>
    <t>link_bdg_sp_rarity</t>
  </si>
  <si>
    <t>{bdg-link-primary-line}`Viewshed density estimators&lt;https://ab-rcsc.github.io/rc-decision-support-tool_concept-library/02_dialog-boxes/09_viewshed_dens_est.html&gt;`</t>
  </si>
  <si>
    <t>https://ab-rcsc.github.io/rc-decision-support-tool_concept-library/02_dialog-boxes/09_viewshed_dens_est.html</t>
  </si>
  <si>
    <t>viewshed_dens_est</t>
  </si>
  <si>
    <t>link_bdg_viewshed_dens_est</t>
  </si>
  <si>
    <t>{bdg-link-primary-line}`Space-to-event (STE)&lt;https://ab-rcsc.github.io/rc-decision-support-tool_concept-library/02_dialog-boxes/03_22_mod_ste.html&gt;`</t>
  </si>
  <si>
    <t>https://ab-rcsc.github.io/rc-decision-support-tool_concept-library/02_dialog-boxes/03_22_mod_ste.html</t>
  </si>
  <si>
    <t>link_bdg_mod_ste</t>
  </si>
  <si>
    <t>{bdg-link-primary-line}`Spatial Partial Identity Model (Categorical SPIM; catSPIM)&lt;https://ab-rcsc.github.io/rc-decision-support-tool_concept-library/02_dialog-boxes/03_15_mod_catspim.html&gt;`</t>
  </si>
  <si>
    <t>https://ab-rcsc.github.io/rc-decision-support-tool_concept-library/02_dialog-boxes/03_15_mod_catspim.html</t>
  </si>
  <si>
    <t>{bdg-link-primary-line}`Spatial Partial Identity Model (2-flank SPIM)&lt;https://ab-rcsc.github.io/rc-decision-support-tool_concept-library/02_dialog-boxes/03_16_mod_2flankspim.html&gt;`</t>
  </si>
  <si>
    <t>https://ab-rcsc.github.io/rc-decision-support-tool_concept-library/02_dialog-boxes/03_16_mod_2flankspim.html</t>
  </si>
  <si>
    <t>link_bdg_mod_2flankspim</t>
  </si>
  <si>
    <t>2.3.2 Spatial Partial Identity Model</t>
  </si>
  <si>
    <t>{bdg-link-primary-line}`Spatial mark-resight&lt;https://ab-rcsc.github.io/rc-decision-support-tool_concept-library/02_dialog-boxes/03_13_mod_smr.html&gt;`</t>
  </si>
  <si>
    <t>https://ab-rcsc.github.io/rc-decision-support-tool_concept-library/02_dialog-boxes/03_13_mod_smr.html</t>
  </si>
  <si>
    <t>Spatial mark-resight</t>
  </si>
  <si>
    <t>link_bdg_mod_smr</t>
  </si>
  <si>
    <t>2.3.1 Spatial Mark-Resight</t>
  </si>
  <si>
    <t>{bdg-link-primary-line}`Time-to-event&lt;https://ab-rcsc.github.io/rc-decision-support-tool_concept-library/02_dialog-boxes/03_20_mod_tte.html&gt;`</t>
  </si>
  <si>
    <t>https://ab-rcsc.github.io/rc-decision-support-tool_concept-library/02_dialog-boxes/03_20_mod_tte.html</t>
  </si>
  <si>
    <t>Time-to-event</t>
  </si>
  <si>
    <t>link_bdg_mod_tte</t>
  </si>
  <si>
    <t>2.2.6 Time-toEvent Model</t>
  </si>
  <si>
    <t>{bdg-link-primary-line}`Random encounter and staying time [REST]&lt;https://ab-rcsc.github.io/rc-decision-support-tool_concept-library/02_dialog-boxes/03_18_mod_rest.html&gt;`</t>
  </si>
  <si>
    <t>https://ab-rcsc.github.io/rc-decision-support-tool_concept-library/02_dialog-boxes/03_18_mod_rest.html</t>
  </si>
  <si>
    <t>Random encounter and staying time [REST]</t>
  </si>
  <si>
    <t>link_bdg_mod_rest</t>
  </si>
  <si>
    <t>2.2.4 Random Encounter and Staying Time</t>
  </si>
  <si>
    <t>{bdg-link-primary-line}`Random encounter model [REM]&lt;https://ab-rcsc.github.io/rc-decision-support-tool_concept-library/02_dialog-boxes/03_17_mod_rem.html&gt;`</t>
  </si>
  <si>
    <t>https://ab-rcsc.github.io/rc-decision-support-tool_concept-library/02_dialog-boxes/03_17_mod_rem.html</t>
  </si>
  <si>
    <t>Random encounter model [REM]</t>
  </si>
  <si>
    <t>link_bdg_mod_rem</t>
  </si>
  <si>
    <t>2.2.3 Random Encounter Model</t>
  </si>
  <si>
    <t>{bdg-link-primary-line}`Distance sampling&lt;https://ab-rcsc.github.io/rc-decision-support-tool_concept-library/02_dialog-boxes/03_20_mod_ds.html&gt;`</t>
  </si>
  <si>
    <t>https://ab-rcsc.github.io/rc-decision-support-tool_concept-library/02_dialog-boxes/03_20_mod_ds.html</t>
  </si>
  <si>
    <t>link_bdg_mod_ds</t>
  </si>
  <si>
    <t>2.2.2 Distance Sampling</t>
  </si>
  <si>
    <t>{bdg-link-primary-line}`Spatial count&lt;https://ab-rcsc.github.io/rc-decision-support-tool_concept-library/02_dialog-boxes/03_14_mod_sc.html&gt;`</t>
  </si>
  <si>
    <t>https://ab-rcsc.github.io/rc-decision-support-tool_concept-library/02_dialog-boxes/03_14_mod_sc.html</t>
  </si>
  <si>
    <t>Spatial count</t>
  </si>
  <si>
    <t>link_bdg_mod_sc</t>
  </si>
  <si>
    <t>2.2.1 Spatial Count</t>
  </si>
  <si>
    <t>{bdg-link-primary-line}`Spatial capture-recapture (SCR) / Spatially explicit capture recapture (SECR)&lt;https://ab-rcsc.github.io/rc-decision-support-tool_concept-library/02_dialog-boxes/03_11_mod_scr_secr.html&gt;`</t>
  </si>
  <si>
    <t>https://ab-rcsc.github.io/rc-decision-support-tool_concept-library/02_dialog-boxes/03_11_mod_scr_secr.html</t>
  </si>
  <si>
    <t>link_bdg_mod_scr_secr</t>
  </si>
  <si>
    <t>2.1.2 Spatial Capture-Recapture  / How the Model Works in the SCR section</t>
  </si>
  <si>
    <t>{bdg-link-primary-line}`Capture-recapture (CR) / Capture-mark-recapture (CMR)&lt;https://ab-rcsc.github.io/rc-decision-support-tool_concept-library/02_dialog-boxes/03_10_mod_cr_cmr.html&gt;`</t>
  </si>
  <si>
    <t>https://ab-rcsc.github.io/rc-decision-support-tool_concept-library/02_dialog-boxes/03_10_mod_cr_cmr.html</t>
  </si>
  <si>
    <t>link_bdg_mod_cr_cmr</t>
  </si>
  <si>
    <t>2.1.1 Capture-Recapture</t>
  </si>
  <si>
    <t>http://www.rc-decision-support-tool.ca/voila/render/objective.ipynb?</t>
  </si>
  <si>
    <t>link_launchtool</t>
  </si>
  <si>
    <t>text-link</t>
  </si>
  <si>
    <t>&lt;a href=\"https://www.alberta.ca/wildlife-loadforms.aspx\" target=\"_blank\"&gt;https://www.alberta.ca/wildlife-loadforms.aspx&lt;/a&gt;</t>
  </si>
  <si>
    <t>https://www.alberta.ca/wildlife-loadforms.aspx</t>
  </si>
  <si>
    <t>link_fwmis</t>
  </si>
  <si>
    <t>&lt;a href=\"https://five.epicollect.net/project/rcsc-and-wildcam-remote-camera-survey-guidelines\" target=\"_blank\"&gt;EpiCollect Template&lt;/a&gt;</t>
  </si>
  <si>
    <t>https://five.epicollect.net/project/rcsc-and-wildcam-remote-camera-survey-guidelines</t>
  </si>
  <si>
    <t>EpiCollect Template</t>
  </si>
  <si>
    <t>link_epicollect_template</t>
  </si>
  <si>
    <t>&lt;a href=\"https://ab-rcsc.github.io/RCSC-WildCAM_Remote-Camera-Survey-Guidelines-and-Metadata-Standards/1_survey-guidelines/1_10.2_AppendixA-Field-Datasheets.html\" target=\"_blank\"&gt;deployment and service/retrieval fieldsheets&lt;/a&gt;</t>
  </si>
  <si>
    <t>https://ab-rcsc.github.io/RCSC-WildCAM_Remote-Camera-Survey-Guidelines-and-Metadata-Standards/1_survey-guidelines/1_10.2_AppendixA-Field-Datasheets.html</t>
  </si>
  <si>
    <t>deployment and service/retrieval fieldsheets</t>
  </si>
  <si>
    <t>link_surv_guide_fielddatasheets</t>
  </si>
  <si>
    <t>&lt;a href=\"https://ab-rcsc.github.io/RCSC-WildCAM_Remote-Camera-Survey-Guidelines-and-Metadata-Standards/1_survey-guidelines/1_0.1_Citation-and-Info.html\" target=\"_blank\"&gt;Remote Camera Survey Guidelines (RCSC et al., 2024)&lt;/a&gt;</t>
  </si>
  <si>
    <t>https://ab-rcsc.github.io/RCSC-WildCAM_Remote-Camera-Survey-Guidelines-and-Metadata-Standards/1_survey-guidelines/1_0.1_Citation-and-Info.html</t>
  </si>
  <si>
    <t>Remote Camera Survey Guidelines (RCSC et al., 2024)</t>
  </si>
  <si>
    <t>link_surv_guide</t>
  </si>
  <si>
    <t>&lt;a href=\"https://ab-rcsc.github.io/RCSC-WildCAM_Remote-Camera-Survey-Guidelines-and-Metadata-Standards/2_metadata-standards/2_0.1_Citation-and-Info.html\" target=\"_blank\"&gt;Remote Camera Metadata Standards for Alberta (RCSC, 2024)&lt;/a&gt;</t>
  </si>
  <si>
    <t>Alberta Metadata Standards (RCSC, 2024)</t>
  </si>
  <si>
    <t>link_ab_metadata_abrv</t>
  </si>
  <si>
    <t>Remote Camera Metadata Standards for Alberta (RCSC, 2024)</t>
  </si>
  <si>
    <t>link_ab_metadata</t>
  </si>
  <si>
    <t>https://wildcams.ca/library/camera-trapping-papers-directory/</t>
  </si>
  <si>
    <t>WildCAM’s "sampling design &amp; effort section section"</t>
  </si>
  <si>
    <t>(&lt;https://wildcams.ca/library/camera-trapping-papers-directory/&gt;).</t>
  </si>
  <si>
    <t xml:space="preserve">resource library </t>
  </si>
  <si>
    <t>https://ab-rcsc.github.io/RCSC-WildCAM_Remote-Camera-Survey-Guidelines-and-Metadata-Standards/1_survey-guidelines/1_10.1_AppendixA-Tables.html</t>
  </si>
  <si>
    <t>Appendix A - Table A2</t>
  </si>
  <si>
    <t>sub</t>
  </si>
  <si>
    <t>text (clarke)</t>
  </si>
  <si>
    <t>formatted</t>
  </si>
  <si>
    <t>key_code</t>
  </si>
  <si>
    <t>where</t>
  </si>
  <si>
    <t>Accounting for zero-inflation with site random effect</t>
  </si>
  <si>
    <t>question</t>
  </si>
  <si>
    <t>Zero-inflation due to separate process</t>
  </si>
  <si>
    <t>Accounting for overdispersion due to zero-inflation</t>
  </si>
  <si>
    <t>User entry (Study design or data already collected)</t>
  </si>
  <si>
    <t>01_01_user_entry</t>
  </si>
  <si>
    <t>surv_dur</t>
  </si>
  <si>
    <t>01_08_surv_dur</t>
  </si>
  <si>
    <t>Survey duration</t>
  </si>
  <si>
    <t>Season(s)</t>
  </si>
  <si>
    <t>study_season_num</t>
  </si>
  <si>
    <t>01_11_study_season_num</t>
  </si>
  <si>
    <t>Carnivore / ungulate</t>
  </si>
  <si>
    <t>01_14_sp_type</t>
  </si>
  <si>
    <t>Species body size</t>
  </si>
  <si>
    <t>01_18_sp_size</t>
  </si>
  <si>
    <t>01_19_sp_rarity</t>
  </si>
  <si>
    <t>Occurrence restricted</t>
  </si>
  <si>
    <t>01_16_sp_occ_restr</t>
  </si>
  <si>
    <t>Ecology of species (well known *vs.* poorly known)</t>
  </si>
  <si>
    <t>01_13_sp_info</t>
  </si>
  <si>
    <t>01_17_sp_hr_size</t>
  </si>
  <si>
    <t>Species detection probability</t>
  </si>
  <si>
    <t>01_20_sp_detprob_cat</t>
  </si>
  <si>
    <t>Low density species</t>
  </si>
  <si>
    <t>01_15_sp_dens_low</t>
  </si>
  <si>
    <t>Study population size</t>
  </si>
  <si>
    <t>01_30_sp_common_pop_lg</t>
  </si>
  <si>
    <t>01_21_sp_behav</t>
  </si>
  <si>
    <t>01_10_sp_asymptote</t>
  </si>
  <si>
    <t>Overdispersion &amp; Zero-inflation</t>
  </si>
  <si>
    <t>overdispersion_zeroinflation</t>
  </si>
  <si>
    <t>01_53_overdispersion_zeroinflation</t>
  </si>
  <si>
    <t>Variable of interest</t>
  </si>
  <si>
    <t>01_02_objective</t>
  </si>
  <si>
    <t>01_12_obj_targ_sp</t>
  </si>
  <si>
    <t>num_recap</t>
  </si>
  <si>
    <t>num_det</t>
  </si>
  <si>
    <t>num_det_individ</t>
  </si>
  <si>
    <t>Number of cameras available</t>
  </si>
  <si>
    <t>01_03_num_cams</t>
  </si>
  <si>
    <t>Repeat sampling</t>
  </si>
  <si>
    <t>01_48_multisamp_per_loc</t>
  </si>
  <si>
    <t>Mixed models</t>
  </si>
  <si>
    <t>01_49_modmixed</t>
  </si>
  <si>
    <t>Focal area measured or detections binned by distance</t>
  </si>
  <si>
    <t>01_28_focalarea_calc</t>
  </si>
  <si>
    <t>design_survey_duration</t>
  </si>
  <si>
    <t>02_07_design_survey_duration</t>
  </si>
  <si>
    <t>Sampling design</t>
  </si>
  <si>
    <t>design</t>
  </si>
  <si>
    <t>design_study_area</t>
  </si>
  <si>
    <t>02_01_design_study_area</t>
  </si>
  <si>
    <t>Number of cameras</t>
  </si>
  <si>
    <t>design_num_cams</t>
  </si>
  <si>
    <t>02_04_design_num_cams</t>
  </si>
  <si>
    <t>design_camdays_per_loc</t>
  </si>
  <si>
    <t>02_05_design_camdays_per_loc</t>
  </si>
  <si>
    <t>design_cam_spacing</t>
  </si>
  <si>
    <t>02_03_design_cam_spacing</t>
  </si>
  <si>
    <t>design_cam_days_ttl</t>
  </si>
  <si>
    <t>02_06_design_cam_days_ttl</t>
  </si>
  <si>
    <t>design_cam_arrange_targeted</t>
  </si>
  <si>
    <t>02_02_08_design_cam_arrange_targeted</t>
  </si>
  <si>
    <t>design_cam_arrange_systematic_random</t>
  </si>
  <si>
    <t>02_02_03_design_cam_arrange_systematic_random</t>
  </si>
  <si>
    <t>design_cam_arrange_systematic</t>
  </si>
  <si>
    <t>02_02_02_design_cam_arrange_systematic</t>
  </si>
  <si>
    <t>design_cam_arrange_stratified_random</t>
  </si>
  <si>
    <t>02_02_05_design_cam_arrange_stratified_random</t>
  </si>
  <si>
    <t>design_cam_arrange_stratified</t>
  </si>
  <si>
    <t>02_02_04_design_cam_arrange_stratified</t>
  </si>
  <si>
    <t>design_cam_arrange_random</t>
  </si>
  <si>
    <t>02_02_01_design_cam_arrange_random</t>
  </si>
  <si>
    <t>design_cam_arrange_paired</t>
  </si>
  <si>
    <t>02_02_07_design_cam_arrange_paired</t>
  </si>
  <si>
    <t>design_cam_arrange_convenience</t>
  </si>
  <si>
    <t>02_02_09_design_cam_arrange_convenience</t>
  </si>
  <si>
    <t>02_02_06_design_clustered</t>
  </si>
  <si>
    <t>design_cam_arrange_clustered</t>
  </si>
  <si>
    <t>Camera arrangement</t>
  </si>
  <si>
    <t>design_cam_arrange</t>
  </si>
  <si>
    <t>02_02_00_design_cam_arrange</t>
  </si>
  <si>
    <t>Target features</t>
  </si>
  <si>
    <t>targ_feature</t>
  </si>
  <si>
    <t>01_45_targ_feature</t>
  </si>
  <si>
    <t>Stratified by covariates</t>
  </si>
  <si>
    <t>01_06_cam_strat_covar</t>
  </si>
  <si>
    <t>Camera settings</t>
  </si>
  <si>
    <t>cam_settings</t>
  </si>
  <si>
    <t>01_40_cam_settings</t>
  </si>
  <si>
    <t>Camera height, angle, direction</t>
  </si>
  <si>
    <t>cam_placement</t>
  </si>
  <si>
    <t>01_41_cam_placement</t>
  </si>
  <si>
    <t>Camera equipment</t>
  </si>
  <si>
    <t>cam_equipment</t>
  </si>
  <si>
    <t>01_39_cam_equipment</t>
  </si>
  <si>
    <t>Camera location independence</t>
  </si>
  <si>
    <t>01_47_cam_independent</t>
  </si>
  <si>
    <t>Camera density</t>
  </si>
  <si>
    <t>01_07_cam_high_dens</t>
  </si>
  <si>
    <t>Camera direction consistent or random</t>
  </si>
  <si>
    <t>01_42_cam_direction_ds</t>
  </si>
  <si>
    <t>Known density gradient</t>
  </si>
  <si>
    <t>01_05_cam_dens_gradient</t>
  </si>
  <si>
    <t>01_43_bait_lure</t>
  </si>
  <si>
    <t>Bait/lure (Types, Placement at all vs. a subset of cameras)</t>
  </si>
  <si>
    <t>Additional information that may be collected to support modelling density</t>
  </si>
  <si>
    <t>target_species_single</t>
  </si>
  <si>
    <t>header</t>
  </si>
  <si>
    <t>target_species_multiple</t>
  </si>
  <si>
    <t>study_area_site_selection_constraints</t>
  </si>
  <si>
    <t>References / Glossary</t>
  </si>
  <si>
    <t>references_glossary</t>
  </si>
  <si>
    <t>references</t>
  </si>
  <si>
    <t>08_references</t>
  </si>
  <si>
    <t>recommendations_study_design</t>
  </si>
  <si>
    <t>Modelling Approaches</t>
  </si>
  <si>
    <t>recommendations_modelling_approach</t>
  </si>
  <si>
    <t>Analysis considerations</t>
  </si>
  <si>
    <t>recommendations_considersations</t>
  </si>
  <si>
    <t>recommendations</t>
  </si>
  <si>
    <t>objective_resources</t>
  </si>
  <si>
    <t>glossary</t>
  </si>
  <si>
    <t>09_glossary</t>
  </si>
  <si>
    <t>duration_timing</t>
  </si>
  <si>
    <t>data_analysis</t>
  </si>
  <si>
    <t>toc_order</t>
  </si>
  <si>
    <t>toc_level</t>
  </si>
  <si>
    <t>link_infobox</t>
  </si>
  <si>
    <t>title_sub</t>
  </si>
  <si>
    <t>page_dropdown_text</t>
  </si>
  <si>
    <t>title_text</t>
  </si>
  <si>
    <t>title_id</t>
  </si>
  <si>
    <t>info_file_name</t>
  </si>
  <si>
    <t>prog_id</t>
  </si>
  <si>
    <t>sort</t>
  </si>
  <si>
    <t>survey_dur_mth</t>
  </si>
  <si>
    <t>Same sp_size codes from Q above, however, labels differ from what user see when obj_targ_sp=="single" and "multiple" is now an option available to users</t>
  </si>
  <si>
    <t>If obj_targ_sp=="single", user will not be able to select "Multiple"; Examples of comparable species users can refer to in order to select the most appropriate option; need to provide recommendations that incorp range of rarity</t>
  </si>
  <si>
    <t>sp_rarity_multi; sp_rarity_leastrare; sp_rarity_rarest</t>
  </si>
  <si>
    <t>need to provide recommendations that incorp range of rarity</t>
  </si>
  <si>
    <t>sp_detprob_cat; sp_detprob_cat_least; sp_detprob_cat_most</t>
  </si>
  <si>
    <t>Same sp_behav codes from Q above, however, labels differ from what user see when obj_targ_sp=="single" and "variable" is now an option available to users; Examples of comparable species users can refer to in order to select the most appropriate option</t>
  </si>
  <si>
    <t>If obj_targ_sp=="single", user will not be able to select "Variable"; If obj_targ_sp=="multiple", any objective could warrant consideration unless all species have similar behaviour (unlikely)</t>
  </si>
  <si>
    <t>add for study design if combining data from muliple setups?</t>
  </si>
  <si>
    <t>where "NO" will be included as "0" in surv_dur_mth_min; which should make it easy to formulate recommendations (&gt;0; no min)</t>
  </si>
  <si>
    <t>surv_dur_mth_min</t>
  </si>
  <si>
    <t>where "NO" will be included as "999" in surv_dur_mth_max; which should make it easy to in formulate recommendations (multiplicative of 0 is 0)</t>
  </si>
  <si>
    <t>surv_dur_mth_max</t>
  </si>
  <si>
    <t>If obj_targ_sp=="single", user will not be able to select "Multiple"; cater to "unknown" at first; Determine "cut-off" values or provide comparable species for users to base selection from Incorporate "Unknown" into recommendations</t>
  </si>
  <si>
    <t>Add note in sample_design recommendations if response if(sp_occ_restr=="unkn")</t>
  </si>
  <si>
    <t>Add note in sample_design recommendations if response if(sp_info=="unkn")</t>
  </si>
  <si>
    <t>If obj_targ_sp=="single", user will not be able to select "Multiple"; Anne: may depend if using lure/bait? Incorporate "Unknown" into recommendations</t>
  </si>
  <si>
    <t>simplify, if answer = unsure, provide user with options that would be available if either YES, NO selected</t>
  </si>
  <si>
    <t>Anne: Agree with Corrina. Suggest simply what was in Guidelines ("a formal measure that summarizes the state of a community or population at a particular time (Wearn &amp; Glover-Kapfer, 2017) (e.g., species richness or population abundance)". Also should they not in all cases have a state variable in mind prior to data collection (or are you envisioning situations where they have data collected with no primary goal in mind)?</t>
  </si>
  <si>
    <t>where "NO" will be included as "999" in num_cams_avail; which should make it easy to in formulate recommendations (number of cams referred to as &gt; 20, &gt; 30 etc.)</t>
  </si>
  <si>
    <t>data_hr; hr_size</t>
  </si>
  <si>
    <t>cam_strat_covar_num&lt;-ifelse(cam_strat_covar=="NO",0,cam_strat_covar); where "NO" will be included as "0" in cam_strat_covar_num; which should make it easy to in formulate recommendations (multiplicative of 0 is 0); Do we need "cam_strat_covar", or can we presume NO = 1</t>
  </si>
  <si>
    <t>question_notes</t>
  </si>
  <si>
    <t>obj_pop_size</t>
  </si>
  <si>
    <t>01_50_num_det_individ_recaptures</t>
  </si>
  <si>
    <t>num_det_individ_recaptures</t>
  </si>
  <si>
    <t>auxillary_info_count</t>
  </si>
  <si>
    <t>markings</t>
  </si>
  <si>
    <t>01_26_auxillary_info_count</t>
  </si>
  <si>
    <t>Markings (Marked, unmarked, partially marked) / (Categorical identifiers)</t>
  </si>
  <si>
    <t>Number of detections, individuals, recaptures</t>
  </si>
  <si>
    <t>Behaviour (Investigative / Multiple species / Seasonal)</t>
  </si>
  <si>
    <t>equipment_deployment</t>
  </si>
  <si>
    <t>code</t>
  </si>
  <si>
    <t>is_page</t>
  </si>
  <si>
    <t>Behaviour focused objectives vary greatly; they may be qualitative or quantitative (e.g., diel activity patterns, mating, boldness, predation, foraging, activity patterns, vigilance, parental care (Caravaggi et al., 2020; Wearn &amp; Glover-Kapfer, 2017).</t>
  </si>
  <si>
    <t>The average number of offspring produced per individual per unit time.' (NBCKC, 2024a)</t>
  </si>
  <si>
    <t>01_23_markings</t>
  </si>
  <si>
    <t>Number of Target Species</t>
  </si>
  <si>
    <t>in_use</t>
  </si>
  <si>
    <t>info_title_text</t>
  </si>
  <si>
    <t>rcsc_2024c</t>
  </si>
  <si>
    <t>covariates</t>
  </si>
  <si>
    <t>https://ab-rcsc.github.io/rc-decision-support-tool_concept-library/02_dialog-boxes/01_53_overdispersion_zeroinflation.html</t>
  </si>
  <si>
    <t>https://ab-rcsc.github.io/rc-decision-support-tool_concept-library/02_dialog-boxes/01_50_num_det_individ_recaptures.html</t>
  </si>
  <si>
    <t>https://ab-rcsc.github.io/rc-decision-support-tool_concept-library/02_dialog-boxes/01_49_modmixed.html</t>
  </si>
  <si>
    <t>https://ab-rcsc.github.io/rc-decision-support-tool_concept-library/02_dialog-boxes/01_48_multisamp_per_loc.html</t>
  </si>
  <si>
    <t>https://ab-rcsc.github.io/rc-decision-support-tool_concept-library/02_dialog-boxes/01_45_targ_feature.html</t>
  </si>
  <si>
    <t>https://ab-rcsc.github.io/rc-decision-support-tool_concept-library/02_dialog-boxes/01_43_bait_lure.html</t>
  </si>
  <si>
    <t>https://ab-rcsc.github.io/rc-decision-support-tool_concept-library/02_dialog-boxes/01_42_cam_direction_ds.html</t>
  </si>
  <si>
    <t>https://ab-rcsc.github.io/rc-decision-support-tool_concept-library/02_dialog-boxes/01_41_cam_placement.html</t>
  </si>
  <si>
    <t>https://ab-rcsc.github.io/rc-decision-support-tool_concept-library/02_dialog-boxes/01_40_cam_settings.html</t>
  </si>
  <si>
    <t>https://ab-rcsc.github.io/rc-decision-support-tool_concept-library/02_dialog-boxes/01_39_cam_equipment.html</t>
  </si>
  <si>
    <t>https://ab-rcsc.github.io/rc-decision-support-tool_concept-library/02_dialog-boxes/01_30_sp_common_pop_lg.html</t>
  </si>
  <si>
    <t>https://ab-rcsc.github.io/rc-decision-support-tool_concept-library/02_dialog-boxes/01_28_focalarea_calc.html</t>
  </si>
  <si>
    <t>https://ab-rcsc.github.io/rc-decision-support-tool_concept-library/02_dialog-boxes/01_26_auxillary_info_count.html</t>
  </si>
  <si>
    <t>https://ab-rcsc.github.io/rc-decision-support-tool_concept-library/02_dialog-boxes/01_23_markings.html</t>
  </si>
  <si>
    <t>https://ab-rcsc.github.io/rc-decision-support-tool_concept-library/02_dialog-boxes/01_21_sp_behav.html</t>
  </si>
  <si>
    <t>https://ab-rcsc.github.io/rc-decision-support-tool_concept-library/02_dialog-boxes/01_18_sp_size.html</t>
  </si>
  <si>
    <t>https://ab-rcsc.github.io/rc-decision-support-tool_concept-library/02_dialog-boxes/01_15_sp_dens_low.html</t>
  </si>
  <si>
    <t>https://ab-rcsc.github.io/rc-decision-support-tool_concept-library/02_dialog-boxes/01_11_study_season_num.html</t>
  </si>
  <si>
    <t>https://ab-rcsc.github.io/rc-decision-support-tool_concept-library/02_dialog-boxes/01_08_surv_dur.html</t>
  </si>
  <si>
    <t>https://ab-rcsc.github.io/rc-decision-support-tool_concept-library/02_dialog-boxes/01_07_cam_high_dens.html</t>
  </si>
  <si>
    <t>https://ab-rcsc.github.io/rc-decision-support-tool_concept-library/02_dialog-boxes/01_05_cam_dens_gradient.html</t>
  </si>
  <si>
    <t>https://ab-rcsc.github.io/rc-decision-support-tool_concept-library/02_dialog-boxes/02_01_design_study_area.html</t>
  </si>
  <si>
    <t xml:space="preserve">## linked tool; </t>
  </si>
  <si>
    <t>https://ab-rcsc.github.io/rc-decision-support-tool_concept-library/02_dialog-boxes/01_01_user_entry.html</t>
  </si>
  <si>
    <t>code_infobox</t>
  </si>
  <si>
    <t>01_05_cam_dens_gradient.md</t>
  </si>
  <si>
    <t>01_07_cam_high_dens.md</t>
  </si>
  <si>
    <t>01_08_surv_dur.md</t>
  </si>
  <si>
    <t>01_11_study_season_num.md</t>
  </si>
  <si>
    <t>01_12_obj_targ_sp.md</t>
  </si>
  <si>
    <t>01_16_sp_occ_restr.md</t>
  </si>
  <si>
    <t>01_26_auxillary_info_count.md</t>
  </si>
  <si>
    <t>01_28_focalarea_calc.md</t>
  </si>
  <si>
    <t>01_41_cam_placement.md</t>
  </si>
  <si>
    <t>01_45_targ_feature.md</t>
  </si>
  <si>
    <t>01_48_multisamp_per_loc.md</t>
  </si>
  <si>
    <t>01_49_modmixed.md</t>
  </si>
  <si>
    <t>MISSING</t>
  </si>
  <si>
    <t>Probability of occupancy ~0.25-0.75</t>
  </si>
  <si>
    <t>Probability of occupancy &lt; 0.001 ({{ rtxt_wearn_gloverkapfer_2017 }}; {{ rtxt_rowcliffe_et_al_2008 }}; {{ rtxt_obrien_2010 }})</t>
  </si>
  <si>
    <t>Probability of occupancy &lt; 0.25 {{ rtxt_kays_et_al_2020 }}</t>
  </si>
  <si>
    <t>Probability of occupancy &gt; ~0.75-0.8  (&gt; 0.75 [{{ rtxt_kinnaird_obrien_2012 }}; {{ rtxt_kays_et_al_2020 }}]; &gt; 0.8 [{{ rtxt_shannon_et_al_2014 }}; {{ rtxt_wearn_gloverkapfer_2017 }}]</t>
  </si>
  <si>
    <t xml:space="preserve">    - 0.67–1 (Chatterjee et al., 2021)&lt;br&gt;    - \&gt; 0.5 (Mackenzie &amp; Royle, 2005)</t>
  </si>
  <si>
    <t xml:space="preserve">    - 0.37–0.67 (Chatterjee et al., 2021)</t>
  </si>
  <si>
    <t xml:space="preserve">    - &lt; 0.1 (Tobler &amp; Powell, 2013)&lt;br&gt;    - &lt; 0.05 (Shannon et al. 2014)&lt;br&gt;    - 0–0.37 (Chatterjee et al., 2021)</t>
  </si>
  <si>
    <t>Select this option if your study includes multiple Target Species that vary in rarity.</t>
  </si>
  <si>
    <t>Select this option if your study includes multiple {{ target_species_tu }} that vary in rarity.</t>
  </si>
  <si>
    <t>Select this option if you’re not sure of the rarity of your Target Species (single or multiple species)</t>
  </si>
  <si>
    <t>Select this option if you’re not sure of the rarity of your {{ target_species_tu }} (single or multiple species)</t>
  </si>
  <si>
    <t>sp_rarity_very_rare</t>
  </si>
  <si>
    <t>Select this option if your study includes multiple Target Species that vary in body size.</t>
  </si>
  <si>
    <t>Select this option if your study includes multiple {{ target_species_tu }} that vary in body size.</t>
  </si>
  <si>
    <t>Small and mid-sized species, ~&lt; 33 lbs (or 15 kilograms), such as meso-carnivores (i.e., Red, fox, Coyote) (Roemer et al., 2009)</t>
  </si>
  <si>
    <t>obj_targ_sp_mult</t>
  </si>
  <si>
    <t>Probability of occupancy &lt; 0.25 (Kays et al., 2020)</t>
  </si>
  <si>
    <t>sp_size_multiple</t>
  </si>
  <si>
    <t>aux_count_true</t>
  </si>
  <si>
    <t>aux_count_false</t>
  </si>
  <si>
    <t>Probability of occupancy &gt; ~0.75-0.8  (&gt; 0.75 [Kinnaird &amp; O'Brien, 2012; Kays et al., 2020]; &gt; 0.8 [Shannon et al., 2014; Wearn &amp; Glover-Kapfer, 2017]</t>
  </si>
  <si>
    <t>Select this option if your study include multiple {{ target_species_tu }}.</t>
  </si>
  <si>
    <t>Select this option if your study include multiple Target Species.</t>
  </si>
  <si>
    <t>Select this option if you’re not sure of the detection probability of your {{ target_species_tu }} (single or multiple species)</t>
  </si>
  <si>
    <t>Select this option if you’re not sure of the detection probability of your Target Species (single or multiple species)</t>
  </si>
  <si>
    <t xml:space="preserve">    - &lt; 0.1 ({{ rtxt_tobler_powell_2013 }})&lt;br&gt;    - &lt; 0.05 ({{ rtxt_shannon_et_al_2014 }})&lt;br&gt;    - 0–0.37 (Chatterjee et al., 2021)</t>
  </si>
  <si>
    <t xml:space="preserve">    - 0.67–1 (Chatterjee et al., 2021)&lt;br&gt;    - /&gt; 0.5 ({{ ref_intext_mackenzie_royle_2005 }})</t>
  </si>
  <si>
    <t>(e.g., lynx)</t>
  </si>
  <si>
    <t>(e.g., moose, coyote)</t>
  </si>
  <si>
    <t>sp_behav_unknown</t>
  </si>
  <si>
    <t>sp_behav_season_unknown</t>
  </si>
  <si>
    <t>sp_dens_low_unknown</t>
  </si>
  <si>
    <t>sp_occ_restr_unknown</t>
  </si>
  <si>
    <t>sp_asymptote_unknown</t>
  </si>
  <si>
    <t>sp_detprob_cat_unknown</t>
  </si>
  <si>
    <t>sp_info_unknown</t>
  </si>
  <si>
    <t>sp_rarity_unknown</t>
  </si>
  <si>
    <t>Probability of occupancy &lt; 0.001 (Wearn &amp; Glover-Kapfer, 2017; Rowcliffe et al., 2008; O'Brien, 2010)</t>
  </si>
  <si>
    <t>(e.g., snowshoe hare)</t>
  </si>
  <si>
    <t>Select this option if you’re not sure of the investigative behaviour of your Target Species.</t>
  </si>
  <si>
    <t>Select this option if you’re not sure of whether the behaviour of your Target Species varies by season.</t>
  </si>
  <si>
    <t xml:space="preserve">   - 0.37–0.67 ({{ ref_intext_chatterjee_et_al_2021 }})</t>
  </si>
  <si>
    <t>marking_code_partially_marked</t>
  </si>
  <si>
    <t>sp_behav_season_false</t>
  </si>
  <si>
    <t>sp_behav_season_true</t>
  </si>
  <si>
    <t>Select this option if the behaviour of your Target Species if fairly consistent year-round.</t>
  </si>
  <si>
    <t>Select this option if the behaviour of your Target Species changes each season; "seasons" may be defined based on what is relevant to the species (e.g., certain months are considered "denning season").</t>
  </si>
  <si>
    <t>Rowcliffe, Cowlishaw &amp; Long, 2003</t>
  </si>
  <si>
    <t>Rowcliffe et al., 2003</t>
  </si>
  <si>
    <t>rowcliffe_et_al_2003</t>
  </si>
  <si>
    <t>carbone_et_al_2005</t>
  </si>
  <si>
    <t>silva_downing_1994</t>
  </si>
  <si>
    <t>silva_downing_1995</t>
  </si>
  <si>
    <t>Carbone &amp; Gittleman, 2002</t>
  </si>
  <si>
    <t>Fa &amp; Purvis, 1997</t>
  </si>
  <si>
    <t>fa_purvis_1997</t>
  </si>
  <si>
    <t>carbone_gittleman_2002</t>
  </si>
  <si>
    <t>Carbone, C., Cowlishaw, G., Isaac, N. J. B. &amp; Rowcliffe, M. J. (2005). How Far Do Animals Go? Determinants of Day Range in Mammals. &lt;i&gt;The American Naturalist, 165&lt;/i&gt;(2). &lt;https://doi.org/10.1086/426790&gt;.</t>
  </si>
  <si>
    <t>Rowcliffe, J. M., Cowlishaw, G., &amp; Long, J. (2003). A model of human hunting impacts in multi-prey communities. &lt;i&gt;Journal of Applied Ecology, 40&lt;/i&gt;(5), 872–889. &lt;https://besjournals.onlinelibrary.wiley.com/doi/10.1046/j.1365-2664.2003.00841.x&gt;</t>
  </si>
  <si>
    <t>Fa, J. E., &amp; Purvis, A. (1997). Body size, diet and population density in afrotropical forest mammals: a comparison with neotropical species. &lt;i&gt;Journal of Animal Ecology, 66&lt;/i&gt;(1), 98–112. &lt;https://www.jstor.org/stable/5968&gt;</t>
  </si>
  <si>
    <t>Silva, M., &amp; Downing, J. A. (1995). The allometric scaling of density and bodymass: a nonlinear relationship for terrestrial mammals. &lt;i&gt;American Naturalist, 145&lt;/i&gt;(5), 704-727. &lt;https://doi.org/10.1086/285764&gt;</t>
  </si>
  <si>
    <t>Silva, M., &amp; Downing, J. A. (1994). Allometric scaling of minimal mammal densities. &lt;i&gt;Conservation Biology, 8&lt;/i&gt;(3), 732–743. &lt;https://www.jstor.org/stable/2386515&gt;</t>
  </si>
  <si>
    <t>Silva &amp; Downing, 1994</t>
  </si>
  <si>
    <t>Silva &amp; Downing, 1995</t>
  </si>
  <si>
    <t>Carbone et al., 2005</t>
  </si>
  <si>
    <t>Carbone, C., &amp; Gittleman, J. L. (2002). A common rule for the scaling of carnivore density. &lt;i&gt;Science, 295&lt;/i&gt;, 2273–2276. &lt;https://doi.org/10.1126/science.106799464&gt;</t>
  </si>
  <si>
    <t>{{ def_sp_behav_exploratory }}</t>
  </si>
  <si>
    <t>{{ def_sp_behav_neutral }}</t>
  </si>
  <si>
    <t>{{ def_sp_behav_avoidant }}</t>
  </si>
  <si>
    <t>delete?</t>
  </si>
  <si>
    <t>Brooks, M., Bolker, B., Kristensen, K., Maechler, M., Magnusson, A., Skaug, H., Nielsen, A., Berg, C., &amp; Van Bentham, K. (2017). &lt;i&gt;glmmTMB: Generalized Linear Mixed Models using Template Model Builder&lt;/i&gt;. R package version 1.1.10.</t>
  </si>
  <si>
    <t>https://doi.org/10.1086/426790</t>
  </si>
  <si>
    <t>https://besjournals.onlinelibrary.wiley.com/doi/10.1046/j.1365-2664.2003.00841.x</t>
  </si>
  <si>
    <t>https://doi.org/10.1086/285764</t>
  </si>
  <si>
    <t>https://www.jstor.org/stable/5968</t>
  </si>
  <si>
    <t>https://doi.org/10.1126/science.106799464</t>
  </si>
  <si>
    <t>https://www.jstor.org/stable/2386515</t>
  </si>
  <si>
    <t>Brownlee, M., Warbington, C., &amp; Boyce., M. (2022). Monitoring Sitatunga (&lt;i&gt;Tragelaphus Spekii&lt;/i&gt;) Populations Using Camera Traps. &lt;i&gt;African Journal of Ecology, 60&lt;/i&gt;(3), 377.</t>
  </si>
  <si>
    <t>Burkholder, E. N., Jakes, A. F., Jones, P. F., Hebblewhite, M., &amp; Bishop, C. J. (2018). To Jump or Not to Jump: Mule Deer and White-Tailed Deer Fence Crossing Decisions. &lt;i&gt;Wildlife Society Bulletin, 42&lt;/i&gt;(3), 420-429.</t>
  </si>
  <si>
    <t>Mikkelä, A. (2024). &lt;i&gt;Probabilistic detection calculator (online application).&lt;/i&gt; R shiny version v2.</t>
  </si>
  <si>
    <t>Rowcliffe, J. M., Cowlishaw, G., &amp; Long, J. (2003). A model of human hunting impacts in multi-prey communities. &lt;i&gt;Journal of Applied Ecology, 40&lt;/i&gt;(5), 872–889.</t>
  </si>
  <si>
    <t xml:space="preserve">Carbone, C., Cowlishaw, G., Isaac, N. J. B. &amp; Rowcliffe, M. J. (2005). How Far Do Animals Go? Determinants of Day Range in Mammals. &lt;i&gt;The American Naturalist, 165&lt;/i&gt;(2). </t>
  </si>
  <si>
    <t>Silva, M., &amp; Downing, J. A. (1994). Allometric scaling of minimal mammal densities. &lt;i&gt;Conservation Biology, 8&lt;/i&gt;(3), 732–743.</t>
  </si>
  <si>
    <t>Carbone, C., &amp; Gittleman, J. L. (2002). A common rule for the scaling of carnivore density. &lt;i&gt;Science, 295&lt;/i&gt;, 2273–2276.</t>
  </si>
  <si>
    <t>Carbone, C., &amp; Gittleman, J. L. (2002). A common rule for the scaling of carnivore density. &lt;i&gt;Science, 295&lt;/i&gt;, 2273–2276</t>
  </si>
  <si>
    <t>Fa, J. E., &amp; Purvis, A. (1997). Body size, diet and population density in afrotropical forest mammals: a comparison with neotropical species. &lt;i&gt;Journal of Animal Ecology, 66&lt;/i&gt;(1), 98–112.</t>
  </si>
  <si>
    <t>refbib_html_REF_SECTION</t>
  </si>
  <si>
    <t>Burton, A. C., Neilson, E., Moreira, D., Ladle, A., Steenweg, R., Fisher, J. T., Bayne, E., Boutin, S., &amp; Stephens, P. (2015). Camera trap Trapping: A Review and Recommendations for Linking Surveys to Ecological Processes. &lt;i&gt;Journal of Applied Ecology&lt;/i&gt;, 52&lt;/i&gt;(3), 675-685.</t>
  </si>
  <si>
    <t>Rowcliffe, J. M., Field, J., Turvey, S. T., &amp; Carbone, C. (2008). Estimating animal Density using camera traps without the need for individual recognition. &lt;i&gt;Journal of Applied Ecology, 45&lt;/i&gt;(4), 1228-1236.</t>
  </si>
  <si>
    <t>Rowcliffe, J. M., Kays, R., Kranstauber, B., Carbone, C., Jansen, P. A., &amp; Fisher, D. (2014). Quantifying levels of animal activity using camera trap data. &lt;i&gt;Methods in Ecology and Evolution, 5&lt;/i&gt;(11), 1170-1179.</t>
  </si>
  <si>
    <t>Steenweg, R., Hebblewhite, M., Kays, R., Ahumada, J., Fisher, J. T., Burton, C., Townsend, S. E., Carbone, C., Rowcliffe, J. M., Whittington, J., Brodie, J., Royle, J. A., Switalski, A., Clevenger, A. P., Heim, N., &amp; Rich, L. N. (2017). Scaling‐up Camera Traps: Monitoring the Planet’s Biodiversity with Networks of Remote Sensors. &lt;i&gt;Frontiers in Ecology and the Environment, 15&lt;/i&gt;(1), 26-34.</t>
  </si>
  <si>
    <t>Steenweg, R., Hebblewhite, M., Whittington, J., Lukacs, P., &amp; McKelvey, K. (2018). Sampling scales define occupancy and underlying occupancy-abundance relationships in animals. &lt;i&gt;Ecology, 99&lt;/i&gt;(1), 172-183.</t>
  </si>
  <si>
    <t>Deng, C., Daley, T., &amp; Smith, A. (2015). Applications of species accumulation curves in large‐scale biological data analysis. &lt;i&gt;Quantitative Biology, 3&lt;/i&gt;(3), 135-144.</t>
  </si>
  <si>
    <t>Fisher, J. T., Anholt, B., &amp; Volpe, J. P. (2011). Body Mass Explains Characteristic Scales of Habitat Selection in Terrestrial Mammals. &lt;i&gt;Ecology and Evolution, 1&lt;/i&gt;(4), 517-528.</t>
  </si>
  <si>
    <t>Gálvez, N., Guillera-Arroita, G., Morgan, B. J. T., &amp; Davies, Z. G. (2016). Cost-Efficient Effort Allocation for Camera-Trap Occupancy Surveys of Mammals. &lt;i&gt;Biological Conservation, 204&lt;/i&gt;(B), 350-359.</t>
  </si>
  <si>
    <t>Iannarilli, F., Erb, J., Arnold, T. W., &amp; Fieberg, J. R. (2021). Evaluating species-specific responses to camera-trap Survey designs. &lt;i&gt;Wildlife Biology, 2021&lt;/i&gt;(1).</t>
  </si>
  <si>
    <t>Karanth, K. U., &amp; Nichols, J. D. (1998). Estimation of tiger densities in India using photographic captures and recaptures. &lt;i&gt;Ecology, 79&lt;/i&gt;(8), 2852-2862.</t>
  </si>
  <si>
    <t>Kays, R., Arbogast, B. S., Baker‐Whatton, M., Beirne, C., Boone, H. M., Bowler, M., Burneo, S. F., Cove, M. V., Ding, P., Espinosa, S., Gonçalves, A. L. S., Hansen, C. P., Jansen, P. A., Kolowski, J. M., Knowles, T. W., Lima, M. G. M., Millspaugh, J., McShea, W. J., Pacifici, K., &amp; Spironello, W. R. (2020). An Empirical Evaluation of Camera Trap Study Design: How Many, How Long and When? &lt;i&gt;Methods in Ecology and Evolution, 11&lt;/i&gt;(6), 700-713.</t>
  </si>
  <si>
    <t>Keim, J. L., DeWitt, P. D., &amp; Lele, S. R. (2011). Predators choose prey over prey habitats: Evidence from a lynx-hare system. &lt;i&gt;Ecological Applications, 21&lt;/i&gt;(4), 1011-1016.</t>
  </si>
  <si>
    <t>Meek, P. D., Ballard, G. A., Fleming, P. J. S., Schaefer, M., Williams, W., &amp; Falzon, G. (2014a). Camera Traps Can Be Heard and Seen by Animals. &lt;i&gt;PLoS One, 9&lt;/i&gt;(10), e110832.</t>
  </si>
  <si>
    <t>Roemer, G. W., Gompper, M. E., &amp; Van Valkenburgh, B. (2009). The Ecological Role of the Mammalian Mesocarnivore. &lt;i&gt;BioScience, 59&lt;/i&gt;(2), 165-173.</t>
  </si>
  <si>
    <t>Rovero, F., Zimmermann, F., Berzi, D., &amp; Meek, P. (2013). “Which camera trap type and how many do I need?” A review of camera features and study designs for a range of wildlife research applications. &lt;i&gt;Hystrix, the Italian Journal of Mammalogy, 24&lt;/i&gt;(2), 148-156.</t>
  </si>
  <si>
    <t>Wearn, O. R., &amp; Glover-Kapfer, P. (2019). Snap happy: Camera traps are an effective sampling tool when compared with alternative methods. &lt;i&gt;Royal Society Open Science, 6&lt;/i&gt;(3), 181748.</t>
  </si>
  <si>
    <t>Caughley, G. (1977). &lt;i&gt;Analysis of Vertebrate Populations&lt;/i&gt; (pp. 234). Wiley.</t>
  </si>
  <si>
    <t>Cusack, J., Dickman, A. J., Rowcliffe, J. M., Carbone, C., Macdonald, D. W., &amp; Coulson, T. (2015). Random versus Game Trail-based Camera trap Placement Strategy for Monitoring Terrestrial Mammal Communities. *PloS One*, *10*(5), e0126373. &lt;https://doi.org/10.1371/journal.pone.0126373&gt;</t>
  </si>
  <si>
    <t>Cusack, J., Dickman, A. J., Rowcliffe, J. M., Carbone, C., Macdonald, D. W., &amp; Coulson, T. (2015). Random versus Game Trail-based Camera trap Placement Strategy for Monitoring Terrestrial Mammal Communities. &lt;i&gt;PloS One, 10&lt;/i&gt;(5), e0126373.</t>
  </si>
  <si>
    <t xml:space="preserve">    link_epicollect_template: "&lt;a href=\"https://five.epicollect.net/project/rcsc-and-wildcam-remote-camera-survey-guidelines\" target=\"_blank\"&gt;EpiCollect Template&lt;/a&gt;"</t>
  </si>
  <si>
    <t>Dunne, B. M., &amp; Quinn, M. S. (2009). Effectiveness of above-ground pipeline mitigation for moose (&lt;i&gt;Alces alces&lt;/i&gt;) and other large mammals. &lt;i&gt;Biological Conservation, 142&lt;/i&gt;(2), 332-343.</t>
  </si>
  <si>
    <t>Bailey, L. L., Hines, J. E., Nichols, J. D., &amp; MacKenzie, D. I. (2007). Sampling Design Trade-Offs in Occupancy Studies with Imperfect Detection: Examples and Software. &lt;i&gt;Ecological Applications, 17&lt;/i&gt;(1), 281-290.</t>
  </si>
  <si>
    <t>Balestrieri, A., Ruiz-González, A., Vergara, M., Capelli, E., Tirozzi, P., Alfino, S., Minuti, G., Prigioni, C., &amp; Saino, N. (2016). Pine marten density in lowland riparian woods: A test of the Random Encounter Model based on genetic data. &lt;i&gt;Mammalian Biology, 81&lt;/i&gt;(5), 439-446.</t>
  </si>
  <si>
    <t>https://www.youtube.com/embed/dsPsRPZiOC0?si=oHw5qxjJU1-9I2jM</t>
  </si>
  <si>
    <t>DE-CTR ACCEL (2016, Dec 21) &lt;i&gt;Using Hurdle Models to Analyze Zero-Inflated Count Data&lt;/i&gt;. [Video]. YouTube.</t>
  </si>
  <si>
    <t>Ecological Applications in R. (2021, Apr 14). &lt;i&gt;Animal Home Range Estimation in R&lt;/i&gt;. [Video]. YouTube.</t>
  </si>
  <si>
    <t>Ecological Applications in R. (2021, Apr 14). *Animal Home Range Estimation in R*. [Video]. YouTube. &lt;https://www.youtube.com/watch?v=dsPsRPZiOC0&gt;</t>
  </si>
  <si>
    <t>Foster, R. J., &amp; Harmsen, B. J. (2012). A Critique of Density Estimation from Camera Trap Data. &lt;i&gt;Journal of Wildlife Management, 76&lt;/i&gt;(2), 224-36.</t>
  </si>
  <si>
    <t>Newbold, H. G., &amp; King, C. M. (2009). Can a predator see invisible light? Infrared vision in ferrets (&lt;i&gt;Mustelo furo&lt;/i&gt;). &lt;i&gt;Wildlife Research, 36&lt;/i&gt;(4), 309-318.</t>
  </si>
  <si>
    <t>Soria-Díaz, L., Monroy-Vilchis, O., Rodríguez-Soto, C., Zarco-González, M., &amp; Urios, V. (2010). Variation of Abundance and Density of &lt;i&gt;Puma concolor&lt;/i&gt; in Zones of High and Low Concentration of Camera Traps in Central Mexico. &lt;i&gt;Animal Biology, 60&lt;/i&gt;(4), 361-371.</t>
  </si>
  <si>
    <t>Villette, P., Krebs, C. J., Jung, T. S., &amp; Boonstra, R. (2016). Can camera trapping provide accurate estimates of small mammal (&lt;i&gt;Myodes rutilus&lt;/i&gt; and &lt;i&gt;Peromyscus maniculatus&lt;/i&gt;) density in the boreal forest? &lt;i&gt;Journal of Mammalogy, 97&lt;/i&gt;(1), 32-40.</t>
  </si>
  <si>
    <t>Clarke, J. D. (2019). Comparing Clustered Sampling Designs for Spatially Explicit Estimation of Population Density. *Population Ecology, 61*, 93-101. &lt;https://doi.org/10.1002/1438-390X.1011&gt;</t>
  </si>
  <si>
    <t>Cove, M. (2020a, Sep 27). *Occupancy Modeling Video 1 - Sampling Techniques for Mammals.* [Video]. YouTube. &lt;https://www.youtube.com/watch?v=n21Ugw0lYcY&gt;</t>
  </si>
  <si>
    <t>Cove, M. (2020c, Sep 27). *Occupancy Modeling Video 3 - What are Occupancy Models and What are the Applications?* [Video]. YouTube. &lt;https://www.youtube.com/watch?v=-F-txltI_iA&gt;</t>
  </si>
  <si>
    <t>Cove, M. (2020b, Sep 27). *Occupancy Modeling Video 2 - Introductory Statistical Review.* [Video]. YouTube. &lt;https://www.youtube.com/watch?v=u--F8_oRpVU&amp;t=1s&gt;</t>
  </si>
  <si>
    <t>Cove, M. (2020d, Sep 28). *Occupancy Modeling Video 4 - How to Run and Interpret the Models in PRESENCE* [Video]. YouTube. &lt;https://www.youtube.com/watch?v=DVo4KVMPnWg&gt;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</si>
</sst>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8">
    <font>
      <sz val="11"/>
      <color theme="1"/>
      <name val="Aptos Narrow"/>
      <family val="2"/>
      <scheme val="minor"/>
    </font>
    <font>
      <sz val="12"/>
      <color theme="1"/>
      <name val="Arial"/>
      <family val="2"/>
    </font>
    <font>
      <b/>
      <sz val="11"/>
      <color theme="1"/>
      <name val="Aptos Narrow"/>
      <family val="2"/>
      <scheme val="minor"/>
    </font>
    <font>
      <sz val="11"/>
      <color theme="1"/>
      <name val="Aptos Narrow"/>
      <family val="2"/>
      <scheme val="minor"/>
    </font>
    <font>
      <sz val="11"/>
      <color rgb="FFFF0000"/>
      <name val="Aptos Narrow"/>
      <family val="2"/>
      <scheme val="minor"/>
    </font>
    <font>
      <sz val="11"/>
      <color theme="1"/>
      <name val="Aptos Narrow"/>
      <family val="2"/>
      <scheme val="minor"/>
    </font>
    <font>
      <b/>
      <sz val="11"/>
      <color rgb="FF000000"/>
      <name val="Aptos Narrow"/>
      <family val="2"/>
      <scheme val="minor"/>
    </font>
    <font>
      <sz val="11"/>
      <color rgb="FF000000"/>
      <name val="Aptos Narrow"/>
      <family val="2"/>
      <scheme val="minor"/>
    </font>
    <font>
      <sz val="11"/>
      <color theme="1"/>
      <name val="Arial"/>
      <family val="2"/>
    </font>
    <font>
      <sz val="11"/>
      <color rgb="FF000000"/>
      <name val="Arial"/>
      <family val="2"/>
    </font>
    <font>
      <sz val="12"/>
      <color rgb="FF000000"/>
      <name val="Arial"/>
      <family val="2"/>
    </font>
    <font>
      <b/>
      <sz val="24"/>
      <name val="Arial"/>
      <family val="2"/>
    </font>
    <font>
      <sz val="12"/>
      <color theme="1"/>
      <name val="Aptos"/>
      <family val="2"/>
    </font>
    <font>
      <sz val="10"/>
      <color rgb="FF0C0D0E"/>
      <name val="Var(--ff-mono)"/>
    </font>
    <font>
      <sz val="10"/>
      <color rgb="FFFF0000"/>
      <name val="Var(--ff-mono)"/>
    </font>
    <font>
      <sz val="11"/>
      <color theme="1"/>
      <name val="Aptos"/>
      <family val="2"/>
    </font>
    <font>
      <sz val="10"/>
      <color rgb="FF000000"/>
      <name val="Arial"/>
      <family val="2"/>
    </font>
    <font>
      <sz val="11"/>
      <color theme="1"/>
      <name val="Aptos Narrow"/>
      <scheme val="minor"/>
    </font>
    <font>
      <sz val="11"/>
      <color rgb="FF000000"/>
      <name val="Aptos Narrow"/>
      <scheme val="minor"/>
    </font>
    <font>
      <sz val="11"/>
      <color rgb="FF1F1F1F"/>
      <name val="Aptos Narrow"/>
      <scheme val="minor"/>
    </font>
    <font>
      <sz val="11"/>
      <color rgb="FFFF0000"/>
      <name val="Aptos Narrow"/>
      <scheme val="minor"/>
    </font>
    <font>
      <b/>
      <sz val="11"/>
      <color theme="1"/>
      <name val="Aptos Narrow"/>
      <scheme val="minor"/>
    </font>
    <font>
      <b/>
      <sz val="11"/>
      <name val="Aptos Narrow"/>
      <scheme val="minor"/>
    </font>
    <font>
      <sz val="11"/>
      <name val="Aptos Narrow"/>
      <scheme val="minor"/>
    </font>
    <font>
      <b/>
      <sz val="11"/>
      <color rgb="FF000000"/>
      <name val="Aptos Narrow"/>
      <scheme val="minor"/>
    </font>
    <font>
      <sz val="12"/>
      <color theme="1"/>
      <name val="Calibri"/>
      <family val="2"/>
    </font>
    <font>
      <sz val="12"/>
      <color rgb="FF000000"/>
      <name val="Calibri"/>
      <family val="2"/>
    </font>
    <font>
      <i/>
      <sz val="12"/>
      <color theme="1"/>
      <name val="Calibri"/>
      <family val="2"/>
    </font>
    <font>
      <sz val="12"/>
      <color rgb="FF1F2328"/>
      <name val="Calibri"/>
      <family val="2"/>
    </font>
    <font>
      <u/>
      <sz val="12"/>
      <color rgb="FF365F91"/>
      <name val="Calibri"/>
      <family val="2"/>
    </font>
    <font>
      <u/>
      <sz val="11"/>
      <color theme="10"/>
      <name val="Aptos Narrow"/>
      <family val="2"/>
      <scheme val="minor"/>
    </font>
    <font>
      <u/>
      <sz val="12"/>
      <color theme="10"/>
      <name val="Calibri"/>
      <family val="2"/>
    </font>
    <font>
      <b/>
      <sz val="12"/>
      <color theme="1"/>
      <name val="Calibri"/>
      <family val="2"/>
    </font>
    <font>
      <sz val="10"/>
      <color theme="1"/>
      <name val="Segoe UI"/>
      <family val="2"/>
    </font>
    <font>
      <i/>
      <sz val="11"/>
      <color rgb="FF000000"/>
      <name val="Aptos Narrow"/>
      <scheme val="minor"/>
    </font>
    <font>
      <b/>
      <sz val="11"/>
      <color theme="1"/>
      <name val="Arial"/>
      <family val="2"/>
    </font>
    <font>
      <b/>
      <sz val="11"/>
      <color rgb="FF000000"/>
      <name val="Arial"/>
      <family val="2"/>
    </font>
    <font>
      <b/>
      <sz val="12"/>
      <color rgb="FF000000"/>
      <name val="Calibri"/>
      <family val="2"/>
    </font>
    <font>
      <sz val="12"/>
      <name val="Calibri"/>
      <family val="2"/>
    </font>
    <font>
      <b/>
      <sz val="11"/>
      <color theme="1"/>
      <name val="Aptos Narrow"/>
    </font>
    <font>
      <b/>
      <sz val="11"/>
      <color theme="1"/>
      <name val="Aptos Narrow"/>
      <family val="2"/>
    </font>
    <font>
      <sz val="11"/>
      <color theme="1"/>
      <name val="Aptos Narrow"/>
    </font>
    <font>
      <sz val="11"/>
      <color rgb="FF000000"/>
      <name val="Aptos Narrow"/>
    </font>
    <font>
      <u/>
      <sz val="11"/>
      <color theme="10"/>
      <name val="Aptos Narrow"/>
    </font>
    <font>
      <sz val="11"/>
      <color theme="1"/>
      <name val="Aptos"/>
    </font>
    <font>
      <sz val="12"/>
      <color theme="1"/>
      <name val="Aptos"/>
    </font>
    <font>
      <sz val="11"/>
      <color rgb="FFFF0000"/>
      <name val="Aptos Narrow"/>
    </font>
    <font>
      <sz val="12"/>
      <color rgb="FF333333"/>
      <name val="Calibri"/>
      <family val="2"/>
    </font>
  </fonts>
  <fills count="23">
    <fill>
      <patternFill patternType="none"/>
    </fill>
    <fill>
      <patternFill patternType="gray125"/>
    </fill>
    <fill>
      <patternFill patternType="solid">
        <fgColor rgb="FFE2EFD9"/>
        <bgColor indexed="64"/>
      </patternFill>
    </fill>
    <fill>
      <patternFill patternType="solid">
        <fgColor rgb="FFFBE4D5"/>
        <bgColor indexed="64"/>
      </patternFill>
    </fill>
    <fill>
      <patternFill patternType="solid">
        <fgColor rgb="FFDBDBDB"/>
        <bgColor indexed="64"/>
      </patternFill>
    </fill>
    <fill>
      <patternFill patternType="solid">
        <fgColor them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4" tint="0.59999389629810485"/>
        <bgColor indexed="64"/>
      </patternFill>
    </fill>
    <fill>
      <patternFill patternType="solid">
        <fgColor rgb="FFFFFF00"/>
        <bgColor rgb="FFFFFF00"/>
      </patternFill>
    </fill>
    <fill>
      <patternFill patternType="solid">
        <fgColor rgb="FFC1E4F5"/>
        <bgColor rgb="FFC1E4F5"/>
      </patternFill>
    </fill>
    <fill>
      <patternFill patternType="solid">
        <fgColor rgb="FFFAE2D5"/>
        <bgColor rgb="FFFAE2D5"/>
      </patternFill>
    </fill>
    <fill>
      <patternFill patternType="solid">
        <fgColor rgb="FFD8D8D8"/>
        <bgColor rgb="FFD8D8D8"/>
      </patternFill>
    </fill>
    <fill>
      <patternFill patternType="solid">
        <fgColor rgb="FFC1F0C8"/>
        <bgColor rgb="FFC1F0C8"/>
      </patternFill>
    </fill>
    <fill>
      <patternFill patternType="solid">
        <fgColor rgb="FFCAEDFB"/>
        <bgColor rgb="FFCAEDFB"/>
      </patternFill>
    </fill>
    <fill>
      <patternFill patternType="solid">
        <fgColor rgb="FFF6C6AC"/>
        <bgColor rgb="FFF6C6AC"/>
      </patternFill>
    </fill>
    <fill>
      <patternFill patternType="solid">
        <fgColor rgb="FFE8E8E8"/>
        <bgColor rgb="FFE8E8E8"/>
      </patternFill>
    </fill>
    <fill>
      <patternFill patternType="solid">
        <fgColor rgb="FFFFFFCC"/>
        <bgColor rgb="FFFFFFCC"/>
      </patternFill>
    </fill>
  </fills>
  <borders count="4">
    <border>
      <left/>
      <right/>
      <top/>
      <bottom/>
      <diagonal/>
    </border>
    <border>
      <left style="thin">
        <color indexed="64"/>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s>
  <cellStyleXfs count="4">
    <xf numFmtId="0" fontId="0" fillId="0" borderId="0"/>
    <xf numFmtId="0" fontId="3" fillId="0" borderId="0"/>
    <xf numFmtId="0" fontId="30" fillId="0" borderId="0" applyNumberFormat="0" applyFill="0" applyBorder="0" applyAlignment="0" applyProtection="0"/>
    <xf numFmtId="0" fontId="17" fillId="0" borderId="0"/>
  </cellStyleXfs>
  <cellXfs count="160">
    <xf numFmtId="0" fontId="0" fillId="0" borderId="0" xfId="0"/>
    <xf numFmtId="0" fontId="2" fillId="0" borderId="0" xfId="0" applyFont="1"/>
    <xf numFmtId="0" fontId="0" fillId="6" borderId="0" xfId="0" applyFill="1"/>
    <xf numFmtId="0" fontId="4" fillId="0" borderId="0" xfId="0" applyFont="1"/>
    <xf numFmtId="0" fontId="5" fillId="0" borderId="0" xfId="0" applyFont="1"/>
    <xf numFmtId="0" fontId="6" fillId="4" borderId="0" xfId="0" applyFont="1" applyFill="1" applyAlignment="1">
      <alignment vertical="center"/>
    </xf>
    <xf numFmtId="0" fontId="7" fillId="0" borderId="0" xfId="0" applyFont="1" applyAlignment="1">
      <alignment vertical="center"/>
    </xf>
    <xf numFmtId="0" fontId="5" fillId="0" borderId="0" xfId="0" applyFont="1" applyAlignment="1">
      <alignment vertical="center"/>
    </xf>
    <xf numFmtId="0" fontId="6" fillId="0" borderId="0" xfId="0" applyFont="1" applyAlignment="1">
      <alignment vertical="center"/>
    </xf>
    <xf numFmtId="49" fontId="6" fillId="4" borderId="0" xfId="0" applyNumberFormat="1" applyFont="1" applyFill="1" applyAlignment="1">
      <alignment vertical="center"/>
    </xf>
    <xf numFmtId="49" fontId="7" fillId="0" borderId="0" xfId="0" applyNumberFormat="1" applyFont="1" applyAlignment="1">
      <alignment vertical="center"/>
    </xf>
    <xf numFmtId="49" fontId="5" fillId="0" borderId="0" xfId="0" applyNumberFormat="1" applyFont="1"/>
    <xf numFmtId="0" fontId="1" fillId="0" borderId="0" xfId="0" applyFont="1" applyAlignment="1">
      <alignment vertical="center"/>
    </xf>
    <xf numFmtId="0" fontId="0" fillId="0" borderId="0" xfId="0" quotePrefix="1"/>
    <xf numFmtId="0" fontId="9" fillId="0" borderId="0" xfId="0" applyFont="1"/>
    <xf numFmtId="0" fontId="10" fillId="0" borderId="0" xfId="0" applyFont="1"/>
    <xf numFmtId="0" fontId="11" fillId="0" borderId="0" xfId="0" applyFont="1" applyAlignment="1">
      <alignment vertical="center" wrapText="1"/>
    </xf>
    <xf numFmtId="0" fontId="4" fillId="6" borderId="0" xfId="0" applyFont="1" applyFill="1"/>
    <xf numFmtId="0" fontId="12" fillId="0" borderId="0" xfId="0" applyFont="1" applyAlignment="1">
      <alignment vertical="center"/>
    </xf>
    <xf numFmtId="0" fontId="0" fillId="0" borderId="0" xfId="0" applyAlignment="1">
      <alignment vertical="center"/>
    </xf>
    <xf numFmtId="0" fontId="2" fillId="5" borderId="0" xfId="0" applyFont="1" applyFill="1"/>
    <xf numFmtId="0" fontId="13" fillId="0" borderId="0" xfId="0" applyFont="1" applyAlignment="1">
      <alignment horizontal="left" vertical="center"/>
    </xf>
    <xf numFmtId="0" fontId="14" fillId="0" borderId="0" xfId="0" applyFont="1" applyAlignment="1">
      <alignment horizontal="left" vertical="center"/>
    </xf>
    <xf numFmtId="0" fontId="15" fillId="0" borderId="0" xfId="0" applyFont="1"/>
    <xf numFmtId="0" fontId="0" fillId="6" borderId="0" xfId="0" quotePrefix="1" applyFill="1"/>
    <xf numFmtId="0" fontId="2" fillId="0" borderId="0" xfId="0" applyFont="1" applyAlignment="1">
      <alignment vertical="center"/>
    </xf>
    <xf numFmtId="0" fontId="16" fillId="0" borderId="0" xfId="0" applyFont="1"/>
    <xf numFmtId="0" fontId="0" fillId="11" borderId="0" xfId="0" applyFill="1"/>
    <xf numFmtId="0" fontId="0" fillId="11" borderId="0" xfId="0" quotePrefix="1" applyFill="1"/>
    <xf numFmtId="0" fontId="1" fillId="11" borderId="0" xfId="0" applyFont="1" applyFill="1" applyAlignment="1">
      <alignment vertical="center"/>
    </xf>
    <xf numFmtId="0" fontId="17" fillId="0" borderId="0" xfId="0" applyFont="1"/>
    <xf numFmtId="0" fontId="17" fillId="6" borderId="0" xfId="0" applyFont="1" applyFill="1"/>
    <xf numFmtId="0" fontId="18" fillId="0" borderId="0" xfId="0" applyFont="1"/>
    <xf numFmtId="0" fontId="19" fillId="0" borderId="0" xfId="0" applyFont="1"/>
    <xf numFmtId="0" fontId="17" fillId="0" borderId="0" xfId="0" applyFont="1" applyAlignment="1">
      <alignment vertical="center"/>
    </xf>
    <xf numFmtId="0" fontId="20" fillId="6" borderId="0" xfId="0" applyFont="1" applyFill="1"/>
    <xf numFmtId="0" fontId="21" fillId="0" borderId="0" xfId="0" applyFont="1"/>
    <xf numFmtId="0" fontId="22" fillId="0" borderId="0" xfId="0" applyFont="1"/>
    <xf numFmtId="0" fontId="3" fillId="0" borderId="0" xfId="0" applyFont="1" applyAlignment="1">
      <alignment vertical="center"/>
    </xf>
    <xf numFmtId="0" fontId="23" fillId="0" borderId="0" xfId="0" applyFont="1"/>
    <xf numFmtId="0" fontId="18" fillId="0" borderId="0" xfId="0" applyFont="1" applyAlignment="1">
      <alignment vertical="center"/>
    </xf>
    <xf numFmtId="0" fontId="18" fillId="6" borderId="0" xfId="0" applyFont="1" applyFill="1"/>
    <xf numFmtId="0" fontId="23" fillId="0" borderId="0" xfId="0" applyFont="1" applyAlignment="1">
      <alignment vertical="center"/>
    </xf>
    <xf numFmtId="0" fontId="23" fillId="0" borderId="0" xfId="0" applyFont="1" applyAlignment="1">
      <alignment horizontal="left" vertical="center"/>
    </xf>
    <xf numFmtId="0" fontId="21" fillId="9" borderId="0" xfId="0" applyFont="1" applyFill="1"/>
    <xf numFmtId="0" fontId="17" fillId="9" borderId="0" xfId="0" applyFont="1" applyFill="1"/>
    <xf numFmtId="0" fontId="0" fillId="9" borderId="0" xfId="0" applyFill="1"/>
    <xf numFmtId="0" fontId="24" fillId="4" borderId="0" xfId="0" applyFont="1" applyFill="1" applyAlignment="1">
      <alignment vertical="center"/>
    </xf>
    <xf numFmtId="49" fontId="24" fillId="4" borderId="0" xfId="0" applyNumberFormat="1" applyFont="1" applyFill="1" applyAlignment="1">
      <alignment vertical="center"/>
    </xf>
    <xf numFmtId="0" fontId="21" fillId="9" borderId="1" xfId="0" applyFont="1" applyFill="1" applyBorder="1"/>
    <xf numFmtId="0" fontId="24" fillId="12" borderId="0" xfId="0" applyFont="1" applyFill="1" applyAlignment="1">
      <alignment vertical="center"/>
    </xf>
    <xf numFmtId="0" fontId="17" fillId="0" borderId="0" xfId="0" quotePrefix="1" applyFont="1"/>
    <xf numFmtId="0" fontId="20" fillId="0" borderId="0" xfId="0" applyFont="1"/>
    <xf numFmtId="0" fontId="24" fillId="10" borderId="0" xfId="0" applyFont="1" applyFill="1" applyAlignment="1">
      <alignment vertical="center"/>
    </xf>
    <xf numFmtId="49" fontId="17" fillId="0" borderId="0" xfId="0" applyNumberFormat="1" applyFont="1"/>
    <xf numFmtId="49" fontId="17" fillId="0" borderId="0" xfId="0" quotePrefix="1" applyNumberFormat="1" applyFont="1"/>
    <xf numFmtId="0" fontId="23" fillId="6" borderId="0" xfId="0" applyFont="1" applyFill="1"/>
    <xf numFmtId="49" fontId="23" fillId="0" borderId="0" xfId="0" applyNumberFormat="1" applyFont="1" applyAlignment="1">
      <alignment vertical="center"/>
    </xf>
    <xf numFmtId="0" fontId="23" fillId="4" borderId="0" xfId="0" applyFont="1" applyFill="1" applyAlignment="1">
      <alignment vertical="center"/>
    </xf>
    <xf numFmtId="0" fontId="22" fillId="7" borderId="0" xfId="0" applyFont="1" applyFill="1"/>
    <xf numFmtId="0" fontId="23" fillId="2" borderId="0" xfId="0" applyFont="1" applyFill="1" applyAlignment="1">
      <alignment horizontal="left" vertical="center"/>
    </xf>
    <xf numFmtId="0" fontId="8" fillId="0" borderId="0" xfId="0" applyFont="1"/>
    <xf numFmtId="0" fontId="3" fillId="0" borderId="0" xfId="0" applyFont="1" applyAlignment="1">
      <alignment horizontal="left" vertical="top"/>
    </xf>
    <xf numFmtId="0" fontId="3" fillId="0" borderId="0" xfId="0" applyFont="1"/>
    <xf numFmtId="0" fontId="25" fillId="0" borderId="0" xfId="0" applyFont="1"/>
    <xf numFmtId="0" fontId="25" fillId="0" borderId="0" xfId="0" applyFont="1" applyAlignment="1">
      <alignment horizontal="left" vertical="top"/>
    </xf>
    <xf numFmtId="0" fontId="25" fillId="6" borderId="0" xfId="0" applyFont="1" applyFill="1" applyAlignment="1">
      <alignment horizontal="left" vertical="top"/>
    </xf>
    <xf numFmtId="0" fontId="28" fillId="0" borderId="0" xfId="0" applyFont="1" applyAlignment="1">
      <alignment horizontal="left" vertical="top"/>
    </xf>
    <xf numFmtId="0" fontId="26" fillId="0" borderId="0" xfId="0" applyFont="1" applyAlignment="1">
      <alignment horizontal="left" vertical="top"/>
    </xf>
    <xf numFmtId="0" fontId="32" fillId="5" borderId="0" xfId="0" applyFont="1" applyFill="1" applyAlignment="1">
      <alignment horizontal="left" vertical="top"/>
    </xf>
    <xf numFmtId="0" fontId="1" fillId="0" borderId="0" xfId="0" applyFont="1"/>
    <xf numFmtId="0" fontId="33" fillId="0" borderId="0" xfId="0" applyFont="1"/>
    <xf numFmtId="0" fontId="3" fillId="5" borderId="0" xfId="0" applyFont="1" applyFill="1"/>
    <xf numFmtId="49" fontId="18" fillId="0" borderId="0" xfId="0" applyNumberFormat="1" applyFont="1" applyAlignment="1">
      <alignment vertical="center"/>
    </xf>
    <xf numFmtId="0" fontId="18" fillId="0" borderId="0" xfId="0" applyFont="1" applyAlignment="1">
      <alignment horizontal="center" vertical="center"/>
    </xf>
    <xf numFmtId="0" fontId="18" fillId="3" borderId="0" xfId="0" applyFont="1" applyFill="1" applyAlignment="1">
      <alignment horizontal="center" vertical="center"/>
    </xf>
    <xf numFmtId="0" fontId="18" fillId="4" borderId="0" xfId="0" applyFont="1" applyFill="1" applyAlignment="1">
      <alignment vertical="center"/>
    </xf>
    <xf numFmtId="0" fontId="18" fillId="2" borderId="0" xfId="0" applyFont="1" applyFill="1" applyAlignment="1">
      <alignment horizontal="center" vertical="center"/>
    </xf>
    <xf numFmtId="0" fontId="17" fillId="6" borderId="0" xfId="0" applyFont="1" applyFill="1" applyAlignment="1">
      <alignment vertical="center"/>
    </xf>
    <xf numFmtId="49" fontId="17" fillId="6" borderId="0" xfId="0" quotePrefix="1" applyNumberFormat="1" applyFont="1" applyFill="1"/>
    <xf numFmtId="0" fontId="20" fillId="6" borderId="0" xfId="0" applyFont="1" applyFill="1" applyAlignment="1">
      <alignment vertical="center"/>
    </xf>
    <xf numFmtId="0" fontId="20" fillId="0" borderId="0" xfId="0" applyFont="1" applyAlignment="1">
      <alignment vertical="center"/>
    </xf>
    <xf numFmtId="49" fontId="20" fillId="0" borderId="0" xfId="0" quotePrefix="1" applyNumberFormat="1" applyFont="1"/>
    <xf numFmtId="0" fontId="20" fillId="4" borderId="0" xfId="0" applyFont="1" applyFill="1" applyAlignment="1">
      <alignment vertical="center"/>
    </xf>
    <xf numFmtId="49" fontId="17" fillId="6" borderId="0" xfId="0" applyNumberFormat="1" applyFont="1" applyFill="1"/>
    <xf numFmtId="49" fontId="18" fillId="6" borderId="0" xfId="0" applyNumberFormat="1" applyFont="1" applyFill="1" applyAlignment="1">
      <alignment vertical="center"/>
    </xf>
    <xf numFmtId="49" fontId="17" fillId="0" borderId="0" xfId="0" applyNumberFormat="1" applyFont="1" applyAlignment="1">
      <alignment vertical="center"/>
    </xf>
    <xf numFmtId="49" fontId="20" fillId="6" borderId="0" xfId="0" quotePrefix="1" applyNumberFormat="1" applyFont="1" applyFill="1" applyAlignment="1">
      <alignment vertical="center"/>
    </xf>
    <xf numFmtId="0" fontId="20" fillId="6" borderId="0" xfId="0" applyFont="1" applyFill="1" applyAlignment="1">
      <alignment horizontal="center" vertical="center"/>
    </xf>
    <xf numFmtId="49" fontId="18" fillId="0" borderId="0" xfId="0" quotePrefix="1" applyNumberFormat="1" applyFont="1" applyAlignment="1">
      <alignment vertical="center"/>
    </xf>
    <xf numFmtId="0" fontId="17" fillId="8" borderId="0" xfId="0" applyFont="1" applyFill="1"/>
    <xf numFmtId="49" fontId="17" fillId="9" borderId="0" xfId="0" quotePrefix="1" applyNumberFormat="1" applyFont="1" applyFill="1"/>
    <xf numFmtId="0" fontId="0" fillId="13" borderId="0" xfId="0" applyFill="1"/>
    <xf numFmtId="0" fontId="35" fillId="0" borderId="0" xfId="0" applyFont="1"/>
    <xf numFmtId="0" fontId="36" fillId="0" borderId="0" xfId="0" applyFont="1"/>
    <xf numFmtId="0" fontId="5" fillId="6" borderId="0" xfId="0" applyFont="1" applyFill="1"/>
    <xf numFmtId="0" fontId="37" fillId="0" borderId="0" xfId="0" applyFont="1"/>
    <xf numFmtId="0" fontId="38" fillId="0" borderId="0" xfId="0" quotePrefix="1" applyFont="1" applyAlignment="1">
      <alignment horizontal="left" vertical="center"/>
    </xf>
    <xf numFmtId="0" fontId="25" fillId="6" borderId="0" xfId="0" quotePrefix="1" applyFont="1" applyFill="1"/>
    <xf numFmtId="0" fontId="17" fillId="0" borderId="0" xfId="3"/>
    <xf numFmtId="0" fontId="3" fillId="0" borderId="0" xfId="3" applyFont="1"/>
    <xf numFmtId="0" fontId="39" fillId="0" borderId="0" xfId="3" applyFont="1"/>
    <xf numFmtId="0" fontId="40" fillId="0" borderId="0" xfId="3" applyFont="1"/>
    <xf numFmtId="0" fontId="41" fillId="0" borderId="0" xfId="3" applyFont="1"/>
    <xf numFmtId="0" fontId="41" fillId="0" borderId="2" xfId="3" applyFont="1" applyBorder="1"/>
    <xf numFmtId="0" fontId="42" fillId="0" borderId="0" xfId="3" applyFont="1" applyAlignment="1">
      <alignment horizontal="left" vertical="center" readingOrder="1"/>
    </xf>
    <xf numFmtId="0" fontId="41" fillId="14" borderId="0" xfId="3" applyFont="1" applyFill="1"/>
    <xf numFmtId="0" fontId="1" fillId="0" borderId="0" xfId="3" applyFont="1"/>
    <xf numFmtId="0" fontId="43" fillId="0" borderId="0" xfId="3" applyFont="1"/>
    <xf numFmtId="0" fontId="8" fillId="0" borderId="0" xfId="3" applyFont="1"/>
    <xf numFmtId="0" fontId="44" fillId="0" borderId="0" xfId="3" applyFont="1"/>
    <xf numFmtId="0" fontId="45" fillId="0" borderId="0" xfId="3" applyFont="1" applyAlignment="1">
      <alignment vertical="center"/>
    </xf>
    <xf numFmtId="0" fontId="41" fillId="15" borderId="0" xfId="3" applyFont="1" applyFill="1"/>
    <xf numFmtId="0" fontId="39" fillId="14" borderId="0" xfId="3" applyFont="1" applyFill="1"/>
    <xf numFmtId="0" fontId="8" fillId="14" borderId="0" xfId="3" applyFont="1" applyFill="1"/>
    <xf numFmtId="0" fontId="39" fillId="16" borderId="0" xfId="3" applyFont="1" applyFill="1"/>
    <xf numFmtId="0" fontId="39" fillId="17" borderId="0" xfId="3" applyFont="1" applyFill="1"/>
    <xf numFmtId="0" fontId="41" fillId="17" borderId="0" xfId="3" applyFont="1" applyFill="1"/>
    <xf numFmtId="0" fontId="41" fillId="18" borderId="0" xfId="3" applyFont="1" applyFill="1"/>
    <xf numFmtId="0" fontId="25" fillId="19" borderId="0" xfId="3" applyFont="1" applyFill="1" applyAlignment="1">
      <alignment horizontal="left" vertical="top" wrapText="1"/>
    </xf>
    <xf numFmtId="0" fontId="41" fillId="19" borderId="0" xfId="3" applyFont="1" applyFill="1"/>
    <xf numFmtId="0" fontId="46" fillId="16" borderId="0" xfId="3" applyFont="1" applyFill="1"/>
    <xf numFmtId="0" fontId="25" fillId="19" borderId="2" xfId="3" applyFont="1" applyFill="1" applyBorder="1" applyAlignment="1">
      <alignment horizontal="left" vertical="top" wrapText="1"/>
    </xf>
    <xf numFmtId="0" fontId="41" fillId="16" borderId="0" xfId="3" applyFont="1" applyFill="1"/>
    <xf numFmtId="0" fontId="25" fillId="0" borderId="0" xfId="3" applyFont="1" applyAlignment="1">
      <alignment horizontal="left" vertical="center"/>
    </xf>
    <xf numFmtId="0" fontId="25" fillId="0" borderId="0" xfId="3" applyFont="1"/>
    <xf numFmtId="0" fontId="41" fillId="0" borderId="0" xfId="3" applyFont="1" applyAlignment="1">
      <alignment vertical="center"/>
    </xf>
    <xf numFmtId="0" fontId="42" fillId="16" borderId="0" xfId="3" applyFont="1" applyFill="1" applyAlignment="1">
      <alignment vertical="center"/>
    </xf>
    <xf numFmtId="0" fontId="17" fillId="0" borderId="2" xfId="3" applyBorder="1"/>
    <xf numFmtId="0" fontId="42" fillId="0" borderId="0" xfId="3" applyFont="1" applyAlignment="1">
      <alignment vertical="center"/>
    </xf>
    <xf numFmtId="0" fontId="46" fillId="0" borderId="0" xfId="3" applyFont="1"/>
    <xf numFmtId="0" fontId="25" fillId="0" borderId="2" xfId="3" applyFont="1" applyBorder="1" applyAlignment="1">
      <alignment horizontal="left" vertical="top" wrapText="1"/>
    </xf>
    <xf numFmtId="0" fontId="39" fillId="20" borderId="0" xfId="3" applyFont="1" applyFill="1"/>
    <xf numFmtId="0" fontId="39" fillId="19" borderId="0" xfId="3" applyFont="1" applyFill="1"/>
    <xf numFmtId="0" fontId="35" fillId="19" borderId="0" xfId="3" applyFont="1" applyFill="1"/>
    <xf numFmtId="0" fontId="32" fillId="19" borderId="2" xfId="3" applyFont="1" applyFill="1" applyBorder="1" applyAlignment="1">
      <alignment horizontal="left" vertical="center"/>
    </xf>
    <xf numFmtId="0" fontId="39" fillId="21" borderId="0" xfId="3" applyFont="1" applyFill="1"/>
    <xf numFmtId="0" fontId="41" fillId="22" borderId="0" xfId="3" applyFont="1" applyFill="1"/>
    <xf numFmtId="0" fontId="26" fillId="0" borderId="0" xfId="3" applyFont="1" applyAlignment="1">
      <alignment horizontal="left" vertical="center"/>
    </xf>
    <xf numFmtId="0" fontId="41" fillId="0" borderId="0" xfId="3" applyFont="1" applyAlignment="1">
      <alignment horizontal="left" vertical="center"/>
    </xf>
    <xf numFmtId="0" fontId="47" fillId="0" borderId="0" xfId="3" applyFont="1" applyAlignment="1">
      <alignment horizontal="left" vertical="center"/>
    </xf>
    <xf numFmtId="0" fontId="32" fillId="17" borderId="0" xfId="3" applyFont="1" applyFill="1" applyAlignment="1">
      <alignment horizontal="left" vertical="center"/>
    </xf>
    <xf numFmtId="0" fontId="41" fillId="22" borderId="0" xfId="3" applyFont="1" applyFill="1" applyAlignment="1">
      <alignment horizontal="left" vertical="center"/>
    </xf>
    <xf numFmtId="0" fontId="32" fillId="22" borderId="2" xfId="3" applyFont="1" applyFill="1" applyBorder="1" applyAlignment="1">
      <alignment horizontal="left" vertical="center"/>
    </xf>
    <xf numFmtId="0" fontId="32" fillId="0" borderId="2" xfId="3" applyFont="1" applyBorder="1" applyAlignment="1">
      <alignment horizontal="left" vertical="center"/>
    </xf>
    <xf numFmtId="0" fontId="32" fillId="19" borderId="0" xfId="3" applyFont="1" applyFill="1" applyAlignment="1">
      <alignment horizontal="left" vertical="center"/>
    </xf>
    <xf numFmtId="0" fontId="25" fillId="0" borderId="2" xfId="3" applyFont="1" applyBorder="1" applyAlignment="1">
      <alignment horizontal="left" vertical="center"/>
    </xf>
    <xf numFmtId="0" fontId="41" fillId="19" borderId="2" xfId="3" applyFont="1" applyFill="1" applyBorder="1" applyAlignment="1">
      <alignment horizontal="left" vertical="center"/>
    </xf>
    <xf numFmtId="0" fontId="39" fillId="0" borderId="0" xfId="3" applyFont="1" applyAlignment="1">
      <alignment horizontal="left" vertical="center"/>
    </xf>
    <xf numFmtId="0" fontId="25" fillId="15" borderId="2" xfId="3" applyFont="1" applyFill="1" applyBorder="1" applyAlignment="1">
      <alignment horizontal="left" vertical="top" wrapText="1"/>
    </xf>
    <xf numFmtId="0" fontId="41" fillId="0" borderId="3" xfId="3" applyFont="1" applyBorder="1"/>
    <xf numFmtId="49" fontId="0" fillId="6" borderId="0" xfId="0" quotePrefix="1" applyNumberFormat="1" applyFill="1"/>
    <xf numFmtId="0" fontId="3" fillId="0" borderId="0" xfId="0" applyFont="1" applyAlignment="1">
      <alignment wrapText="1"/>
    </xf>
    <xf numFmtId="0" fontId="32" fillId="9" borderId="0" xfId="0" applyFont="1" applyFill="1" applyAlignment="1">
      <alignment horizontal="left" vertical="top"/>
    </xf>
    <xf numFmtId="0" fontId="32" fillId="12" borderId="0" xfId="0" applyFont="1" applyFill="1" applyAlignment="1">
      <alignment horizontal="left" vertical="top"/>
    </xf>
    <xf numFmtId="0" fontId="25" fillId="5" borderId="0" xfId="0" applyFont="1" applyFill="1" applyAlignment="1">
      <alignment horizontal="left" vertical="top"/>
    </xf>
    <xf numFmtId="0" fontId="0" fillId="0" borderId="0" xfId="0" applyAlignment="1">
      <alignment horizontal="left" vertical="top"/>
    </xf>
    <xf numFmtId="0" fontId="31" fillId="0" borderId="0" xfId="2" applyFont="1" applyAlignment="1">
      <alignment horizontal="left" vertical="top"/>
    </xf>
    <xf numFmtId="0" fontId="25" fillId="9" borderId="0" xfId="0" applyFont="1" applyFill="1" applyAlignment="1">
      <alignment horizontal="left" vertical="top"/>
    </xf>
    <xf numFmtId="0" fontId="30" fillId="0" borderId="0" xfId="2" applyAlignment="1">
      <alignment horizontal="left" vertical="top"/>
    </xf>
  </cellXfs>
  <cellStyles count="4">
    <cellStyle name="Hyperlink" xfId="2" builtinId="8"/>
    <cellStyle name="Normal" xfId="0" builtinId="0"/>
    <cellStyle name="Normal 2" xfId="1" xr:uid="{E7F4B3A1-D101-4933-801E-52D84A9801FC}"/>
    <cellStyle name="Normal 3" xfId="3" xr:uid="{A80F1905-21D0-4FCC-94AE-622D09D74A34}"/>
  </cellStyles>
  <dxfs count="58">
    <dxf>
      <font>
        <color rgb="FF9C0006"/>
      </font>
      <fill>
        <patternFill>
          <bgColor rgb="FFFFC7CE"/>
        </patternFill>
      </fill>
    </dxf>
    <dxf>
      <font>
        <color rgb="FF9C0006"/>
      </font>
      <fill>
        <patternFill>
          <bgColor rgb="FFFFC7CE"/>
        </patternFill>
      </fill>
    </dxf>
    <dxf>
      <fill>
        <patternFill patternType="solid">
          <fgColor rgb="FFD9EAD3"/>
          <bgColor rgb="FFD9EAD3"/>
        </patternFill>
      </fill>
    </dxf>
    <dxf>
      <fill>
        <patternFill patternType="solid">
          <fgColor rgb="FFF3F3F3"/>
          <bgColor rgb="FFF3F3F3"/>
        </patternFill>
      </fill>
    </dxf>
    <dxf>
      <fill>
        <patternFill patternType="solid">
          <fgColor rgb="FFD9EAD3"/>
          <bgColor rgb="FFD9EAD3"/>
        </patternFill>
      </fill>
    </dxf>
    <dxf>
      <fill>
        <patternFill patternType="solid">
          <fgColor rgb="FFF3F3F3"/>
          <bgColor rgb="FFF3F3F3"/>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K1" dT="2024-10-26T21:25:28.19" personId="{00000000-0000-0000-0000-000000000000}" id="{E464A48E-3EC4-432A-B162-F508CDECE189}">
    <text>=XLOOKUP(TRUE, EXACT(F2, Sheet1!$E:$E), Sheet1!$F:$F, "not found")</text>
  </threadedComment>
</ThreadedComments>
</file>

<file path=xl/threadedComments/threadedComment2.xml><?xml version="1.0" encoding="utf-8"?>
<ThreadedComments xmlns="http://schemas.microsoft.com/office/spreadsheetml/2018/threadedcomments" xmlns:x="http://schemas.openxmlformats.org/spreadsheetml/2006/main">
  <threadedComment ref="L1" dT="2024-10-10T00:03:37.57" personId="{00000000-0000-0000-0000-000000000000}" id="{C9198E25-06BB-4C19-9CBA-72746B69734C}">
    <text>="&lt;a target="&amp;""""&amp;"_blank"&amp;""""&amp;" href="&amp;""""&amp;V2&amp;""""&amp;"&gt;"&amp;V2</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8" Type="http://schemas.openxmlformats.org/officeDocument/2006/relationships/printerSettings" Target="../printerSettings/printerSettings8.bin"/><Relationship Id="rId3" Type="http://schemas.openxmlformats.org/officeDocument/2006/relationships/hyperlink" Target="https://doi.org/10.1111/1365-2656.14213" TargetMode="External"/><Relationship Id="rId7" Type="http://schemas.openxmlformats.org/officeDocument/2006/relationships/hyperlink" Target="https://www.youtube.com/embed/dsPsRPZiOC0?si=oHw5qxjJU1-9I2jM" TargetMode="External"/><Relationship Id="rId2" Type="http://schemas.openxmlformats.org/officeDocument/2006/relationships/hyperlink" Target="https://www.youtube.com/shorts/WZEHRu8JMYM" TargetMode="External"/><Relationship Id="rId1" Type="http://schemas.openxmlformats.org/officeDocument/2006/relationships/hyperlink" Target="https://doi.org/10.1101/2024.05.09.593241" TargetMode="External"/><Relationship Id="rId6" Type="http://schemas.openxmlformats.org/officeDocument/2006/relationships/hyperlink" Target="https://search.proquest.com/openview/bfe15ec06593d5a8d3904add35055867/1?pq-origsite=gscholar&amp;cbl=18750&amp;diss=y" TargetMode="External"/><Relationship Id="rId11" Type="http://schemas.microsoft.com/office/2017/10/relationships/threadedComment" Target="../threadedComments/threadedComment2.xml"/><Relationship Id="rId5" Type="http://schemas.openxmlformats.org/officeDocument/2006/relationships/hyperlink" Target="https://www.youtube.com/watch?v=IHVez1a_hqg&amp;t=2675s" TargetMode="External"/><Relationship Id="rId10" Type="http://schemas.openxmlformats.org/officeDocument/2006/relationships/comments" Target="../comments2.xml"/><Relationship Id="rId4" Type="http://schemas.openxmlformats.org/officeDocument/2006/relationships/hyperlink" Target="https://www.youtube.com/watch?v=6TtVXy91AY4" TargetMode="External"/><Relationship Id="rId9" Type="http://schemas.openxmlformats.org/officeDocument/2006/relationships/vmlDrawing" Target="../drawings/vmlDrawing2.v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598B4-E915-4F07-9ADD-2D242C27AB44}">
  <sheetPr>
    <tabColor theme="5" tint="0.59999389629810485"/>
  </sheetPr>
  <dimension ref="A2:B5"/>
  <sheetViews>
    <sheetView workbookViewId="0">
      <selection activeCell="B32" sqref="B32"/>
    </sheetView>
  </sheetViews>
  <sheetFormatPr defaultRowHeight="14.25"/>
  <cols>
    <col min="2" max="2" width="22" customWidth="1"/>
  </cols>
  <sheetData>
    <row r="2" spans="1:2">
      <c r="A2" t="s">
        <v>4864</v>
      </c>
      <c r="B2" s="92" t="s">
        <v>4161</v>
      </c>
    </row>
    <row r="3" spans="1:2">
      <c r="A3" t="s">
        <v>4864</v>
      </c>
      <c r="B3" s="92" t="s">
        <v>4162</v>
      </c>
    </row>
    <row r="5" spans="1:2">
      <c r="A5" t="s">
        <v>4865</v>
      </c>
      <c r="B5" s="61" t="s">
        <v>4163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812F5-68DD-4D9B-96D7-5A08DE09C995}">
  <sheetPr codeName="Sheet5">
    <tabColor theme="5" tint="0.59999389629810485"/>
  </sheetPr>
  <dimension ref="A1:K35"/>
  <sheetViews>
    <sheetView workbookViewId="0">
      <selection activeCell="D12" sqref="D12"/>
    </sheetView>
  </sheetViews>
  <sheetFormatPr defaultRowHeight="15"/>
  <cols>
    <col min="1" max="1" width="9" style="30"/>
    <col min="2" max="2" width="9" style="47"/>
    <col min="3" max="3" width="23" style="30" customWidth="1"/>
    <col min="4" max="5" width="29.875" style="30" customWidth="1"/>
    <col min="6" max="9" width="23" style="30" customWidth="1"/>
  </cols>
  <sheetData>
    <row r="1" spans="1:11">
      <c r="A1" s="47" t="s">
        <v>436</v>
      </c>
      <c r="B1" s="36" t="s">
        <v>1801</v>
      </c>
      <c r="C1" s="47" t="s">
        <v>347</v>
      </c>
      <c r="D1" s="50" t="s">
        <v>1802</v>
      </c>
      <c r="E1" s="36" t="s">
        <v>350</v>
      </c>
      <c r="F1" s="50" t="s">
        <v>1780</v>
      </c>
      <c r="G1" s="53" t="s">
        <v>1803</v>
      </c>
      <c r="H1" s="53" t="s">
        <v>1779</v>
      </c>
      <c r="I1" s="30" t="s">
        <v>1063</v>
      </c>
      <c r="K1" t="s">
        <v>1782</v>
      </c>
    </row>
    <row r="2" spans="1:11">
      <c r="C2" s="32" t="s">
        <v>1361</v>
      </c>
      <c r="D2" s="32" t="s">
        <v>1360</v>
      </c>
      <c r="E2" s="32"/>
      <c r="F2" s="32" t="str">
        <f t="shared" ref="F2:F10" si="0">C2&amp;"_tu"</f>
        <v>covariate_tu</v>
      </c>
      <c r="G2" s="32" t="str">
        <f t="shared" ref="G2:G10" si="1">LOWER(D2)</f>
        <v>covariate</v>
      </c>
      <c r="H2" s="32" t="str">
        <f t="shared" ref="H2:H10" si="2">C2&amp;"_tl"</f>
        <v>covariate_tl</v>
      </c>
      <c r="I2" s="32"/>
    </row>
    <row r="3" spans="1:11">
      <c r="C3" s="33" t="s">
        <v>1273</v>
      </c>
      <c r="D3" s="33" t="s">
        <v>1362</v>
      </c>
      <c r="E3" s="33"/>
      <c r="F3" s="32" t="str">
        <f t="shared" si="0"/>
        <v>distribution_tu</v>
      </c>
      <c r="G3" s="32" t="str">
        <f t="shared" si="1"/>
        <v>distribution</v>
      </c>
      <c r="H3" s="32" t="str">
        <f t="shared" si="2"/>
        <v>distribution_tl</v>
      </c>
      <c r="I3" s="33"/>
    </row>
    <row r="4" spans="1:11" ht="14.25">
      <c r="B4" s="32"/>
      <c r="C4" s="32" t="s">
        <v>1369</v>
      </c>
      <c r="D4" s="32" t="s">
        <v>1359</v>
      </c>
      <c r="E4" s="32"/>
      <c r="F4" s="32" t="str">
        <f t="shared" si="0"/>
        <v>independence_tu</v>
      </c>
      <c r="G4" s="32" t="str">
        <f t="shared" si="1"/>
        <v>independence</v>
      </c>
      <c r="H4" s="32" t="str">
        <f t="shared" si="2"/>
        <v>independence_tl</v>
      </c>
    </row>
    <row r="5" spans="1:11">
      <c r="C5" s="30" t="s">
        <v>792</v>
      </c>
      <c r="D5" s="30" t="s">
        <v>1370</v>
      </c>
      <c r="F5" s="32" t="str">
        <f t="shared" si="0"/>
        <v>home_range_tu</v>
      </c>
      <c r="G5" s="32" t="str">
        <f t="shared" si="1"/>
        <v>home ranges</v>
      </c>
      <c r="H5" s="32" t="str">
        <f t="shared" si="2"/>
        <v>home_range_tl</v>
      </c>
    </row>
    <row r="6" spans="1:11">
      <c r="C6" s="31" t="s">
        <v>1364</v>
      </c>
      <c r="D6" s="30" t="s">
        <v>1356</v>
      </c>
      <c r="F6" s="32" t="str">
        <f t="shared" si="0"/>
        <v>sp_accum_asymptote_tu</v>
      </c>
      <c r="G6" s="32" t="str">
        <f t="shared" si="1"/>
        <v>species-accumulation asymptote</v>
      </c>
      <c r="H6" s="32" t="str">
        <f t="shared" si="2"/>
        <v>sp_accum_asymptote_tl</v>
      </c>
    </row>
    <row r="7" spans="1:11">
      <c r="C7" s="30" t="s">
        <v>4067</v>
      </c>
      <c r="D7" s="32" t="s">
        <v>1365</v>
      </c>
      <c r="E7" s="32"/>
      <c r="F7" s="32" t="str">
        <f t="shared" si="0"/>
        <v>data_distr_para_tu</v>
      </c>
      <c r="G7" s="32" t="str">
        <f t="shared" si="1"/>
        <v>parametric distribution</v>
      </c>
      <c r="H7" s="32" t="str">
        <f t="shared" si="2"/>
        <v>data_distr_para_tl</v>
      </c>
    </row>
    <row r="8" spans="1:11">
      <c r="C8" s="30" t="s">
        <v>4068</v>
      </c>
      <c r="D8" s="30" t="s">
        <v>1366</v>
      </c>
      <c r="F8" s="32" t="str">
        <f t="shared" si="0"/>
        <v>data_distr_poisson_tu</v>
      </c>
      <c r="G8" s="32" t="str">
        <f t="shared" si="1"/>
        <v>poisson-distributed</v>
      </c>
      <c r="H8" s="32" t="str">
        <f t="shared" si="2"/>
        <v>data_distr_poisson_tl</v>
      </c>
    </row>
    <row r="9" spans="1:11">
      <c r="C9" s="30" t="s">
        <v>4069</v>
      </c>
      <c r="D9" s="32" t="s">
        <v>1367</v>
      </c>
      <c r="E9" s="32"/>
      <c r="F9" s="32" t="str">
        <f t="shared" si="0"/>
        <v>closure_demo_tu</v>
      </c>
      <c r="G9" s="32" t="str">
        <f t="shared" si="1"/>
        <v>demographic closure</v>
      </c>
      <c r="H9" s="32" t="str">
        <f t="shared" si="2"/>
        <v>closure_demo_tl</v>
      </c>
    </row>
    <row r="10" spans="1:11">
      <c r="C10" s="30" t="s">
        <v>4070</v>
      </c>
      <c r="D10" s="32" t="s">
        <v>1368</v>
      </c>
      <c r="E10" s="32"/>
      <c r="F10" s="32" t="str">
        <f t="shared" si="0"/>
        <v>closure_geo_tu</v>
      </c>
      <c r="G10" s="32" t="str">
        <f t="shared" si="1"/>
        <v xml:space="preserve">geographic closure </v>
      </c>
      <c r="H10" s="32" t="str">
        <f t="shared" si="2"/>
        <v>closure_geo_tl</v>
      </c>
    </row>
    <row r="11" spans="1:11">
      <c r="C11" s="61" t="s">
        <v>4176</v>
      </c>
      <c r="D11" s="32" t="s">
        <v>4177</v>
      </c>
      <c r="E11" s="30" t="s">
        <v>4178</v>
      </c>
      <c r="F11" s="32"/>
      <c r="G11" s="32"/>
      <c r="H11" s="32"/>
    </row>
    <row r="12" spans="1:11">
      <c r="C12" s="30" t="s">
        <v>3988</v>
      </c>
      <c r="D12" s="30" t="s">
        <v>1828</v>
      </c>
    </row>
    <row r="13" spans="1:11">
      <c r="C13" s="30" t="s">
        <v>3989</v>
      </c>
      <c r="D13" s="30" t="s">
        <v>4029</v>
      </c>
    </row>
    <row r="14" spans="1:11">
      <c r="C14" s="12" t="s">
        <v>4019</v>
      </c>
      <c r="D14" s="12" t="s">
        <v>4079</v>
      </c>
      <c r="E14" s="12"/>
      <c r="F14" s="12"/>
      <c r="G14" s="12"/>
      <c r="H14" s="12"/>
    </row>
    <row r="15" spans="1:11">
      <c r="C15" s="30" t="s">
        <v>4018</v>
      </c>
      <c r="D15" s="30" t="s">
        <v>4030</v>
      </c>
    </row>
    <row r="16" spans="1:11">
      <c r="C16" s="30" t="s">
        <v>4066</v>
      </c>
      <c r="D16" s="30" t="s">
        <v>4031</v>
      </c>
    </row>
    <row r="17" spans="3:4">
      <c r="C17" s="30" t="s">
        <v>4061</v>
      </c>
      <c r="D17" s="30" t="s">
        <v>4032</v>
      </c>
    </row>
    <row r="18" spans="3:4">
      <c r="C18" s="30" t="s">
        <v>4023</v>
      </c>
      <c r="D18" s="30" t="s">
        <v>4033</v>
      </c>
    </row>
    <row r="19" spans="3:4">
      <c r="C19" s="30" t="s">
        <v>4062</v>
      </c>
      <c r="D19" s="30" t="s">
        <v>4034</v>
      </c>
    </row>
    <row r="20" spans="3:4">
      <c r="C20" s="30" t="s">
        <v>4025</v>
      </c>
      <c r="D20" s="30" t="s">
        <v>4035</v>
      </c>
    </row>
    <row r="21" spans="3:4">
      <c r="C21" s="30" t="s">
        <v>4063</v>
      </c>
      <c r="D21" s="30" t="s">
        <v>4036</v>
      </c>
    </row>
    <row r="22" spans="3:4">
      <c r="C22" s="30" t="s">
        <v>4064</v>
      </c>
      <c r="D22" s="30" t="s">
        <v>4026</v>
      </c>
    </row>
    <row r="23" spans="3:4">
      <c r="C23" s="30" t="s">
        <v>4060</v>
      </c>
      <c r="D23" s="30" t="s">
        <v>4037</v>
      </c>
    </row>
    <row r="24" spans="3:4">
      <c r="C24" s="30" t="s">
        <v>4065</v>
      </c>
      <c r="D24" s="30" t="s">
        <v>4028</v>
      </c>
    </row>
    <row r="25" spans="3:4">
      <c r="C25" s="30" t="s">
        <v>4071</v>
      </c>
      <c r="D25" s="30" t="s">
        <v>4038</v>
      </c>
    </row>
    <row r="26" spans="3:4">
      <c r="C26" s="30" t="s">
        <v>4042</v>
      </c>
      <c r="D26" s="30" t="s">
        <v>4043</v>
      </c>
    </row>
    <row r="27" spans="3:4">
      <c r="C27" s="30" t="s">
        <v>4045</v>
      </c>
      <c r="D27" s="30" t="s">
        <v>4047</v>
      </c>
    </row>
    <row r="28" spans="3:4">
      <c r="C28" s="30" t="s">
        <v>4059</v>
      </c>
      <c r="D28" s="30" t="s">
        <v>4046</v>
      </c>
    </row>
    <row r="29" spans="3:4">
      <c r="C29" s="30" t="s">
        <v>4058</v>
      </c>
      <c r="D29" s="30" t="s">
        <v>4048</v>
      </c>
    </row>
    <row r="30" spans="3:4">
      <c r="C30" s="30" t="s">
        <v>4057</v>
      </c>
      <c r="D30" s="30" t="s">
        <v>4050</v>
      </c>
    </row>
    <row r="31" spans="3:4">
      <c r="C31" s="30" t="s">
        <v>4056</v>
      </c>
      <c r="D31" s="30" t="s">
        <v>4055</v>
      </c>
    </row>
    <row r="32" spans="3:4">
      <c r="D32" s="30" t="s">
        <v>4078</v>
      </c>
    </row>
    <row r="33" spans="4:4">
      <c r="D33" s="30" t="s">
        <v>4080</v>
      </c>
    </row>
    <row r="34" spans="4:4">
      <c r="D34" s="61" t="s">
        <v>4690</v>
      </c>
    </row>
    <row r="35" spans="4:4">
      <c r="D35" s="61" t="s">
        <v>4691</v>
      </c>
    </row>
  </sheetData>
  <autoFilter ref="A1:I10" xr:uid="{DAB812F5-68DD-4D9B-96D7-5A08DE09C995}">
    <sortState xmlns:xlrd2="http://schemas.microsoft.com/office/spreadsheetml/2017/richdata2" ref="A2:I10">
      <sortCondition ref="I1:I10"/>
    </sortState>
  </autoFilter>
  <conditionalFormatting sqref="C5">
    <cfRule type="duplicateValues" dxfId="57" priority="48"/>
  </conditionalFormatting>
  <conditionalFormatting sqref="D1">
    <cfRule type="duplicateValues" dxfId="56" priority="2"/>
  </conditionalFormatting>
  <conditionalFormatting sqref="D5:E5 D7:E7">
    <cfRule type="duplicateValues" dxfId="55" priority="5"/>
  </conditionalFormatting>
  <conditionalFormatting sqref="G1">
    <cfRule type="duplicateValues" dxfId="54" priority="1"/>
  </conditionalFormatting>
  <pageMargins left="0.7" right="0.7" top="0.75" bottom="0.75" header="0.3" footer="0.3"/>
  <pageSetup orientation="portrait" horizontalDpi="360" verticalDpi="36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6D498-1AE9-482B-ACD0-C7DD8A21EB8E}">
  <sheetPr codeName="Sheet2">
    <tabColor theme="5" tint="0.59999389629810485"/>
  </sheetPr>
  <dimension ref="A1:E21"/>
  <sheetViews>
    <sheetView workbookViewId="0">
      <selection activeCell="A10" sqref="A10"/>
    </sheetView>
  </sheetViews>
  <sheetFormatPr defaultRowHeight="14.25"/>
  <cols>
    <col min="1" max="1" width="97.75" customWidth="1"/>
    <col min="2" max="3" width="26.375" customWidth="1"/>
    <col min="4" max="4" width="7.625" customWidth="1"/>
  </cols>
  <sheetData>
    <row r="1" spans="1:5" ht="15">
      <c r="A1" s="20" t="s">
        <v>50</v>
      </c>
      <c r="B1" s="20" t="s">
        <v>622</v>
      </c>
      <c r="C1" s="20" t="s">
        <v>623</v>
      </c>
      <c r="D1" s="20" t="s">
        <v>624</v>
      </c>
      <c r="E1" s="20" t="s">
        <v>511</v>
      </c>
    </row>
    <row r="2" spans="1:5" ht="15">
      <c r="B2" s="12"/>
    </row>
    <row r="3" spans="1:5" ht="15">
      <c r="A3" s="14" t="s">
        <v>649</v>
      </c>
      <c r="B3" s="12"/>
    </row>
    <row r="4" spans="1:5">
      <c r="A4" s="14" t="s">
        <v>650</v>
      </c>
    </row>
    <row r="8" spans="1:5" ht="30">
      <c r="A8" s="16" t="s">
        <v>654</v>
      </c>
      <c r="B8" s="15" t="s">
        <v>652</v>
      </c>
      <c r="D8" t="s">
        <v>653</v>
      </c>
    </row>
    <row r="9" spans="1:5">
      <c r="A9" t="s">
        <v>665</v>
      </c>
    </row>
    <row r="10" spans="1:5">
      <c r="A10" t="s">
        <v>655</v>
      </c>
      <c r="B10" t="s">
        <v>656</v>
      </c>
    </row>
    <row r="11" spans="1:5" ht="15">
      <c r="A11" t="s">
        <v>1218</v>
      </c>
      <c r="B11" s="12" t="s">
        <v>657</v>
      </c>
    </row>
    <row r="12" spans="1:5" ht="15">
      <c r="B12" s="12"/>
    </row>
    <row r="14" spans="1:5" ht="15">
      <c r="A14" s="18" t="s">
        <v>1213</v>
      </c>
      <c r="B14" t="s">
        <v>3947</v>
      </c>
      <c r="C14" t="s">
        <v>3946</v>
      </c>
      <c r="D14" t="s">
        <v>1220</v>
      </c>
    </row>
    <row r="15" spans="1:5" ht="15">
      <c r="A15" s="18" t="s">
        <v>1214</v>
      </c>
      <c r="B15" t="s">
        <v>3948</v>
      </c>
      <c r="C15" t="s">
        <v>1219</v>
      </c>
      <c r="D15" t="s">
        <v>1220</v>
      </c>
    </row>
    <row r="16" spans="1:5" ht="15">
      <c r="A16" s="18" t="s">
        <v>1215</v>
      </c>
      <c r="B16" t="s">
        <v>3949</v>
      </c>
      <c r="C16" t="s">
        <v>1219</v>
      </c>
      <c r="D16" t="s">
        <v>1220</v>
      </c>
    </row>
    <row r="17" spans="1:4">
      <c r="C17" t="s">
        <v>1219</v>
      </c>
      <c r="D17" t="s">
        <v>1220</v>
      </c>
    </row>
    <row r="18" spans="1:4">
      <c r="C18" t="s">
        <v>1219</v>
      </c>
      <c r="D18" t="s">
        <v>1220</v>
      </c>
    </row>
    <row r="19" spans="1:4">
      <c r="A19" s="23"/>
      <c r="C19" t="s">
        <v>1219</v>
      </c>
      <c r="D19" t="s">
        <v>1220</v>
      </c>
    </row>
    <row r="21" spans="1:4">
      <c r="A21" s="26"/>
    </row>
  </sheetData>
  <autoFilter ref="A1:E1" xr:uid="{3612E568-457D-45DB-9AAD-9DF9D93506F9}">
    <sortState xmlns:xlrd2="http://schemas.microsoft.com/office/spreadsheetml/2017/richdata2" ref="A2:E9">
      <sortCondition ref="B1"/>
    </sortState>
  </autoFilter>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97082-29CB-45FC-A241-16B4E33864A2}">
  <sheetPr codeName="Sheet1">
    <tabColor theme="6" tint="0.79998168889431442"/>
  </sheetPr>
  <dimension ref="A1:Z237"/>
  <sheetViews>
    <sheetView topLeftCell="M1" zoomScaleNormal="100" workbookViewId="0">
      <pane ySplit="1" topLeftCell="A2" activePane="bottomLeft" state="frozen"/>
      <selection activeCell="H1" sqref="H1"/>
      <selection pane="bottomLeft" activeCell="H6" sqref="H6"/>
    </sheetView>
  </sheetViews>
  <sheetFormatPr defaultRowHeight="14.25"/>
  <cols>
    <col min="1" max="1" width="9" style="4"/>
    <col min="2" max="4" width="11.125" style="4" customWidth="1"/>
    <col min="5" max="5" width="38.375" style="4" hidden="1" customWidth="1"/>
    <col min="6" max="6" width="13.125" hidden="1" customWidth="1"/>
    <col min="7" max="7" width="15.875" style="4" bestFit="1" customWidth="1"/>
    <col min="8" max="8" width="20.875" style="4" customWidth="1"/>
    <col min="9" max="10" width="29.125" style="4" customWidth="1"/>
    <col min="11" max="11" width="25" style="4" customWidth="1"/>
    <col min="12" max="12" width="8.875" style="4" customWidth="1"/>
    <col min="13" max="13" width="15.25" style="11" customWidth="1"/>
    <col min="14" max="14" width="8.75" style="11" customWidth="1"/>
    <col min="15" max="15" width="44.5" style="39" customWidth="1"/>
    <col min="16" max="16" width="65.625" style="39" customWidth="1"/>
    <col min="17" max="17" width="9" style="4" hidden="1" customWidth="1"/>
    <col min="18" max="20" width="9.125" style="4" hidden="1" customWidth="1"/>
    <col min="21" max="21" width="3.75" style="4" customWidth="1"/>
    <col min="24" max="24" width="12.375" customWidth="1"/>
    <col min="25" max="25" width="82.5" customWidth="1"/>
  </cols>
  <sheetData>
    <row r="1" spans="1:26" ht="15">
      <c r="A1" s="36" t="s">
        <v>529</v>
      </c>
      <c r="B1" s="47" t="s">
        <v>453</v>
      </c>
      <c r="C1" s="47" t="s">
        <v>428</v>
      </c>
      <c r="D1" s="47" t="s">
        <v>1755</v>
      </c>
      <c r="E1" s="47" t="s">
        <v>814</v>
      </c>
      <c r="F1" s="36" t="s">
        <v>977</v>
      </c>
      <c r="G1" s="47" t="s">
        <v>436</v>
      </c>
      <c r="H1" s="36" t="s">
        <v>1801</v>
      </c>
      <c r="I1" s="47" t="s">
        <v>4684</v>
      </c>
      <c r="J1" s="47" t="s">
        <v>347</v>
      </c>
      <c r="K1" s="50" t="s">
        <v>1802</v>
      </c>
      <c r="L1" s="50" t="s">
        <v>1811</v>
      </c>
      <c r="M1" s="48" t="s">
        <v>350</v>
      </c>
      <c r="N1" s="48" t="s">
        <v>1063</v>
      </c>
      <c r="O1" s="59" t="s">
        <v>1839</v>
      </c>
      <c r="P1" s="59" t="s">
        <v>437</v>
      </c>
      <c r="Q1" s="47" t="s">
        <v>349</v>
      </c>
      <c r="R1" s="47" t="s">
        <v>348</v>
      </c>
      <c r="S1" s="47" t="s">
        <v>155</v>
      </c>
      <c r="T1" s="47" t="s">
        <v>512</v>
      </c>
      <c r="U1" s="47" t="s">
        <v>895</v>
      </c>
      <c r="V1" s="49" t="s">
        <v>981</v>
      </c>
      <c r="W1" s="49" t="s">
        <v>982</v>
      </c>
      <c r="X1" s="49" t="s">
        <v>983</v>
      </c>
      <c r="Y1" s="44" t="s">
        <v>1815</v>
      </c>
      <c r="Z1" t="s">
        <v>4182</v>
      </c>
    </row>
    <row r="2" spans="1:26">
      <c r="A2" s="30"/>
      <c r="B2" s="30">
        <v>107</v>
      </c>
      <c r="C2" s="30" t="s">
        <v>429</v>
      </c>
      <c r="D2" s="73" t="s">
        <v>984</v>
      </c>
      <c r="E2" s="34" t="s">
        <v>493</v>
      </c>
      <c r="F2" s="30" t="s">
        <v>897</v>
      </c>
      <c r="G2" s="30" t="s">
        <v>767</v>
      </c>
      <c r="H2" s="30" t="s">
        <v>544</v>
      </c>
      <c r="I2" s="40" t="s">
        <v>345</v>
      </c>
      <c r="J2" s="40" t="str">
        <f t="shared" ref="J2:J65" si="0">IF(D2&lt;&gt;"-",I2&amp;"_"&amp;D2,I2)</f>
        <v>number_of_images</v>
      </c>
      <c r="K2" s="34" t="s">
        <v>751</v>
      </c>
      <c r="L2" s="34" t="str">
        <f>IF(VLOOKUP(J2,find_replace!H:H,1,"false")=J2,"TRUE","FALSE")</f>
        <v>TRUE</v>
      </c>
      <c r="M2" s="73" t="s">
        <v>346</v>
      </c>
      <c r="N2" s="73" t="s">
        <v>346</v>
      </c>
      <c r="O2" s="60" t="str">
        <f t="shared" ref="O2:O65" si="1">IF(M2=999,"",("    term_"&amp;J2&amp;": """&amp;K2&amp;""""))</f>
        <v xml:space="preserve">    term_number_of_images: "# Of Images"</v>
      </c>
      <c r="P2" s="39" t="str">
        <f t="shared" ref="P2:P65" si="2">IF(M2="-","-",("    def_"&amp;J2&amp;": """&amp;M2&amp;""""))</f>
        <v xml:space="preserve">    def_number_of_images: "The number of images on an SD card."</v>
      </c>
      <c r="Q2" s="40"/>
      <c r="R2" s="74" t="b">
        <v>0</v>
      </c>
      <c r="S2" s="77" t="b">
        <v>1</v>
      </c>
      <c r="T2" s="77" t="b">
        <v>1</v>
      </c>
      <c r="U2" s="76" t="s">
        <v>895</v>
      </c>
      <c r="V2" t="s">
        <v>896</v>
      </c>
      <c r="W2" s="13" t="s">
        <v>1816</v>
      </c>
      <c r="X2" t="s">
        <v>4081</v>
      </c>
      <c r="Y2" t="str">
        <f t="shared" ref="Y2:Y65" si="3">IF(M2&lt;&gt;"-",("    "&amp;J2&amp;"_ti"&amp;": "&amp;""""&amp;"&lt;a href=\"&amp;""""&amp;"09_glossary.html#"&amp;J2&amp;V2&amp;K2&amp;": "&amp;M2&amp;W2&amp;""&amp;X2&amp;""""),"-")</f>
        <v xml:space="preserve">    number_of_images_ti: "&lt;a href=\"09_glossary.html#number_of_images\" target=\"_blank\" data-bs-toggle=\"tooltip\" data-bs-title=\"# Of Images: The number of images on an SD card.\"&gt;&lt;button type=\"button\" class=\"btn btn-bd-tip-info-hidden btn-sm position-relative\"&gt;.&lt;span class=\"position-absolute top-0 start-100 translate-middle\"&gt;{{ icon_info }}&lt;/span&gt;&lt;/button&gt;&lt;/a&gt;"</v>
      </c>
    </row>
    <row r="3" spans="1:26">
      <c r="A3" s="31"/>
      <c r="B3" s="31"/>
      <c r="C3" s="31" t="s">
        <v>0</v>
      </c>
      <c r="D3" s="73" t="s">
        <v>984</v>
      </c>
      <c r="E3" s="90" t="s">
        <v>564</v>
      </c>
      <c r="F3" s="31"/>
      <c r="G3" s="30" t="s">
        <v>767</v>
      </c>
      <c r="H3" s="31" t="s">
        <v>40</v>
      </c>
      <c r="I3" s="31" t="s">
        <v>43</v>
      </c>
      <c r="J3" s="40" t="str">
        <f t="shared" si="0"/>
        <v>obj_abundance</v>
      </c>
      <c r="K3" s="90" t="s">
        <v>564</v>
      </c>
      <c r="L3" s="34" t="str">
        <f>IF(VLOOKUP(J3,find_replace!H:H,1,"false")=J3,"TRUE","FALSE")</f>
        <v>TRUE</v>
      </c>
      <c r="M3" s="84" t="s">
        <v>1008</v>
      </c>
      <c r="N3" s="84" t="s">
        <v>842</v>
      </c>
      <c r="O3" s="60" t="str">
        <f t="shared" si="1"/>
        <v xml:space="preserve">    term_obj_abundance: "Absolute abundance / Population size"</v>
      </c>
      <c r="P3" s="39" t="str">
        <f t="shared" si="2"/>
        <v xml:space="preserve">    def_obj_abundance: "The number of individuals in a population ({{ rtxt_wearn_gloverkapfer_2017 }})."</v>
      </c>
      <c r="Q3" s="31"/>
      <c r="R3" s="31"/>
      <c r="S3" s="31"/>
      <c r="T3" s="31"/>
      <c r="U3" s="76" t="s">
        <v>895</v>
      </c>
      <c r="V3" t="s">
        <v>896</v>
      </c>
      <c r="W3" s="13" t="s">
        <v>1816</v>
      </c>
      <c r="X3" t="s">
        <v>4081</v>
      </c>
      <c r="Y3" t="str">
        <f t="shared" si="3"/>
        <v xml:space="preserve">    obj_abundance_ti: "&lt;a href=\"09_glossary.html#obj_abundance\" target=\"_blank\" data-bs-toggle=\"tooltip\" data-bs-title=\"Absolute abundance / Population size: The number of individuals in a population ({{ rtxt_wearn_gloverkapfer_2017 }}).\"&gt;&lt;button type=\"button\" class=\"btn btn-bd-tip-info-hidden btn-sm position-relative\"&gt;.&lt;span class=\"position-absolute top-0 start-100 translate-middle\"&gt;{{ icon_info }}&lt;/span&gt;&lt;/button&gt;&lt;/a&gt;"</v>
      </c>
    </row>
    <row r="4" spans="1:26">
      <c r="A4" s="30"/>
      <c r="B4" s="30">
        <v>1</v>
      </c>
      <c r="C4" s="30" t="s">
        <v>429</v>
      </c>
      <c r="D4" s="73" t="s">
        <v>984</v>
      </c>
      <c r="E4" s="34" t="s">
        <v>558</v>
      </c>
      <c r="F4" s="30" t="s">
        <v>897</v>
      </c>
      <c r="G4" s="30" t="s">
        <v>767</v>
      </c>
      <c r="H4" s="30" t="s">
        <v>541</v>
      </c>
      <c r="I4" s="40" t="s">
        <v>344</v>
      </c>
      <c r="J4" s="40" t="str">
        <f t="shared" si="0"/>
        <v>access_method</v>
      </c>
      <c r="K4" s="34" t="s">
        <v>670</v>
      </c>
      <c r="L4" s="34" t="str">
        <f>IF(VLOOKUP(J4,find_replace!H:H,1,"false")=J4,"TRUE","FALSE")</f>
        <v>TRUE</v>
      </c>
      <c r="M4" s="73" t="s">
        <v>353</v>
      </c>
      <c r="N4" s="73" t="s">
        <v>353</v>
      </c>
      <c r="O4" s="60" t="str">
        <f t="shared" si="1"/>
        <v xml:space="preserve">    term_access_method: "Access Method"</v>
      </c>
      <c r="P4" s="39" t="str">
        <f t="shared" si="2"/>
        <v xml:space="preserve">    def_access_method: "The method used to reach the camera location (e.g., on 'Foot,' 'ATV,' 'Helicopter,' etc.)."</v>
      </c>
      <c r="Q4" s="40"/>
      <c r="R4" s="74" t="b">
        <v>0</v>
      </c>
      <c r="S4" s="77" t="b">
        <v>1</v>
      </c>
      <c r="T4" s="77" t="b">
        <v>1</v>
      </c>
      <c r="U4" s="76" t="s">
        <v>895</v>
      </c>
      <c r="V4" t="s">
        <v>896</v>
      </c>
      <c r="W4" s="13" t="s">
        <v>1816</v>
      </c>
      <c r="X4" t="s">
        <v>4081</v>
      </c>
      <c r="Y4" t="str">
        <f t="shared" si="3"/>
        <v xml:space="preserve">    access_method_ti: "&lt;a href=\"09_glossary.html#access_method\" target=\"_blank\" data-bs-toggle=\"tooltip\" data-bs-title=\"Access Method: The method used to reach the camera location (e.g., on 'Foot,' 'ATV,' 'Helicopter,' etc.).\"&gt;&lt;button type=\"button\" class=\"btn btn-bd-tip-info-hidden btn-sm position-relative\"&gt;.&lt;span class=\"position-absolute top-0 start-100 translate-middle\"&gt;{{ icon_info }}&lt;/span&gt;&lt;/button&gt;&lt;/a&gt;"</v>
      </c>
    </row>
    <row r="5" spans="1:26">
      <c r="A5" s="30"/>
      <c r="B5" s="30"/>
      <c r="C5" s="30" t="s">
        <v>0</v>
      </c>
      <c r="D5" s="73" t="s">
        <v>984</v>
      </c>
      <c r="E5" s="30"/>
      <c r="F5" s="30"/>
      <c r="G5" s="30" t="s">
        <v>463</v>
      </c>
      <c r="H5" s="30"/>
      <c r="I5" s="30" t="s">
        <v>786</v>
      </c>
      <c r="J5" s="40" t="str">
        <f t="shared" si="0"/>
        <v>accuracy</v>
      </c>
      <c r="K5" s="34" t="s">
        <v>658</v>
      </c>
      <c r="L5" s="34" t="str">
        <f>IF(VLOOKUP(J5,find_replace!H:H,1,"false")=J5,"TRUE","FALSE")</f>
        <v>TRUE</v>
      </c>
      <c r="M5" s="55" t="s">
        <v>1312</v>
      </c>
      <c r="N5" s="55" t="s">
        <v>1305</v>
      </c>
      <c r="O5" s="60" t="str">
        <f t="shared" si="1"/>
        <v xml:space="preserve">    term_accuracy: "Accuracy"</v>
      </c>
      <c r="P5" s="39" t="str">
        <f t="shared" si="2"/>
        <v xml:space="preserve">    def_accuracy: "How close a measured or estimated value is to the true value' ({{ rtxt_clarke_et_al_2023 }})."</v>
      </c>
      <c r="Q5" s="30"/>
      <c r="R5" s="30"/>
      <c r="S5" s="30"/>
      <c r="T5" s="30"/>
      <c r="U5" s="76" t="s">
        <v>895</v>
      </c>
      <c r="V5" t="s">
        <v>896</v>
      </c>
      <c r="W5" s="13" t="s">
        <v>1816</v>
      </c>
      <c r="X5" t="s">
        <v>4081</v>
      </c>
      <c r="Y5" t="str">
        <f t="shared" si="3"/>
        <v xml:space="preserve">    accuracy_ti: "&lt;a href=\"09_glossary.html#accuracy\" target=\"_blank\" data-bs-toggle=\"tooltip\" data-bs-title=\"Accuracy: How close a measured or estimated value is to the true value' ({{ rtxt_clarke_et_al_2023 }}).\"&gt;&lt;button type=\"button\" class=\"btn btn-bd-tip-info-hidden btn-sm position-relative\"&gt;.&lt;span class=\"position-absolute top-0 start-100 translate-middle\"&gt;{{ icon_info }}&lt;/span&gt;&lt;/button&gt;&lt;/a&gt;"</v>
      </c>
    </row>
    <row r="6" spans="1:26">
      <c r="A6" s="30"/>
      <c r="B6" s="30">
        <v>2</v>
      </c>
      <c r="C6" s="30" t="s">
        <v>430</v>
      </c>
      <c r="D6" s="73" t="s">
        <v>984</v>
      </c>
      <c r="E6" s="40" t="s">
        <v>4133</v>
      </c>
      <c r="F6" s="30" t="s">
        <v>897</v>
      </c>
      <c r="G6" s="30" t="s">
        <v>767</v>
      </c>
      <c r="H6" s="40" t="s">
        <v>1249</v>
      </c>
      <c r="I6" s="40" t="s">
        <v>303</v>
      </c>
      <c r="J6" s="40" t="str">
        <f t="shared" si="0"/>
        <v>age_class_adult</v>
      </c>
      <c r="K6" s="40" t="s">
        <v>672</v>
      </c>
      <c r="L6" s="34" t="str">
        <f>IF(VLOOKUP(J6,find_replace!H:H,1,"false")=J6,"TRUE","FALSE")</f>
        <v>TRUE</v>
      </c>
      <c r="M6" s="73" t="s">
        <v>304</v>
      </c>
      <c r="N6" s="73" t="s">
        <v>304</v>
      </c>
      <c r="O6" s="60" t="str">
        <f t="shared" si="1"/>
        <v xml:space="preserve">    term_age_class_adult: "Adult"</v>
      </c>
      <c r="P6" s="39" t="str">
        <f t="shared" si="2"/>
        <v xml:space="preserve">    def_age_class_adult: "Animals that are old enough to breed; reproductively mature."</v>
      </c>
      <c r="Q6" s="40"/>
      <c r="R6" s="74" t="s">
        <v>51</v>
      </c>
      <c r="S6" s="77" t="b">
        <v>1</v>
      </c>
      <c r="T6" s="75" t="b">
        <v>0</v>
      </c>
      <c r="U6" s="76" t="s">
        <v>895</v>
      </c>
      <c r="V6" t="s">
        <v>896</v>
      </c>
      <c r="W6" s="13" t="s">
        <v>1816</v>
      </c>
      <c r="X6" t="s">
        <v>4081</v>
      </c>
      <c r="Y6" t="str">
        <f t="shared" si="3"/>
        <v xml:space="preserve">    age_class_adult_ti: "&lt;a href=\"09_glossary.html#age_class_adult\" target=\"_blank\" data-bs-toggle=\"tooltip\" data-bs-title=\"Adult: Animals that are old enough to breed; reproductively mature.\"&gt;&lt;button type=\"button\" class=\"btn btn-bd-tip-info-hidden btn-sm position-relative\"&gt;.&lt;span class=\"position-absolute top-0 start-100 translate-middle\"&gt;{{ icon_info }}&lt;/span&gt;&lt;/button&gt;&lt;/a&gt;"</v>
      </c>
    </row>
    <row r="7" spans="1:26">
      <c r="A7" s="30"/>
      <c r="B7" s="30">
        <v>3</v>
      </c>
      <c r="C7" s="30" t="s">
        <v>429</v>
      </c>
      <c r="D7" s="73" t="s">
        <v>984</v>
      </c>
      <c r="E7" s="40" t="s">
        <v>4134</v>
      </c>
      <c r="F7" s="30" t="s">
        <v>897</v>
      </c>
      <c r="G7" s="30" t="s">
        <v>767</v>
      </c>
      <c r="H7" s="40" t="s">
        <v>1249</v>
      </c>
      <c r="I7" s="40" t="s">
        <v>302</v>
      </c>
      <c r="J7" s="40" t="str">
        <f t="shared" si="0"/>
        <v>age_class</v>
      </c>
      <c r="K7" s="40" t="s">
        <v>671</v>
      </c>
      <c r="L7" s="34" t="str">
        <f>IF(VLOOKUP(J7,find_replace!H:H,1,"false")=J7,"TRUE","FALSE")</f>
        <v>TRUE</v>
      </c>
      <c r="M7" s="73" t="s">
        <v>354</v>
      </c>
      <c r="N7" s="73" t="s">
        <v>354</v>
      </c>
      <c r="O7" s="60" t="str">
        <f t="shared" si="1"/>
        <v xml:space="preserve">    term_age_class: "Age Class"</v>
      </c>
      <c r="P7" s="39" t="str">
        <f t="shared" si="2"/>
        <v xml:space="preserve">    def_age_class: "The age classification of individual(s) being categorized (e.g., 'Adult,' 'Juvenile,' 'Subadult,' 'Subadult - Young of Year,' 'Subadult - Yearling,' or 'Unknown'). "</v>
      </c>
      <c r="Q7" s="40"/>
      <c r="R7" s="74" t="b">
        <v>1</v>
      </c>
      <c r="S7" s="77" t="b">
        <v>1</v>
      </c>
      <c r="T7" s="77" t="b">
        <v>1</v>
      </c>
      <c r="U7" s="76" t="s">
        <v>895</v>
      </c>
      <c r="V7" t="s">
        <v>896</v>
      </c>
      <c r="W7" s="13" t="s">
        <v>1816</v>
      </c>
      <c r="X7" t="s">
        <v>4081</v>
      </c>
      <c r="Y7" t="str">
        <f t="shared" si="3"/>
        <v xml:space="preserve">    age_class_ti: "&lt;a href=\"09_glossary.html#age_class\" target=\"_blank\" data-bs-toggle=\"tooltip\" data-bs-title=\"Age Class: The age classification of individual(s) being categorized (e.g., 'Adult,' 'Juvenile,' 'Subadult,' 'Subadult - Young of Year,' 'Subadult - Yearling,' or 'Unknown'). \"&gt;&lt;button type=\"button\" class=\"btn btn-bd-tip-info-hidden btn-sm position-relative\"&gt;.&lt;span class=\"position-absolute top-0 start-100 translate-middle\"&gt;{{ icon_info }}&lt;/span&gt;&lt;/button&gt;&lt;/a&gt;"</v>
      </c>
    </row>
    <row r="8" spans="1:26">
      <c r="A8" s="30" t="s">
        <v>530</v>
      </c>
      <c r="B8" s="30"/>
      <c r="C8" s="30" t="s">
        <v>0</v>
      </c>
      <c r="D8" s="73" t="s">
        <v>984</v>
      </c>
      <c r="E8" s="30" t="s">
        <v>621</v>
      </c>
      <c r="F8" s="30"/>
      <c r="G8" s="30" t="s">
        <v>767</v>
      </c>
      <c r="H8" s="30" t="s">
        <v>815</v>
      </c>
      <c r="I8" s="30" t="s">
        <v>434</v>
      </c>
      <c r="J8" s="40" t="str">
        <f t="shared" si="0"/>
        <v>mod_divers_rich_alpha</v>
      </c>
      <c r="K8" s="30" t="s">
        <v>621</v>
      </c>
      <c r="L8" s="34" t="str">
        <f>IF(VLOOKUP(J8,find_replace!H:H,1,"false")=J8,"TRUE","FALSE")</f>
        <v>TRUE</v>
      </c>
      <c r="M8" s="54" t="s">
        <v>1007</v>
      </c>
      <c r="N8" s="54" t="s">
        <v>844</v>
      </c>
      <c r="O8" s="60" t="str">
        <f t="shared" si="1"/>
        <v xml:space="preserve">    term_mod_divers_rich_alpha: "Alpha richness (α)"</v>
      </c>
      <c r="P8" s="39" t="str">
        <f t="shared" si="2"/>
        <v xml:space="preserve">    def_mod_divers_rich_alpha: "The number of species at the level of an individual camera location ({{ rtxt_wearn_gloverkapfer_2017 }})."</v>
      </c>
      <c r="Q8" s="30"/>
      <c r="R8" s="30"/>
      <c r="S8" s="30"/>
      <c r="T8" s="30"/>
      <c r="U8" s="76" t="s">
        <v>895</v>
      </c>
      <c r="V8" t="s">
        <v>896</v>
      </c>
      <c r="W8" s="13" t="s">
        <v>1816</v>
      </c>
      <c r="X8" t="s">
        <v>4081</v>
      </c>
      <c r="Y8" t="str">
        <f t="shared" si="3"/>
        <v xml:space="preserve">    mod_divers_rich_alpha_ti: "&lt;a href=\"09_glossary.html#mod_divers_rich_alpha\" target=\"_blank\" data-bs-toggle=\"tooltip\" data-bs-title=\"Alpha richness (α): The number of species at the level of an individual camera location ({{ rtxt_wearn_gloverkapfer_2017 }}).\"&gt;&lt;button type=\"button\" class=\"btn btn-bd-tip-info-hidden btn-sm position-relative\"&gt;.&lt;span class=\"position-absolute top-0 start-100 translate-middle\"&gt;{{ icon_info }}&lt;/span&gt;&lt;/button&gt;&lt;/a&gt;"</v>
      </c>
    </row>
    <row r="9" spans="1:26">
      <c r="A9" s="30"/>
      <c r="B9" s="30">
        <v>4</v>
      </c>
      <c r="C9" s="30" t="s">
        <v>429</v>
      </c>
      <c r="D9" s="73" t="s">
        <v>984</v>
      </c>
      <c r="E9" s="40" t="s">
        <v>4143</v>
      </c>
      <c r="F9" s="30" t="s">
        <v>897</v>
      </c>
      <c r="G9" s="30" t="s">
        <v>767</v>
      </c>
      <c r="H9" s="40" t="s">
        <v>1249</v>
      </c>
      <c r="I9" s="40" t="s">
        <v>300</v>
      </c>
      <c r="J9" s="40" t="str">
        <f t="shared" si="0"/>
        <v>analyst</v>
      </c>
      <c r="K9" s="40" t="s">
        <v>677</v>
      </c>
      <c r="L9" s="34" t="str">
        <f>IF(VLOOKUP(J9,find_replace!H:H,1,"false")=J9,"TRUE","FALSE")</f>
        <v>TRUE</v>
      </c>
      <c r="M9" s="73" t="s">
        <v>301</v>
      </c>
      <c r="N9" s="73" t="s">
        <v>301</v>
      </c>
      <c r="O9" s="60" t="str">
        <f t="shared" si="1"/>
        <v xml:space="preserve">    term_analyst: "Analyst"</v>
      </c>
      <c r="P9" s="39" t="str">
        <f t="shared" si="2"/>
        <v xml:space="preserve">    def_analyst: "The first and last names of the individual who provided the observation data point (species identification and associated information). If there are multiple analysts for an observation, enter the primary analyst."</v>
      </c>
      <c r="Q9" s="40"/>
      <c r="R9" s="74" t="b">
        <v>1</v>
      </c>
      <c r="S9" s="77" t="b">
        <v>1</v>
      </c>
      <c r="T9" s="77" t="b">
        <v>1</v>
      </c>
      <c r="U9" s="76" t="s">
        <v>895</v>
      </c>
      <c r="V9" t="s">
        <v>896</v>
      </c>
      <c r="W9" s="13" t="s">
        <v>1816</v>
      </c>
      <c r="X9" t="s">
        <v>4081</v>
      </c>
      <c r="Y9" t="str">
        <f t="shared" si="3"/>
        <v xml:space="preserve">    analyst_ti: "&lt;a href=\"09_glossary.html#analyst\" target=\"_blank\" data-bs-toggle=\"tooltip\" data-bs-title=\"Analyst: The first and last names of the individual who provided the observation data point (species identification and associated information). If there are multiple analysts for an observation, enter the primary analyst.\"&gt;&lt;button type=\"button\" class=\"btn btn-bd-tip-info-hidden btn-sm position-relative\"&gt;.&lt;span class=\"position-absolute top-0 start-100 translate-middle\"&gt;{{ icon_info }}&lt;/span&gt;&lt;/button&gt;&lt;/a&gt;"</v>
      </c>
    </row>
    <row r="10" spans="1:26">
      <c r="A10" s="30"/>
      <c r="B10" s="30">
        <v>5</v>
      </c>
      <c r="C10" s="30" t="s">
        <v>429</v>
      </c>
      <c r="D10" s="73" t="s">
        <v>984</v>
      </c>
      <c r="E10" s="40" t="s">
        <v>557</v>
      </c>
      <c r="F10" s="30" t="s">
        <v>897</v>
      </c>
      <c r="G10" s="30" t="s">
        <v>767</v>
      </c>
      <c r="H10" s="40" t="s">
        <v>1249</v>
      </c>
      <c r="I10" s="40" t="s">
        <v>342</v>
      </c>
      <c r="J10" s="40" t="str">
        <f t="shared" si="0"/>
        <v>animal_id</v>
      </c>
      <c r="K10" s="40" t="s">
        <v>678</v>
      </c>
      <c r="L10" s="34" t="str">
        <f>IF(VLOOKUP(J10,find_replace!H:H,1,"false")=J10,"TRUE","FALSE")</f>
        <v>TRUE</v>
      </c>
      <c r="M10" s="73" t="s">
        <v>343</v>
      </c>
      <c r="N10" s="73" t="s">
        <v>343</v>
      </c>
      <c r="O10" s="60" t="str">
        <f t="shared" si="1"/>
        <v xml:space="preserve">    term_animal_id: "Animal ID"</v>
      </c>
      <c r="P10" s="39" t="str">
        <f t="shared" si="2"/>
        <v xml:space="preserve">    def_animal_id: "A unique ID for an animal that can be uniquely identified (e.g., marked in some way). If multiple unique individuals are identified, enter an Animal ID for each as a unique row. Leave blank if not applicable."</v>
      </c>
      <c r="Q10" s="40" t="b">
        <v>1</v>
      </c>
      <c r="R10" s="74" t="b">
        <v>0</v>
      </c>
      <c r="S10" s="77" t="b">
        <v>1</v>
      </c>
      <c r="T10" s="75" t="b">
        <v>0</v>
      </c>
      <c r="U10" s="76" t="s">
        <v>895</v>
      </c>
      <c r="V10" t="s">
        <v>896</v>
      </c>
      <c r="W10" s="13" t="s">
        <v>1816</v>
      </c>
      <c r="X10" t="s">
        <v>4081</v>
      </c>
      <c r="Y10" t="str">
        <f t="shared" si="3"/>
        <v xml:space="preserve">    animal_id_ti: "&lt;a href=\"09_glossary.html#animal_id\" target=\"_blank\" data-bs-toggle=\"tooltip\" data-bs-title=\"Animal ID: A unique ID for an animal that can be uniquely identified (e.g., marked in some way). If multiple unique individuals are identified, enter an Animal ID for each as a unique row. Leave blank if not applicable.\"&gt;&lt;button type=\"button\" class=\"btn btn-bd-tip-info-hidden btn-sm position-relative\"&gt;.&lt;span class=\"position-absolute top-0 start-100 translate-middle\"&gt;{{ icon_info }}&lt;/span&gt;&lt;/button&gt;&lt;/a&gt;"</v>
      </c>
    </row>
    <row r="11" spans="1:26">
      <c r="A11" s="30"/>
      <c r="B11" s="30">
        <v>6</v>
      </c>
      <c r="C11" s="30" t="s">
        <v>0</v>
      </c>
      <c r="D11" s="73" t="s">
        <v>984</v>
      </c>
      <c r="E11" s="34" t="s">
        <v>237</v>
      </c>
      <c r="F11" s="30"/>
      <c r="G11" s="30" t="s">
        <v>767</v>
      </c>
      <c r="H11" s="30" t="s">
        <v>539</v>
      </c>
      <c r="I11" s="40" t="s">
        <v>236</v>
      </c>
      <c r="J11" s="40" t="str">
        <f t="shared" si="0"/>
        <v>baitlure_audible_lure</v>
      </c>
      <c r="K11" s="34" t="s">
        <v>237</v>
      </c>
      <c r="L11" s="34" t="str">
        <f>IF(VLOOKUP(J11,find_replace!H:H,1,"false")=J11,"TRUE","FALSE")</f>
        <v>TRUE</v>
      </c>
      <c r="M11" s="73" t="s">
        <v>1006</v>
      </c>
      <c r="N11" s="73" t="s">
        <v>893</v>
      </c>
      <c r="O11" s="60" t="str">
        <f t="shared" si="1"/>
        <v xml:space="preserve">    term_baitlure_audible_lure: "Audible lure"</v>
      </c>
      <c r="P11" s="39" t="str">
        <f t="shared" si="2"/>
        <v xml:space="preserve">    def_baitlure_audible_lure: "Sounds imitating noises of prey or conspecifics that draw animals closer by eliciting curiosity ({{ rtxt_schlexer_2008 }})."</v>
      </c>
      <c r="Q11" s="40"/>
      <c r="R11" s="74" t="s">
        <v>51</v>
      </c>
      <c r="S11" s="75" t="b">
        <v>0</v>
      </c>
      <c r="T11" s="77" t="b">
        <v>1</v>
      </c>
      <c r="U11" s="76" t="s">
        <v>895</v>
      </c>
      <c r="V11" t="s">
        <v>896</v>
      </c>
      <c r="W11" s="13" t="s">
        <v>1816</v>
      </c>
      <c r="X11" t="s">
        <v>4081</v>
      </c>
      <c r="Y11" t="str">
        <f t="shared" si="3"/>
        <v xml:space="preserve">    baitlure_audible_lure_ti: "&lt;a href=\"09_glossary.html#baitlure_audible_lure\" target=\"_blank\" data-bs-toggle=\"tooltip\" data-bs-title=\"Audible lure: Sounds imitating noises of prey or conspecifics that draw animals closer by eliciting curiosity ({{ rtxt_schlexer_2008 }}).\"&gt;&lt;button type=\"button\" class=\"btn btn-bd-tip-info-hidden btn-sm position-relative\"&gt;.&lt;span class=\"position-absolute top-0 start-100 translate-middle\"&gt;{{ icon_info }}&lt;/span&gt;&lt;/button&gt;&lt;/a&gt;"</v>
      </c>
    </row>
    <row r="12" spans="1:26">
      <c r="A12" s="30"/>
      <c r="B12" s="30">
        <v>7</v>
      </c>
      <c r="C12" s="30" t="s">
        <v>0</v>
      </c>
      <c r="D12" s="73" t="s">
        <v>984</v>
      </c>
      <c r="E12" s="40" t="s">
        <v>235</v>
      </c>
      <c r="F12" s="30"/>
      <c r="G12" s="30" t="s">
        <v>767</v>
      </c>
      <c r="H12" s="30" t="s">
        <v>539</v>
      </c>
      <c r="I12" s="40" t="s">
        <v>234</v>
      </c>
      <c r="J12" s="40" t="str">
        <f t="shared" si="0"/>
        <v>baitlure_bait</v>
      </c>
      <c r="K12" s="40" t="s">
        <v>235</v>
      </c>
      <c r="L12" s="34" t="str">
        <f>IF(VLOOKUP(J12,find_replace!H:H,1,"false")=J12,"TRUE","FALSE")</f>
        <v>TRUE</v>
      </c>
      <c r="M12" s="73" t="s">
        <v>1013</v>
      </c>
      <c r="N12" s="73" t="s">
        <v>892</v>
      </c>
      <c r="O12" s="60" t="str">
        <f t="shared" si="1"/>
        <v xml:space="preserve">    term_baitlure_bait: "Bait"</v>
      </c>
      <c r="P12" s="39" t="str">
        <f t="shared" si="2"/>
        <v xml:space="preserve">    def_baitlure_bait: "A food item (or other substance) that is placed to attract animals via the sense of taste and olfactory cues ({{ rtxt_schlexer_2008 }})."</v>
      </c>
      <c r="Q12" s="40"/>
      <c r="R12" s="74" t="s">
        <v>51</v>
      </c>
      <c r="S12" s="77" t="b">
        <v>1</v>
      </c>
      <c r="T12" s="77" t="b">
        <v>1</v>
      </c>
      <c r="U12" s="76" t="s">
        <v>895</v>
      </c>
      <c r="V12" t="s">
        <v>896</v>
      </c>
      <c r="W12" s="13" t="s">
        <v>1816</v>
      </c>
      <c r="X12" t="s">
        <v>4081</v>
      </c>
      <c r="Y12" t="str">
        <f t="shared" si="3"/>
        <v xml:space="preserve">    baitlure_bait_ti: "&lt;a href=\"09_glossary.html#baitlure_bait\" target=\"_blank\" data-bs-toggle=\"tooltip\" data-bs-title=\"Bait: A food item (or other substance) that is placed to attract animals via the sense of taste and olfactory cues ({{ rtxt_schlexer_2008 }}).\"&gt;&lt;button type=\"button\" class=\"btn btn-bd-tip-info-hidden btn-sm position-relative\"&gt;.&lt;span class=\"position-absolute top-0 start-100 translate-middle\"&gt;{{ icon_info }}&lt;/span&gt;&lt;/button&gt;&lt;/a&gt;"</v>
      </c>
    </row>
    <row r="13" spans="1:26">
      <c r="A13" s="30"/>
      <c r="B13" s="30">
        <v>8</v>
      </c>
      <c r="C13" s="30" t="s">
        <v>429</v>
      </c>
      <c r="D13" s="73" t="s">
        <v>984</v>
      </c>
      <c r="E13" s="34" t="s">
        <v>4158</v>
      </c>
      <c r="F13" s="30" t="s">
        <v>897</v>
      </c>
      <c r="G13" s="30" t="s">
        <v>767</v>
      </c>
      <c r="H13" s="30" t="s">
        <v>539</v>
      </c>
      <c r="I13" s="40" t="s">
        <v>299</v>
      </c>
      <c r="J13" s="40" t="str">
        <f t="shared" si="0"/>
        <v>baitlure_bait_lure_type</v>
      </c>
      <c r="K13" s="34" t="s">
        <v>679</v>
      </c>
      <c r="L13" s="34" t="str">
        <f>IF(VLOOKUP(J13,find_replace!H:H,1,"false")=J13,"TRUE","FALSE")</f>
        <v>TRUE</v>
      </c>
      <c r="M13" s="73" t="s">
        <v>406</v>
      </c>
      <c r="N13" s="73" t="s">
        <v>406</v>
      </c>
      <c r="O13" s="60" t="str">
        <f t="shared" si="1"/>
        <v xml:space="preserve">    term_baitlure_bait_lure_type: "Bait/Lure Type"</v>
      </c>
      <c r="P13" s="39" t="str">
        <f t="shared" si="2"/>
        <v xml:space="preserve">    def_baitlure_bait_lure_type: "The type of bait or lure used at a camera location. Record 'None' if a Bait*/Lure Type was not used and 'Unknown' if not known. If 'Other,' describe in the Deployment Comments."</v>
      </c>
      <c r="Q13" s="40" t="b">
        <v>1</v>
      </c>
      <c r="R13" s="74" t="b">
        <v>1</v>
      </c>
      <c r="S13" s="77" t="b">
        <v>1</v>
      </c>
      <c r="T13" s="77" t="b">
        <v>1</v>
      </c>
      <c r="U13" s="76" t="s">
        <v>895</v>
      </c>
      <c r="V13" t="s">
        <v>896</v>
      </c>
      <c r="W13" s="13" t="s">
        <v>1816</v>
      </c>
      <c r="X13" t="s">
        <v>4081</v>
      </c>
      <c r="Y13" t="str">
        <f t="shared" si="3"/>
        <v xml:space="preserve">    baitlure_bait_lure_type_ti: "&lt;a href=\"09_glossary.html#baitlure_bait_lure_type\" target=\"_blank\" data-bs-toggle=\"tooltip\" data-bs-title=\"Bait/Lure Type: The type of bait or lure used at a camera location. Record 'None' if a Bait*/Lure Type was not used and 'Unknown' if not known. If 'Other,' describe in the Deployment Comments.\"&gt;&lt;button type=\"button\" class=\"btn btn-bd-tip-info-hidden btn-sm position-relative\"&gt;.&lt;span class=\"position-absolute top-0 start-100 translate-middle\"&gt;{{ icon_info }}&lt;/span&gt;&lt;/button&gt;&lt;/a&gt;"</v>
      </c>
    </row>
    <row r="14" spans="1:26">
      <c r="A14" s="30"/>
      <c r="B14" s="30">
        <v>9</v>
      </c>
      <c r="C14" s="30" t="s">
        <v>429</v>
      </c>
      <c r="D14" s="73" t="s">
        <v>984</v>
      </c>
      <c r="E14" s="40" t="s">
        <v>559</v>
      </c>
      <c r="F14" s="30" t="s">
        <v>897</v>
      </c>
      <c r="G14" s="30" t="s">
        <v>767</v>
      </c>
      <c r="H14" s="30" t="s">
        <v>544</v>
      </c>
      <c r="I14" s="40" t="s">
        <v>340</v>
      </c>
      <c r="J14" s="40" t="str">
        <f t="shared" si="0"/>
        <v>batteries_replaced</v>
      </c>
      <c r="K14" s="40" t="s">
        <v>680</v>
      </c>
      <c r="L14" s="34" t="str">
        <f>IF(VLOOKUP(J14,find_replace!H:H,1,"false")=J14,"TRUE","FALSE")</f>
        <v>TRUE</v>
      </c>
      <c r="M14" s="73" t="s">
        <v>341</v>
      </c>
      <c r="N14" s="73" t="s">
        <v>341</v>
      </c>
      <c r="O14" s="60" t="str">
        <f t="shared" si="1"/>
        <v xml:space="preserve">    term_batteries_replaced: "Batteries Replaced"</v>
      </c>
      <c r="P14" s="39" t="str">
        <f t="shared" si="2"/>
        <v xml:space="preserve">    def_batteries_replaced: "Whether the camera's batteries were replaced."</v>
      </c>
      <c r="Q14" s="40"/>
      <c r="R14" s="74" t="b">
        <v>0</v>
      </c>
      <c r="S14" s="77" t="b">
        <v>1</v>
      </c>
      <c r="T14" s="77" t="b">
        <v>1</v>
      </c>
      <c r="U14" s="76" t="s">
        <v>895</v>
      </c>
      <c r="V14" t="s">
        <v>896</v>
      </c>
      <c r="W14" s="13" t="s">
        <v>1816</v>
      </c>
      <c r="X14" t="s">
        <v>4081</v>
      </c>
      <c r="Y14" t="str">
        <f t="shared" si="3"/>
        <v xml:space="preserve">    batteries_replaced_ti: "&lt;a href=\"09_glossary.html#batteries_replaced\" target=\"_blank\" data-bs-toggle=\"tooltip\" data-bs-title=\"Batteries Replaced: Whether the camera's batteries were replaced.\"&gt;&lt;button type=\"button\" class=\"btn btn-bd-tip-info-hidden btn-sm position-relative\"&gt;.&lt;span class=\"position-absolute top-0 start-100 translate-middle\"&gt;{{ icon_info }}&lt;/span&gt;&lt;/button&gt;&lt;/a&gt;"</v>
      </c>
    </row>
    <row r="15" spans="1:26">
      <c r="A15" s="31"/>
      <c r="B15" s="31"/>
      <c r="C15" s="31" t="s">
        <v>0</v>
      </c>
      <c r="D15" s="73" t="s">
        <v>984</v>
      </c>
      <c r="E15" s="31" t="s">
        <v>30</v>
      </c>
      <c r="F15" s="31"/>
      <c r="G15" s="30" t="s">
        <v>767</v>
      </c>
      <c r="H15" s="31" t="s">
        <v>40</v>
      </c>
      <c r="I15" s="31" t="s">
        <v>39</v>
      </c>
      <c r="J15" s="40" t="str">
        <f t="shared" si="0"/>
        <v>obj_behaviour</v>
      </c>
      <c r="K15" s="31" t="s">
        <v>30</v>
      </c>
      <c r="L15" s="34" t="str">
        <f>IF(VLOOKUP(J15,find_replace!H:H,1,"false")=J15,"TRUE","FALSE")</f>
        <v>TRUE</v>
      </c>
      <c r="M15" s="84" t="s">
        <v>4117</v>
      </c>
      <c r="N15" s="84" t="s">
        <v>5938</v>
      </c>
      <c r="O15" s="60" t="str">
        <f t="shared" si="1"/>
        <v xml:space="preserve">    term_obj_behaviour: "Behaviour"</v>
      </c>
      <c r="P15" s="39" t="str">
        <f t="shared" si="2"/>
        <v xml:space="preserve">    def_obj_behaviour: "Behaviour focused objectives vary greatly; they may be qualitative or quantitative (e.g., diel activity patterns, mating, boldness, predation, foraging, activity patterns, vigilance, parental care ({{ rtxt_caravaggi_et_al_2020 }}; {{ rtxt_wearn_gloverkapfer_2017 }})."</v>
      </c>
      <c r="Q15" s="31"/>
      <c r="R15" s="31"/>
      <c r="S15" s="31"/>
      <c r="T15" s="31"/>
      <c r="U15" s="76" t="s">
        <v>895</v>
      </c>
      <c r="V15" t="s">
        <v>896</v>
      </c>
      <c r="W15" s="13" t="s">
        <v>1816</v>
      </c>
      <c r="X15" t="s">
        <v>4081</v>
      </c>
      <c r="Y15" t="str">
        <f t="shared" si="3"/>
        <v xml:space="preserve">    obj_behaviour_ti: "&lt;a href=\"09_glossary.html#obj_behaviour\" target=\"_blank\" data-bs-toggle=\"tooltip\" data-bs-title=\"Behaviour: Behaviour focused objectives vary greatly; they may be qualitative or quantitative (e.g., diel activity patterns, mating, boldness, predation, foraging, activity patterns, vigilance, parental care ({{ rtxt_caravaggi_et_al_2020 }}; {{ rtxt_wearn_gloverkapfer_2017 }}).\"&gt;&lt;button type=\"button\" class=\"btn btn-bd-tip-info-hidden btn-sm position-relative\"&gt;.&lt;span class=\"position-absolute top-0 start-100 translate-middle\"&gt;{{ icon_info }}&lt;/span&gt;&lt;/button&gt;&lt;/a&gt;"</v>
      </c>
      <c r="Z15" s="3"/>
    </row>
    <row r="16" spans="1:26" s="3" customFormat="1">
      <c r="A16" s="30"/>
      <c r="B16" s="30">
        <v>10</v>
      </c>
      <c r="C16" s="30" t="s">
        <v>429</v>
      </c>
      <c r="D16" s="73" t="s">
        <v>241</v>
      </c>
      <c r="E16" s="34" t="s">
        <v>474</v>
      </c>
      <c r="F16" s="30" t="s">
        <v>897</v>
      </c>
      <c r="G16" s="30" t="s">
        <v>767</v>
      </c>
      <c r="H16" s="30" t="s">
        <v>544</v>
      </c>
      <c r="I16" s="40" t="s">
        <v>339</v>
      </c>
      <c r="J16" s="40" t="str">
        <f t="shared" si="0"/>
        <v>behaviour_tag</v>
      </c>
      <c r="K16" s="34" t="s">
        <v>4685</v>
      </c>
      <c r="L16" s="34" t="e">
        <f>IF(VLOOKUP(J16,find_replace!H:H,1,"false")=J16,"TRUE","FALSE")</f>
        <v>#N/A</v>
      </c>
      <c r="M16" s="73" t="s">
        <v>358</v>
      </c>
      <c r="N16" s="73" t="s">
        <v>358</v>
      </c>
      <c r="O16" s="60" t="str">
        <f t="shared" si="1"/>
        <v xml:space="preserve">    term_behaviour_tag: "Behaviour (tag)"</v>
      </c>
      <c r="P16" s="39" t="str">
        <f t="shared" si="2"/>
        <v xml:space="preserve">    def_behaviour_tag: "The behaviour of the individual(s) being categorized (e.g., 'Standing,' 'Drinking,' 'Vigilant,' etc.)."</v>
      </c>
      <c r="Q16" s="40"/>
      <c r="R16" s="74" t="b">
        <v>0</v>
      </c>
      <c r="S16" s="77" t="b">
        <v>1</v>
      </c>
      <c r="T16" s="77" t="b">
        <v>1</v>
      </c>
      <c r="U16" s="76" t="s">
        <v>895</v>
      </c>
      <c r="V16" t="s">
        <v>896</v>
      </c>
      <c r="W16" s="13" t="s">
        <v>1816</v>
      </c>
      <c r="X16" t="s">
        <v>4081</v>
      </c>
      <c r="Y16" t="str">
        <f t="shared" si="3"/>
        <v xml:space="preserve">    behaviour_tag_ti: "&lt;a href=\"09_glossary.html#behaviour_tag\" target=\"_blank\" data-bs-toggle=\"tooltip\" data-bs-title=\"Behaviour (tag): The behaviour of the individual(s) being categorized (e.g., 'Standing,' 'Drinking,' 'Vigilant,' etc.).\"&gt;&lt;button type=\"button\" class=\"btn btn-bd-tip-info-hidden btn-sm position-relative\"&gt;.&lt;span class=\"position-absolute top-0 start-100 translate-middle\"&gt;{{ icon_info }}&lt;/span&gt;&lt;/button&gt;&lt;/a&gt;"</v>
      </c>
      <c r="Z16"/>
    </row>
    <row r="17" spans="1:26" s="3" customFormat="1" ht="14.25" customHeight="1">
      <c r="A17" s="30" t="s">
        <v>530</v>
      </c>
      <c r="B17" s="30"/>
      <c r="C17" s="30" t="s">
        <v>0</v>
      </c>
      <c r="D17" s="73" t="s">
        <v>984</v>
      </c>
      <c r="E17" s="30" t="s">
        <v>620</v>
      </c>
      <c r="F17" s="30"/>
      <c r="G17" s="30" t="s">
        <v>767</v>
      </c>
      <c r="H17" s="30" t="s">
        <v>815</v>
      </c>
      <c r="I17" s="30" t="s">
        <v>433</v>
      </c>
      <c r="J17" s="40" t="str">
        <f t="shared" si="0"/>
        <v>mod_divers_rich_beta</v>
      </c>
      <c r="K17" s="30" t="s">
        <v>620</v>
      </c>
      <c r="L17" s="34" t="str">
        <f>IF(VLOOKUP(J17,find_replace!H:H,1,"false")=J17,"TRUE","FALSE")</f>
        <v>TRUE</v>
      </c>
      <c r="M17" s="54" t="s">
        <v>1005</v>
      </c>
      <c r="N17" s="54" t="s">
        <v>843</v>
      </c>
      <c r="O17" s="60" t="str">
        <f t="shared" si="1"/>
        <v xml:space="preserve">    term_mod_divers_rich_beta: "Beta-diversity (β)"</v>
      </c>
      <c r="P17" s="39" t="str">
        <f t="shared" si="2"/>
        <v xml:space="preserve">    def_mod_divers_rich_beta: "The differences between the communities or, more formally, the variance among the communities ({{ rtxt_wearn_gloverkapfer_2017 }})."</v>
      </c>
      <c r="Q17" s="30"/>
      <c r="R17" s="30"/>
      <c r="S17" s="30"/>
      <c r="T17" s="30"/>
      <c r="U17" s="76" t="s">
        <v>895</v>
      </c>
      <c r="V17" t="s">
        <v>896</v>
      </c>
      <c r="W17" s="13" t="s">
        <v>1816</v>
      </c>
      <c r="X17" t="s">
        <v>4081</v>
      </c>
      <c r="Y17" t="str">
        <f t="shared" si="3"/>
        <v xml:space="preserve">    mod_divers_rich_beta_ti: "&lt;a href=\"09_glossary.html#mod_divers_rich_beta\" target=\"_blank\" data-bs-toggle=\"tooltip\" data-bs-title=\"Beta-diversity (β): The differences between the communities or, more formally, the variance among the communities ({{ rtxt_wearn_gloverkapfer_2017 }}).\"&gt;&lt;button type=\"button\" class=\"btn btn-bd-tip-info-hidden btn-sm position-relative\"&gt;.&lt;span class=\"position-absolute top-0 start-100 translate-middle\"&gt;{{ icon_info }}&lt;/span&gt;&lt;/button&gt;&lt;/a&gt;"</v>
      </c>
    </row>
    <row r="18" spans="1:26">
      <c r="A18" s="30"/>
      <c r="B18" s="30"/>
      <c r="C18" s="30" t="s">
        <v>0</v>
      </c>
      <c r="D18" s="73" t="s">
        <v>984</v>
      </c>
      <c r="E18" s="30"/>
      <c r="F18" s="30"/>
      <c r="G18" s="30" t="s">
        <v>651</v>
      </c>
      <c r="H18" s="30"/>
      <c r="I18" s="33" t="s">
        <v>779</v>
      </c>
      <c r="J18" s="40" t="str">
        <f t="shared" si="0"/>
        <v>bias</v>
      </c>
      <c r="K18" s="30" t="s">
        <v>629</v>
      </c>
      <c r="L18" s="34" t="str">
        <f>IF(VLOOKUP(J18,find_replace!H:H,1,"false")=J18,"TRUE","FALSE")</f>
        <v>TRUE</v>
      </c>
      <c r="M18" s="55" t="s">
        <v>1320</v>
      </c>
      <c r="N18" s="55" t="s">
        <v>1275</v>
      </c>
      <c r="O18" s="60" t="str">
        <f t="shared" si="1"/>
        <v xml:space="preserve">    term_bias: "Bias"</v>
      </c>
      <c r="P18" s="39" t="str">
        <f t="shared" si="2"/>
        <v xml:space="preserve">    def_bias: "A skewed or altered perspective. Biased data refers to data that may be inaccurate or unevenly portrayed (usually in favour of specific variables) and is therefore not as robust.' ({{ rtxt_kemp_et_al_2022 }})."</v>
      </c>
      <c r="Q18" s="30"/>
      <c r="R18" s="30"/>
      <c r="S18" s="30"/>
      <c r="T18" s="30"/>
      <c r="U18" s="76" t="s">
        <v>895</v>
      </c>
      <c r="V18" t="s">
        <v>896</v>
      </c>
      <c r="W18" s="13" t="s">
        <v>1816</v>
      </c>
      <c r="X18" t="s">
        <v>4081</v>
      </c>
      <c r="Y18" t="str">
        <f t="shared" si="3"/>
        <v xml:space="preserve">    bias_ti: "&lt;a href=\"09_glossary.html#bias\" target=\"_blank\" data-bs-toggle=\"tooltip\" data-bs-title=\"Bias: A skewed or altered perspective. Biased data refers to data that may be inaccurate or unevenly portrayed (usually in favour of specific variables) and is therefore not as robust.' ({{ rtxt_kemp_et_al_2022 }}).\"&gt;&lt;button type=\"button\" class=\"btn btn-bd-tip-info-hidden btn-sm position-relative\"&gt;.&lt;span class=\"position-absolute top-0 start-100 translate-middle\"&gt;{{ icon_info }}&lt;/span&gt;&lt;/button&gt;&lt;/a&gt;"</v>
      </c>
    </row>
    <row r="19" spans="1:26">
      <c r="A19" s="30"/>
      <c r="B19" s="30"/>
      <c r="C19" s="30" t="s">
        <v>0</v>
      </c>
      <c r="D19" s="73" t="s">
        <v>984</v>
      </c>
      <c r="E19" s="30"/>
      <c r="F19" s="30"/>
      <c r="G19" s="30" t="s">
        <v>651</v>
      </c>
      <c r="H19" s="30"/>
      <c r="I19" s="30" t="s">
        <v>778</v>
      </c>
      <c r="J19" s="40" t="str">
        <f t="shared" si="0"/>
        <v>biodiversity</v>
      </c>
      <c r="K19" s="30" t="s">
        <v>628</v>
      </c>
      <c r="L19" s="34" t="str">
        <f>IF(VLOOKUP(J19,find_replace!H:H,1,"false")=J19,"TRUE","FALSE")</f>
        <v>TRUE</v>
      </c>
      <c r="M19" s="54" t="s">
        <v>1321</v>
      </c>
      <c r="N19" s="54" t="s">
        <v>1276</v>
      </c>
      <c r="O19" s="60" t="str">
        <f t="shared" si="1"/>
        <v xml:space="preserve">    term_biodiversity: "Biodiversity"</v>
      </c>
      <c r="P19" s="39" t="str">
        <f t="shared" si="2"/>
        <v xml:space="preserve">    def_biodiversity: "The variation of life in the natural world. In the context of this guide, biodiversity refers to the variety of different wildlife species found in an area.' ({{ rtxt_kemp_et_al_2022 }})."</v>
      </c>
      <c r="Q19" s="30"/>
      <c r="R19" s="30"/>
      <c r="S19" s="30"/>
      <c r="T19" s="30"/>
      <c r="U19" s="76" t="s">
        <v>895</v>
      </c>
      <c r="V19" t="s">
        <v>896</v>
      </c>
      <c r="W19" s="13" t="s">
        <v>1816</v>
      </c>
      <c r="X19" t="s">
        <v>4081</v>
      </c>
      <c r="Y19" t="str">
        <f t="shared" si="3"/>
        <v xml:space="preserve">    biodiversity_ti: "&lt;a href=\"09_glossary.html#biodiversity\" target=\"_blank\" data-bs-toggle=\"tooltip\" data-bs-title=\"Biodiversity: The variation of life in the natural world. In the context of this guide, biodiversity refers to the variety of different wildlife species found in an area.' ({{ rtxt_kemp_et_al_2022 }}).\"&gt;&lt;button type=\"button\" class=\"btn btn-bd-tip-info-hidden btn-sm position-relative\"&gt;.&lt;span class=\"position-absolute top-0 start-100 translate-middle\"&gt;{{ icon_info }}&lt;/span&gt;&lt;/button&gt;&lt;/a&gt;"</v>
      </c>
    </row>
    <row r="20" spans="1:26" ht="15.75">
      <c r="A20" s="95"/>
      <c r="B20" s="95"/>
      <c r="C20" s="30" t="s">
        <v>0</v>
      </c>
      <c r="D20" s="73" t="s">
        <v>984</v>
      </c>
      <c r="E20" s="95"/>
      <c r="F20" s="2"/>
      <c r="G20" s="30" t="s">
        <v>651</v>
      </c>
      <c r="H20" s="95"/>
      <c r="I20" s="31" t="s">
        <v>4680</v>
      </c>
      <c r="J20" s="40" t="str">
        <f t="shared" si="0"/>
        <v>obj_vital_rate_birth</v>
      </c>
      <c r="K20" s="2" t="s">
        <v>4676</v>
      </c>
      <c r="L20" s="34" t="e">
        <f>IF(VLOOKUP(J20,find_replace!H:H,1,"false")=J20,"TRUE","FALSE")</f>
        <v>#N/A</v>
      </c>
      <c r="M20" s="98" t="s">
        <v>4683</v>
      </c>
      <c r="N20" s="151" t="s">
        <v>5939</v>
      </c>
      <c r="O20" s="60" t="str">
        <f t="shared" si="1"/>
        <v xml:space="preserve">    term_obj_vital_rate_birth: "Birth rate"</v>
      </c>
      <c r="P20" s="39" t="str">
        <f t="shared" si="2"/>
        <v xml:space="preserve">    def_obj_vital_rate_birth: "The average number of offspring produced per individual per unit time.' ({{ rtxt_nbckc_2024a }})"</v>
      </c>
      <c r="Q20" s="95"/>
      <c r="R20" s="95"/>
      <c r="S20" s="95"/>
      <c r="T20" s="95"/>
      <c r="U20" s="76" t="s">
        <v>895</v>
      </c>
      <c r="V20" t="s">
        <v>896</v>
      </c>
      <c r="W20" s="13" t="s">
        <v>1816</v>
      </c>
      <c r="X20" t="s">
        <v>4081</v>
      </c>
      <c r="Y20" t="str">
        <f t="shared" si="3"/>
        <v xml:space="preserve">    obj_vital_rate_birth_ti: "&lt;a href=\"09_glossary.html#obj_vital_rate_birth\" target=\"_blank\" data-bs-toggle=\"tooltip\" data-bs-title=\"Birth rate: The average number of offspring produced per individual per unit time.' ({{ rtxt_nbckc_2024a }})\"&gt;&lt;button type=\"button\" class=\"btn btn-bd-tip-info-hidden btn-sm position-relative\"&gt;.&lt;span class=\"position-absolute top-0 start-100 translate-middle\"&gt;{{ icon_info }}&lt;/span&gt;&lt;/button&gt;&lt;/a&gt;"</v>
      </c>
      <c r="Z20" s="2"/>
    </row>
    <row r="21" spans="1:26">
      <c r="A21" s="30"/>
      <c r="B21" s="30">
        <v>11</v>
      </c>
      <c r="C21" s="30" t="s">
        <v>429</v>
      </c>
      <c r="D21" s="73" t="s">
        <v>984</v>
      </c>
      <c r="E21" s="40" t="s">
        <v>475</v>
      </c>
      <c r="F21" s="30" t="s">
        <v>897</v>
      </c>
      <c r="G21" s="30" t="s">
        <v>767</v>
      </c>
      <c r="H21" s="30" t="s">
        <v>544</v>
      </c>
      <c r="I21" s="40" t="s">
        <v>1226</v>
      </c>
      <c r="J21" s="40" t="str">
        <f t="shared" si="0"/>
        <v>cam_active_on_arrival</v>
      </c>
      <c r="K21" s="40" t="s">
        <v>733</v>
      </c>
      <c r="L21" s="34" t="str">
        <f>IF(VLOOKUP(J21,find_replace!H:H,1,"false")=J21,"TRUE","FALSE")</f>
        <v>TRUE</v>
      </c>
      <c r="M21" s="73" t="s">
        <v>338</v>
      </c>
      <c r="N21" s="73" t="s">
        <v>338</v>
      </c>
      <c r="O21" s="60" t="str">
        <f t="shared" si="1"/>
        <v xml:space="preserve">    term_cam_active_on_arrival: "Camera Active On Arrival"</v>
      </c>
      <c r="P21" s="39" t="str">
        <f t="shared" si="2"/>
        <v xml:space="preserve">    def_cam_active_on_arrival: "Whether a camera was functional upon arrival."</v>
      </c>
      <c r="Q21" s="40"/>
      <c r="R21" s="74" t="b">
        <v>0</v>
      </c>
      <c r="S21" s="77" t="b">
        <v>1</v>
      </c>
      <c r="T21" s="77" t="b">
        <v>1</v>
      </c>
      <c r="U21" s="76" t="s">
        <v>895</v>
      </c>
      <c r="V21" t="s">
        <v>896</v>
      </c>
      <c r="W21" s="13" t="s">
        <v>1816</v>
      </c>
      <c r="X21" t="s">
        <v>4081</v>
      </c>
      <c r="Y21" t="str">
        <f t="shared" si="3"/>
        <v xml:space="preserve">    cam_active_on_arrival_ti: "&lt;a href=\"09_glossary.html#cam_active_on_arrival\" target=\"_blank\" data-bs-toggle=\"tooltip\" data-bs-title=\"Camera Active On Arrival: Whether a camera was functional upon arrival.\"&gt;&lt;button type=\"button\" class=\"btn btn-bd-tip-info-hidden btn-sm position-relative\"&gt;.&lt;span class=\"position-absolute top-0 start-100 translate-middle\"&gt;{{ icon_info }}&lt;/span&gt;&lt;/button&gt;&lt;/a&gt;"</v>
      </c>
    </row>
    <row r="22" spans="1:26">
      <c r="A22" s="30"/>
      <c r="B22" s="30">
        <v>12</v>
      </c>
      <c r="C22" s="30" t="s">
        <v>429</v>
      </c>
      <c r="D22" s="73" t="s">
        <v>984</v>
      </c>
      <c r="E22" s="40" t="s">
        <v>476</v>
      </c>
      <c r="F22" s="30" t="s">
        <v>897</v>
      </c>
      <c r="G22" s="30" t="s">
        <v>767</v>
      </c>
      <c r="H22" s="30" t="s">
        <v>544</v>
      </c>
      <c r="I22" s="40" t="s">
        <v>1227</v>
      </c>
      <c r="J22" s="40" t="str">
        <f t="shared" si="0"/>
        <v>cam_active_on_departure</v>
      </c>
      <c r="K22" s="40" t="s">
        <v>734</v>
      </c>
      <c r="L22" s="34" t="str">
        <f>IF(VLOOKUP(J22,find_replace!H:H,1,"false")=J22,"TRUE","FALSE")</f>
        <v>TRUE</v>
      </c>
      <c r="M22" s="73" t="s">
        <v>337</v>
      </c>
      <c r="N22" s="73" t="s">
        <v>337</v>
      </c>
      <c r="O22" s="60" t="str">
        <f t="shared" si="1"/>
        <v xml:space="preserve">    term_cam_active_on_departure: "Camera Active On Departure"</v>
      </c>
      <c r="P22" s="39" t="str">
        <f t="shared" si="2"/>
        <v xml:space="preserve">    def_cam_active_on_departure: "Whether a camera was functional upon departure."</v>
      </c>
      <c r="Q22" s="40"/>
      <c r="R22" s="74" t="b">
        <v>0</v>
      </c>
      <c r="S22" s="77" t="b">
        <v>1</v>
      </c>
      <c r="T22" s="77" t="b">
        <v>1</v>
      </c>
      <c r="U22" s="76" t="s">
        <v>895</v>
      </c>
      <c r="V22" t="s">
        <v>896</v>
      </c>
      <c r="W22" s="13" t="s">
        <v>1816</v>
      </c>
      <c r="X22" t="s">
        <v>4081</v>
      </c>
      <c r="Y22" t="str">
        <f t="shared" si="3"/>
        <v xml:space="preserve">    cam_active_on_departure_ti: "&lt;a href=\"09_glossary.html#cam_active_on_departure\" target=\"_blank\" data-bs-toggle=\"tooltip\" data-bs-title=\"Camera Active On Departure: Whether a camera was functional upon departure.\"&gt;&lt;button type=\"button\" class=\"btn btn-bd-tip-info-hidden btn-sm position-relative\"&gt;.&lt;span class=\"position-absolute top-0 start-100 translate-middle\"&gt;{{ icon_info }}&lt;/span&gt;&lt;/button&gt;&lt;/a&gt;"</v>
      </c>
    </row>
    <row r="23" spans="1:26">
      <c r="A23" s="30"/>
      <c r="B23" s="30">
        <v>13</v>
      </c>
      <c r="C23" s="30" t="s">
        <v>0</v>
      </c>
      <c r="D23" s="73" t="s">
        <v>984</v>
      </c>
      <c r="E23" s="34" t="s">
        <v>233</v>
      </c>
      <c r="F23" s="30"/>
      <c r="G23" s="30" t="s">
        <v>767</v>
      </c>
      <c r="H23" s="30" t="s">
        <v>543</v>
      </c>
      <c r="I23" s="40" t="s">
        <v>1228</v>
      </c>
      <c r="J23" s="40" t="str">
        <f t="shared" si="0"/>
        <v>cam_angle</v>
      </c>
      <c r="K23" s="34" t="s">
        <v>233</v>
      </c>
      <c r="L23" s="34" t="str">
        <f>IF(VLOOKUP(J23,find_replace!H:H,1,"false")=J23,"TRUE","FALSE")</f>
        <v>TRUE</v>
      </c>
      <c r="M23" s="73" t="s">
        <v>232</v>
      </c>
      <c r="N23" s="73" t="s">
        <v>232</v>
      </c>
      <c r="O23" s="60" t="str">
        <f t="shared" si="1"/>
        <v xml:space="preserve">    term_cam_angle: "Camera angle"</v>
      </c>
      <c r="P23" s="39" t="str">
        <f t="shared" si="2"/>
        <v xml:space="preserve">    def_cam_angle: "The degree at which the camera is pointed toward the FOV Target Feature relative to the horizontal ground surface (with respect to slope, if applicable)."</v>
      </c>
      <c r="Q23" s="40"/>
      <c r="R23" s="74" t="s">
        <v>51</v>
      </c>
      <c r="S23" s="75" t="b">
        <v>0</v>
      </c>
      <c r="T23" s="77" t="b">
        <v>1</v>
      </c>
      <c r="U23" s="76" t="s">
        <v>895</v>
      </c>
      <c r="V23" t="s">
        <v>896</v>
      </c>
      <c r="W23" s="13" t="s">
        <v>1816</v>
      </c>
      <c r="X23" t="s">
        <v>4081</v>
      </c>
      <c r="Y23" t="str">
        <f t="shared" si="3"/>
        <v xml:space="preserve">    cam_angle_ti: "&lt;a href=\"09_glossary.html#cam_angle\" target=\"_blank\" data-bs-toggle=\"tooltip\" data-bs-title=\"Camera angle: The degree at which the camera is pointed toward the FOV Target Feature relative to the horizontal ground surface (with respect to slope, if applicable).\"&gt;&lt;button type=\"button\" class=\"btn btn-bd-tip-info-hidden btn-sm position-relative\"&gt;.&lt;span class=\"position-absolute top-0 start-100 translate-middle\"&gt;{{ icon_info }}&lt;/span&gt;&lt;/button&gt;&lt;/a&gt;"</v>
      </c>
    </row>
    <row r="24" spans="1:26">
      <c r="A24" s="30"/>
      <c r="B24" s="30">
        <v>14</v>
      </c>
      <c r="C24" s="30" t="s">
        <v>429</v>
      </c>
      <c r="D24" s="73" t="s">
        <v>984</v>
      </c>
      <c r="E24" s="40" t="s">
        <v>477</v>
      </c>
      <c r="F24" s="30" t="s">
        <v>897</v>
      </c>
      <c r="G24" s="30" t="s">
        <v>767</v>
      </c>
      <c r="H24" s="30" t="s">
        <v>543</v>
      </c>
      <c r="I24" s="40" t="s">
        <v>1229</v>
      </c>
      <c r="J24" s="40" t="str">
        <f t="shared" si="0"/>
        <v>cam_attachment</v>
      </c>
      <c r="K24" s="40" t="s">
        <v>735</v>
      </c>
      <c r="L24" s="34" t="str">
        <f>IF(VLOOKUP(J24,find_replace!H:H,1,"false")=J24,"TRUE","FALSE")</f>
        <v>TRUE</v>
      </c>
      <c r="M24" s="73" t="s">
        <v>407</v>
      </c>
      <c r="N24" s="73" t="s">
        <v>407</v>
      </c>
      <c r="O24" s="60" t="str">
        <f t="shared" si="1"/>
        <v xml:space="preserve">    term_cam_attachment: "Camera Attachment"</v>
      </c>
      <c r="P24" s="39" t="str">
        <f t="shared" si="2"/>
        <v xml:space="preserve">    def_cam_attachment: "The method*/tools used to attach the camera (e.g., attached to a tree with a bungee cord; reported as codes such as 'Tree + Bungee*/Strap'). If 'Other,' describe in the Camera Location Comments."</v>
      </c>
      <c r="Q24" s="40" t="b">
        <v>1</v>
      </c>
      <c r="R24" s="74" t="b">
        <v>0</v>
      </c>
      <c r="S24" s="77" t="b">
        <v>1</v>
      </c>
      <c r="T24" s="77" t="b">
        <v>1</v>
      </c>
      <c r="U24" s="76" t="s">
        <v>895</v>
      </c>
      <c r="V24" t="s">
        <v>896</v>
      </c>
      <c r="W24" s="13" t="s">
        <v>1816</v>
      </c>
      <c r="X24" t="s">
        <v>4081</v>
      </c>
      <c r="Y24" t="str">
        <f t="shared" si="3"/>
        <v xml:space="preserve">    cam_attachment_ti: "&lt;a href=\"09_glossary.html#cam_attachment\" target=\"_blank\" data-bs-toggle=\"tooltip\" data-bs-title=\"Camera Attachment: The method*/tools used to attach the camera (e.g., attached to a tree with a bungee cord; reported as codes such as 'Tree + Bungee*/Strap'). If 'Other,' describe in the Camera Location Comments.\"&gt;&lt;button type=\"button\" class=\"btn btn-bd-tip-info-hidden btn-sm position-relative\"&gt;.&lt;span class=\"position-absolute top-0 start-100 translate-middle\"&gt;{{ icon_info }}&lt;/span&gt;&lt;/button&gt;&lt;/a&gt;"</v>
      </c>
    </row>
    <row r="25" spans="1:26">
      <c r="A25" s="30"/>
      <c r="B25" s="30">
        <v>15</v>
      </c>
      <c r="C25" s="30" t="s">
        <v>429</v>
      </c>
      <c r="D25" s="73" t="s">
        <v>984</v>
      </c>
      <c r="E25" s="40" t="s">
        <v>478</v>
      </c>
      <c r="F25" s="30" t="s">
        <v>897</v>
      </c>
      <c r="G25" s="30" t="s">
        <v>767</v>
      </c>
      <c r="H25" s="30" t="s">
        <v>544</v>
      </c>
      <c r="I25" s="40" t="s">
        <v>1230</v>
      </c>
      <c r="J25" s="40" t="str">
        <f t="shared" si="0"/>
        <v>cam_damaged</v>
      </c>
      <c r="K25" s="40" t="s">
        <v>736</v>
      </c>
      <c r="L25" s="34" t="str">
        <f>IF(VLOOKUP(J25,find_replace!H:H,1,"false")=J25,"TRUE","FALSE")</f>
        <v>TRUE</v>
      </c>
      <c r="M25" s="73" t="s">
        <v>336</v>
      </c>
      <c r="N25" s="73" t="s">
        <v>336</v>
      </c>
      <c r="O25" s="60" t="str">
        <f t="shared" si="1"/>
        <v xml:space="preserve">    term_cam_damaged: "Camera Damaged"</v>
      </c>
      <c r="P25" s="39" t="str">
        <f t="shared" si="2"/>
        <v xml:space="preserve">    def_cam_damaged: "Whether the camera was damaged or malfunctioning; if there is any damage to the device (physical or mechanical), the crew should describe the damage in the Service*/Retrieval Comments."</v>
      </c>
      <c r="Q25" s="40"/>
      <c r="R25" s="74" t="b">
        <v>0</v>
      </c>
      <c r="S25" s="77" t="b">
        <v>1</v>
      </c>
      <c r="T25" s="77" t="b">
        <v>1</v>
      </c>
      <c r="U25" s="76" t="s">
        <v>895</v>
      </c>
      <c r="V25" t="s">
        <v>896</v>
      </c>
      <c r="W25" s="13" t="s">
        <v>1816</v>
      </c>
      <c r="X25" t="s">
        <v>4081</v>
      </c>
      <c r="Y25" t="str">
        <f t="shared" si="3"/>
        <v xml:space="preserve">    cam_damaged_ti: "&lt;a href=\"09_glossary.html#cam_damaged\" target=\"_blank\" data-bs-toggle=\"tooltip\" data-bs-title=\"Camera Damaged: Whether the camera was damaged or malfunctioning; if there is any damage to the device (physical or mechanical), the crew should describe the damage in the Service*/Retrieval Comments.\"&gt;&lt;button type=\"button\" class=\"btn btn-bd-tip-info-hidden btn-sm position-relative\"&gt;.&lt;span class=\"position-absolute top-0 start-100 translate-middle\"&gt;{{ icon_info }}&lt;/span&gt;&lt;/button&gt;&lt;/a&gt;"</v>
      </c>
    </row>
    <row r="26" spans="1:26">
      <c r="A26" s="30"/>
      <c r="B26" s="30">
        <v>16</v>
      </c>
      <c r="C26" s="30" t="s">
        <v>0</v>
      </c>
      <c r="D26" s="73" t="s">
        <v>984</v>
      </c>
      <c r="E26" s="34" t="s">
        <v>231</v>
      </c>
      <c r="F26" s="30"/>
      <c r="G26" s="30" t="s">
        <v>767</v>
      </c>
      <c r="H26" s="30" t="s">
        <v>540</v>
      </c>
      <c r="I26" s="40" t="s">
        <v>1231</v>
      </c>
      <c r="J26" s="40" t="str">
        <f t="shared" si="0"/>
        <v>cam_days_per_cam_location</v>
      </c>
      <c r="K26" s="34" t="s">
        <v>231</v>
      </c>
      <c r="L26" s="34" t="str">
        <f>IF(VLOOKUP(J26,find_replace!H:H,1,"false")=J26,"TRUE","FALSE")</f>
        <v>TRUE</v>
      </c>
      <c r="M26" s="73" t="s">
        <v>230</v>
      </c>
      <c r="N26" s="73" t="s">
        <v>230</v>
      </c>
      <c r="O26" s="60" t="str">
        <f t="shared" si="1"/>
        <v xml:space="preserve">    term_cam_days_per_cam_location: "Camera days per camera location"</v>
      </c>
      <c r="P26" s="39" t="str">
        <f t="shared" si="2"/>
        <v xml:space="preserve">    def_cam_days_per_cam_location: "The number of days each camera was active and functioning during the period it was deployed (e.g., 24-hour periods or the difference in days between the Deployment Start Date Time and the Deployment End Date Time if there were no interruptions)."</v>
      </c>
      <c r="Q26" s="40"/>
      <c r="R26" s="74" t="s">
        <v>51</v>
      </c>
      <c r="S26" s="75" t="b">
        <v>0</v>
      </c>
      <c r="T26" s="77" t="b">
        <v>1</v>
      </c>
      <c r="U26" s="76" t="s">
        <v>895</v>
      </c>
      <c r="V26" t="s">
        <v>896</v>
      </c>
      <c r="W26" s="13" t="s">
        <v>1816</v>
      </c>
      <c r="X26" t="s">
        <v>4081</v>
      </c>
      <c r="Y26" t="str">
        <f t="shared" si="3"/>
        <v xml:space="preserve">    cam_days_per_cam_location_ti: "&lt;a href=\"09_glossary.html#cam_days_per_cam_location\" target=\"_blank\" data-bs-toggle=\"tooltip\" data-bs-title=\"Camera days per camera location: The number of days each camera was active and functioning during the period it was deployed (e.g., 24-hour periods or the difference in days between the Deployment Start Date Time and the Deployment End Date Time if there were no interruptions).\"&gt;&lt;button type=\"button\" class=\"btn btn-bd-tip-info-hidden btn-sm position-relative\"&gt;.&lt;span class=\"position-absolute top-0 start-100 translate-middle\"&gt;{{ icon_info }}&lt;/span&gt;&lt;/button&gt;&lt;/a&gt;"</v>
      </c>
    </row>
    <row r="27" spans="1:26">
      <c r="A27" s="30"/>
      <c r="B27" s="30">
        <v>17</v>
      </c>
      <c r="C27" s="30" t="s">
        <v>429</v>
      </c>
      <c r="D27" s="73" t="s">
        <v>984</v>
      </c>
      <c r="E27" s="34" t="s">
        <v>479</v>
      </c>
      <c r="F27" s="30" t="s">
        <v>897</v>
      </c>
      <c r="G27" s="30" t="s">
        <v>767</v>
      </c>
      <c r="H27" s="30" t="s">
        <v>543</v>
      </c>
      <c r="I27" s="40" t="s">
        <v>1232</v>
      </c>
      <c r="J27" s="40" t="str">
        <f t="shared" si="0"/>
        <v>cam_direction</v>
      </c>
      <c r="K27" s="34" t="s">
        <v>737</v>
      </c>
      <c r="L27" s="34" t="str">
        <f>IF(VLOOKUP(J27,find_replace!H:H,1,"false")=J27,"TRUE","FALSE")</f>
        <v>TRUE</v>
      </c>
      <c r="M27" s="73" t="s">
        <v>359</v>
      </c>
      <c r="N27" s="73" t="s">
        <v>359</v>
      </c>
      <c r="O27" s="60" t="str">
        <f t="shared" si="1"/>
        <v xml:space="preserve">    term_cam_direction: "Camera Direction (degrees)"</v>
      </c>
      <c r="P27" s="39" t="str">
        <f t="shared" si="2"/>
        <v xml:space="preserve">    def_cam_direction: "The cardinal direction that a camera faces. Ideally, cameras should face north (N; i.e. '0' degrees), or south (S; i.e. '180' degrees) if north is not possible. The Camera Direction should be chosen to ensure the field of view (FOV) is of the original FOV target feature."</v>
      </c>
      <c r="Q27" s="40"/>
      <c r="R27" s="74" t="b">
        <v>0</v>
      </c>
      <c r="S27" s="77" t="b">
        <v>1</v>
      </c>
      <c r="T27" s="77" t="b">
        <v>1</v>
      </c>
      <c r="U27" s="76" t="s">
        <v>895</v>
      </c>
      <c r="V27" t="s">
        <v>896</v>
      </c>
      <c r="W27" s="13" t="s">
        <v>1816</v>
      </c>
      <c r="X27" t="s">
        <v>4081</v>
      </c>
      <c r="Y27" t="str">
        <f t="shared" si="3"/>
        <v xml:space="preserve">    cam_direction_ti: "&lt;a href=\"09_glossary.html#cam_direction\" target=\"_blank\" data-bs-toggle=\"tooltip\" data-bs-title=\"Camera Direction (degrees): The cardinal direction that a camera faces. Ideally, cameras should face north (N; i.e. '0' degrees), or south (S; i.e. '180' degrees) if north is not possible. The Camera Direction should be chosen to ensure the field of view (FOV) is of the original FOV target feature.\"&gt;&lt;button type=\"button\" class=\"btn btn-bd-tip-info-hidden btn-sm position-relative\"&gt;.&lt;span class=\"position-absolute top-0 start-100 translate-middle\"&gt;{{ icon_info }}&lt;/span&gt;&lt;/button&gt;&lt;/a&gt;"</v>
      </c>
    </row>
    <row r="28" spans="1:26">
      <c r="A28" s="30"/>
      <c r="B28" s="30">
        <v>18</v>
      </c>
      <c r="C28" s="30" t="s">
        <v>429</v>
      </c>
      <c r="D28" s="73" t="s">
        <v>984</v>
      </c>
      <c r="E28" s="40" t="s">
        <v>4145</v>
      </c>
      <c r="F28" s="30" t="s">
        <v>897</v>
      </c>
      <c r="G28" s="30" t="s">
        <v>767</v>
      </c>
      <c r="H28" s="30" t="s">
        <v>543</v>
      </c>
      <c r="I28" s="40" t="s">
        <v>1233</v>
      </c>
      <c r="J28" s="40" t="str">
        <f t="shared" si="0"/>
        <v>cam_height</v>
      </c>
      <c r="K28" s="40" t="s">
        <v>1398</v>
      </c>
      <c r="L28" s="34" t="str">
        <f>IF(VLOOKUP(J28,find_replace!H:H,1,"false")=J28,"TRUE","FALSE")</f>
        <v>TRUE</v>
      </c>
      <c r="M28" s="73" t="s">
        <v>298</v>
      </c>
      <c r="N28" s="73" t="s">
        <v>298</v>
      </c>
      <c r="O28" s="60" t="str">
        <f t="shared" si="1"/>
        <v xml:space="preserve">    term_cam_height: "Camera Height (m)"</v>
      </c>
      <c r="P28" s="39" t="str">
        <f t="shared" si="2"/>
        <v xml:space="preserve">    def_cam_height: "The height from the ground (below snow) to the bottom of the lens (metres; to the nearest 0.05 m)."</v>
      </c>
      <c r="Q28" s="40"/>
      <c r="R28" s="74" t="b">
        <v>1</v>
      </c>
      <c r="S28" s="77" t="b">
        <v>1</v>
      </c>
      <c r="T28" s="77" t="b">
        <v>1</v>
      </c>
      <c r="U28" s="76" t="s">
        <v>895</v>
      </c>
      <c r="V28" t="s">
        <v>896</v>
      </c>
      <c r="W28" s="13" t="s">
        <v>1816</v>
      </c>
      <c r="X28" t="s">
        <v>4081</v>
      </c>
      <c r="Y28" t="str">
        <f t="shared" si="3"/>
        <v xml:space="preserve">    cam_height_ti: "&lt;a href=\"09_glossary.html#cam_height\" target=\"_blank\" data-bs-toggle=\"tooltip\" data-bs-title=\"Camera Height (m): The height from the ground (below snow) to the bottom of the lens (metres; to the nearest 0.05 m).\"&gt;&lt;button type=\"button\" class=\"btn btn-bd-tip-info-hidden btn-sm position-relative\"&gt;.&lt;span class=\"position-absolute top-0 start-100 translate-middle\"&gt;{{ icon_info }}&lt;/span&gt;&lt;/button&gt;&lt;/a&gt;"</v>
      </c>
    </row>
    <row r="29" spans="1:26">
      <c r="A29" s="30"/>
      <c r="B29" s="30">
        <v>19</v>
      </c>
      <c r="C29" s="30" t="s">
        <v>429</v>
      </c>
      <c r="D29" s="73" t="s">
        <v>984</v>
      </c>
      <c r="E29" s="40" t="s">
        <v>4126</v>
      </c>
      <c r="F29" s="30" t="s">
        <v>897</v>
      </c>
      <c r="G29" s="30" t="s">
        <v>767</v>
      </c>
      <c r="H29" s="30" t="s">
        <v>544</v>
      </c>
      <c r="I29" s="40" t="s">
        <v>1234</v>
      </c>
      <c r="J29" s="40" t="str">
        <f t="shared" si="0"/>
        <v>cam_id</v>
      </c>
      <c r="K29" s="40" t="s">
        <v>682</v>
      </c>
      <c r="L29" s="34" t="str">
        <f>IF(VLOOKUP(J29,find_replace!H:H,1,"false")=J29,"TRUE","FALSE")</f>
        <v>TRUE</v>
      </c>
      <c r="M29" s="73" t="s">
        <v>297</v>
      </c>
      <c r="N29" s="73" t="s">
        <v>297</v>
      </c>
      <c r="O29" s="60" t="str">
        <f t="shared" si="1"/>
        <v xml:space="preserve">    term_cam_id: "Camera ID"</v>
      </c>
      <c r="P29" s="39" t="str">
        <f t="shared" si="2"/>
        <v xml:space="preserve">    def_cam_id: "A unique alphanumeric ID for the camera that distinguishes it from other cameras of the same make or model."</v>
      </c>
      <c r="Q29" s="40"/>
      <c r="R29" s="74" t="b">
        <v>1</v>
      </c>
      <c r="S29" s="77" t="b">
        <v>1</v>
      </c>
      <c r="T29" s="77" t="b">
        <v>1</v>
      </c>
      <c r="U29" s="76" t="s">
        <v>895</v>
      </c>
      <c r="V29" t="s">
        <v>896</v>
      </c>
      <c r="W29" s="13" t="s">
        <v>1816</v>
      </c>
      <c r="X29" t="s">
        <v>4081</v>
      </c>
      <c r="Y29" t="str">
        <f t="shared" si="3"/>
        <v xml:space="preserve">    cam_id_ti: "&lt;a href=\"09_glossary.html#cam_id\" target=\"_blank\" data-bs-toggle=\"tooltip\" data-bs-title=\"Camera ID: A unique alphanumeric ID for the camera that distinguishes it from other cameras of the same make or model.\"&gt;&lt;button type=\"button\" class=\"btn btn-bd-tip-info-hidden btn-sm position-relative\"&gt;.&lt;span class=\"position-absolute top-0 start-100 translate-middle\"&gt;{{ icon_info }}&lt;/span&gt;&lt;/button&gt;&lt;/a&gt;"</v>
      </c>
    </row>
    <row r="30" spans="1:26">
      <c r="A30" s="30"/>
      <c r="B30" s="30">
        <v>20</v>
      </c>
      <c r="C30" s="30" t="s">
        <v>0</v>
      </c>
      <c r="D30" s="73" t="s">
        <v>984</v>
      </c>
      <c r="E30" s="34" t="s">
        <v>229</v>
      </c>
      <c r="F30" s="30"/>
      <c r="G30" s="30" t="s">
        <v>767</v>
      </c>
      <c r="H30" s="30" t="s">
        <v>547</v>
      </c>
      <c r="I30" s="40" t="s">
        <v>1235</v>
      </c>
      <c r="J30" s="40" t="str">
        <f t="shared" si="0"/>
        <v>cam_location</v>
      </c>
      <c r="K30" s="34" t="s">
        <v>229</v>
      </c>
      <c r="L30" s="34" t="str">
        <f>IF(VLOOKUP(J30,find_replace!H:H,1,"false")=J30,"TRUE","FALSE")</f>
        <v>TRUE</v>
      </c>
      <c r="M30" s="73" t="s">
        <v>360</v>
      </c>
      <c r="N30" s="73" t="s">
        <v>360</v>
      </c>
      <c r="O30" s="60" t="str">
        <f t="shared" si="1"/>
        <v xml:space="preserve">    term_cam_location: "Camera location"</v>
      </c>
      <c r="P30" s="39" t="str">
        <f t="shared" si="2"/>
        <v xml:space="preserve">    def_cam_location: "The location where a single camera was placed (recorded as 'Camera Location Name')."</v>
      </c>
      <c r="Q30" s="40"/>
      <c r="R30" s="74" t="s">
        <v>51</v>
      </c>
      <c r="S30" s="77" t="b">
        <v>1</v>
      </c>
      <c r="T30" s="77" t="b">
        <v>1</v>
      </c>
      <c r="U30" s="76" t="s">
        <v>895</v>
      </c>
      <c r="V30" t="s">
        <v>896</v>
      </c>
      <c r="W30" s="13" t="s">
        <v>1816</v>
      </c>
      <c r="X30" t="s">
        <v>4081</v>
      </c>
      <c r="Y30" t="str">
        <f t="shared" si="3"/>
        <v xml:space="preserve">    cam_location_ti: "&lt;a href=\"09_glossary.html#cam_location\" target=\"_blank\" data-bs-toggle=\"tooltip\" data-bs-title=\"Camera location: The location where a single camera was placed (recorded as 'Camera Location Name').\"&gt;&lt;button type=\"button\" class=\"btn btn-bd-tip-info-hidden btn-sm position-relative\"&gt;.&lt;span class=\"position-absolute top-0 start-100 translate-middle\"&gt;{{ icon_info }}&lt;/span&gt;&lt;/button&gt;&lt;/a&gt;"</v>
      </c>
    </row>
    <row r="31" spans="1:26">
      <c r="A31" s="30"/>
      <c r="B31" s="30">
        <v>21</v>
      </c>
      <c r="C31" s="30" t="s">
        <v>429</v>
      </c>
      <c r="D31" s="73" t="s">
        <v>984</v>
      </c>
      <c r="E31" s="40" t="s">
        <v>480</v>
      </c>
      <c r="F31" s="30" t="s">
        <v>897</v>
      </c>
      <c r="G31" s="30" t="s">
        <v>767</v>
      </c>
      <c r="H31" s="30" t="s">
        <v>547</v>
      </c>
      <c r="I31" s="40" t="s">
        <v>1236</v>
      </c>
      <c r="J31" s="40" t="str">
        <f t="shared" si="0"/>
        <v>cam_location_characteristics</v>
      </c>
      <c r="K31" s="40" t="s">
        <v>738</v>
      </c>
      <c r="L31" s="34" t="str">
        <f>IF(VLOOKUP(J31,find_replace!H:H,1,"false")=J31,"TRUE","FALSE")</f>
        <v>TRUE</v>
      </c>
      <c r="M31" s="73" t="s">
        <v>824</v>
      </c>
      <c r="N31" s="73" t="s">
        <v>824</v>
      </c>
      <c r="O31" s="60" t="str">
        <f t="shared" si="1"/>
        <v xml:space="preserve">    term_cam_location_characteristics: "Camera Location Characteristic(s)"</v>
      </c>
      <c r="P31" s="39" t="str">
        <f t="shared" si="2"/>
        <v xml:space="preserve">    def_cam_location_characteristics: "Any significant features around the camera at the time of the visit. This may include for example, manmade or natural linear features (e.g., trails), habitat types (e.g., wetlands), wildlife structure (e.g., beaver dam). If 'Other,' describe in the Camera Location Comments. &lt;br&gt;&lt;br&gt;Camera Location Characteristics differ from FOV Target Features in that Camera Location Characteristics could include those not in the camera's Field of View. If 'Other,' describe in the Camera Location Comments."</v>
      </c>
      <c r="Q31" s="40" t="b">
        <v>1</v>
      </c>
      <c r="R31" s="74" t="b">
        <v>0</v>
      </c>
      <c r="S31" s="77" t="b">
        <v>1</v>
      </c>
      <c r="T31" s="77" t="b">
        <v>1</v>
      </c>
      <c r="U31" s="76" t="s">
        <v>895</v>
      </c>
      <c r="V31" t="s">
        <v>896</v>
      </c>
      <c r="W31" s="13" t="s">
        <v>1816</v>
      </c>
      <c r="X31" t="s">
        <v>4081</v>
      </c>
      <c r="Y31" t="str">
        <f t="shared" si="3"/>
        <v xml:space="preserve">    cam_location_characteristics_ti: "&lt;a href=\"09_glossary.html#cam_location_characteristics\" target=\"_blank\" data-bs-toggle=\"tooltip\" data-bs-title=\"Camera Location Characteristic(s): Any significant features around the camera at the time of the visit. This may include for example, manmade or natural linear features (e.g., trails), habitat types (e.g., wetlands), wildlife structure (e.g., beaver dam). If 'Other,' describe in the Camera Location Comments. &lt;br&gt;&lt;br&gt;Camera Location Characteristics differ from FOV Target Features in that Camera Location Characteristics could include those not in the camera's Field of View. If 'Other,' describe in the Camera Location Comments.\"&gt;&lt;button type=\"button\" class=\"btn btn-bd-tip-info-hidden btn-sm position-relative\"&gt;.&lt;span class=\"position-absolute top-0 start-100 translate-middle\"&gt;{{ icon_info }}&lt;/span&gt;&lt;/button&gt;&lt;/a&gt;"</v>
      </c>
    </row>
    <row r="32" spans="1:26">
      <c r="A32" s="30"/>
      <c r="B32" s="30">
        <v>22</v>
      </c>
      <c r="C32" s="30" t="s">
        <v>429</v>
      </c>
      <c r="D32" s="73" t="s">
        <v>984</v>
      </c>
      <c r="E32" s="40" t="s">
        <v>481</v>
      </c>
      <c r="F32" s="30" t="s">
        <v>897</v>
      </c>
      <c r="G32" s="30" t="s">
        <v>767</v>
      </c>
      <c r="H32" s="30" t="s">
        <v>547</v>
      </c>
      <c r="I32" s="40" t="s">
        <v>1237</v>
      </c>
      <c r="J32" s="40" t="str">
        <f t="shared" si="0"/>
        <v>cam_location_comments</v>
      </c>
      <c r="K32" s="40" t="s">
        <v>739</v>
      </c>
      <c r="L32" s="34" t="str">
        <f>IF(VLOOKUP(J32,find_replace!H:H,1,"false")=J32,"TRUE","FALSE")</f>
        <v>TRUE</v>
      </c>
      <c r="M32" s="73" t="s">
        <v>335</v>
      </c>
      <c r="N32" s="73" t="s">
        <v>335</v>
      </c>
      <c r="O32" s="60" t="str">
        <f t="shared" si="1"/>
        <v xml:space="preserve">    term_cam_location_comments: "Camera Location Comments"</v>
      </c>
      <c r="P32" s="39" t="str">
        <f t="shared" si="2"/>
        <v xml:space="preserve">    def_cam_location_comments: "Comments describing additional details about a camera location."</v>
      </c>
      <c r="Q32" s="40"/>
      <c r="R32" s="74" t="b">
        <v>0</v>
      </c>
      <c r="S32" s="77" t="b">
        <v>1</v>
      </c>
      <c r="T32" s="77" t="b">
        <v>1</v>
      </c>
      <c r="U32" s="76" t="s">
        <v>895</v>
      </c>
      <c r="V32" t="s">
        <v>896</v>
      </c>
      <c r="W32" s="13" t="s">
        <v>1816</v>
      </c>
      <c r="X32" t="s">
        <v>4081</v>
      </c>
      <c r="Y32" t="str">
        <f t="shared" si="3"/>
        <v xml:space="preserve">    cam_location_comments_ti: "&lt;a href=\"09_glossary.html#cam_location_comments\" target=\"_blank\" data-bs-toggle=\"tooltip\" data-bs-title=\"Camera Location Comments: Comments describing additional details about a camera location.\"&gt;&lt;button type=\"button\" class=\"btn btn-bd-tip-info-hidden btn-sm position-relative\"&gt;.&lt;span class=\"position-absolute top-0 start-100 translate-middle\"&gt;{{ icon_info }}&lt;/span&gt;&lt;/button&gt;&lt;/a&gt;"</v>
      </c>
    </row>
    <row r="33" spans="1:25">
      <c r="A33" s="30"/>
      <c r="B33" s="30">
        <v>23</v>
      </c>
      <c r="C33" s="30" t="s">
        <v>429</v>
      </c>
      <c r="D33" s="73" t="s">
        <v>984</v>
      </c>
      <c r="E33" s="40" t="s">
        <v>4132</v>
      </c>
      <c r="F33" s="30" t="s">
        <v>897</v>
      </c>
      <c r="G33" s="30" t="s">
        <v>767</v>
      </c>
      <c r="H33" s="30" t="s">
        <v>547</v>
      </c>
      <c r="I33" s="40" t="s">
        <v>1238</v>
      </c>
      <c r="J33" s="40" t="str">
        <f t="shared" si="0"/>
        <v>cam_location_name</v>
      </c>
      <c r="K33" s="40" t="s">
        <v>683</v>
      </c>
      <c r="L33" s="34" t="str">
        <f>IF(VLOOKUP(J33,find_replace!H:H,1,"false")=J33,"TRUE","FALSE")</f>
        <v>TRUE</v>
      </c>
      <c r="M33" s="73" t="s">
        <v>361</v>
      </c>
      <c r="N33" s="73" t="s">
        <v>361</v>
      </c>
      <c r="O33" s="60" t="str">
        <f t="shared" si="1"/>
        <v xml:space="preserve">    term_cam_location_name: "Camera Location Name"</v>
      </c>
      <c r="P33" s="39" t="str">
        <f t="shared" si="2"/>
        <v xml:space="preserve">    def_cam_location_name: "A unique alphanumeric identifier for the location where a single camera was placed (e.g., 'bh1,' 'bh2')."</v>
      </c>
      <c r="Q33" s="40"/>
      <c r="R33" s="74" t="b">
        <v>1</v>
      </c>
      <c r="S33" s="77" t="b">
        <v>1</v>
      </c>
      <c r="T33" s="77" t="b">
        <v>1</v>
      </c>
      <c r="U33" s="76" t="s">
        <v>895</v>
      </c>
      <c r="V33" t="s">
        <v>896</v>
      </c>
      <c r="W33" s="13" t="s">
        <v>1816</v>
      </c>
      <c r="X33" t="s">
        <v>4081</v>
      </c>
      <c r="Y33" t="str">
        <f t="shared" si="3"/>
        <v xml:space="preserve">    cam_location_name_ti: "&lt;a href=\"09_glossary.html#cam_location_name\" target=\"_blank\" data-bs-toggle=\"tooltip\" data-bs-title=\"Camera Location Name: A unique alphanumeric identifier for the location where a single camera was placed (e.g., 'bh1,' 'bh2').\"&gt;&lt;button type=\"button\" class=\"btn btn-bd-tip-info-hidden btn-sm position-relative\"&gt;.&lt;span class=\"position-absolute top-0 start-100 translate-middle\"&gt;{{ icon_info }}&lt;/span&gt;&lt;/button&gt;&lt;/a&gt;"</v>
      </c>
    </row>
    <row r="34" spans="1:25">
      <c r="A34" s="30"/>
      <c r="B34" s="30">
        <v>24</v>
      </c>
      <c r="C34" s="30" t="s">
        <v>429</v>
      </c>
      <c r="D34" s="73" t="s">
        <v>984</v>
      </c>
      <c r="E34" s="40" t="s">
        <v>4148</v>
      </c>
      <c r="F34" s="30" t="s">
        <v>897</v>
      </c>
      <c r="G34" s="30" t="s">
        <v>767</v>
      </c>
      <c r="H34" s="30" t="s">
        <v>544</v>
      </c>
      <c r="I34" s="40" t="s">
        <v>1239</v>
      </c>
      <c r="J34" s="40" t="str">
        <f t="shared" si="0"/>
        <v>cam_make</v>
      </c>
      <c r="K34" s="40" t="s">
        <v>684</v>
      </c>
      <c r="L34" s="34" t="str">
        <f>IF(VLOOKUP(J34,find_replace!H:H,1,"false")=J34,"TRUE","FALSE")</f>
        <v>TRUE</v>
      </c>
      <c r="M34" s="73" t="s">
        <v>362</v>
      </c>
      <c r="N34" s="73" t="s">
        <v>362</v>
      </c>
      <c r="O34" s="60" t="str">
        <f t="shared" si="1"/>
        <v xml:space="preserve">    term_cam_make: "Camera Make"</v>
      </c>
      <c r="P34" s="39" t="str">
        <f t="shared" si="2"/>
        <v xml:space="preserve">    def_cam_make: "The make of a particular camera (i.e., the manufacturer, e.g., 'Reconyx' or 'Bushnell')."</v>
      </c>
      <c r="Q34" s="40"/>
      <c r="R34" s="74" t="b">
        <v>1</v>
      </c>
      <c r="S34" s="77" t="b">
        <v>1</v>
      </c>
      <c r="T34" s="77" t="b">
        <v>1</v>
      </c>
      <c r="U34" s="76" t="s">
        <v>895</v>
      </c>
      <c r="V34" t="s">
        <v>896</v>
      </c>
      <c r="W34" s="13" t="s">
        <v>1816</v>
      </c>
      <c r="X34" t="s">
        <v>4081</v>
      </c>
      <c r="Y34" t="str">
        <f t="shared" si="3"/>
        <v xml:space="preserve">    cam_make_ti: "&lt;a href=\"09_glossary.html#cam_make\" target=\"_blank\" data-bs-toggle=\"tooltip\" data-bs-title=\"Camera Make: The make of a particular camera (i.e., the manufacturer, e.g., 'Reconyx' or 'Bushnell').\"&gt;&lt;button type=\"button\" class=\"btn btn-bd-tip-info-hidden btn-sm position-relative\"&gt;.&lt;span class=\"position-absolute top-0 start-100 translate-middle\"&gt;{{ icon_info }}&lt;/span&gt;&lt;/button&gt;&lt;/a&gt;"</v>
      </c>
    </row>
    <row r="35" spans="1:25">
      <c r="A35" s="30"/>
      <c r="B35" s="30">
        <v>25</v>
      </c>
      <c r="C35" s="30" t="s">
        <v>429</v>
      </c>
      <c r="D35" s="73" t="s">
        <v>984</v>
      </c>
      <c r="E35" s="40" t="s">
        <v>4150</v>
      </c>
      <c r="F35" s="30" t="s">
        <v>897</v>
      </c>
      <c r="G35" s="30" t="s">
        <v>767</v>
      </c>
      <c r="H35" s="30" t="s">
        <v>544</v>
      </c>
      <c r="I35" s="40" t="s">
        <v>1241</v>
      </c>
      <c r="J35" s="40" t="str">
        <f t="shared" si="0"/>
        <v>cam_model</v>
      </c>
      <c r="K35" s="40" t="s">
        <v>686</v>
      </c>
      <c r="L35" s="34" t="str">
        <f>IF(VLOOKUP(J35,find_replace!H:H,1,"false")=J35,"TRUE","FALSE")</f>
        <v>TRUE</v>
      </c>
      <c r="M35" s="73" t="s">
        <v>363</v>
      </c>
      <c r="N35" s="73" t="s">
        <v>363</v>
      </c>
      <c r="O35" s="60" t="str">
        <f t="shared" si="1"/>
        <v xml:space="preserve">    term_cam_model: "Camera Model"</v>
      </c>
      <c r="P35" s="39" t="str">
        <f t="shared" si="2"/>
        <v xml:space="preserve">    def_cam_model: "The model number or name of a particular camera (e.g., 'PC900' or 'Trophy Cam HD')."</v>
      </c>
      <c r="Q35" s="40"/>
      <c r="R35" s="74" t="b">
        <v>1</v>
      </c>
      <c r="S35" s="77" t="b">
        <v>1</v>
      </c>
      <c r="T35" s="77" t="b">
        <v>1</v>
      </c>
      <c r="U35" s="76" t="s">
        <v>895</v>
      </c>
      <c r="V35" t="s">
        <v>896</v>
      </c>
      <c r="W35" s="13" t="s">
        <v>1816</v>
      </c>
      <c r="X35" t="s">
        <v>4081</v>
      </c>
      <c r="Y35" t="str">
        <f t="shared" si="3"/>
        <v xml:space="preserve">    cam_model_ti: "&lt;a href=\"09_glossary.html#cam_model\" target=\"_blank\" data-bs-toggle=\"tooltip\" data-bs-title=\"Camera Model: The model number or name of a particular camera (e.g., 'PC900' or 'Trophy Cam HD').\"&gt;&lt;button type=\"button\" class=\"btn btn-bd-tip-info-hidden btn-sm position-relative\"&gt;.&lt;span class=\"position-absolute top-0 start-100 translate-middle\"&gt;{{ icon_info }}&lt;/span&gt;&lt;/button&gt;&lt;/a&gt;"</v>
      </c>
    </row>
    <row r="36" spans="1:25">
      <c r="A36" s="30"/>
      <c r="B36" s="30">
        <v>26</v>
      </c>
      <c r="C36" s="30" t="s">
        <v>429</v>
      </c>
      <c r="D36" s="73" t="s">
        <v>984</v>
      </c>
      <c r="E36" s="40" t="s">
        <v>4155</v>
      </c>
      <c r="F36" s="30" t="s">
        <v>897</v>
      </c>
      <c r="G36" s="30" t="s">
        <v>767</v>
      </c>
      <c r="H36" s="30" t="s">
        <v>544</v>
      </c>
      <c r="I36" s="40" t="s">
        <v>1243</v>
      </c>
      <c r="J36" s="40" t="str">
        <f t="shared" si="0"/>
        <v>cam_serial_number</v>
      </c>
      <c r="K36" s="40" t="s">
        <v>688</v>
      </c>
      <c r="L36" s="34" t="str">
        <f>IF(VLOOKUP(J36,find_replace!H:H,1,"false")=J36,"TRUE","FALSE")</f>
        <v>TRUE</v>
      </c>
      <c r="M36" s="73" t="s">
        <v>364</v>
      </c>
      <c r="N36" s="73" t="s">
        <v>364</v>
      </c>
      <c r="O36" s="60" t="str">
        <f t="shared" si="1"/>
        <v xml:space="preserve">    term_cam_serial_number: "Camera Serial Number"</v>
      </c>
      <c r="P36" s="39" t="str">
        <f t="shared" si="2"/>
        <v xml:space="preserve">    def_cam_serial_number: "The serial number of a particular camera, which is usually found inside the camera cover (e.g., 'P900FF04152022')."</v>
      </c>
      <c r="Q36" s="40"/>
      <c r="R36" s="74" t="b">
        <v>1</v>
      </c>
      <c r="S36" s="77" t="b">
        <v>1</v>
      </c>
      <c r="T36" s="77" t="b">
        <v>1</v>
      </c>
      <c r="U36" s="76" t="s">
        <v>895</v>
      </c>
      <c r="V36" t="s">
        <v>896</v>
      </c>
      <c r="W36" s="13" t="s">
        <v>1816</v>
      </c>
      <c r="X36" t="s">
        <v>4081</v>
      </c>
      <c r="Y36" t="str">
        <f t="shared" si="3"/>
        <v xml:space="preserve">    cam_serial_number_ti: "&lt;a href=\"09_glossary.html#cam_serial_number\" target=\"_blank\" data-bs-toggle=\"tooltip\" data-bs-title=\"Camera Serial Number: The serial number of a particular camera, which is usually found inside the camera cover (e.g., 'P900FF04152022').\"&gt;&lt;button type=\"button\" class=\"btn btn-bd-tip-info-hidden btn-sm position-relative\"&gt;.&lt;span class=\"position-absolute top-0 start-100 translate-middle\"&gt;{{ icon_info }}&lt;/span&gt;&lt;/button&gt;&lt;/a&gt;"</v>
      </c>
    </row>
    <row r="37" spans="1:25">
      <c r="A37" s="30"/>
      <c r="B37" s="30">
        <v>27</v>
      </c>
      <c r="C37" s="30" t="s">
        <v>0</v>
      </c>
      <c r="D37" s="73" t="s">
        <v>984</v>
      </c>
      <c r="E37" s="34" t="s">
        <v>228</v>
      </c>
      <c r="F37" s="30"/>
      <c r="G37" s="30" t="s">
        <v>767</v>
      </c>
      <c r="H37" s="30" t="s">
        <v>540</v>
      </c>
      <c r="I37" s="40" t="s">
        <v>1245</v>
      </c>
      <c r="J37" s="40" t="str">
        <f t="shared" si="0"/>
        <v>cam_spacing</v>
      </c>
      <c r="K37" s="34" t="s">
        <v>228</v>
      </c>
      <c r="L37" s="34" t="str">
        <f>IF(VLOOKUP(J37,find_replace!H:H,1,"false")=J37,"TRUE","FALSE")</f>
        <v>TRUE</v>
      </c>
      <c r="M37" s="73" t="s">
        <v>832</v>
      </c>
      <c r="N37" s="73" t="s">
        <v>852</v>
      </c>
      <c r="O37" s="60" t="str">
        <f t="shared" si="1"/>
        <v xml:space="preserve">    term_cam_spacing: "Camera spacing"</v>
      </c>
      <c r="P37" s="39" t="str">
        <f t="shared" si="2"/>
        <v xml:space="preserve">    def_cam_spacing: "The distance between cameras (i.e., also referred to as 'inter-trap distance'). This will be influenced by the chosen sampling design, the [survey](#survey) Objectives, the Target Species and data analysis."</v>
      </c>
      <c r="Q37" s="40"/>
      <c r="R37" s="74" t="s">
        <v>51</v>
      </c>
      <c r="S37" s="75" t="b">
        <v>0</v>
      </c>
      <c r="T37" s="77" t="b">
        <v>1</v>
      </c>
      <c r="U37" s="76" t="s">
        <v>895</v>
      </c>
      <c r="V37" t="s">
        <v>896</v>
      </c>
      <c r="W37" s="13" t="s">
        <v>1816</v>
      </c>
      <c r="X37" t="s">
        <v>4081</v>
      </c>
      <c r="Y37" t="str">
        <f t="shared" si="3"/>
        <v xml:space="preserve">    cam_spacing_ti: "&lt;a href=\"09_glossary.html#cam_spacing\" target=\"_blank\" data-bs-toggle=\"tooltip\" data-bs-title=\"Camera spacing: The distance between cameras (i.e., also referred to as 'inter-trap distance'). This will be influenced by the chosen sampling design, the [survey](#survey) Objectives, the Target Species and data analysis.\"&gt;&lt;button type=\"button\" class=\"btn btn-bd-tip-info-hidden btn-sm position-relative\"&gt;.&lt;span class=\"position-absolute top-0 start-100 translate-middle\"&gt;{{ icon_info }}&lt;/span&gt;&lt;/button&gt;&lt;/a&gt;"</v>
      </c>
    </row>
    <row r="38" spans="1:25">
      <c r="A38" s="30"/>
      <c r="B38" s="30">
        <v>28</v>
      </c>
      <c r="C38" s="30" t="s">
        <v>0</v>
      </c>
      <c r="D38" s="73" t="s">
        <v>984</v>
      </c>
      <c r="E38" s="40" t="s">
        <v>227</v>
      </c>
      <c r="F38" s="30" t="s">
        <v>897</v>
      </c>
      <c r="G38" s="30" t="s">
        <v>767</v>
      </c>
      <c r="H38" s="30" t="s">
        <v>4</v>
      </c>
      <c r="I38" s="40" t="s">
        <v>29</v>
      </c>
      <c r="J38" s="40" t="str">
        <f t="shared" si="0"/>
        <v>mod_cr_cmr</v>
      </c>
      <c r="K38" s="40" t="s">
        <v>978</v>
      </c>
      <c r="L38" s="34" t="str">
        <f>IF(VLOOKUP(J38,find_replace!H:H,1,"false")=J38,"TRUE","FALSE")</f>
        <v>TRUE</v>
      </c>
      <c r="M38" s="73" t="s">
        <v>770</v>
      </c>
      <c r="N38" s="73" t="s">
        <v>859</v>
      </c>
      <c r="O38" s="60" t="str">
        <f t="shared" si="1"/>
        <v xml:space="preserve">    term_mod_cr_cmr: "Capture-recapture (CR) / Capture-mark-recapture (CMR) (Karanth, 1995; Karanth &amp; Nichols, 1998)"</v>
      </c>
      <c r="P38" s="39" t="str">
        <f t="shared" si="2"/>
        <v xml:space="preserve">    def_mod_cr_cmr: "A method of estimating the abundance or [density](#density)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[density](#density) estimates (Blanc et al., 2013, Obbard et al., 2010, Sollmann et al., 2011)."</v>
      </c>
      <c r="Q38" s="40"/>
      <c r="R38" s="74" t="s">
        <v>51</v>
      </c>
      <c r="S38" s="75" t="b">
        <v>0</v>
      </c>
      <c r="T38" s="77" t="b">
        <v>1</v>
      </c>
      <c r="U38" s="76" t="s">
        <v>895</v>
      </c>
      <c r="V38" t="s">
        <v>896</v>
      </c>
      <c r="W38" s="13" t="s">
        <v>1816</v>
      </c>
      <c r="X38" t="s">
        <v>4081</v>
      </c>
      <c r="Y38" t="str">
        <f t="shared" si="3"/>
        <v xml:space="preserve">    mod_cr_cmr_ti: "&lt;a href=\"09_glossary.html#mod_cr_cmr\" target=\"_blank\" data-bs-toggle=\"tooltip\" data-bs-title=\"Capture-recapture (CR) / Capture-mark-recapture (CMR) (Karanth, 1995; Karanth &amp; Nichols, 1998): A method of estimating the abundance or [density](#density)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[density](#density) estimates (Blanc et al., 2013, Obbard et al., 2010, Sollmann et al., 2011).\"&gt;&lt;button type=\"button\" class=\"btn btn-bd-tip-info-hidden btn-sm position-relative\"&gt;.&lt;span class=\"position-absolute top-0 start-100 translate-middle\"&gt;{{ icon_info }}&lt;/span&gt;&lt;/button&gt;&lt;/a&gt;"</v>
      </c>
    </row>
    <row r="39" spans="1:25">
      <c r="A39" s="30"/>
      <c r="B39" s="30">
        <v>29</v>
      </c>
      <c r="C39" s="30" t="s">
        <v>0</v>
      </c>
      <c r="D39" s="73" t="s">
        <v>984</v>
      </c>
      <c r="E39" s="34" t="s">
        <v>226</v>
      </c>
      <c r="F39" s="30" t="s">
        <v>897</v>
      </c>
      <c r="G39" s="30" t="s">
        <v>767</v>
      </c>
      <c r="H39" s="30" t="s">
        <v>4</v>
      </c>
      <c r="I39" s="40" t="s">
        <v>22</v>
      </c>
      <c r="J39" s="40" t="str">
        <f t="shared" si="0"/>
        <v>mod_catspim</v>
      </c>
      <c r="K39" s="34" t="s">
        <v>980</v>
      </c>
      <c r="L39" s="34" t="str">
        <f>IF(VLOOKUP(J39,find_replace!H:H,1,"false")=J39,"TRUE","FALSE")</f>
        <v>TRUE</v>
      </c>
      <c r="M39" s="73" t="s">
        <v>992</v>
      </c>
      <c r="N39" s="73" t="s">
        <v>869</v>
      </c>
      <c r="O39" s="60" t="str">
        <f t="shared" si="1"/>
        <v xml:space="preserve">    term_mod_catspim: "Categorical partial identity model (Categorical SPIM; catSPIM) (Augustine et al., 2019; Sun et al., 2022)"</v>
      </c>
      <c r="P39" s="39" t="str">
        <f t="shared" si="2"/>
        <v xml:space="preserve">    def_mod_catspim: "A method used to estimate the [density](#density) of partially marked populations in which the 'spatial locations of where partial identity samples are captured to probabilistically resolve their complete identities' (Augustine et al., 2018, 2019). catSPIM models use partial identity traits (e.g., sex class, antler points) to help infer individual identities (Augustine et al., 2019; Sun et al., 2022). catSPIM is an extension of the SC model ({{ rtxt_chandler_royle_2013 }})."</v>
      </c>
      <c r="Q39" s="40"/>
      <c r="R39" s="74" t="s">
        <v>51</v>
      </c>
      <c r="S39" s="75" t="b">
        <v>0</v>
      </c>
      <c r="T39" s="77" t="b">
        <v>1</v>
      </c>
      <c r="U39" s="76" t="s">
        <v>895</v>
      </c>
      <c r="V39" t="s">
        <v>896</v>
      </c>
      <c r="W39" s="13" t="s">
        <v>1816</v>
      </c>
      <c r="X39" t="s">
        <v>4081</v>
      </c>
      <c r="Y39" t="str">
        <f t="shared" si="3"/>
        <v xml:space="preserve">    mod_catspim_ti: "&lt;a href=\"09_glossary.html#mod_catspim\" target=\"_blank\" data-bs-toggle=\"tooltip\" data-bs-title=\"Categorical partial identity model (Categorical SPIM; catSPIM) (Augustine et al., 2019; Sun et al., 2022): A method used to estimate the [density](#density) of partially marked populations in which the 'spatial locations of where partial identity samples are captured to probabilistically resolve their complete identities' (Augustine et al., 2018, 2019). catSPIM models use partial identity traits (e.g., sex class, antler points) to help infer individual identities (Augustine et al., 2019; Sun et al., 2022). catSPIM is an extension of the SC model ({{ rtxt_chandler_royle_2013 }}).\"&gt;&lt;button type=\"button\" class=\"btn btn-bd-tip-info-hidden btn-sm position-relative\"&gt;.&lt;span class=\"position-absolute top-0 start-100 translate-middle\"&gt;{{ icon_info }}&lt;/span&gt;&lt;/button&gt;&lt;/a&gt;"</v>
      </c>
    </row>
    <row r="40" spans="1:25">
      <c r="A40" s="30"/>
      <c r="B40" s="30">
        <v>30</v>
      </c>
      <c r="C40" s="30" t="s">
        <v>0</v>
      </c>
      <c r="D40" s="73" t="s">
        <v>984</v>
      </c>
      <c r="E40" s="40" t="s">
        <v>225</v>
      </c>
      <c r="F40" s="30"/>
      <c r="G40" s="30" t="s">
        <v>767</v>
      </c>
      <c r="H40" s="30" t="s">
        <v>540</v>
      </c>
      <c r="I40" s="40" t="s">
        <v>224</v>
      </c>
      <c r="J40" s="40" t="str">
        <f t="shared" si="0"/>
        <v>sampledesign_clustered</v>
      </c>
      <c r="K40" s="40" t="s">
        <v>225</v>
      </c>
      <c r="L40" s="34" t="str">
        <f>IF(VLOOKUP(J40,find_replace!H:H,1,"false")=J40,"TRUE","FALSE")</f>
        <v>TRUE</v>
      </c>
      <c r="M40" s="73" t="s">
        <v>1004</v>
      </c>
      <c r="N40" s="73" t="s">
        <v>845</v>
      </c>
      <c r="O40" s="60" t="str">
        <f t="shared" si="1"/>
        <v xml:space="preserve">    term_sampledesign_clustered: "Clustered design"</v>
      </c>
      <c r="P40" s="39" t="str">
        <f t="shared" si="2"/>
        <v xml:space="preserve">    def_sampledesign_clustered: "Multiple cameras are deployed at a sample station (Figure 3d). A clustered design can be used within a systematic or stratified approach (i.e., systematic clustered design or as a clustered random design [{{ rtxt_wearn_gloverkapfer_2017 }}])."</v>
      </c>
      <c r="Q40" s="40"/>
      <c r="R40" s="74" t="s">
        <v>51</v>
      </c>
      <c r="S40" s="77" t="b">
        <v>1</v>
      </c>
      <c r="T40" s="77" t="b">
        <v>1</v>
      </c>
      <c r="U40" s="76" t="s">
        <v>895</v>
      </c>
      <c r="V40" t="s">
        <v>896</v>
      </c>
      <c r="W40" s="13" t="s">
        <v>1816</v>
      </c>
      <c r="X40" t="s">
        <v>4081</v>
      </c>
      <c r="Y40" t="str">
        <f t="shared" si="3"/>
        <v xml:space="preserve">    sampledesign_clustered_ti: "&lt;a href=\"09_glossary.html#sampledesign_clustered\" target=\"_blank\" data-bs-toggle=\"tooltip\" data-bs-title=\"Clustered design: Multiple cameras are deployed at a sample station (Figure 3d). A clustered design can be used within a systematic or stratified approach (i.e., systematic clustered design or as a clustered random design [{{ rtxt_wearn_gloverkapfer_2017 }}]).\"&gt;&lt;button type=\"button\" class=\"btn btn-bd-tip-info-hidden btn-sm position-relative\"&gt;.&lt;span class=\"position-absolute top-0 start-100 translate-middle\"&gt;{{ icon_info }}&lt;/span&gt;&lt;/button&gt;&lt;/a&gt;"</v>
      </c>
    </row>
    <row r="41" spans="1:25">
      <c r="A41" s="30"/>
      <c r="B41" s="30">
        <v>31</v>
      </c>
      <c r="C41" s="30" t="s">
        <v>0</v>
      </c>
      <c r="D41" s="73" t="s">
        <v>984</v>
      </c>
      <c r="E41" s="34" t="s">
        <v>223</v>
      </c>
      <c r="F41" s="30"/>
      <c r="G41" s="30" t="s">
        <v>767</v>
      </c>
      <c r="H41" s="30" t="s">
        <v>540</v>
      </c>
      <c r="I41" s="40" t="s">
        <v>222</v>
      </c>
      <c r="J41" s="40" t="str">
        <f t="shared" si="0"/>
        <v>sampledesign_convenience</v>
      </c>
      <c r="K41" s="34" t="s">
        <v>223</v>
      </c>
      <c r="L41" s="34" t="str">
        <f>IF(VLOOKUP(J41,find_replace!H:H,1,"false")=J41,"TRUE","FALSE")</f>
        <v>TRUE</v>
      </c>
      <c r="M41" s="73" t="s">
        <v>418</v>
      </c>
      <c r="N41" s="73" t="s">
        <v>418</v>
      </c>
      <c r="O41" s="60" t="str">
        <f t="shared" si="1"/>
        <v xml:space="preserve">    term_sampledesign_convenience: "Convenience design"</v>
      </c>
      <c r="P41" s="39" t="str">
        <f t="shared" si="2"/>
        <v xml:space="preserve">    def_sampledesign_convenience: "Camera locations or sample stations are chosen based on logistic considerations (e.g., remoteness, access constraints, and*/or costs)."</v>
      </c>
      <c r="Q41" s="40"/>
      <c r="R41" s="74" t="s">
        <v>51</v>
      </c>
      <c r="S41" s="77" t="b">
        <v>1</v>
      </c>
      <c r="T41" s="77" t="b">
        <v>1</v>
      </c>
      <c r="U41" s="76" t="s">
        <v>895</v>
      </c>
      <c r="V41" t="s">
        <v>896</v>
      </c>
      <c r="W41" s="13" t="s">
        <v>1816</v>
      </c>
      <c r="X41" t="s">
        <v>4081</v>
      </c>
      <c r="Y41" t="str">
        <f t="shared" si="3"/>
        <v xml:space="preserve">    sampledesign_convenience_ti: "&lt;a href=\"09_glossary.html#sampledesign_convenience\" target=\"_blank\" data-bs-toggle=\"tooltip\" data-bs-title=\"Convenience design: Camera locations or sample stations are chosen based on logistic considerations (e.g., remoteness, access constraints, and*/or costs).\"&gt;&lt;button type=\"button\" class=\"btn btn-bd-tip-info-hidden btn-sm position-relative\"&gt;.&lt;span class=\"position-absolute top-0 start-100 translate-middle\"&gt;{{ icon_info }}&lt;/span&gt;&lt;/button&gt;&lt;/a&gt;"</v>
      </c>
    </row>
    <row r="42" spans="1:25">
      <c r="A42" s="30"/>
      <c r="B42" s="30">
        <v>32</v>
      </c>
      <c r="C42" s="30" t="s">
        <v>0</v>
      </c>
      <c r="D42" s="73" t="s">
        <v>984</v>
      </c>
      <c r="E42" s="34" t="s">
        <v>221</v>
      </c>
      <c r="F42" s="30"/>
      <c r="G42" s="30" t="s">
        <v>767</v>
      </c>
      <c r="H42" s="30" t="s">
        <v>541</v>
      </c>
      <c r="I42" s="40" t="s">
        <v>220</v>
      </c>
      <c r="J42" s="40" t="str">
        <f t="shared" si="0"/>
        <v>crew</v>
      </c>
      <c r="K42" s="34" t="s">
        <v>221</v>
      </c>
      <c r="L42" s="34" t="str">
        <f>IF(VLOOKUP(J42,find_replace!H:H,1,"false")=J42,"TRUE","FALSE")</f>
        <v>TRUE</v>
      </c>
      <c r="M42" s="73" t="s">
        <v>365</v>
      </c>
      <c r="N42" s="73" t="s">
        <v>365</v>
      </c>
      <c r="O42" s="60" t="str">
        <f t="shared" si="1"/>
        <v xml:space="preserve">    term_crew: "Crew"</v>
      </c>
      <c r="P42" s="39" t="str">
        <f t="shared" si="2"/>
        <v xml:space="preserve">    def_crew: "The first and last names of all the individuals who collected data during the deployment visit ('Deployment Crew') and Service*/Retrieval visit ('Service*/Retrieval Crew')."</v>
      </c>
      <c r="Q42" s="40"/>
      <c r="R42" s="74" t="s">
        <v>51</v>
      </c>
      <c r="S42" s="77" t="b">
        <v>1</v>
      </c>
      <c r="T42" s="77" t="b">
        <v>1</v>
      </c>
      <c r="U42" s="76" t="s">
        <v>895</v>
      </c>
      <c r="V42" t="s">
        <v>896</v>
      </c>
      <c r="W42" s="13" t="s">
        <v>1816</v>
      </c>
      <c r="X42" t="s">
        <v>4081</v>
      </c>
      <c r="Y42" t="str">
        <f t="shared" si="3"/>
        <v xml:space="preserve">    crew_ti: "&lt;a href=\"09_glossary.html#crew\" target=\"_blank\" data-bs-toggle=\"tooltip\" data-bs-title=\"Crew: The first and last names of all the individuals who collected data during the deployment visit ('Deployment Crew') and Service*/Retrieval visit ('Service*/Retrieval Crew').\"&gt;&lt;button type=\"button\" class=\"btn btn-bd-tip-info-hidden btn-sm position-relative\"&gt;.&lt;span class=\"position-absolute top-0 start-100 translate-middle\"&gt;{{ icon_info }}&lt;/span&gt;&lt;/button&gt;&lt;/a&gt;"</v>
      </c>
    </row>
    <row r="43" spans="1:25">
      <c r="A43" s="30"/>
      <c r="B43" s="30">
        <v>33</v>
      </c>
      <c r="C43" s="30" t="s">
        <v>0</v>
      </c>
      <c r="D43" s="73" t="s">
        <v>984</v>
      </c>
      <c r="E43" s="34" t="s">
        <v>219</v>
      </c>
      <c r="F43" s="30"/>
      <c r="G43" s="30" t="s">
        <v>767</v>
      </c>
      <c r="H43" s="40" t="s">
        <v>542</v>
      </c>
      <c r="I43" s="40" t="s">
        <v>218</v>
      </c>
      <c r="J43" s="40" t="str">
        <f t="shared" si="0"/>
        <v>cumulative_det_probability</v>
      </c>
      <c r="K43" s="34" t="s">
        <v>219</v>
      </c>
      <c r="L43" s="34" t="str">
        <f>IF(VLOOKUP(J43,find_replace!H:H,1,"false")=J43,"TRUE","FALSE")</f>
        <v>TRUE</v>
      </c>
      <c r="M43" s="73" t="s">
        <v>825</v>
      </c>
      <c r="N43" s="73" t="s">
        <v>851</v>
      </c>
      <c r="O43" s="60" t="str">
        <f t="shared" si="1"/>
        <v xml:space="preserve">    term_cumulative_det_probability: "Cumulative detection probability"</v>
      </c>
      <c r="P43" s="39" t="str">
        <f t="shared" si="2"/>
        <v xml:space="preserve">    def_cumulative_det_probability: "The probability of detecting a species at least once during the entire {{ tl_survey }} (Steenweg et al., 2019)."</v>
      </c>
      <c r="Q43" s="40"/>
      <c r="R43" s="74" t="s">
        <v>51</v>
      </c>
      <c r="S43" s="75" t="b">
        <v>0</v>
      </c>
      <c r="T43" s="77" t="b">
        <v>1</v>
      </c>
      <c r="U43" s="76" t="s">
        <v>895</v>
      </c>
      <c r="V43" t="s">
        <v>896</v>
      </c>
      <c r="W43" s="13" t="s">
        <v>1816</v>
      </c>
      <c r="X43" t="s">
        <v>4081</v>
      </c>
      <c r="Y43" t="str">
        <f t="shared" si="3"/>
        <v xml:space="preserve">    cumulative_det_probability_ti: "&lt;a href=\"09_glossary.html#cumulative_det_probability\" target=\"_blank\" data-bs-toggle=\"tooltip\" data-bs-title=\"Cumulative detection probability: The probability of detecting a species at least once during the entire {{ tl_survey }} (Steenweg et al., 2019).\"&gt;&lt;button type=\"button\" class=\"btn btn-bd-tip-info-hidden btn-sm position-relative\"&gt;.&lt;span class=\"position-absolute top-0 start-100 translate-middle\"&gt;{{ icon_info }}&lt;/span&gt;&lt;/button&gt;&lt;/a&gt;"</v>
      </c>
    </row>
    <row r="44" spans="1:25">
      <c r="A44" s="30"/>
      <c r="B44" s="30"/>
      <c r="C44" s="30" t="s">
        <v>0</v>
      </c>
      <c r="D44" s="73" t="s">
        <v>984</v>
      </c>
      <c r="E44" s="30"/>
      <c r="F44" s="30"/>
      <c r="G44" s="30" t="s">
        <v>651</v>
      </c>
      <c r="H44" s="30"/>
      <c r="I44" s="30" t="s">
        <v>780</v>
      </c>
      <c r="J44" s="40" t="str">
        <f t="shared" si="0"/>
        <v>data</v>
      </c>
      <c r="K44" s="30" t="s">
        <v>630</v>
      </c>
      <c r="L44" s="34" t="str">
        <f>IF(VLOOKUP(J44,find_replace!H:H,1,"false")=J44,"TRUE","FALSE")</f>
        <v>TRUE</v>
      </c>
      <c r="M44" s="55" t="s">
        <v>1323</v>
      </c>
      <c r="N44" s="55" t="s">
        <v>1278</v>
      </c>
      <c r="O44" s="60" t="str">
        <f t="shared" si="1"/>
        <v xml:space="preserve">    term_data: "Data"</v>
      </c>
      <c r="P44" s="39" t="str">
        <f t="shared" si="2"/>
        <v xml:space="preserve">    def_data: "Information, commonly facts or numbers, that are collected and can be examined and/or measured to help guide decision-making.' ({{ rtxt_kemp_et_al_2022 }})."</v>
      </c>
      <c r="Q44" s="30"/>
      <c r="R44" s="30"/>
      <c r="S44" s="30"/>
      <c r="T44" s="30"/>
      <c r="U44" s="76" t="s">
        <v>895</v>
      </c>
      <c r="V44" t="s">
        <v>896</v>
      </c>
      <c r="W44" s="13" t="s">
        <v>1816</v>
      </c>
      <c r="X44" t="s">
        <v>4081</v>
      </c>
      <c r="Y44" t="str">
        <f t="shared" si="3"/>
        <v xml:space="preserve">    data_ti: "&lt;a href=\"09_glossary.html#data\" target=\"_blank\" data-bs-toggle=\"tooltip\" data-bs-title=\"Data: Information, commonly facts or numbers, that are collected and can be examined and/or measured to help guide decision-making.' ({{ rtxt_kemp_et_al_2022 }}).\"&gt;&lt;button type=\"button\" class=\"btn btn-bd-tip-info-hidden btn-sm position-relative\"&gt;.&lt;span class=\"position-absolute top-0 start-100 translate-middle\"&gt;{{ icon_info }}&lt;/span&gt;&lt;/button&gt;&lt;/a&gt;"</v>
      </c>
    </row>
    <row r="45" spans="1:25">
      <c r="A45" s="56"/>
      <c r="B45" s="56"/>
      <c r="C45" s="56" t="s">
        <v>0</v>
      </c>
      <c r="D45" s="73" t="s">
        <v>984</v>
      </c>
      <c r="E45" s="56" t="s">
        <v>527</v>
      </c>
      <c r="F45" s="56"/>
      <c r="G45" s="39" t="s">
        <v>767</v>
      </c>
      <c r="H45" s="56" t="s">
        <v>40</v>
      </c>
      <c r="I45" s="56" t="s">
        <v>537</v>
      </c>
      <c r="J45" s="40" t="str">
        <f t="shared" si="0"/>
        <v>obj_density</v>
      </c>
      <c r="K45" s="56" t="s">
        <v>527</v>
      </c>
      <c r="L45" s="42" t="str">
        <f>IF(VLOOKUP(J45,find_replace!H:H,1,"false")=J45,"TRUE","FALSE")</f>
        <v>TRUE</v>
      </c>
      <c r="M45" s="57" t="s">
        <v>1003</v>
      </c>
      <c r="N45" s="57" t="s">
        <v>846</v>
      </c>
      <c r="O45" s="60" t="str">
        <f t="shared" si="1"/>
        <v xml:space="preserve">    term_obj_density: "Density"</v>
      </c>
      <c r="P45" s="39" t="str">
        <f t="shared" si="2"/>
        <v xml:space="preserve">    def_obj_density: "The number of individuals per unit area ({{ rtxt_wearn_gloverkapfer_2017 }})"</v>
      </c>
      <c r="Q45" s="56"/>
      <c r="R45" s="56"/>
      <c r="S45" s="56"/>
      <c r="T45" s="56"/>
      <c r="U45" s="58" t="s">
        <v>895</v>
      </c>
      <c r="V45" t="s">
        <v>896</v>
      </c>
      <c r="W45" s="13" t="s">
        <v>1816</v>
      </c>
      <c r="X45" t="s">
        <v>4081</v>
      </c>
      <c r="Y45" t="str">
        <f t="shared" si="3"/>
        <v xml:space="preserve">    obj_density_ti: "&lt;a href=\"09_glossary.html#obj_density\" target=\"_blank\" data-bs-toggle=\"tooltip\" data-bs-title=\"Density: The number of individuals per unit area ({{ rtxt_wearn_gloverkapfer_2017 }})\"&gt;&lt;button type=\"button\" class=\"btn btn-bd-tip-info-hidden btn-sm position-relative\"&gt;.&lt;span class=\"position-absolute top-0 start-100 translate-middle\"&gt;{{ icon_info }}&lt;/span&gt;&lt;/button&gt;&lt;/a&gt;"</v>
      </c>
    </row>
    <row r="46" spans="1:25">
      <c r="A46" s="30"/>
      <c r="B46" s="30">
        <v>35</v>
      </c>
      <c r="C46" s="30" t="s">
        <v>0</v>
      </c>
      <c r="D46" s="73" t="s">
        <v>984</v>
      </c>
      <c r="E46" s="34" t="s">
        <v>217</v>
      </c>
      <c r="F46" s="30"/>
      <c r="G46" s="30" t="s">
        <v>767</v>
      </c>
      <c r="H46" s="30" t="s">
        <v>545</v>
      </c>
      <c r="I46" s="40" t="s">
        <v>216</v>
      </c>
      <c r="J46" s="40" t="str">
        <f t="shared" si="0"/>
        <v>deployment</v>
      </c>
      <c r="K46" s="34" t="s">
        <v>217</v>
      </c>
      <c r="L46" s="34" t="str">
        <f>IF(VLOOKUP(J46,find_replace!H:H,1,"false")=J46,"TRUE","FALSE")</f>
        <v>TRUE</v>
      </c>
      <c r="M46" s="73" t="s">
        <v>408</v>
      </c>
      <c r="N46" s="73" t="s">
        <v>408</v>
      </c>
      <c r="O46" s="60" t="str">
        <f t="shared" si="1"/>
        <v xml:space="preserve">    term_deployment: "Deployment"</v>
      </c>
      <c r="P46" s="39" t="str">
        <f t="shared" si="2"/>
        <v xml:space="preserve">    def_deployment: "A unique placement of a camera in space and time (recorded as 'Deployment Name'). There may be multiple deployments for one camera location. Deployments are often considered as the time between visits (i.e., deployment to service, service to service, and service to retrieval). Any change to camera location, sampling period, camera equipment (e.g., Trigger Sensitivity setting, becomes non-functioning), and*/or conditions (e.g., not baited then baited later; camera SD card replaced) should be documented as a unique deployment."</v>
      </c>
      <c r="Q46" s="40"/>
      <c r="R46" s="74" t="s">
        <v>51</v>
      </c>
      <c r="S46" s="77" t="b">
        <v>1</v>
      </c>
      <c r="T46" s="77" t="b">
        <v>1</v>
      </c>
      <c r="U46" s="76" t="s">
        <v>895</v>
      </c>
      <c r="V46" t="s">
        <v>896</v>
      </c>
      <c r="W46" s="13" t="s">
        <v>1816</v>
      </c>
      <c r="X46" t="s">
        <v>4081</v>
      </c>
      <c r="Y46" t="str">
        <f t="shared" si="3"/>
        <v xml:space="preserve">    deployment_ti: "&lt;a href=\"09_glossary.html#deployment\" target=\"_blank\" data-bs-toggle=\"tooltip\" data-bs-title=\"Deployment: A unique placement of a camera in space and time (recorded as 'Deployment Name'). There may be multiple deployments for one camera location. Deployments are often considered as the time between visits (i.e., deployment to service, service to service, and service to retrieval). Any change to camera location, sampling period, camera equipment (e.g., Trigger Sensitivity setting, becomes non-functioning), and*/or conditions (e.g., not baited then baited later; camera SD card replaced) should be documented as a unique deployment.\"&gt;&lt;button type=\"button\" class=\"btn btn-bd-tip-info-hidden btn-sm position-relative\"&gt;.&lt;span class=\"position-absolute top-0 start-100 translate-middle\"&gt;{{ icon_info }}&lt;/span&gt;&lt;/button&gt;&lt;/a&gt;"</v>
      </c>
    </row>
    <row r="47" spans="1:25">
      <c r="A47" s="30"/>
      <c r="B47" s="30">
        <v>36</v>
      </c>
      <c r="C47" s="30" t="s">
        <v>429</v>
      </c>
      <c r="D47" s="73" t="s">
        <v>984</v>
      </c>
      <c r="E47" s="40" t="s">
        <v>482</v>
      </c>
      <c r="F47" s="30" t="s">
        <v>897</v>
      </c>
      <c r="G47" s="30" t="s">
        <v>767</v>
      </c>
      <c r="H47" s="30" t="s">
        <v>545</v>
      </c>
      <c r="I47" s="40" t="s">
        <v>334</v>
      </c>
      <c r="J47" s="40" t="str">
        <f t="shared" si="0"/>
        <v>deployment_area_photo_numbers</v>
      </c>
      <c r="K47" s="40" t="s">
        <v>740</v>
      </c>
      <c r="L47" s="34" t="str">
        <f>IF(VLOOKUP(J47,find_replace!H:H,1,"false")=J47,"TRUE","FALSE")</f>
        <v>TRUE</v>
      </c>
      <c r="M47" s="73" t="s">
        <v>366</v>
      </c>
      <c r="N47" s="73" t="s">
        <v>366</v>
      </c>
      <c r="O47" s="60" t="str">
        <f t="shared" si="1"/>
        <v xml:space="preserve">    term_deployment_area_photo_numbers: "Deployment Area Photo Numbers"</v>
      </c>
      <c r="P47" s="39" t="str">
        <f t="shared" si="2"/>
        <v xml:space="preserve">    def_deployment_area_photo_numbers: "The image numbers for the deployment area photos (if collected, e.g., 'DSC  100'). These are optionally documented on a Camera Deployment Field Datasheet for each set of camera deployment area photos. Leave blank if not applicable."</v>
      </c>
      <c r="Q47" s="40" t="b">
        <v>1</v>
      </c>
      <c r="R47" s="74" t="b">
        <v>0</v>
      </c>
      <c r="S47" s="77" t="b">
        <v>1</v>
      </c>
      <c r="T47" s="77" t="b">
        <v>1</v>
      </c>
      <c r="U47" s="76" t="s">
        <v>895</v>
      </c>
      <c r="V47" t="s">
        <v>896</v>
      </c>
      <c r="W47" s="13" t="s">
        <v>1816</v>
      </c>
      <c r="X47" t="s">
        <v>4081</v>
      </c>
      <c r="Y47" t="str">
        <f t="shared" si="3"/>
        <v xml:space="preserve">    deployment_area_photo_numbers_ti: "&lt;a href=\"09_glossary.html#deployment_area_photo_numbers\" target=\"_blank\" data-bs-toggle=\"tooltip\" data-bs-title=\"Deployment Area Photo Numbers: The image numbers for the deployment area photos (if collected, e.g., 'DSC  100'). These are optionally documented on a Camera Deployment Field Datasheet for each set of camera deployment area photos. Leave blank if not applicable.\"&gt;&lt;button type=\"button\" class=\"btn btn-bd-tip-info-hidden btn-sm position-relative\"&gt;.&lt;span class=\"position-absolute top-0 start-100 translate-middle\"&gt;{{ icon_info }}&lt;/span&gt;&lt;/button&gt;&lt;/a&gt;"</v>
      </c>
    </row>
    <row r="48" spans="1:25">
      <c r="A48" s="30"/>
      <c r="B48" s="30">
        <v>37</v>
      </c>
      <c r="C48" s="30" t="s">
        <v>0</v>
      </c>
      <c r="D48" s="73" t="s">
        <v>984</v>
      </c>
      <c r="E48" s="34" t="s">
        <v>215</v>
      </c>
      <c r="F48" s="30"/>
      <c r="G48" s="30" t="s">
        <v>767</v>
      </c>
      <c r="H48" s="30" t="s">
        <v>545</v>
      </c>
      <c r="I48" s="40" t="s">
        <v>214</v>
      </c>
      <c r="J48" s="40" t="str">
        <f t="shared" si="0"/>
        <v>deployment_area_photos</v>
      </c>
      <c r="K48" s="34" t="s">
        <v>215</v>
      </c>
      <c r="L48" s="34" t="str">
        <f>IF(VLOOKUP(J48,find_replace!H:H,1,"false")=J48,"TRUE","FALSE")</f>
        <v>TRUE</v>
      </c>
      <c r="M48" s="73" t="s">
        <v>409</v>
      </c>
      <c r="N48" s="73" t="s">
        <v>409</v>
      </c>
      <c r="O48" s="60" t="str">
        <f t="shared" si="1"/>
        <v xml:space="preserve">    term_deployment_area_photos: "Deployment area photos"</v>
      </c>
      <c r="P48" s="39" t="str">
        <f t="shared" si="2"/>
        <v xml:space="preserve">    def_deployment_area_photos: "Photos of the area around the camera location, collected as a permanent, visual record of the FOV Target Features, Camera Location Characteristics, environmental conditions (e.g., vegetation, ecosite, weather) or other variables of interest. The recommendation includes collecting four photos taken from the centre of the target detection zone (Figure 5), facing each of the four cardinal directions. The documentation of the collection of these photos is recorded as 'Deployment Area Photos Taken' (Y*/N)."</v>
      </c>
      <c r="Q48" s="40"/>
      <c r="R48" s="74" t="s">
        <v>51</v>
      </c>
      <c r="S48" s="77" t="b">
        <v>1</v>
      </c>
      <c r="T48" s="77" t="b">
        <v>1</v>
      </c>
      <c r="U48" s="76" t="s">
        <v>895</v>
      </c>
      <c r="V48" t="s">
        <v>896</v>
      </c>
      <c r="W48" s="13" t="s">
        <v>1816</v>
      </c>
      <c r="X48" t="s">
        <v>4081</v>
      </c>
      <c r="Y48" t="str">
        <f t="shared" si="3"/>
        <v xml:space="preserve">    deployment_area_photos_ti: "&lt;a href=\"09_glossary.html#deployment_area_photos\" target=\"_blank\" data-bs-toggle=\"tooltip\" data-bs-title=\"Deployment area photos: Photos of the area around the camera location, collected as a permanent, visual record of the FOV Target Features, Camera Location Characteristics, environmental conditions (e.g., vegetation, ecosite, weather) or other variables of interest. The recommendation includes collecting four photos taken from the centre of the target detection zone (Figure 5), facing each of the four cardinal directions. The documentation of the collection of these photos is recorded as 'Deployment Area Photos Taken' (Y*/N).\"&gt;&lt;button type=\"button\" class=\"btn btn-bd-tip-info-hidden btn-sm position-relative\"&gt;.&lt;span class=\"position-absolute top-0 start-100 translate-middle\"&gt;{{ icon_info }}&lt;/span&gt;&lt;/button&gt;&lt;/a&gt;"</v>
      </c>
    </row>
    <row r="49" spans="1:25">
      <c r="A49" s="30"/>
      <c r="B49" s="30">
        <v>38</v>
      </c>
      <c r="C49" s="30" t="s">
        <v>429</v>
      </c>
      <c r="D49" s="73" t="s">
        <v>984</v>
      </c>
      <c r="E49" s="40" t="s">
        <v>483</v>
      </c>
      <c r="F49" s="30" t="s">
        <v>897</v>
      </c>
      <c r="G49" s="30" t="s">
        <v>767</v>
      </c>
      <c r="H49" s="30" t="s">
        <v>545</v>
      </c>
      <c r="I49" s="40" t="s">
        <v>333</v>
      </c>
      <c r="J49" s="40" t="str">
        <f t="shared" si="0"/>
        <v>deployment_area_photos_taken</v>
      </c>
      <c r="K49" s="40" t="s">
        <v>741</v>
      </c>
      <c r="L49" s="34" t="str">
        <f>IF(VLOOKUP(J49,find_replace!H:H,1,"false")=J49,"TRUE","FALSE")</f>
        <v>TRUE</v>
      </c>
      <c r="M49" s="73" t="s">
        <v>410</v>
      </c>
      <c r="N49" s="73" t="s">
        <v>410</v>
      </c>
      <c r="O49" s="60" t="str">
        <f t="shared" si="1"/>
        <v xml:space="preserve">    term_deployment_area_photos_taken: "Deployment Area Photos Taken"</v>
      </c>
      <c r="P49" s="39" t="str">
        <f t="shared" si="2"/>
        <v xml:space="preserve">    def_deployment_area_photos_taken: "Whether deployment area photos were taken (yes*/no; optional). The recommendation includes collecting four photos taken from the centre of the target detection zone (Figure 5), facing each of the four cardinal directions."</v>
      </c>
      <c r="Q49" s="40"/>
      <c r="R49" s="74" t="b">
        <v>0</v>
      </c>
      <c r="S49" s="77" t="b">
        <v>1</v>
      </c>
      <c r="T49" s="77" t="b">
        <v>1</v>
      </c>
      <c r="U49" s="76" t="s">
        <v>895</v>
      </c>
      <c r="V49" t="s">
        <v>896</v>
      </c>
      <c r="W49" s="13" t="s">
        <v>1816</v>
      </c>
      <c r="X49" t="s">
        <v>4081</v>
      </c>
      <c r="Y49" t="str">
        <f t="shared" si="3"/>
        <v xml:space="preserve">    deployment_area_photos_taken_ti: "&lt;a href=\"09_glossary.html#deployment_area_photos_taken\" target=\"_blank\" data-bs-toggle=\"tooltip\" data-bs-title=\"Deployment Area Photos Taken: Whether deployment area photos were taken (yes*/no; optional). The recommendation includes collecting four photos taken from the centre of the target detection zone (Figure 5), facing each of the four cardinal directions.\"&gt;&lt;button type=\"button\" class=\"btn btn-bd-tip-info-hidden btn-sm position-relative\"&gt;.&lt;span class=\"position-absolute top-0 start-100 translate-middle\"&gt;{{ icon_info }}&lt;/span&gt;&lt;/button&gt;&lt;/a&gt;"</v>
      </c>
    </row>
    <row r="50" spans="1:25">
      <c r="A50" s="30"/>
      <c r="B50" s="30">
        <v>39</v>
      </c>
      <c r="C50" s="30" t="s">
        <v>429</v>
      </c>
      <c r="D50" s="73" t="s">
        <v>984</v>
      </c>
      <c r="E50" s="40" t="s">
        <v>484</v>
      </c>
      <c r="F50" s="30" t="s">
        <v>897</v>
      </c>
      <c r="G50" s="30" t="s">
        <v>767</v>
      </c>
      <c r="H50" s="30" t="s">
        <v>545</v>
      </c>
      <c r="I50" s="40" t="s">
        <v>331</v>
      </c>
      <c r="J50" s="40" t="str">
        <f t="shared" si="0"/>
        <v>deployment_comments</v>
      </c>
      <c r="K50" s="40" t="s">
        <v>742</v>
      </c>
      <c r="L50" s="34" t="str">
        <f>IF(VLOOKUP(J50,find_replace!H:H,1,"false")=J50,"TRUE","FALSE")</f>
        <v>TRUE</v>
      </c>
      <c r="M50" s="73" t="s">
        <v>332</v>
      </c>
      <c r="N50" s="73" t="s">
        <v>332</v>
      </c>
      <c r="O50" s="60" t="str">
        <f t="shared" si="1"/>
        <v xml:space="preserve">    term_deployment_comments: "Deployment Comments"</v>
      </c>
      <c r="P50" s="39" t="str">
        <f t="shared" si="2"/>
        <v xml:space="preserve">    def_deployment_comments: "Comments describing additional details about the deployment."</v>
      </c>
      <c r="Q50" s="40"/>
      <c r="R50" s="74" t="b">
        <v>0</v>
      </c>
      <c r="S50" s="77" t="b">
        <v>1</v>
      </c>
      <c r="T50" s="77" t="b">
        <v>1</v>
      </c>
      <c r="U50" s="76" t="s">
        <v>895</v>
      </c>
      <c r="V50" t="s">
        <v>896</v>
      </c>
      <c r="W50" s="13" t="s">
        <v>1816</v>
      </c>
      <c r="X50" t="s">
        <v>4081</v>
      </c>
      <c r="Y50" t="str">
        <f t="shared" si="3"/>
        <v xml:space="preserve">    deployment_comments_ti: "&lt;a href=\"09_glossary.html#deployment_comments\" target=\"_blank\" data-bs-toggle=\"tooltip\" data-bs-title=\"Deployment Comments: Comments describing additional details about the deployment.\"&gt;&lt;button type=\"button\" class=\"btn btn-bd-tip-info-hidden btn-sm position-relative\"&gt;.&lt;span class=\"position-absolute top-0 start-100 translate-middle\"&gt;{{ icon_info }}&lt;/span&gt;&lt;/button&gt;&lt;/a&gt;"</v>
      </c>
    </row>
    <row r="51" spans="1:25">
      <c r="A51" s="30"/>
      <c r="B51" s="30">
        <v>40</v>
      </c>
      <c r="C51" s="30" t="s">
        <v>429</v>
      </c>
      <c r="D51" s="73" t="s">
        <v>984</v>
      </c>
      <c r="E51" s="40" t="s">
        <v>4144</v>
      </c>
      <c r="F51" s="30" t="s">
        <v>897</v>
      </c>
      <c r="G51" s="30" t="s">
        <v>767</v>
      </c>
      <c r="H51" s="30" t="s">
        <v>545</v>
      </c>
      <c r="I51" s="40" t="s">
        <v>295</v>
      </c>
      <c r="J51" s="40" t="str">
        <f t="shared" si="0"/>
        <v>deployment_crew</v>
      </c>
      <c r="K51" s="40" t="s">
        <v>690</v>
      </c>
      <c r="L51" s="34" t="str">
        <f>IF(VLOOKUP(J51,find_replace!H:H,1,"false")=J51,"TRUE","FALSE")</f>
        <v>TRUE</v>
      </c>
      <c r="M51" s="73" t="s">
        <v>296</v>
      </c>
      <c r="N51" s="73" t="s">
        <v>296</v>
      </c>
      <c r="O51" s="60" t="str">
        <f t="shared" si="1"/>
        <v xml:space="preserve">    term_deployment_crew: "Deployment Crew"</v>
      </c>
      <c r="P51" s="39" t="str">
        <f t="shared" si="2"/>
        <v xml:space="preserve">    def_deployment_crew: "The first and last names of the individuals who collected data during the deployment visit."</v>
      </c>
      <c r="Q51" s="40"/>
      <c r="R51" s="74" t="b">
        <v>1</v>
      </c>
      <c r="S51" s="77" t="b">
        <v>1</v>
      </c>
      <c r="T51" s="77" t="b">
        <v>1</v>
      </c>
      <c r="U51" s="76" t="s">
        <v>895</v>
      </c>
      <c r="V51" t="s">
        <v>896</v>
      </c>
      <c r="W51" s="13" t="s">
        <v>1816</v>
      </c>
      <c r="X51" t="s">
        <v>4081</v>
      </c>
      <c r="Y51" t="str">
        <f t="shared" si="3"/>
        <v xml:space="preserve">    deployment_crew_ti: "&lt;a href=\"09_glossary.html#deployment_crew\" target=\"_blank\" data-bs-toggle=\"tooltip\" data-bs-title=\"Deployment Crew: The first and last names of the individuals who collected data during the deployment visit.\"&gt;&lt;button type=\"button\" class=\"btn btn-bd-tip-info-hidden btn-sm position-relative\"&gt;.&lt;span class=\"position-absolute top-0 start-100 translate-middle\"&gt;{{ icon_info }}&lt;/span&gt;&lt;/button&gt;&lt;/a&gt;"</v>
      </c>
    </row>
    <row r="52" spans="1:25">
      <c r="A52" s="30"/>
      <c r="B52" s="30">
        <v>41</v>
      </c>
      <c r="C52" s="30" t="s">
        <v>429</v>
      </c>
      <c r="D52" s="73" t="s">
        <v>984</v>
      </c>
      <c r="E52" s="40" t="s">
        <v>4142</v>
      </c>
      <c r="F52" s="30" t="s">
        <v>897</v>
      </c>
      <c r="G52" s="30" t="s">
        <v>767</v>
      </c>
      <c r="H52" s="30" t="s">
        <v>545</v>
      </c>
      <c r="I52" s="40" t="s">
        <v>293</v>
      </c>
      <c r="J52" s="40" t="str">
        <f t="shared" si="0"/>
        <v>deployment_end_date_time</v>
      </c>
      <c r="K52" s="40" t="s">
        <v>691</v>
      </c>
      <c r="L52" s="34" t="str">
        <f>IF(VLOOKUP(J52,find_replace!H:H,1,"false")=J52,"TRUE","FALSE")</f>
        <v>TRUE</v>
      </c>
      <c r="M52" s="73" t="s">
        <v>294</v>
      </c>
      <c r="N52" s="73" t="s">
        <v>294</v>
      </c>
      <c r="O52" s="60" t="str">
        <f t="shared" si="1"/>
        <v xml:space="preserve">    term_deployment_end_date_time: "Deployment End Date Time (DD-MMM-YYYY HH:MM:SS)"</v>
      </c>
      <c r="P52" s="39" t="str">
        <f t="shared" si="2"/>
        <v xml:space="preserve">    def_deployment_end_date_time: "The date and time that the data was retrieved for a specific deployment (e.g., 27-Jan-2019 23:00:00). The Deployment End Date Time may not coincide with when the last image or video was collected (i.e., the Image Set End Date Time). Recording this field allows users to account for deployments where no images were captured and to confirm the last date and time that the camera was active."</v>
      </c>
      <c r="Q52" s="40"/>
      <c r="R52" s="74" t="b">
        <v>1</v>
      </c>
      <c r="S52" s="77" t="b">
        <v>1</v>
      </c>
      <c r="T52" s="77" t="b">
        <v>1</v>
      </c>
      <c r="U52" s="76" t="s">
        <v>895</v>
      </c>
      <c r="V52" t="s">
        <v>896</v>
      </c>
      <c r="W52" s="13" t="s">
        <v>1816</v>
      </c>
      <c r="X52" t="s">
        <v>4081</v>
      </c>
      <c r="Y52" t="str">
        <f t="shared" si="3"/>
        <v xml:space="preserve">    deployment_end_date_time_ti: "&lt;a href=\"09_glossary.html#deployment_end_date_time\" target=\"_blank\" data-bs-toggle=\"tooltip\" data-bs-title=\"Deployment End Date Time (DD-MMM-YYYY HH:MM:SS): The date and time that the data was retrieved for a specific deployment (e.g., 27-Jan-2019 23:00:00). The Deployment End Date Time may not coincide with when the last image or video was collected (i.e., the Image Set End Date Time). Recording this field allows users to account for deployments where no images were captured and to confirm the last date and time that the camera was active.\"&gt;&lt;button type=\"button\" class=\"btn btn-bd-tip-info-hidden btn-sm position-relative\"&gt;.&lt;span class=\"position-absolute top-0 start-100 translate-middle\"&gt;{{ icon_info }}&lt;/span&gt;&lt;/button&gt;&lt;/a&gt;"</v>
      </c>
    </row>
    <row r="53" spans="1:25">
      <c r="A53" s="30"/>
      <c r="B53" s="30">
        <v>42</v>
      </c>
      <c r="C53" s="30" t="s">
        <v>429</v>
      </c>
      <c r="D53" s="73" t="s">
        <v>984</v>
      </c>
      <c r="E53" s="40" t="s">
        <v>485</v>
      </c>
      <c r="F53" s="30" t="s">
        <v>897</v>
      </c>
      <c r="G53" s="30" t="s">
        <v>767</v>
      </c>
      <c r="H53" s="30" t="s">
        <v>545</v>
      </c>
      <c r="I53" s="40" t="s">
        <v>1250</v>
      </c>
      <c r="J53" s="40" t="str">
        <f t="shared" si="0"/>
        <v>deployment_img_count</v>
      </c>
      <c r="K53" s="40" t="s">
        <v>743</v>
      </c>
      <c r="L53" s="34" t="str">
        <f>IF(VLOOKUP(J53,find_replace!H:H,1,"false")=J53,"TRUE","FALSE")</f>
        <v>TRUE</v>
      </c>
      <c r="M53" s="73" t="s">
        <v>330</v>
      </c>
      <c r="N53" s="73" t="s">
        <v>330</v>
      </c>
      <c r="O53" s="60" t="str">
        <f t="shared" si="1"/>
        <v xml:space="preserve">    term_deployment_img_count: "Deployment Image Count"</v>
      </c>
      <c r="P53" s="39" t="str">
        <f t="shared" si="2"/>
        <v xml:space="preserve">    def_deployment_img_count: "The total number of images collected during the deployment, including false triggers (i.e., empty images with no wildlife or human present species) and those triggered by a time-lapse setting (if applicable)."</v>
      </c>
      <c r="Q53" s="40"/>
      <c r="R53" s="74" t="b">
        <v>0</v>
      </c>
      <c r="S53" s="77" t="b">
        <v>1</v>
      </c>
      <c r="T53" s="75" t="b">
        <v>0</v>
      </c>
      <c r="U53" s="76" t="s">
        <v>895</v>
      </c>
      <c r="V53" t="s">
        <v>896</v>
      </c>
      <c r="W53" s="13" t="s">
        <v>1816</v>
      </c>
      <c r="X53" t="s">
        <v>4081</v>
      </c>
      <c r="Y53" t="str">
        <f t="shared" si="3"/>
        <v xml:space="preserve">    deployment_img_count_ti: "&lt;a href=\"09_glossary.html#deployment_img_count\" target=\"_blank\" data-bs-toggle=\"tooltip\" data-bs-title=\"Deployment Image Count: The total number of images collected during the deployment, including false triggers (i.e., empty images with no wildlife or human present species) and those triggered by a time-lapse setting (if applicable).\"&gt;&lt;button type=\"button\" class=\"btn btn-bd-tip-info-hidden btn-sm position-relative\"&gt;.&lt;span class=\"position-absolute top-0 start-100 translate-middle\"&gt;{{ icon_info }}&lt;/span&gt;&lt;/button&gt;&lt;/a&gt;"</v>
      </c>
    </row>
    <row r="54" spans="1:25">
      <c r="A54" s="30"/>
      <c r="B54" s="30">
        <v>43</v>
      </c>
      <c r="C54" s="30" t="s">
        <v>0</v>
      </c>
      <c r="D54" s="73" t="s">
        <v>984</v>
      </c>
      <c r="E54" s="34" t="s">
        <v>213</v>
      </c>
      <c r="F54" s="30"/>
      <c r="G54" s="30" t="s">
        <v>767</v>
      </c>
      <c r="H54" s="30" t="s">
        <v>545</v>
      </c>
      <c r="I54" s="40" t="s">
        <v>211</v>
      </c>
      <c r="J54" s="40" t="str">
        <f t="shared" si="0"/>
        <v>deployment_metadata</v>
      </c>
      <c r="K54" s="34" t="s">
        <v>213</v>
      </c>
      <c r="L54" s="34" t="str">
        <f>IF(VLOOKUP(J54,find_replace!H:H,1,"false")=J54,"TRUE","FALSE")</f>
        <v>TRUE</v>
      </c>
      <c r="M54" s="73" t="s">
        <v>212</v>
      </c>
      <c r="N54" s="73" t="s">
        <v>212</v>
      </c>
      <c r="O54" s="60" t="str">
        <f t="shared" si="1"/>
        <v xml:space="preserve">    term_deployment_metadata: "Deployment metadata"</v>
      </c>
      <c r="P54" s="39" t="str">
        <f t="shared" si="2"/>
        <v xml:space="preserve">    def_deployment_metadata: "Metadata that is collected each time a camera is deployed. Each deployment event should have its own Camera Deployment Field Datasheet. The relevant metadata fields that should be collected differ when a camera is deployed vs. serviced or retrieved.&lt;br&gt;&lt;br&gt;Refer to Appendix A - Table A5 and Camera Deployment Field Datasheet."</v>
      </c>
      <c r="Q54" s="40"/>
      <c r="R54" s="74" t="s">
        <v>51</v>
      </c>
      <c r="S54" s="77" t="b">
        <v>1</v>
      </c>
      <c r="T54" s="77" t="b">
        <v>1</v>
      </c>
      <c r="U54" s="76" t="s">
        <v>895</v>
      </c>
      <c r="V54" t="s">
        <v>896</v>
      </c>
      <c r="W54" s="13" t="s">
        <v>1816</v>
      </c>
      <c r="X54" t="s">
        <v>4081</v>
      </c>
      <c r="Y54" t="str">
        <f t="shared" si="3"/>
        <v xml:space="preserve">    deployment_metadata_ti: "&lt;a href=\"09_glossary.html#deployment_metadata\" target=\"_blank\" data-bs-toggle=\"tooltip\" data-bs-title=\"Deployment metadata: Metadata that is collected each time a camera is deployed. Each deployment event should have its own Camera Deployment Field Datasheet. The relevant metadata fields that should be collected differ when a camera is deployed vs. serviced or retrieved.&lt;br&gt;&lt;br&gt;Refer to Appendix A - Table A5 and Camera Deployment Field Datasheet.\"&gt;&lt;button type=\"button\" class=\"btn btn-bd-tip-info-hidden btn-sm position-relative\"&gt;.&lt;span class=\"position-absolute top-0 start-100 translate-middle\"&gt;{{ icon_info }}&lt;/span&gt;&lt;/button&gt;&lt;/a&gt;"</v>
      </c>
    </row>
    <row r="55" spans="1:25">
      <c r="A55" s="30"/>
      <c r="B55" s="30">
        <v>44</v>
      </c>
      <c r="C55" s="30" t="s">
        <v>429</v>
      </c>
      <c r="D55" s="73" t="s">
        <v>984</v>
      </c>
      <c r="E55" s="40" t="s">
        <v>4128</v>
      </c>
      <c r="F55" s="30" t="s">
        <v>897</v>
      </c>
      <c r="G55" s="30" t="s">
        <v>767</v>
      </c>
      <c r="H55" s="30" t="s">
        <v>545</v>
      </c>
      <c r="I55" s="40" t="s">
        <v>292</v>
      </c>
      <c r="J55" s="40" t="str">
        <f t="shared" si="0"/>
        <v>deployment_name</v>
      </c>
      <c r="K55" s="40" t="s">
        <v>692</v>
      </c>
      <c r="L55" s="34" t="str">
        <f>IF(VLOOKUP(J55,find_replace!H:H,1,"false")=J55,"TRUE","FALSE")</f>
        <v>TRUE</v>
      </c>
      <c r="M55" s="73" t="s">
        <v>833</v>
      </c>
      <c r="N55" s="73" t="s">
        <v>853</v>
      </c>
      <c r="O55" s="60" t="str">
        <f t="shared" si="1"/>
        <v xml:space="preserve">    term_deployment_name: "Deployment Name"</v>
      </c>
      <c r="P55" s="39" t="str">
        <f t="shared" si="2"/>
        <v xml:space="preserve">    def_deployment_name: "A unique alphanumeric identifier for a unique camera deployed during a specific [survey](#survey) period (ideally recorded as: 'Camera Location Name'_'Deployment Start Date' (or …_'Deployment End Date') (e.g., 'bh1_17-Jul-2018' or 'bh1_17-Jul-2018_21-Jan-2019'). &lt;br&gt; &lt;br&gt; Alternative naming conventions may be used, but the goal should be to minimize duplicate Image Names."</v>
      </c>
      <c r="Q55" s="40"/>
      <c r="R55" s="74" t="b">
        <v>1</v>
      </c>
      <c r="S55" s="77" t="b">
        <v>1</v>
      </c>
      <c r="T55" s="77" t="b">
        <v>1</v>
      </c>
      <c r="U55" s="76" t="s">
        <v>895</v>
      </c>
      <c r="V55" t="s">
        <v>896</v>
      </c>
      <c r="W55" s="13" t="s">
        <v>1816</v>
      </c>
      <c r="X55" t="s">
        <v>4081</v>
      </c>
      <c r="Y55" t="str">
        <f t="shared" si="3"/>
        <v xml:space="preserve">    deployment_name_ti: "&lt;a href=\"09_glossary.html#deployment_name\" target=\"_blank\" data-bs-toggle=\"tooltip\" data-bs-title=\"Deployment Name: A unique alphanumeric identifier for a unique camera deployed during a specific [survey](#survey) period (ideally recorded as: 'Camera Location Name'_'Deployment Start Date' (or …_'Deployment End Date') (e.g., 'bh1_17-Jul-2018' or 'bh1_17-Jul-2018_21-Jan-2019'). &lt;br&gt; &lt;br&gt; Alternative naming conventions may be used, but the goal should be to minimize duplicate Image Names.\"&gt;&lt;button type=\"button\" class=\"btn btn-bd-tip-info-hidden btn-sm position-relative\"&gt;.&lt;span class=\"position-absolute top-0 start-100 translate-middle\"&gt;{{ icon_info }}&lt;/span&gt;&lt;/button&gt;&lt;/a&gt;"</v>
      </c>
    </row>
    <row r="56" spans="1:25">
      <c r="A56" s="30"/>
      <c r="B56" s="30">
        <v>45</v>
      </c>
      <c r="C56" s="30" t="s">
        <v>429</v>
      </c>
      <c r="D56" s="73" t="s">
        <v>984</v>
      </c>
      <c r="E56" s="40" t="s">
        <v>4141</v>
      </c>
      <c r="F56" s="30" t="s">
        <v>897</v>
      </c>
      <c r="G56" s="30" t="s">
        <v>767</v>
      </c>
      <c r="H56" s="30" t="s">
        <v>545</v>
      </c>
      <c r="I56" s="40" t="s">
        <v>290</v>
      </c>
      <c r="J56" s="40" t="str">
        <f t="shared" si="0"/>
        <v>deployment_start_date_time</v>
      </c>
      <c r="K56" s="40" t="s">
        <v>693</v>
      </c>
      <c r="L56" s="34" t="str">
        <f>IF(VLOOKUP(J56,find_replace!H:H,1,"false")=J56,"TRUE","FALSE")</f>
        <v>TRUE</v>
      </c>
      <c r="M56" s="73" t="s">
        <v>291</v>
      </c>
      <c r="N56" s="73" t="s">
        <v>291</v>
      </c>
      <c r="O56" s="60" t="str">
        <f t="shared" si="1"/>
        <v xml:space="preserve">    term_deployment_start_date_time: "Deployment Start Date Time (DD-MMM-YYYY HH:MM:SS)"</v>
      </c>
      <c r="P56" s="39" t="str">
        <f t="shared" si="2"/>
        <v xml:space="preserve">    def_deployment_start_date_time: "The date and time that a camera was placed for a specific deployment (e.g., 17-Jan-2018 10:34:22). &lt;br&gt;&lt;br&gt;The Deployment Start Date Time may not coincide with when the first image or video was collected (i.e., the Image Set Start Date Time). Recording this field allows users to account for deployments where no images were captured and to confirm the first date and time a camera was active."</v>
      </c>
      <c r="Q56" s="40"/>
      <c r="R56" s="74" t="b">
        <v>1</v>
      </c>
      <c r="S56" s="77" t="b">
        <v>1</v>
      </c>
      <c r="T56" s="77" t="b">
        <v>1</v>
      </c>
      <c r="U56" s="76" t="s">
        <v>895</v>
      </c>
      <c r="V56" t="s">
        <v>896</v>
      </c>
      <c r="W56" s="13" t="s">
        <v>1816</v>
      </c>
      <c r="X56" t="s">
        <v>4081</v>
      </c>
      <c r="Y56" t="str">
        <f t="shared" si="3"/>
        <v xml:space="preserve">    deployment_start_date_time_ti: "&lt;a href=\"09_glossary.html#deployment_start_date_time\" target=\"_blank\" data-bs-toggle=\"tooltip\" data-bs-title=\"Deployment Start Date Time (DD-MMM-YYYY HH:MM:SS): The date and time that a camera was placed for a specific deployment (e.g., 17-Jan-2018 10:34:22). &lt;br&gt;&lt;br&gt;The Deployment Start Date Time may not coincide with when the first image or video was collected (i.e., the Image Set Start Date Time). Recording this field allows users to account for deployments where no images were captured and to confirm the first date and time a camera was active.\"&gt;&lt;button type=\"button\" class=\"btn btn-bd-tip-info-hidden btn-sm position-relative\"&gt;.&lt;span class=\"position-absolute top-0 start-100 translate-middle\"&gt;{{ icon_info }}&lt;/span&gt;&lt;/button&gt;&lt;/a&gt;"</v>
      </c>
    </row>
    <row r="57" spans="1:25">
      <c r="A57" s="30"/>
      <c r="B57" s="30">
        <v>46</v>
      </c>
      <c r="C57" s="30" t="s">
        <v>0</v>
      </c>
      <c r="D57" s="73" t="s">
        <v>984</v>
      </c>
      <c r="E57" s="34" t="s">
        <v>210</v>
      </c>
      <c r="F57" s="30"/>
      <c r="G57" s="30" t="s">
        <v>767</v>
      </c>
      <c r="H57" s="30" t="s">
        <v>545</v>
      </c>
      <c r="I57" s="40" t="s">
        <v>208</v>
      </c>
      <c r="J57" s="40" t="str">
        <f t="shared" si="0"/>
        <v>deployment_visit</v>
      </c>
      <c r="K57" s="34" t="s">
        <v>210</v>
      </c>
      <c r="L57" s="34" t="str">
        <f>IF(VLOOKUP(J57,find_replace!H:H,1,"false")=J57,"TRUE","FALSE")</f>
        <v>TRUE</v>
      </c>
      <c r="M57" s="73" t="s">
        <v>209</v>
      </c>
      <c r="N57" s="73" t="s">
        <v>209</v>
      </c>
      <c r="O57" s="60" t="str">
        <f t="shared" si="1"/>
        <v xml:space="preserve">    term_deployment_visit: "Deployment visit"</v>
      </c>
      <c r="P57" s="39" t="str">
        <f t="shared" si="2"/>
        <v xml:space="preserve">    def_deployment_visit: "When a crew has gone to a location to deploy a remote camera."</v>
      </c>
      <c r="Q57" s="40"/>
      <c r="R57" s="74" t="s">
        <v>51</v>
      </c>
      <c r="S57" s="77" t="b">
        <v>1</v>
      </c>
      <c r="T57" s="77" t="b">
        <v>1</v>
      </c>
      <c r="U57" s="76" t="s">
        <v>895</v>
      </c>
      <c r="V57" t="s">
        <v>896</v>
      </c>
      <c r="W57" s="13" t="s">
        <v>1816</v>
      </c>
      <c r="X57" t="s">
        <v>4081</v>
      </c>
      <c r="Y57" t="str">
        <f t="shared" si="3"/>
        <v xml:space="preserve">    deployment_visit_ti: "&lt;a href=\"09_glossary.html#deployment_visit\" target=\"_blank\" data-bs-toggle=\"tooltip\" data-bs-title=\"Deployment visit: When a crew has gone to a location to deploy a remote camera.\"&gt;&lt;button type=\"button\" class=\"btn btn-bd-tip-info-hidden btn-sm position-relative\"&gt;.&lt;span class=\"position-absolute top-0 start-100 translate-middle\"&gt;{{ icon_info }}&lt;/span&gt;&lt;/button&gt;&lt;/a&gt;"</v>
      </c>
    </row>
    <row r="58" spans="1:25">
      <c r="A58" s="30"/>
      <c r="B58" s="30">
        <v>48</v>
      </c>
      <c r="C58" s="30" t="s">
        <v>0</v>
      </c>
      <c r="D58" s="73" t="s">
        <v>984</v>
      </c>
      <c r="E58" s="34" t="s">
        <v>206</v>
      </c>
      <c r="F58" s="30"/>
      <c r="G58" s="30" t="s">
        <v>767</v>
      </c>
      <c r="H58" s="40" t="s">
        <v>542</v>
      </c>
      <c r="I58" s="40" t="s">
        <v>205</v>
      </c>
      <c r="J58" s="40" t="str">
        <f t="shared" si="0"/>
        <v>detection_distance</v>
      </c>
      <c r="K58" s="34" t="s">
        <v>206</v>
      </c>
      <c r="L58" s="34" t="str">
        <f>IF(VLOOKUP(J58,find_replace!H:H,1,"false")=J58,"TRUE","FALSE")</f>
        <v>TRUE</v>
      </c>
      <c r="M58" s="89" t="s">
        <v>626</v>
      </c>
      <c r="N58" s="89" t="s">
        <v>626</v>
      </c>
      <c r="O58" s="60" t="str">
        <f t="shared" si="1"/>
        <v xml:space="preserve">    term_detection_distance: "Detection distance"</v>
      </c>
      <c r="P58" s="39" t="str">
        <f t="shared" si="2"/>
        <v xml:space="preserve">    def_detection_distance: "The maximum distance that a sensor can detect a target' (Wearn and Glover-Kapfer, 2017)."</v>
      </c>
      <c r="Q58" s="40"/>
      <c r="R58" s="74" t="s">
        <v>51</v>
      </c>
      <c r="S58" s="75" t="b">
        <v>0</v>
      </c>
      <c r="T58" s="77" t="b">
        <v>1</v>
      </c>
      <c r="U58" s="76" t="s">
        <v>895</v>
      </c>
      <c r="V58" t="s">
        <v>896</v>
      </c>
      <c r="W58" s="13" t="s">
        <v>1816</v>
      </c>
      <c r="X58" t="s">
        <v>4081</v>
      </c>
      <c r="Y58" t="str">
        <f t="shared" si="3"/>
        <v xml:space="preserve">    detection_distance_ti: "&lt;a href=\"09_glossary.html#detection_distance\" target=\"_blank\" data-bs-toggle=\"tooltip\" data-bs-title=\"Detection distance: The maximum distance that a sensor can detect a target' (Wearn and Glover-Kapfer, 2017).\"&gt;&lt;button type=\"button\" class=\"btn btn-bd-tip-info-hidden btn-sm position-relative\"&gt;.&lt;span class=\"position-absolute top-0 start-100 translate-middle\"&gt;{{ icon_info }}&lt;/span&gt;&lt;/button&gt;&lt;/a&gt;"</v>
      </c>
    </row>
    <row r="59" spans="1:25">
      <c r="A59" s="30"/>
      <c r="B59" s="30">
        <v>47</v>
      </c>
      <c r="C59" s="30" t="s">
        <v>0</v>
      </c>
      <c r="D59" s="73" t="s">
        <v>984</v>
      </c>
      <c r="E59" s="34" t="s">
        <v>455</v>
      </c>
      <c r="F59" s="30"/>
      <c r="G59" s="30" t="s">
        <v>767</v>
      </c>
      <c r="H59" s="40" t="s">
        <v>542</v>
      </c>
      <c r="I59" s="40" t="s">
        <v>207</v>
      </c>
      <c r="J59" s="40" t="str">
        <f t="shared" si="0"/>
        <v>detection_event</v>
      </c>
      <c r="K59" s="34" t="s">
        <v>455</v>
      </c>
      <c r="L59" s="34" t="str">
        <f>IF(VLOOKUP(J59,find_replace!H:H,1,"false")=J59,"TRUE","FALSE")</f>
        <v>TRUE</v>
      </c>
      <c r="M59" s="73" t="s">
        <v>367</v>
      </c>
      <c r="N59" s="73" t="s">
        <v>367</v>
      </c>
      <c r="O59" s="60" t="str">
        <f t="shared" si="1"/>
        <v xml:space="preserve">    term_detection_event: "Detection 'event'"</v>
      </c>
      <c r="P59" s="39" t="str">
        <f t="shared" si="2"/>
        <v xml:space="preserve">    def_detection_event: "A group of images or video clips that are considered independent from other images or video clips based on a certain time threshold (or 'inter-detection interval'). For example, 30 minutes (O’Brien et al., 2003; Gerber et al., 2010; Kitamura et al., 2010; Samejima et al., 2012) or 1 hour (e.g., Tobler et al., 2008; Rovero &amp; Marshall, 2009)."</v>
      </c>
      <c r="Q59" s="40"/>
      <c r="R59" s="74" t="s">
        <v>51</v>
      </c>
      <c r="S59" s="77" t="b">
        <v>1</v>
      </c>
      <c r="T59" s="77" t="b">
        <v>1</v>
      </c>
      <c r="U59" s="76" t="s">
        <v>895</v>
      </c>
      <c r="V59" t="s">
        <v>896</v>
      </c>
      <c r="W59" s="13" t="s">
        <v>1816</v>
      </c>
      <c r="X59" t="s">
        <v>4081</v>
      </c>
      <c r="Y59" t="str">
        <f t="shared" si="3"/>
        <v xml:space="preserve">    detection_event_ti: "&lt;a href=\"09_glossary.html#detection_event\" target=\"_blank\" data-bs-toggle=\"tooltip\" data-bs-title=\"Detection 'event': A group of images or video clips that are considered independent from other images or video clips based on a certain time threshold (or 'inter-detection interval'). For example, 30 minutes (O’Brien et al., 2003; Gerber et al., 2010; Kitamura et al., 2010; Samejima et al., 2012) or 1 hour (e.g., Tobler et al., 2008; Rovero &amp; Marshall, 2009).\"&gt;&lt;button type=\"button\" class=\"btn btn-bd-tip-info-hidden btn-sm position-relative\"&gt;.&lt;span class=\"position-absolute top-0 start-100 translate-middle\"&gt;{{ icon_info }}&lt;/span&gt;&lt;/button&gt;&lt;/a&gt;"</v>
      </c>
    </row>
    <row r="60" spans="1:25">
      <c r="A60" s="30"/>
      <c r="B60" s="30">
        <v>49</v>
      </c>
      <c r="C60" s="30" t="s">
        <v>0</v>
      </c>
      <c r="D60" s="73" t="s">
        <v>984</v>
      </c>
      <c r="E60" s="34" t="s">
        <v>204</v>
      </c>
      <c r="F60" s="30"/>
      <c r="G60" s="30" t="s">
        <v>767</v>
      </c>
      <c r="H60" s="40" t="s">
        <v>542</v>
      </c>
      <c r="I60" s="40" t="s">
        <v>203</v>
      </c>
      <c r="J60" s="40" t="str">
        <f t="shared" si="0"/>
        <v>detection_probability</v>
      </c>
      <c r="K60" s="34" t="s">
        <v>204</v>
      </c>
      <c r="L60" s="34" t="str">
        <f>IF(VLOOKUP(J60,find_replace!H:H,1,"false")=J60,"TRUE","FALSE")</f>
        <v>TRUE</v>
      </c>
      <c r="M60" s="73" t="s">
        <v>4154</v>
      </c>
      <c r="N60" s="73" t="s">
        <v>4154</v>
      </c>
      <c r="O60" s="60" t="str">
        <f t="shared" si="1"/>
        <v xml:space="preserve">    term_detection_probability: "Detection probability (aka detectability)"</v>
      </c>
      <c r="P60" s="39" t="str">
        <f t="shared" si="2"/>
        <v xml:space="preserve">    def_detection_probability: "The probability (likelihood) that an individual of the population of interest is included in the count at time or location *i*."</v>
      </c>
      <c r="Q60" s="40"/>
      <c r="R60" s="74" t="s">
        <v>51</v>
      </c>
      <c r="S60" s="75" t="b">
        <v>0</v>
      </c>
      <c r="T60" s="77" t="b">
        <v>1</v>
      </c>
      <c r="U60" s="76" t="s">
        <v>895</v>
      </c>
      <c r="V60" t="s">
        <v>896</v>
      </c>
      <c r="W60" s="13" t="s">
        <v>1816</v>
      </c>
      <c r="X60" t="s">
        <v>4081</v>
      </c>
      <c r="Y60" t="str">
        <f t="shared" si="3"/>
        <v xml:space="preserve">    detection_probability_ti: "&lt;a href=\"09_glossary.html#detection_probability\" target=\"_blank\" data-bs-toggle=\"tooltip\" data-bs-title=\"Detection probability (aka detectability): The probability (likelihood) that an individual of the population of interest is included in the count at time or location *i*.\"&gt;&lt;button type=\"button\" class=\"btn btn-bd-tip-info-hidden btn-sm position-relative\"&gt;.&lt;span class=\"position-absolute top-0 start-100 translate-middle\"&gt;{{ icon_info }}&lt;/span&gt;&lt;/button&gt;&lt;/a&gt;"</v>
      </c>
    </row>
    <row r="61" spans="1:25">
      <c r="A61" s="30"/>
      <c r="B61" s="30">
        <v>50</v>
      </c>
      <c r="C61" s="30" t="s">
        <v>0</v>
      </c>
      <c r="D61" s="73" t="s">
        <v>984</v>
      </c>
      <c r="E61" s="34" t="s">
        <v>202</v>
      </c>
      <c r="F61" s="30"/>
      <c r="G61" s="30" t="s">
        <v>767</v>
      </c>
      <c r="H61" s="40" t="s">
        <v>542</v>
      </c>
      <c r="I61" s="40" t="s">
        <v>200</v>
      </c>
      <c r="J61" s="40" t="str">
        <f t="shared" si="0"/>
        <v>detection_rate</v>
      </c>
      <c r="K61" s="34" t="s">
        <v>202</v>
      </c>
      <c r="L61" s="34" t="str">
        <f>IF(VLOOKUP(J61,find_replace!H:H,1,"false")=J61,"TRUE","FALSE")</f>
        <v>TRUE</v>
      </c>
      <c r="M61" s="73" t="s">
        <v>201</v>
      </c>
      <c r="N61" s="73" t="s">
        <v>201</v>
      </c>
      <c r="O61" s="60" t="str">
        <f t="shared" si="1"/>
        <v xml:space="preserve">    term_detection_rate: "Detection rate"</v>
      </c>
      <c r="P61" s="39" t="str">
        <f t="shared" si="2"/>
        <v xml:space="preserve">    def_detection_rate: "The frequency of independent detections within a specified time period."</v>
      </c>
      <c r="Q61" s="40"/>
      <c r="R61" s="74" t="s">
        <v>51</v>
      </c>
      <c r="S61" s="75" t="b">
        <v>0</v>
      </c>
      <c r="T61" s="77" t="b">
        <v>1</v>
      </c>
      <c r="U61" s="76" t="s">
        <v>895</v>
      </c>
      <c r="V61" t="s">
        <v>896</v>
      </c>
      <c r="W61" s="13" t="s">
        <v>1816</v>
      </c>
      <c r="X61" t="s">
        <v>4081</v>
      </c>
      <c r="Y61" t="str">
        <f t="shared" si="3"/>
        <v xml:space="preserve">    detection_rate_ti: "&lt;a href=\"09_glossary.html#detection_rate\" target=\"_blank\" data-bs-toggle=\"tooltip\" data-bs-title=\"Detection rate: The frequency of independent detections within a specified time period.\"&gt;&lt;button type=\"button\" class=\"btn btn-bd-tip-info-hidden btn-sm position-relative\"&gt;.&lt;span class=\"position-absolute top-0 start-100 translate-middle\"&gt;{{ icon_info }}&lt;/span&gt;&lt;/button&gt;&lt;/a&gt;"</v>
      </c>
    </row>
    <row r="62" spans="1:25">
      <c r="A62" s="30"/>
      <c r="B62" s="30">
        <v>51</v>
      </c>
      <c r="C62" s="30" t="s">
        <v>0</v>
      </c>
      <c r="D62" s="73" t="s">
        <v>984</v>
      </c>
      <c r="E62" s="34" t="s">
        <v>199</v>
      </c>
      <c r="F62" s="30"/>
      <c r="G62" s="30" t="s">
        <v>767</v>
      </c>
      <c r="H62" s="40" t="s">
        <v>542</v>
      </c>
      <c r="I62" s="40" t="s">
        <v>197</v>
      </c>
      <c r="J62" s="40" t="str">
        <f t="shared" si="0"/>
        <v>detection_zone</v>
      </c>
      <c r="K62" s="34" t="s">
        <v>199</v>
      </c>
      <c r="L62" s="34" t="str">
        <f>IF(VLOOKUP(J62,find_replace!H:H,1,"false")=J62,"TRUE","FALSE")</f>
        <v>TRUE</v>
      </c>
      <c r="M62" s="73" t="s">
        <v>198</v>
      </c>
      <c r="N62" s="73" t="s">
        <v>198</v>
      </c>
      <c r="O62" s="60" t="str">
        <f t="shared" si="1"/>
        <v xml:space="preserve">    term_detection_zone: "Detection zone"</v>
      </c>
      <c r="P62" s="39" t="str">
        <f t="shared" si="2"/>
        <v xml:space="preserve">    def_detection_zone: "The area (conical in shape) in which a remote camera can detect the heat signature and motion of an object (Rovero &amp; Zimmermann, 2016) (Figure 5)."</v>
      </c>
      <c r="Q62" s="40"/>
      <c r="R62" s="74" t="s">
        <v>51</v>
      </c>
      <c r="S62" s="77" t="b">
        <v>1</v>
      </c>
      <c r="T62" s="77" t="b">
        <v>1</v>
      </c>
      <c r="U62" s="76" t="s">
        <v>895</v>
      </c>
      <c r="V62" t="s">
        <v>896</v>
      </c>
      <c r="W62" s="13" t="s">
        <v>1816</v>
      </c>
      <c r="X62" t="s">
        <v>4081</v>
      </c>
      <c r="Y62" t="str">
        <f t="shared" si="3"/>
        <v xml:space="preserve">    detection_zone_ti: "&lt;a href=\"09_glossary.html#detection_zone\" target=\"_blank\" data-bs-toggle=\"tooltip\" data-bs-title=\"Detection zone: The area (conical in shape) in which a remote camera can detect the heat signature and motion of an object (Rovero &amp; Zimmermann, 2016) (Figure 5).\"&gt;&lt;button type=\"button\" class=\"btn btn-bd-tip-info-hidden btn-sm position-relative\"&gt;.&lt;span class=\"position-absolute top-0 start-100 translate-middle\"&gt;{{ icon_info }}&lt;/span&gt;&lt;/button&gt;&lt;/a&gt;"</v>
      </c>
    </row>
    <row r="63" spans="1:25">
      <c r="A63" s="30"/>
      <c r="B63" s="30">
        <v>52</v>
      </c>
      <c r="C63" s="30" t="s">
        <v>0</v>
      </c>
      <c r="D63" s="73" t="s">
        <v>984</v>
      </c>
      <c r="E63" s="34" t="s">
        <v>196</v>
      </c>
      <c r="F63" s="30" t="s">
        <v>897</v>
      </c>
      <c r="G63" s="30" t="s">
        <v>767</v>
      </c>
      <c r="H63" s="30" t="s">
        <v>4</v>
      </c>
      <c r="I63" s="30" t="s">
        <v>10</v>
      </c>
      <c r="J63" s="40" t="str">
        <f t="shared" si="0"/>
        <v>mod_ds</v>
      </c>
      <c r="K63" s="34" t="s">
        <v>196</v>
      </c>
      <c r="L63" s="34" t="str">
        <f>IF(VLOOKUP(J63,find_replace!H:H,1,"false")=J63,"TRUE","FALSE")</f>
        <v>TRUE</v>
      </c>
      <c r="M63" s="73" t="s">
        <v>834</v>
      </c>
      <c r="N63" s="73" t="s">
        <v>854</v>
      </c>
      <c r="O63" s="60" t="str">
        <f t="shared" si="1"/>
        <v xml:space="preserve">    term_mod_ds: "Distance sampling (DS) model (Howe et al., 2017)"</v>
      </c>
      <c r="P63" s="39" t="str">
        <f t="shared" si="2"/>
        <v xml:space="preserve">    def_mod_ds: "A method to estimate abundance by using distances at which animals are detected (from [survey](#survey) lines or points) to model abundance as a function of decreasing detection probability with animal distance from the camera (using a decay function) (Cappelle et al., 2021; Howe et al., 2017)."</v>
      </c>
      <c r="Q63" s="40"/>
      <c r="R63" s="74" t="s">
        <v>51</v>
      </c>
      <c r="S63" s="75" t="b">
        <v>0</v>
      </c>
      <c r="T63" s="77" t="b">
        <v>1</v>
      </c>
      <c r="U63" s="76" t="s">
        <v>895</v>
      </c>
      <c r="V63" t="s">
        <v>896</v>
      </c>
      <c r="W63" s="13" t="s">
        <v>1816</v>
      </c>
      <c r="X63" t="s">
        <v>4081</v>
      </c>
      <c r="Y63" t="str">
        <f t="shared" si="3"/>
        <v xml:space="preserve">    mod_ds_ti: "&lt;a href=\"09_glossary.html#mod_ds\" target=\"_blank\" data-bs-toggle=\"tooltip\" data-bs-title=\"Distance sampling (DS) model (Howe et al., 2017): A method to estimate abundance by using distances at which animals are detected (from [survey](#survey) lines or points) to model abundance as a function of decreasing detection probability with animal distance from the camera (using a decay function) (Cappelle et al., 2021; Howe et al., 2017).\"&gt;&lt;button type=\"button\" class=\"btn btn-bd-tip-info-hidden btn-sm position-relative\"&gt;.&lt;span class=\"position-absolute top-0 start-100 translate-middle\"&gt;{{ icon_info }}&lt;/span&gt;&lt;/button&gt;&lt;/a&gt;"</v>
      </c>
    </row>
    <row r="64" spans="1:25">
      <c r="A64" s="30"/>
      <c r="B64" s="30">
        <v>53</v>
      </c>
      <c r="C64" s="30" t="s">
        <v>429</v>
      </c>
      <c r="D64" s="73" t="s">
        <v>984</v>
      </c>
      <c r="E64" s="34" t="s">
        <v>289</v>
      </c>
      <c r="F64" s="30" t="s">
        <v>897</v>
      </c>
      <c r="G64" s="30" t="s">
        <v>767</v>
      </c>
      <c r="H64" s="30" t="s">
        <v>547</v>
      </c>
      <c r="I64" s="40" t="s">
        <v>1221</v>
      </c>
      <c r="J64" s="40" t="str">
        <f t="shared" si="0"/>
        <v>easting_cam_location</v>
      </c>
      <c r="K64" s="34" t="s">
        <v>694</v>
      </c>
      <c r="L64" s="34" t="str">
        <f>IF(VLOOKUP(J64,find_replace!H:H,1,"false")=J64,"TRUE","FALSE")</f>
        <v>TRUE</v>
      </c>
      <c r="M64" s="73" t="s">
        <v>368</v>
      </c>
      <c r="N64" s="73" t="s">
        <v>368</v>
      </c>
      <c r="O64" s="60" t="str">
        <f t="shared" si="1"/>
        <v xml:space="preserve">    term_easting_cam_location: "Easting Camera Location"</v>
      </c>
      <c r="P64" s="39" t="str">
        <f t="shared" si="2"/>
        <v xml:space="preserve">    def_easting_cam_location: "The easting UTM coordinate of the camera location (e.g., '337875'). Record using the NAD83 datum. Leave blank if recording the Longitude instead."</v>
      </c>
      <c r="Q64" s="40" t="b">
        <v>1</v>
      </c>
      <c r="R64" s="74" t="b">
        <v>1</v>
      </c>
      <c r="S64" s="77" t="b">
        <v>1</v>
      </c>
      <c r="T64" s="77" t="b">
        <v>1</v>
      </c>
      <c r="U64" s="76" t="s">
        <v>895</v>
      </c>
      <c r="V64" t="s">
        <v>896</v>
      </c>
      <c r="W64" s="13" t="s">
        <v>1816</v>
      </c>
      <c r="X64" t="s">
        <v>4081</v>
      </c>
      <c r="Y64" t="str">
        <f t="shared" si="3"/>
        <v xml:space="preserve">    easting_cam_location_ti: "&lt;a href=\"09_glossary.html#easting_cam_location\" target=\"_blank\" data-bs-toggle=\"tooltip\" data-bs-title=\"Easting Camera Location: The easting UTM coordinate of the camera location (e.g., '337875'). Record using the NAD83 datum. Leave blank if recording the Longitude instead.\"&gt;&lt;button type=\"button\" class=\"btn btn-bd-tip-info-hidden btn-sm position-relative\"&gt;.&lt;span class=\"position-absolute top-0 start-100 translate-middle\"&gt;{{ icon_info }}&lt;/span&gt;&lt;/button&gt;&lt;/a&gt;"</v>
      </c>
    </row>
    <row r="65" spans="1:25">
      <c r="A65" s="30"/>
      <c r="B65" s="30">
        <v>54</v>
      </c>
      <c r="C65" s="30" t="s">
        <v>0</v>
      </c>
      <c r="D65" s="73" t="s">
        <v>984</v>
      </c>
      <c r="E65" s="34" t="s">
        <v>195</v>
      </c>
      <c r="F65" s="30"/>
      <c r="G65" s="30" t="s">
        <v>767</v>
      </c>
      <c r="H65" s="40" t="s">
        <v>542</v>
      </c>
      <c r="I65" s="40" t="s">
        <v>193</v>
      </c>
      <c r="J65" s="40" t="str">
        <f t="shared" si="0"/>
        <v>effective_detection_distance</v>
      </c>
      <c r="K65" s="34" t="s">
        <v>195</v>
      </c>
      <c r="L65" s="34" t="str">
        <f>IF(VLOOKUP(J65,find_replace!H:H,1,"false")=J65,"TRUE","FALSE")</f>
        <v>TRUE</v>
      </c>
      <c r="M65" s="73" t="s">
        <v>194</v>
      </c>
      <c r="N65" s="73" t="s">
        <v>194</v>
      </c>
      <c r="O65" s="60" t="str">
        <f t="shared" si="1"/>
        <v xml:space="preserve">    term_effective_detection_distance: "Effective detection distance"</v>
      </c>
      <c r="P65" s="39" t="str">
        <f t="shared" si="2"/>
        <v xml:space="preserve">    def_effective_detection_distance: "The distance from a camera that would give the same number of detections if all animals up to that distance are perfectly detected, and no animals that are farther away are detected; Buckland, 1987, Becker et al., 2022)."</v>
      </c>
      <c r="Q65" s="40"/>
      <c r="R65" s="74" t="s">
        <v>51</v>
      </c>
      <c r="S65" s="75" t="b">
        <v>0</v>
      </c>
      <c r="T65" s="77" t="b">
        <v>1</v>
      </c>
      <c r="U65" s="76" t="s">
        <v>895</v>
      </c>
      <c r="V65" t="s">
        <v>896</v>
      </c>
      <c r="W65" s="13" t="s">
        <v>1816</v>
      </c>
      <c r="X65" t="s">
        <v>4081</v>
      </c>
      <c r="Y65" t="str">
        <f t="shared" si="3"/>
        <v xml:space="preserve">    effective_detection_distance_ti: "&lt;a href=\"09_glossary.html#effective_detection_distance\" target=\"_blank\" data-bs-toggle=\"tooltip\" data-bs-title=\"Effective detection distance: The distance from a camera that would give the same number of detections if all animals up to that distance are perfectly detected, and no animals that are farther away are detected; Buckland, 1987, Becker et al., 2022).\"&gt;&lt;button type=\"button\" class=\"btn btn-bd-tip-info-hidden btn-sm position-relative\"&gt;.&lt;span class=\"position-absolute top-0 start-100 translate-middle\"&gt;{{ icon_info }}&lt;/span&gt;&lt;/button&gt;&lt;/a&gt;"</v>
      </c>
    </row>
    <row r="66" spans="1:25" ht="15">
      <c r="A66" s="30"/>
      <c r="B66" s="30"/>
      <c r="C66" s="30" t="s">
        <v>0</v>
      </c>
      <c r="D66" s="73" t="s">
        <v>984</v>
      </c>
      <c r="E66" s="30"/>
      <c r="F66" s="30"/>
      <c r="G66" s="30" t="s">
        <v>768</v>
      </c>
      <c r="H66" s="47"/>
      <c r="I66" s="31" t="s">
        <v>1784</v>
      </c>
      <c r="J66" s="40" t="str">
        <f t="shared" ref="J66:J129" si="4">IF(D66&lt;&gt;"-",I66&amp;"_"&amp;D66,I66)</f>
        <v>mod_divers_rich_rich_est</v>
      </c>
      <c r="K66" s="30" t="s">
        <v>1217</v>
      </c>
      <c r="L66" s="34" t="str">
        <f>IF(VLOOKUP(J66,find_replace!H:H,1,"false")=J66,"TRUE","FALSE")</f>
        <v>TRUE</v>
      </c>
      <c r="M66" s="51" t="s">
        <v>4122</v>
      </c>
      <c r="N66" s="51" t="s">
        <v>1838</v>
      </c>
      <c r="O66" s="60" t="str">
        <f t="shared" ref="O66:O129" si="5">IF(M66=999,"",("    term_"&amp;J66&amp;": """&amp;K66&amp;""""))</f>
        <v xml:space="preserve">    term_mod_divers_rich_rich_est: "Estimated species richness"</v>
      </c>
      <c r="P66" s="39" t="str">
        <f t="shared" ref="P66:P129" si="6">IF(M66="-","-",("    def_"&amp;J66&amp;": """&amp;M66&amp;""""))</f>
        <v xml:space="preserve">    def_mod_divers_rich_rich_est: "When the 'sum of the number of species seen' is adjusted based on corrections for '{{ tl_imperfect_detection }}' (i.e. the fact that some species in a given sample may have been missed)' ({{ rtxt_wearn_gloverkapfer_2017 }})"</v>
      </c>
      <c r="Q66" s="30"/>
      <c r="R66" s="30"/>
      <c r="S66" s="30"/>
      <c r="T66" s="30"/>
      <c r="U66" s="76" t="s">
        <v>895</v>
      </c>
      <c r="V66" t="s">
        <v>896</v>
      </c>
      <c r="W66" s="13" t="s">
        <v>1816</v>
      </c>
      <c r="X66" t="s">
        <v>4081</v>
      </c>
      <c r="Y66" t="str">
        <f t="shared" ref="Y66:Y129" si="7">IF(M66&lt;&gt;"-",("    "&amp;J66&amp;"_ti"&amp;": "&amp;""""&amp;"&lt;a href=\"&amp;""""&amp;"09_glossary.html#"&amp;J66&amp;V66&amp;K66&amp;": "&amp;M66&amp;W66&amp;""&amp;X66&amp;""""),"-")</f>
        <v xml:space="preserve">    mod_divers_rich_rich_est_ti: "&lt;a href=\"09_glossary.html#mod_divers_rich_rich_est\" target=\"_blank\" data-bs-toggle=\"tooltip\" data-bs-title=\"Estimated species richness: When the 'sum of the number of species seen' is adjusted based on corrections for '{{ tl_imperfect_detection }}' (i.e. the fact that some species in a given sample may have been missed)' ({{ rtxt_wearn_gloverkapfer_2017 }})\"&gt;&lt;button type=\"button\" class=\"btn btn-bd-tip-info-hidden btn-sm position-relative\"&gt;.&lt;span class=\"position-absolute top-0 start-100 translate-middle\"&gt;{{ icon_info }}&lt;/span&gt;&lt;/button&gt;&lt;/a&gt;"</v>
      </c>
    </row>
    <row r="67" spans="1:25">
      <c r="A67" s="30"/>
      <c r="B67" s="30">
        <v>55</v>
      </c>
      <c r="C67" s="30" t="s">
        <v>429</v>
      </c>
      <c r="D67" s="73" t="s">
        <v>984</v>
      </c>
      <c r="E67" s="34" t="s">
        <v>4160</v>
      </c>
      <c r="F67" s="30" t="s">
        <v>897</v>
      </c>
      <c r="G67" s="30" t="s">
        <v>767</v>
      </c>
      <c r="H67" s="40" t="s">
        <v>1249</v>
      </c>
      <c r="I67" s="40" t="s">
        <v>288</v>
      </c>
      <c r="J67" s="40" t="str">
        <f t="shared" si="4"/>
        <v>event_type</v>
      </c>
      <c r="K67" s="34" t="s">
        <v>695</v>
      </c>
      <c r="L67" s="34" t="str">
        <f>IF(VLOOKUP(J67,find_replace!H:H,1,"false")=J67,"TRUE","FALSE")</f>
        <v>TRUE</v>
      </c>
      <c r="M67" s="73" t="s">
        <v>369</v>
      </c>
      <c r="N67" s="73" t="s">
        <v>369</v>
      </c>
      <c r="O67" s="60" t="str">
        <f t="shared" si="5"/>
        <v xml:space="preserve">    term_event_type: "Event Type"</v>
      </c>
      <c r="P67" s="39" t="str">
        <f t="shared" si="6"/>
        <v xml:space="preserve">    def_event_type: "Whether detections were reported as an individual image captured by the camera ('Image'), a 'Sequence,' or 'Tag.'"</v>
      </c>
      <c r="Q67" s="40"/>
      <c r="R67" s="74" t="b">
        <v>1</v>
      </c>
      <c r="S67" s="77" t="b">
        <v>1</v>
      </c>
      <c r="T67" s="75" t="b">
        <v>0</v>
      </c>
      <c r="U67" s="76" t="s">
        <v>895</v>
      </c>
      <c r="V67" t="s">
        <v>896</v>
      </c>
      <c r="W67" s="13" t="s">
        <v>1816</v>
      </c>
      <c r="X67" t="s">
        <v>4081</v>
      </c>
      <c r="Y67" t="str">
        <f t="shared" si="7"/>
        <v xml:space="preserve">    event_type_ti: "&lt;a href=\"09_glossary.html#event_type\" target=\"_blank\" data-bs-toggle=\"tooltip\" data-bs-title=\"Event Type: Whether detections were reported as an individual image captured by the camera ('Image'), a 'Sequence,' or 'Tag.'\"&gt;&lt;button type=\"button\" class=\"btn btn-bd-tip-info-hidden btn-sm position-relative\"&gt;.&lt;span class=\"position-absolute top-0 start-100 translate-middle\"&gt;{{ icon_info }}&lt;/span&gt;&lt;/button&gt;&lt;/a&gt;"</v>
      </c>
    </row>
    <row r="68" spans="1:25">
      <c r="A68" s="30"/>
      <c r="B68" s="30">
        <v>56</v>
      </c>
      <c r="C68" s="30" t="s">
        <v>0</v>
      </c>
      <c r="D68" s="73" t="s">
        <v>984</v>
      </c>
      <c r="E68" s="34" t="s">
        <v>192</v>
      </c>
      <c r="F68" s="30"/>
      <c r="G68" s="30" t="s">
        <v>767</v>
      </c>
      <c r="H68" s="40" t="s">
        <v>542</v>
      </c>
      <c r="I68" s="40" t="s">
        <v>190</v>
      </c>
      <c r="J68" s="40" t="str">
        <f t="shared" si="4"/>
        <v>false_trigger</v>
      </c>
      <c r="K68" s="34" t="s">
        <v>192</v>
      </c>
      <c r="L68" s="34" t="str">
        <f>IF(VLOOKUP(J68,find_replace!H:H,1,"false")=J68,"TRUE","FALSE")</f>
        <v>TRUE</v>
      </c>
      <c r="M68" s="73" t="s">
        <v>191</v>
      </c>
      <c r="N68" s="73" t="s">
        <v>191</v>
      </c>
      <c r="O68" s="60" t="str">
        <f t="shared" si="5"/>
        <v xml:space="preserve">    term_false_trigger: "False trigger"</v>
      </c>
      <c r="P68" s="39" t="str">
        <f t="shared" si="6"/>
        <v xml:space="preserve">    def_false_trigger: "Blank images (no wildlife or human present). These images commonly occur when a camera is triggered by vegetation blowing in the wind."</v>
      </c>
      <c r="Q68" s="40"/>
      <c r="R68" s="74" t="s">
        <v>51</v>
      </c>
      <c r="S68" s="77" t="b">
        <v>1</v>
      </c>
      <c r="T68" s="77" t="b">
        <v>1</v>
      </c>
      <c r="U68" s="76" t="s">
        <v>895</v>
      </c>
      <c r="V68" t="s">
        <v>896</v>
      </c>
      <c r="W68" s="13" t="s">
        <v>1816</v>
      </c>
      <c r="X68" t="s">
        <v>4081</v>
      </c>
      <c r="Y68" t="str">
        <f t="shared" si="7"/>
        <v xml:space="preserve">    false_trigger_ti: "&lt;a href=\"09_glossary.html#false_trigger\" target=\"_blank\" data-bs-toggle=\"tooltip\" data-bs-title=\"False trigger: Blank images (no wildlife or human present). These images commonly occur when a camera is triggered by vegetation blowing in the wind.\"&gt;&lt;button type=\"button\" class=\"btn btn-bd-tip-info-hidden btn-sm position-relative\"&gt;.&lt;span class=\"position-absolute top-0 start-100 translate-middle\"&gt;{{ icon_info }}&lt;/span&gt;&lt;/button&gt;&lt;/a&gt;"</v>
      </c>
    </row>
    <row r="69" spans="1:25">
      <c r="A69" s="30"/>
      <c r="B69" s="30">
        <v>57</v>
      </c>
      <c r="C69" s="30" t="s">
        <v>0</v>
      </c>
      <c r="D69" s="73" t="s">
        <v>984</v>
      </c>
      <c r="E69" s="34" t="s">
        <v>189</v>
      </c>
      <c r="F69" s="30" t="s">
        <v>897</v>
      </c>
      <c r="G69" s="30" t="s">
        <v>767</v>
      </c>
      <c r="H69" s="40" t="s">
        <v>542</v>
      </c>
      <c r="I69" s="40" t="s">
        <v>188</v>
      </c>
      <c r="J69" s="40" t="str">
        <f t="shared" si="4"/>
        <v>field_of_view</v>
      </c>
      <c r="K69" s="34" t="s">
        <v>189</v>
      </c>
      <c r="L69" s="34" t="str">
        <f>IF(VLOOKUP(J69,find_replace!H:H,1,"false")=J69,"TRUE","FALSE")</f>
        <v>TRUE</v>
      </c>
      <c r="M69" s="73" t="s">
        <v>991</v>
      </c>
      <c r="N69" s="73" t="s">
        <v>847</v>
      </c>
      <c r="O69" s="60" t="str">
        <f t="shared" si="5"/>
        <v xml:space="preserve">    term_field_of_view: "Field of View (FOV)"</v>
      </c>
      <c r="P69" s="39" t="str">
        <f t="shared" si="6"/>
        <v xml:space="preserve">    def_field_of_view: "The extent of a scene that is visible in an image; a large FOV is obtained by 'zooming out' from a scene, whilst 'zooming in' will result in a smaller FOV ({{ rtxt_wearn_gloverkapfer_2017 }})."</v>
      </c>
      <c r="Q69" s="40"/>
      <c r="R69" s="74" t="s">
        <v>51</v>
      </c>
      <c r="S69" s="77" t="b">
        <v>1</v>
      </c>
      <c r="T69" s="77" t="b">
        <v>1</v>
      </c>
      <c r="U69" s="76" t="s">
        <v>895</v>
      </c>
      <c r="V69" t="s">
        <v>896</v>
      </c>
      <c r="W69" s="13" t="s">
        <v>1816</v>
      </c>
      <c r="X69" t="s">
        <v>4081</v>
      </c>
      <c r="Y69" t="str">
        <f t="shared" si="7"/>
        <v xml:space="preserve">    field_of_view_ti: "&lt;a href=\"09_glossary.html#field_of_view\" target=\"_blank\" data-bs-toggle=\"tooltip\" data-bs-title=\"Field of View (FOV): The extent of a scene that is visible in an image; a large FOV is obtained by 'zooming out' from a scene, whilst 'zooming in' will result in a smaller FOV ({{ rtxt_wearn_gloverkapfer_2017 }}).\"&gt;&lt;button type=\"button\" class=\"btn btn-bd-tip-info-hidden btn-sm position-relative\"&gt;.&lt;span class=\"position-absolute top-0 start-100 translate-middle\"&gt;{{ icon_info }}&lt;/span&gt;&lt;/button&gt;&lt;/a&gt;"</v>
      </c>
    </row>
    <row r="70" spans="1:25">
      <c r="A70" s="30"/>
      <c r="B70" s="30">
        <v>58</v>
      </c>
      <c r="C70" s="30" t="s">
        <v>0</v>
      </c>
      <c r="D70" s="73" t="s">
        <v>984</v>
      </c>
      <c r="E70" s="34" t="s">
        <v>187</v>
      </c>
      <c r="F70" s="30"/>
      <c r="G70" s="30" t="s">
        <v>767</v>
      </c>
      <c r="H70" s="30" t="s">
        <v>546</v>
      </c>
      <c r="I70" s="40" t="s">
        <v>185</v>
      </c>
      <c r="J70" s="40" t="str">
        <f t="shared" si="4"/>
        <v>settings_flash_output</v>
      </c>
      <c r="K70" s="34" t="s">
        <v>187</v>
      </c>
      <c r="L70" s="34" t="str">
        <f>IF(VLOOKUP(J70,find_replace!H:H,1,"false")=J70,"TRUE","FALSE")</f>
        <v>TRUE</v>
      </c>
      <c r="M70" s="73" t="s">
        <v>186</v>
      </c>
      <c r="N70" s="73" t="s">
        <v>186</v>
      </c>
      <c r="O70" s="60" t="str">
        <f t="shared" si="5"/>
        <v xml:space="preserve">    term_settings_flash_output: "Flash output"</v>
      </c>
      <c r="P70" s="39" t="str">
        <f t="shared" si="6"/>
        <v xml:space="preserve">    def_settings_flash_output: "The camera setting that provides the level of intensity of the flash (if enabled)."</v>
      </c>
      <c r="Q70" s="40"/>
      <c r="R70" s="74" t="s">
        <v>51</v>
      </c>
      <c r="S70" s="77" t="b">
        <v>1</v>
      </c>
      <c r="T70" s="77" t="b">
        <v>1</v>
      </c>
      <c r="U70" s="76" t="s">
        <v>895</v>
      </c>
      <c r="V70" t="s">
        <v>896</v>
      </c>
      <c r="W70" s="13" t="s">
        <v>1816</v>
      </c>
      <c r="X70" t="s">
        <v>4081</v>
      </c>
      <c r="Y70" t="str">
        <f t="shared" si="7"/>
        <v xml:space="preserve">    settings_flash_output_ti: "&lt;a href=\"09_glossary.html#settings_flash_output\" target=\"_blank\" data-bs-toggle=\"tooltip\" data-bs-title=\"Flash output: The camera setting that provides the level of intensity of the flash (if enabled).\"&gt;&lt;button type=\"button\" class=\"btn btn-bd-tip-info-hidden btn-sm position-relative\"&gt;.&lt;span class=\"position-absolute top-0 start-100 translate-middle\"&gt;{{ icon_info }}&lt;/span&gt;&lt;/button&gt;&lt;/a&gt;"</v>
      </c>
    </row>
    <row r="71" spans="1:25">
      <c r="A71" s="30"/>
      <c r="B71" s="30">
        <v>59</v>
      </c>
      <c r="C71" s="30" t="s">
        <v>429</v>
      </c>
      <c r="D71" s="73" t="s">
        <v>984</v>
      </c>
      <c r="E71" s="34" t="s">
        <v>287</v>
      </c>
      <c r="F71" s="30" t="s">
        <v>897</v>
      </c>
      <c r="G71" s="30" t="s">
        <v>767</v>
      </c>
      <c r="H71" s="30" t="s">
        <v>543</v>
      </c>
      <c r="I71" s="40" t="s">
        <v>286</v>
      </c>
      <c r="J71" s="40" t="str">
        <f t="shared" si="4"/>
        <v>fov_target</v>
      </c>
      <c r="K71" s="34" t="s">
        <v>696</v>
      </c>
      <c r="L71" s="34" t="str">
        <f>IF(VLOOKUP(J71,find_replace!H:H,1,"false")=J71,"TRUE","FALSE")</f>
        <v>TRUE</v>
      </c>
      <c r="M71" s="73" t="s">
        <v>370</v>
      </c>
      <c r="N71" s="73" t="s">
        <v>370</v>
      </c>
      <c r="O71" s="60" t="str">
        <f t="shared" si="5"/>
        <v xml:space="preserve">    term_fov_target: "FOV Target Feature"</v>
      </c>
      <c r="P71" s="39" t="str">
        <f t="shared" si="6"/>
        <v xml:space="preserve">    def_fov_target: "A specific man-made or natural feature at which the camera is aimed to maximize the detection of wildlife species or to measure the use of that feature. Record 'None' if a FOV Target Feature was not used and 'Unknown' if not known. If 'Other,' describe in the Camera Location Comments."</v>
      </c>
      <c r="Q71" s="40" t="b">
        <v>1</v>
      </c>
      <c r="R71" s="74" t="b">
        <v>1</v>
      </c>
      <c r="S71" s="77" t="b">
        <v>1</v>
      </c>
      <c r="T71" s="77" t="b">
        <v>1</v>
      </c>
      <c r="U71" s="76" t="s">
        <v>895</v>
      </c>
      <c r="V71" t="s">
        <v>896</v>
      </c>
      <c r="W71" s="13" t="s">
        <v>1816</v>
      </c>
      <c r="X71" t="s">
        <v>4081</v>
      </c>
      <c r="Y71" t="str">
        <f t="shared" si="7"/>
        <v xml:space="preserve">    fov_target_ti: "&lt;a href=\"09_glossary.html#fov_target\" target=\"_blank\" data-bs-toggle=\"tooltip\" data-bs-title=\"FOV Target Feature: A specific man-made or natural feature at which the camera is aimed to maximize the detection of wildlife species or to measure the use of that feature. Record 'None' if a FOV Target Feature was not used and 'Unknown' if not known. If 'Other,' describe in the Camera Location Comments.\"&gt;&lt;button type=\"button\" class=\"btn btn-bd-tip-info-hidden btn-sm position-relative\"&gt;.&lt;span class=\"position-absolute top-0 start-100 translate-middle\"&gt;{{ icon_info }}&lt;/span&gt;&lt;/button&gt;&lt;/a&gt;"</v>
      </c>
    </row>
    <row r="72" spans="1:25">
      <c r="A72" s="30"/>
      <c r="B72" s="30">
        <v>60</v>
      </c>
      <c r="C72" s="30" t="s">
        <v>429</v>
      </c>
      <c r="D72" s="73" t="s">
        <v>984</v>
      </c>
      <c r="E72" s="34" t="s">
        <v>486</v>
      </c>
      <c r="F72" s="30" t="s">
        <v>897</v>
      </c>
      <c r="G72" s="30" t="s">
        <v>767</v>
      </c>
      <c r="H72" s="30" t="s">
        <v>543</v>
      </c>
      <c r="I72" s="40" t="s">
        <v>328</v>
      </c>
      <c r="J72" s="40" t="str">
        <f t="shared" si="4"/>
        <v>fov_target_distance</v>
      </c>
      <c r="K72" s="34" t="s">
        <v>744</v>
      </c>
      <c r="L72" s="34" t="str">
        <f>IF(VLOOKUP(J72,find_replace!H:H,1,"false")=J72,"TRUE","FALSE")</f>
        <v>TRUE</v>
      </c>
      <c r="M72" s="73" t="s">
        <v>329</v>
      </c>
      <c r="N72" s="73" t="s">
        <v>329</v>
      </c>
      <c r="O72" s="60" t="str">
        <f t="shared" si="5"/>
        <v xml:space="preserve">    term_fov_target_distance: "FOV Target Feature Distance (m)"</v>
      </c>
      <c r="P72" s="39" t="str">
        <f t="shared" si="6"/>
        <v xml:space="preserve">    def_fov_target_distance: "The distance from the camera to the FOV Target Feature (in metres; to the nearest 0.5 m). Leave blank if not applicable."</v>
      </c>
      <c r="Q72" s="40" t="b">
        <v>1</v>
      </c>
      <c r="R72" s="74" t="b">
        <v>0</v>
      </c>
      <c r="S72" s="77" t="b">
        <v>1</v>
      </c>
      <c r="T72" s="77" t="b">
        <v>1</v>
      </c>
      <c r="U72" s="76" t="s">
        <v>895</v>
      </c>
      <c r="V72" t="s">
        <v>896</v>
      </c>
      <c r="W72" s="13" t="s">
        <v>1816</v>
      </c>
      <c r="X72" t="s">
        <v>4081</v>
      </c>
      <c r="Y72" t="str">
        <f t="shared" si="7"/>
        <v xml:space="preserve">    fov_target_distance_ti: "&lt;a href=\"09_glossary.html#fov_target_distance\" target=\"_blank\" data-bs-toggle=\"tooltip\" data-bs-title=\"FOV Target Feature Distance (m): The distance from the camera to the FOV Target Feature (in metres; to the nearest 0.5 m). Leave blank if not applicable.\"&gt;&lt;button type=\"button\" class=\"btn btn-bd-tip-info-hidden btn-sm position-relative\"&gt;.&lt;span class=\"position-absolute top-0 start-100 translate-middle\"&gt;{{ icon_info }}&lt;/span&gt;&lt;/button&gt;&lt;/a&gt;"</v>
      </c>
    </row>
    <row r="73" spans="1:25">
      <c r="A73" s="30" t="s">
        <v>530</v>
      </c>
      <c r="B73" s="30"/>
      <c r="C73" s="30" t="s">
        <v>0</v>
      </c>
      <c r="D73" s="73" t="s">
        <v>984</v>
      </c>
      <c r="E73" s="30" t="s">
        <v>619</v>
      </c>
      <c r="F73" s="30"/>
      <c r="G73" s="30" t="s">
        <v>767</v>
      </c>
      <c r="H73" s="30" t="s">
        <v>815</v>
      </c>
      <c r="I73" s="30" t="s">
        <v>435</v>
      </c>
      <c r="J73" s="40" t="str">
        <f t="shared" si="4"/>
        <v>mod_divers_rich_gamma</v>
      </c>
      <c r="K73" s="30" t="s">
        <v>619</v>
      </c>
      <c r="L73" s="34" t="str">
        <f>IF(VLOOKUP(J73,find_replace!H:H,1,"false")=J73,"TRUE","FALSE")</f>
        <v>TRUE</v>
      </c>
      <c r="M73" s="54" t="s">
        <v>1002</v>
      </c>
      <c r="N73" s="54" t="s">
        <v>848</v>
      </c>
      <c r="O73" s="60" t="str">
        <f t="shared" si="5"/>
        <v xml:space="preserve">    term_mod_divers_rich_gamma: "Gamma richness (γ)"</v>
      </c>
      <c r="P73" s="39" t="str">
        <f t="shared" si="6"/>
        <v xml:space="preserve">    def_mod_divers_rich_gamma: "The number of species across a whole study area ({{ rtxt_wearn_gloverkapfer_2017 }})."</v>
      </c>
      <c r="Q73" s="30"/>
      <c r="R73" s="30"/>
      <c r="S73" s="30"/>
      <c r="T73" s="30"/>
      <c r="U73" s="76" t="s">
        <v>895</v>
      </c>
      <c r="V73" t="s">
        <v>896</v>
      </c>
      <c r="W73" s="13" t="s">
        <v>1816</v>
      </c>
      <c r="X73" t="s">
        <v>4081</v>
      </c>
      <c r="Y73" t="str">
        <f t="shared" si="7"/>
        <v xml:space="preserve">    mod_divers_rich_gamma_ti: "&lt;a href=\"09_glossary.html#mod_divers_rich_gamma\" target=\"_blank\" data-bs-toggle=\"tooltip\" data-bs-title=\"Gamma richness (γ): The number of species across a whole study area ({{ rtxt_wearn_gloverkapfer_2017 }}).\"&gt;&lt;button type=\"button\" class=\"btn btn-bd-tip-info-hidden btn-sm position-relative\"&gt;.&lt;span class=\"position-absolute top-0 start-100 translate-middle\"&gt;{{ icon_info }}&lt;/span&gt;&lt;/button&gt;&lt;/a&gt;"</v>
      </c>
    </row>
    <row r="74" spans="1:25">
      <c r="A74" s="30"/>
      <c r="B74" s="30">
        <v>61</v>
      </c>
      <c r="C74" s="30" t="s">
        <v>429</v>
      </c>
      <c r="D74" s="73" t="s">
        <v>984</v>
      </c>
      <c r="E74" s="40" t="s">
        <v>4149</v>
      </c>
      <c r="F74" s="30" t="s">
        <v>897</v>
      </c>
      <c r="G74" s="30" t="s">
        <v>767</v>
      </c>
      <c r="H74" s="30" t="s">
        <v>541</v>
      </c>
      <c r="I74" s="40" t="s">
        <v>285</v>
      </c>
      <c r="J74" s="40" t="str">
        <f t="shared" si="4"/>
        <v>gps_unit_accuracy</v>
      </c>
      <c r="K74" s="40" t="s">
        <v>697</v>
      </c>
      <c r="L74" s="34" t="str">
        <f>IF(VLOOKUP(J74,find_replace!H:H,1,"false")=J74,"TRUE","FALSE")</f>
        <v>TRUE</v>
      </c>
      <c r="M74" s="73" t="s">
        <v>371</v>
      </c>
      <c r="N74" s="73" t="s">
        <v>371</v>
      </c>
      <c r="O74" s="60" t="str">
        <f t="shared" si="5"/>
        <v xml:space="preserve">    term_gps_unit_accuracy: "GPS Unit Accuracy (m) "</v>
      </c>
      <c r="P74" s="39" t="str">
        <f t="shared" si="6"/>
        <v xml:space="preserve">    def_gps_unit_accuracy: "The margin of error of the GPS unit used to record spatial information (e.g., '5' [m]), such as the coordinates of the camera location. On most GPS units (e.g., 'Garmin') this information is provided on the unit’s satellite information page. "</v>
      </c>
      <c r="Q74" s="40"/>
      <c r="R74" s="74" t="b">
        <v>1</v>
      </c>
      <c r="S74" s="77" t="b">
        <v>1</v>
      </c>
      <c r="T74" s="77" t="b">
        <v>1</v>
      </c>
      <c r="U74" s="76" t="s">
        <v>895</v>
      </c>
      <c r="V74" t="s">
        <v>896</v>
      </c>
      <c r="W74" s="13" t="s">
        <v>1816</v>
      </c>
      <c r="X74" t="s">
        <v>4081</v>
      </c>
      <c r="Y74" t="str">
        <f t="shared" si="7"/>
        <v xml:space="preserve">    gps_unit_accuracy_ti: "&lt;a href=\"09_glossary.html#gps_unit_accuracy\" target=\"_blank\" data-bs-toggle=\"tooltip\" data-bs-title=\"GPS Unit Accuracy (m) : The margin of error of the GPS unit used to record spatial information (e.g., '5' [m]), such as the coordinates of the camera location. On most GPS units (e.g., 'Garmin') this information is provided on the unit’s satellite information page. \"&gt;&lt;button type=\"button\" class=\"btn btn-bd-tip-info-hidden btn-sm position-relative\"&gt;.&lt;span class=\"position-absolute top-0 start-100 translate-middle\"&gt;{{ icon_info }}&lt;/span&gt;&lt;/button&gt;&lt;/a&gt;"</v>
      </c>
    </row>
    <row r="75" spans="1:25">
      <c r="A75" s="30"/>
      <c r="B75" s="30"/>
      <c r="C75" s="30" t="s">
        <v>0</v>
      </c>
      <c r="D75" s="73" t="s">
        <v>984</v>
      </c>
      <c r="E75" s="30"/>
      <c r="F75" s="30"/>
      <c r="G75" s="30" t="s">
        <v>668</v>
      </c>
      <c r="H75" s="30" t="s">
        <v>4112</v>
      </c>
      <c r="I75" s="30" t="s">
        <v>4113</v>
      </c>
      <c r="J75" s="40" t="str">
        <f t="shared" si="4"/>
        <v>hr</v>
      </c>
      <c r="K75" s="30" t="s">
        <v>669</v>
      </c>
      <c r="L75" s="34" t="str">
        <f>IF(VLOOKUP(J75,find_replace!H:H,1,"false")=J75,"TRUE","FALSE")</f>
        <v>TRUE</v>
      </c>
      <c r="M75" s="54" t="s">
        <v>4119</v>
      </c>
      <c r="N75" s="54" t="s">
        <v>1792</v>
      </c>
      <c r="O75" s="60" t="str">
        <f t="shared" si="5"/>
        <v xml:space="preserve">    term_hr: "Home range"</v>
      </c>
      <c r="P75" s="39" t="str">
        <f t="shared" si="6"/>
        <v xml:space="preserve">    def_hr: "The area within which an animal normally lives and finds what it needs to survive and reproduce."</v>
      </c>
      <c r="Q75" s="30"/>
      <c r="R75" s="30"/>
      <c r="S75" s="30"/>
      <c r="T75" s="30"/>
      <c r="U75" s="76" t="s">
        <v>895</v>
      </c>
      <c r="V75" t="s">
        <v>896</v>
      </c>
      <c r="W75" s="13" t="s">
        <v>1816</v>
      </c>
      <c r="X75" t="s">
        <v>4081</v>
      </c>
      <c r="Y75" t="str">
        <f t="shared" si="7"/>
        <v xml:space="preserve">    hr_ti: "&lt;a href=\"09_glossary.html#hr\" target=\"_blank\" data-bs-toggle=\"tooltip\" data-bs-title=\"Home range: The area within which an animal normally lives and finds what it needs to survive and reproduce.\"&gt;&lt;button type=\"button\" class=\"btn btn-bd-tip-info-hidden btn-sm position-relative\"&gt;.&lt;span class=\"position-absolute top-0 start-100 translate-middle\"&gt;{{ icon_info }}&lt;/span&gt;&lt;/button&gt;&lt;/a&gt;"</v>
      </c>
    </row>
    <row r="76" spans="1:25">
      <c r="A76" s="30"/>
      <c r="B76" s="30"/>
      <c r="C76" s="30" t="s">
        <v>0</v>
      </c>
      <c r="D76" s="73" t="s">
        <v>984</v>
      </c>
      <c r="E76" s="30"/>
      <c r="F76" s="30"/>
      <c r="G76" s="30" t="s">
        <v>668</v>
      </c>
      <c r="H76" s="30"/>
      <c r="I76" s="30" t="s">
        <v>4114</v>
      </c>
      <c r="J76" s="40" t="str">
        <f t="shared" si="4"/>
        <v>hr_size</v>
      </c>
      <c r="K76" s="30" t="s">
        <v>3974</v>
      </c>
      <c r="L76" s="34" t="e">
        <f>IF(VLOOKUP(J76,find_replace!H:H,1,"false")=J76,"TRUE","FALSE")</f>
        <v>#N/A</v>
      </c>
      <c r="M76" s="54" t="s">
        <v>4115</v>
      </c>
      <c r="N76" s="54" t="s">
        <v>3978</v>
      </c>
      <c r="O76" s="60" t="str">
        <f t="shared" si="5"/>
        <v xml:space="preserve">    term_hr_size: "Home range size"</v>
      </c>
      <c r="P76" s="39" t="str">
        <f t="shared" si="6"/>
        <v xml:space="preserve">    def_hr_size: "The size of the area within which an animal normally lives and finds what it needs to survive and reproduce."</v>
      </c>
      <c r="Q76" s="30"/>
      <c r="R76" s="30"/>
      <c r="S76" s="30"/>
      <c r="T76" s="30"/>
      <c r="U76" s="76" t="s">
        <v>895</v>
      </c>
      <c r="V76" t="s">
        <v>896</v>
      </c>
      <c r="W76" s="13" t="s">
        <v>1816</v>
      </c>
      <c r="X76" t="s">
        <v>4081</v>
      </c>
      <c r="Y76" t="str">
        <f t="shared" si="7"/>
        <v xml:space="preserve">    hr_size_ti: "&lt;a href=\"09_glossary.html#hr_size\" target=\"_blank\" data-bs-toggle=\"tooltip\" data-bs-title=\"Home range size: The size of the area within which an animal normally lives and finds what it needs to survive and reproduce.\"&gt;&lt;button type=\"button\" class=\"btn btn-bd-tip-info-hidden btn-sm position-relative\"&gt;.&lt;span class=\"position-absolute top-0 start-100 translate-middle\"&gt;{{ icon_info }}&lt;/span&gt;&lt;/button&gt;&lt;/a&gt;"</v>
      </c>
    </row>
    <row r="77" spans="1:25">
      <c r="A77" s="30"/>
      <c r="B77" s="30">
        <v>62</v>
      </c>
      <c r="C77" s="30" t="s">
        <v>429</v>
      </c>
      <c r="D77" s="73" t="s">
        <v>984</v>
      </c>
      <c r="E77" s="40" t="s">
        <v>487</v>
      </c>
      <c r="F77" s="30" t="s">
        <v>897</v>
      </c>
      <c r="G77" s="30" t="s">
        <v>767</v>
      </c>
      <c r="H77" s="40" t="s">
        <v>1249</v>
      </c>
      <c r="I77" s="40" t="s">
        <v>327</v>
      </c>
      <c r="J77" s="40" t="str">
        <f t="shared" si="4"/>
        <v>human_transport_mode_activity</v>
      </c>
      <c r="K77" s="40" t="s">
        <v>745</v>
      </c>
      <c r="L77" s="34" t="str">
        <f>IF(VLOOKUP(J77,find_replace!H:H,1,"false")=J77,"TRUE","FALSE")</f>
        <v>TRUE</v>
      </c>
      <c r="M77" s="73" t="s">
        <v>372</v>
      </c>
      <c r="N77" s="73" t="s">
        <v>372</v>
      </c>
      <c r="O77" s="60" t="str">
        <f t="shared" si="5"/>
        <v xml:space="preserve">    term_human_transport_mode_activity: "Human Transport Mode/Activity"</v>
      </c>
      <c r="P77" s="39" t="str">
        <f t="shared" si="6"/>
        <v xml:space="preserve">    def_human_transport_mode_activity: "The activity performed or mode of transportation used by a human observed (e.g., hiker, skier, off-highway vehicle, etc.). This categorical field should be populated when data on humans (in addition to wildlife) are collected. Leave blank if not applicable and record 'Unknown' if not known."</v>
      </c>
      <c r="Q77" s="40" t="b">
        <v>1</v>
      </c>
      <c r="R77" s="74" t="b">
        <v>0</v>
      </c>
      <c r="S77" s="77" t="b">
        <v>1</v>
      </c>
      <c r="T77" s="75" t="b">
        <v>0</v>
      </c>
      <c r="U77" s="76" t="s">
        <v>895</v>
      </c>
      <c r="V77" t="s">
        <v>896</v>
      </c>
      <c r="W77" s="13" t="s">
        <v>1816</v>
      </c>
      <c r="X77" t="s">
        <v>4081</v>
      </c>
      <c r="Y77" t="str">
        <f t="shared" si="7"/>
        <v xml:space="preserve">    human_transport_mode_activity_ti: "&lt;a href=\"09_glossary.html#human_transport_mode_activity\" target=\"_blank\" data-bs-toggle=\"tooltip\" data-bs-title=\"Human Transport Mode/Activity: The activity performed or mode of transportation used by a human observed (e.g., hiker, skier, off-highway vehicle, etc.). This categorical field should be populated when data on humans (in addition to wildlife) are collected. Leave blank if not applicable and record 'Unknown' if not known.\"&gt;&lt;button type=\"button\" class=\"btn btn-bd-tip-info-hidden btn-sm position-relative\"&gt;.&lt;span class=\"position-absolute top-0 start-100 translate-middle\"&gt;{{ icon_info }}&lt;/span&gt;&lt;/button&gt;&lt;/a&gt;"</v>
      </c>
    </row>
    <row r="78" spans="1:25">
      <c r="A78" s="30"/>
      <c r="B78" s="30">
        <v>63</v>
      </c>
      <c r="C78" s="30" t="s">
        <v>0</v>
      </c>
      <c r="D78" s="73" t="s">
        <v>984</v>
      </c>
      <c r="E78" s="34" t="s">
        <v>4124</v>
      </c>
      <c r="F78" s="30" t="s">
        <v>897</v>
      </c>
      <c r="G78" s="30" t="s">
        <v>767</v>
      </c>
      <c r="H78" s="30" t="s">
        <v>4</v>
      </c>
      <c r="I78" s="40" t="s">
        <v>446</v>
      </c>
      <c r="J78" s="40" t="str">
        <f t="shared" si="4"/>
        <v>mod_rai_hurdle</v>
      </c>
      <c r="K78" s="34" t="s">
        <v>4124</v>
      </c>
      <c r="L78" s="34" t="str">
        <f>IF(VLOOKUP(J78,find_replace!H:H,1,"false")=J78,"TRUE","FALSE")</f>
        <v>TRUE</v>
      </c>
      <c r="M78" s="73" t="s">
        <v>385</v>
      </c>
      <c r="N78" s="73" t="s">
        <v>385</v>
      </c>
      <c r="O78" s="60" t="str">
        <f t="shared" si="5"/>
        <v xml:space="preserve">    term_mod_rai_hurdle: "Hurdle model (Mullahy, 1986; Heilbron 1994)"</v>
      </c>
      <c r="P78" s="39" t="str">
        <f t="shared" si="6"/>
        <v xml:space="preserve">    def_mod_rai_hurdle: "A regression model used in the setting of excess zeros (zero-inflation) and overdispersion (Mullahy, 1986). Hurdle models (aka 'zero-altered' models) differ from zero-inflation models in that they are two-part models, and the zero and non-zero counts are modelling separately (thus, they are only adequate when the counting process cannot generate a zero value) (Blasco-Moreno et al., 2019). [relative abundance indices]"</v>
      </c>
      <c r="Q78" s="40"/>
      <c r="R78" s="74" t="s">
        <v>51</v>
      </c>
      <c r="S78" s="75" t="b">
        <v>0</v>
      </c>
      <c r="T78" s="77" t="b">
        <v>1</v>
      </c>
      <c r="U78" s="76" t="s">
        <v>895</v>
      </c>
      <c r="V78" t="s">
        <v>896</v>
      </c>
      <c r="W78" s="13" t="s">
        <v>1816</v>
      </c>
      <c r="X78" t="s">
        <v>4081</v>
      </c>
      <c r="Y78" t="str">
        <f t="shared" si="7"/>
        <v xml:space="preserve">    mod_rai_hurdle_ti: "&lt;a href=\"09_glossary.html#mod_rai_hurdle\" target=\"_blank\" data-bs-toggle=\"tooltip\" data-bs-title=\"Hurdle model (Mullahy, 1986; Heilbron 1994): A regression model used in the setting of excess zeros (zero-inflation) and overdispersion (Mullahy, 1986). Hurdle models (aka 'zero-altered' models) differ from zero-inflation models in that they are two-part models, and the zero and non-zero counts are modelling separately (thus, they are only adequate when the counting process cannot generate a zero value) (Blasco-Moreno et al., 2019). [relative abundance indices]\"&gt;&lt;button type=\"button\" class=\"btn btn-bd-tip-info-hidden btn-sm position-relative\"&gt;.&lt;span class=\"position-absolute top-0 start-100 translate-middle\"&gt;{{ icon_info }}&lt;/span&gt;&lt;/button&gt;&lt;/a&gt;"</v>
      </c>
    </row>
    <row r="79" spans="1:25">
      <c r="A79" s="30"/>
      <c r="B79" s="30">
        <v>64</v>
      </c>
      <c r="C79" s="30" t="s">
        <v>0</v>
      </c>
      <c r="D79" s="73" t="s">
        <v>984</v>
      </c>
      <c r="E79" s="34" t="s">
        <v>184</v>
      </c>
      <c r="F79" s="30"/>
      <c r="G79" s="30" t="s">
        <v>767</v>
      </c>
      <c r="H79" s="30" t="s">
        <v>183</v>
      </c>
      <c r="I79" s="40" t="s">
        <v>183</v>
      </c>
      <c r="J79" s="40" t="str">
        <f t="shared" si="4"/>
        <v>image</v>
      </c>
      <c r="K79" s="34" t="s">
        <v>184</v>
      </c>
      <c r="L79" s="34" t="str">
        <f>IF(VLOOKUP(J79,find_replace!H:H,1,"false")=J79,"TRUE","FALSE")</f>
        <v>TRUE</v>
      </c>
      <c r="M79" s="73" t="s">
        <v>373</v>
      </c>
      <c r="N79" s="73" t="s">
        <v>373</v>
      </c>
      <c r="O79" s="60" t="str">
        <f t="shared" si="5"/>
        <v xml:space="preserve">    term_image: "Image"</v>
      </c>
      <c r="P79" s="39" t="str">
        <f t="shared" si="6"/>
        <v xml:space="preserve">    def_image: "An individual image captured by a camera, which may be part of a multi-image sequence (recorded as 'Image Name')."</v>
      </c>
      <c r="Q79" s="40"/>
      <c r="R79" s="74" t="s">
        <v>51</v>
      </c>
      <c r="S79" s="77" t="b">
        <v>1</v>
      </c>
      <c r="T79" s="77" t="b">
        <v>1</v>
      </c>
      <c r="U79" s="76" t="s">
        <v>895</v>
      </c>
      <c r="V79" t="s">
        <v>896</v>
      </c>
      <c r="W79" s="13" t="s">
        <v>1816</v>
      </c>
      <c r="X79" t="s">
        <v>4081</v>
      </c>
      <c r="Y79" t="str">
        <f t="shared" si="7"/>
        <v xml:space="preserve">    image_ti: "&lt;a href=\"09_glossary.html#image\" target=\"_blank\" data-bs-toggle=\"tooltip\" data-bs-title=\"Image: An individual image captured by a camera, which may be part of a multi-image sequence (recorded as 'Image Name').\"&gt;&lt;button type=\"button\" class=\"btn btn-bd-tip-info-hidden btn-sm position-relative\"&gt;.&lt;span class=\"position-absolute top-0 start-100 translate-middle\"&gt;{{ icon_info }}&lt;/span&gt;&lt;/button&gt;&lt;/a&gt;"</v>
      </c>
    </row>
    <row r="80" spans="1:25">
      <c r="A80" s="30"/>
      <c r="B80" s="30">
        <v>65</v>
      </c>
      <c r="C80" s="30" t="s">
        <v>0</v>
      </c>
      <c r="D80" s="73" t="s">
        <v>984</v>
      </c>
      <c r="E80" s="34" t="s">
        <v>182</v>
      </c>
      <c r="F80" s="30"/>
      <c r="G80" s="30" t="s">
        <v>767</v>
      </c>
      <c r="H80" s="40" t="s">
        <v>1249</v>
      </c>
      <c r="I80" s="40" t="s">
        <v>1251</v>
      </c>
      <c r="J80" s="40" t="str">
        <f t="shared" si="4"/>
        <v>img_classification</v>
      </c>
      <c r="K80" s="34" t="s">
        <v>182</v>
      </c>
      <c r="L80" s="34" t="str">
        <f>IF(VLOOKUP(J80,find_replace!H:H,1,"false")=J80,"TRUE","FALSE")</f>
        <v>TRUE</v>
      </c>
      <c r="M80" s="73" t="s">
        <v>374</v>
      </c>
      <c r="N80" s="73" t="s">
        <v>374</v>
      </c>
      <c r="O80" s="60" t="str">
        <f t="shared" si="5"/>
        <v xml:space="preserve">    term_img_classification: "Image classification"</v>
      </c>
      <c r="P80" s="39" t="str">
        <f t="shared" si="6"/>
        <v xml:space="preserve">    def_img_classification: "The process of assigning class labels to an image according to the wildlife species, other entities (e.g., human, vehicle), or conditions within the image. Image classification can be performed manually or automatically by an artificial intelligence (AI) algorithm. Image classification is sometimes used interchangeably with 'image tagging.'"</v>
      </c>
      <c r="Q80" s="40"/>
      <c r="R80" s="74" t="s">
        <v>51</v>
      </c>
      <c r="S80" s="75" t="b">
        <v>0</v>
      </c>
      <c r="T80" s="77" t="b">
        <v>1</v>
      </c>
      <c r="U80" s="76" t="s">
        <v>895</v>
      </c>
      <c r="V80" t="s">
        <v>896</v>
      </c>
      <c r="W80" s="13" t="s">
        <v>1816</v>
      </c>
      <c r="X80" t="s">
        <v>4081</v>
      </c>
      <c r="Y80" t="str">
        <f t="shared" si="7"/>
        <v xml:space="preserve">    img_classification_ti: "&lt;a href=\"09_glossary.html#img_classification\" target=\"_blank\" data-bs-toggle=\"tooltip\" data-bs-title=\"Image classification: The process of assigning class labels to an image according to the wildlife species, other entities (e.g., human, vehicle), or conditions within the image. Image classification can be performed manually or automatically by an artificial intelligence (AI) algorithm. Image classification is sometimes used interchangeably with 'image tagging.'\"&gt;&lt;button type=\"button\" class=\"btn btn-bd-tip-info-hidden btn-sm position-relative\"&gt;.&lt;span class=\"position-absolute top-0 start-100 translate-middle\"&gt;{{ icon_info }}&lt;/span&gt;&lt;/button&gt;&lt;/a&gt;"</v>
      </c>
    </row>
    <row r="81" spans="1:26">
      <c r="A81" s="30"/>
      <c r="B81" s="30">
        <v>66</v>
      </c>
      <c r="C81" s="30" t="s">
        <v>0</v>
      </c>
      <c r="D81" s="73" t="s">
        <v>984</v>
      </c>
      <c r="E81" s="34" t="s">
        <v>181</v>
      </c>
      <c r="F81" s="30"/>
      <c r="G81" s="30" t="s">
        <v>767</v>
      </c>
      <c r="H81" s="40" t="s">
        <v>1249</v>
      </c>
      <c r="I81" s="40" t="s">
        <v>1252</v>
      </c>
      <c r="J81" s="40" t="str">
        <f t="shared" si="4"/>
        <v>img_classification_confidence</v>
      </c>
      <c r="K81" s="34" t="s">
        <v>181</v>
      </c>
      <c r="L81" s="34" t="str">
        <f>IF(VLOOKUP(J81,find_replace!H:H,1,"false")=J81,"TRUE","FALSE")</f>
        <v>TRUE</v>
      </c>
      <c r="M81" s="73" t="s">
        <v>180</v>
      </c>
      <c r="N81" s="73" t="s">
        <v>180</v>
      </c>
      <c r="O81" s="60" t="str">
        <f t="shared" si="5"/>
        <v xml:space="preserve">    term_img_classification_confidence: "Image classification confidence "</v>
      </c>
      <c r="P81" s="39" t="str">
        <f t="shared" si="6"/>
        <v xml:space="preserve">    def_img_classification_confidence: "The likelihood of an image containing an object of a certain class (Fennell et al., 2022)."</v>
      </c>
      <c r="Q81" s="40"/>
      <c r="R81" s="74" t="s">
        <v>51</v>
      </c>
      <c r="S81" s="75" t="b">
        <v>0</v>
      </c>
      <c r="T81" s="77" t="b">
        <v>1</v>
      </c>
      <c r="U81" s="76" t="s">
        <v>895</v>
      </c>
      <c r="V81" t="s">
        <v>896</v>
      </c>
      <c r="W81" s="13" t="s">
        <v>1816</v>
      </c>
      <c r="X81" t="s">
        <v>4081</v>
      </c>
      <c r="Y81" t="str">
        <f t="shared" si="7"/>
        <v xml:space="preserve">    img_classification_confidence_ti: "&lt;a href=\"09_glossary.html#img_classification_confidence\" target=\"_blank\" data-bs-toggle=\"tooltip\" data-bs-title=\"Image classification confidence : The likelihood of an image containing an object of a certain class (Fennell et al., 2022).\"&gt;&lt;button type=\"button\" class=\"btn btn-bd-tip-info-hidden btn-sm position-relative\"&gt;.&lt;span class=\"position-absolute top-0 start-100 translate-middle\"&gt;{{ icon_info }}&lt;/span&gt;&lt;/button&gt;&lt;/a&gt;"</v>
      </c>
    </row>
    <row r="82" spans="1:26">
      <c r="A82" s="30"/>
      <c r="B82" s="30">
        <v>67</v>
      </c>
      <c r="C82" s="30" t="s">
        <v>429</v>
      </c>
      <c r="D82" s="73" t="s">
        <v>984</v>
      </c>
      <c r="E82" s="40" t="s">
        <v>488</v>
      </c>
      <c r="F82" s="30" t="s">
        <v>897</v>
      </c>
      <c r="G82" s="30" t="s">
        <v>767</v>
      </c>
      <c r="H82" s="30" t="s">
        <v>1253</v>
      </c>
      <c r="I82" s="40" t="s">
        <v>1254</v>
      </c>
      <c r="J82" s="40" t="str">
        <f t="shared" si="4"/>
        <v>img_flash_output</v>
      </c>
      <c r="K82" s="40" t="s">
        <v>746</v>
      </c>
      <c r="L82" s="34" t="str">
        <f>IF(VLOOKUP(J82,find_replace!H:H,1,"false")=J82,"TRUE","FALSE")</f>
        <v>TRUE</v>
      </c>
      <c r="M82" s="73" t="s">
        <v>411</v>
      </c>
      <c r="N82" s="73" t="s">
        <v>411</v>
      </c>
      <c r="O82" s="60" t="str">
        <f t="shared" si="5"/>
        <v xml:space="preserve">    term_img_flash_output: "Image Flash Output"</v>
      </c>
      <c r="P82" s="39" t="str">
        <f t="shared" si="6"/>
        <v xml:space="preserve">    def_img_flash_output: "The Image Flash Output is an image metadata field indicating the level of intensity of the flash [if enabled*/applicable]). Record as reported in the image Exif data (e.g., 'Flash Did Not Fire,' 'Auto'). This field is in text format; record 'Unknown' if not known; leave blank if not applicable."</v>
      </c>
      <c r="Q82" s="40" t="b">
        <v>1</v>
      </c>
      <c r="R82" s="74" t="b">
        <v>0</v>
      </c>
      <c r="S82" s="77" t="b">
        <v>1</v>
      </c>
      <c r="T82" s="75" t="b">
        <v>0</v>
      </c>
      <c r="U82" s="76" t="s">
        <v>895</v>
      </c>
      <c r="V82" t="s">
        <v>896</v>
      </c>
      <c r="W82" s="13" t="s">
        <v>1816</v>
      </c>
      <c r="X82" t="s">
        <v>4081</v>
      </c>
      <c r="Y82" t="str">
        <f t="shared" si="7"/>
        <v xml:space="preserve">    img_flash_output_ti: "&lt;a href=\"09_glossary.html#img_flash_output\" target=\"_blank\" data-bs-toggle=\"tooltip\" data-bs-title=\"Image Flash Output: The Image Flash Output is an image metadata field indicating the level of intensity of the flash [if enabled*/applicable]). Record as reported in the image Exif data (e.g., 'Flash Did Not Fire,' 'Auto'). This field is in text format; record 'Unknown' if not known; leave blank if not applicable.\"&gt;&lt;button type=\"button\" class=\"btn btn-bd-tip-info-hidden btn-sm position-relative\"&gt;.&lt;span class=\"position-absolute top-0 start-100 translate-middle\"&gt;{{ icon_info }}&lt;/span&gt;&lt;/button&gt;&lt;/a&gt;"</v>
      </c>
    </row>
    <row r="83" spans="1:26">
      <c r="A83" s="30"/>
      <c r="B83" s="30">
        <v>68</v>
      </c>
      <c r="C83" s="30" t="s">
        <v>429</v>
      </c>
      <c r="D83" s="73" t="s">
        <v>984</v>
      </c>
      <c r="E83" s="40" t="s">
        <v>489</v>
      </c>
      <c r="F83" s="30" t="s">
        <v>897</v>
      </c>
      <c r="G83" s="30" t="s">
        <v>767</v>
      </c>
      <c r="H83" s="30" t="s">
        <v>1253</v>
      </c>
      <c r="I83" s="40" t="s">
        <v>1255</v>
      </c>
      <c r="J83" s="40" t="str">
        <f t="shared" si="4"/>
        <v>img_infrared_illuminator</v>
      </c>
      <c r="K83" s="40" t="s">
        <v>747</v>
      </c>
      <c r="L83" s="34" t="str">
        <f>IF(VLOOKUP(J83,find_replace!H:H,1,"false")=J83,"TRUE","FALSE")</f>
        <v>TRUE</v>
      </c>
      <c r="M83" s="73" t="s">
        <v>375</v>
      </c>
      <c r="N83" s="73" t="s">
        <v>375</v>
      </c>
      <c r="O83" s="60" t="str">
        <f t="shared" si="5"/>
        <v xml:space="preserve">    term_img_infrared_illuminator: "Image Infrared Illuminator"</v>
      </c>
      <c r="P83" s="39" t="str">
        <f t="shared" si="6"/>
        <v xml:space="preserve">    def_img_infrared_illuminator: "The Image Infrared Illuminator is an image metadata field indicating whether the infrared illuminator setting was enabled (if applicable; to obtain greater visibility at night by producing infrared light). Record as reported in the image Exif data (e.g., 'On' or 'Off'). This field is categorical; leave blank if not applicable and record 'Unknown' if not known."</v>
      </c>
      <c r="Q83" s="40" t="b">
        <v>1</v>
      </c>
      <c r="R83" s="74" t="b">
        <v>0</v>
      </c>
      <c r="S83" s="77" t="b">
        <v>1</v>
      </c>
      <c r="T83" s="75" t="b">
        <v>0</v>
      </c>
      <c r="U83" s="76" t="s">
        <v>895</v>
      </c>
      <c r="V83" t="s">
        <v>896</v>
      </c>
      <c r="W83" s="13" t="s">
        <v>1816</v>
      </c>
      <c r="X83" t="s">
        <v>4081</v>
      </c>
      <c r="Y83" t="str">
        <f t="shared" si="7"/>
        <v xml:space="preserve">    img_infrared_illuminator_ti: "&lt;a href=\"09_glossary.html#img_infrared_illuminator\" target=\"_blank\" data-bs-toggle=\"tooltip\" data-bs-title=\"Image Infrared Illuminator: The Image Infrared Illuminator is an image metadata field indicating whether the infrared illuminator setting was enabled (if applicable; to obtain greater visibility at night by producing infrared light). Record as reported in the image Exif data (e.g., 'On' or 'Off'). This field is categorical; leave blank if not applicable and record 'Unknown' if not known.\"&gt;&lt;button type=\"button\" class=\"btn btn-bd-tip-info-hidden btn-sm position-relative\"&gt;.&lt;span class=\"position-absolute top-0 start-100 translate-middle\"&gt;{{ icon_info }}&lt;/span&gt;&lt;/button&gt;&lt;/a&gt;"</v>
      </c>
    </row>
    <row r="84" spans="1:26">
      <c r="A84" s="30"/>
      <c r="B84" s="30">
        <v>69</v>
      </c>
      <c r="C84" s="30" t="s">
        <v>429</v>
      </c>
      <c r="D84" s="73" t="s">
        <v>984</v>
      </c>
      <c r="E84" s="40" t="s">
        <v>4131</v>
      </c>
      <c r="F84" s="30" t="s">
        <v>897</v>
      </c>
      <c r="G84" s="30" t="s">
        <v>767</v>
      </c>
      <c r="H84" s="30" t="s">
        <v>544</v>
      </c>
      <c r="I84" s="40" t="s">
        <v>1256</v>
      </c>
      <c r="J84" s="40" t="str">
        <f t="shared" si="4"/>
        <v>img_name</v>
      </c>
      <c r="K84" s="40" t="s">
        <v>698</v>
      </c>
      <c r="L84" s="34" t="str">
        <f>IF(VLOOKUP(J84,find_replace!H:H,1,"false")=J84,"TRUE","FALSE")</f>
        <v>TRUE</v>
      </c>
      <c r="M84" s="73" t="s">
        <v>376</v>
      </c>
      <c r="N84" s="73" t="s">
        <v>376</v>
      </c>
      <c r="O84" s="60" t="str">
        <f t="shared" si="5"/>
        <v xml:space="preserve">    term_img_name: "Image Name"</v>
      </c>
      <c r="P84" s="39" t="str">
        <f t="shared" si="6"/>
        <v xml:space="preserve">    def_img_name: "A unique alphanumeric identifier for the image. It is important to include (at a minimum) the camera location, date, time, and image number when generating an Image Name to avoid duplicate file names (e.g., 'bh1_17-Jul-2018_P900FF04152022_22-Jul-2018 10:34:22_img_100' or 'bh1_17-Jul-2018_22-Jul-2018_10:34:22_img_100')."</v>
      </c>
      <c r="Q84" s="40"/>
      <c r="R84" s="74" t="b">
        <v>1</v>
      </c>
      <c r="S84" s="77" t="b">
        <v>1</v>
      </c>
      <c r="T84" s="77" t="b">
        <v>1</v>
      </c>
      <c r="U84" s="76" t="s">
        <v>895</v>
      </c>
      <c r="V84" t="s">
        <v>896</v>
      </c>
      <c r="W84" s="13" t="s">
        <v>1816</v>
      </c>
      <c r="X84" t="s">
        <v>4081</v>
      </c>
      <c r="Y84" t="str">
        <f t="shared" si="7"/>
        <v xml:space="preserve">    img_name_ti: "&lt;a href=\"09_glossary.html#img_name\" target=\"_blank\" data-bs-toggle=\"tooltip\" data-bs-title=\"Image Name: A unique alphanumeric identifier for the image. It is important to include (at a minimum) the camera location, date, time, and image number when generating an Image Name to avoid duplicate file names (e.g., 'bh1_17-Jul-2018_P900FF04152022_22-Jul-2018 10:34:22_img_100' or 'bh1_17-Jul-2018_22-Jul-2018_10:34:22_img_100').\"&gt;&lt;button type=\"button\" class=\"btn btn-bd-tip-info-hidden btn-sm position-relative\"&gt;.&lt;span class=\"position-absolute top-0 start-100 translate-middle\"&gt;{{ icon_info }}&lt;/span&gt;&lt;/button&gt;&lt;/a&gt;"</v>
      </c>
    </row>
    <row r="85" spans="1:26">
      <c r="A85" s="30"/>
      <c r="B85" s="30">
        <v>70</v>
      </c>
      <c r="C85" s="30" t="s">
        <v>0</v>
      </c>
      <c r="D85" s="73" t="s">
        <v>984</v>
      </c>
      <c r="E85" s="40" t="s">
        <v>179</v>
      </c>
      <c r="F85" s="30"/>
      <c r="G85" s="30" t="s">
        <v>767</v>
      </c>
      <c r="H85" s="40" t="s">
        <v>1249</v>
      </c>
      <c r="I85" s="40" t="s">
        <v>1249</v>
      </c>
      <c r="J85" s="40" t="str">
        <f t="shared" si="4"/>
        <v>img_processing</v>
      </c>
      <c r="K85" s="40" t="s">
        <v>179</v>
      </c>
      <c r="L85" s="34" t="str">
        <f>IF(VLOOKUP(J85,find_replace!H:H,1,"false")=J85,"TRUE","FALSE")</f>
        <v>TRUE</v>
      </c>
      <c r="M85" s="73" t="s">
        <v>178</v>
      </c>
      <c r="N85" s="73" t="s">
        <v>178</v>
      </c>
      <c r="O85" s="60" t="str">
        <f t="shared" si="5"/>
        <v xml:space="preserve">    term_img_processing: "Image processing"</v>
      </c>
      <c r="P85" s="39" t="str">
        <f t="shared" si="6"/>
        <v xml:space="preserve">    def_img_processing: "The series of operations that are taken to extract information from images. In the case of remote camera data, it can include loading the images into a processing platform, extracting information from the image metadata (e.g., the date and time the image was taken), running an artificial intelligence (AI) algorithm to identify empty images, classifying animals or other entities within the image."</v>
      </c>
      <c r="Q85" s="40"/>
      <c r="R85" s="74" t="s">
        <v>51</v>
      </c>
      <c r="S85" s="77" t="b">
        <v>1</v>
      </c>
      <c r="T85" s="77" t="b">
        <v>1</v>
      </c>
      <c r="U85" s="76" t="s">
        <v>895</v>
      </c>
      <c r="V85" t="s">
        <v>896</v>
      </c>
      <c r="W85" s="13" t="s">
        <v>1816</v>
      </c>
      <c r="X85" t="s">
        <v>4081</v>
      </c>
      <c r="Y85" t="str">
        <f t="shared" si="7"/>
        <v xml:space="preserve">    img_processing_ti: "&lt;a href=\"09_glossary.html#img_processing\" target=\"_blank\" data-bs-toggle=\"tooltip\" data-bs-title=\"Image processing: The series of operations that are taken to extract information from images. In the case of remote camera data, it can include loading the images into a processing platform, extracting information from the image metadata (e.g., the date and time the image was taken), running an artificial intelligence (AI) algorithm to identify empty images, classifying animals or other entities within the image.\"&gt;&lt;button type=\"button\" class=\"btn btn-bd-tip-info-hidden btn-sm position-relative\"&gt;.&lt;span class=\"position-absolute top-0 start-100 translate-middle\"&gt;{{ icon_info }}&lt;/span&gt;&lt;/button&gt;&lt;/a&gt;"</v>
      </c>
    </row>
    <row r="86" spans="1:26">
      <c r="A86" s="30"/>
      <c r="B86" s="30">
        <v>71</v>
      </c>
      <c r="C86" s="30" t="s">
        <v>0</v>
      </c>
      <c r="D86" s="73" t="s">
        <v>984</v>
      </c>
      <c r="E86" s="40" t="s">
        <v>177</v>
      </c>
      <c r="F86" s="30" t="s">
        <v>897</v>
      </c>
      <c r="G86" s="30" t="s">
        <v>767</v>
      </c>
      <c r="H86" s="40" t="s">
        <v>1249</v>
      </c>
      <c r="I86" s="40" t="s">
        <v>1257</v>
      </c>
      <c r="J86" s="40" t="str">
        <f t="shared" si="4"/>
        <v>img_sequence</v>
      </c>
      <c r="K86" s="40" t="s">
        <v>177</v>
      </c>
      <c r="L86" s="34" t="str">
        <f>IF(VLOOKUP(J86,find_replace!H:H,1,"false")=J86,"TRUE","FALSE")</f>
        <v>TRUE</v>
      </c>
      <c r="M86" s="73" t="s">
        <v>377</v>
      </c>
      <c r="N86" s="73" t="s">
        <v>377</v>
      </c>
      <c r="O86" s="60" t="str">
        <f t="shared" si="5"/>
        <v xml:space="preserve">    term_img_sequence: "Image Sequence"</v>
      </c>
      <c r="P86" s="39" t="str">
        <f t="shared" si="6"/>
        <v xml:space="preserve">    def_img_sequence: "The order of the image in a rapid-fire sequence as reported in the image Exif data (text; e.g., '1 of 1' or '1 of 3'). Leave blank if not applicable."</v>
      </c>
      <c r="Q86" s="40" t="b">
        <v>1</v>
      </c>
      <c r="R86" s="74" t="s">
        <v>51</v>
      </c>
      <c r="S86" s="77" t="b">
        <v>1</v>
      </c>
      <c r="T86" s="77" t="b">
        <v>0</v>
      </c>
      <c r="U86" s="76" t="s">
        <v>895</v>
      </c>
      <c r="V86" t="s">
        <v>896</v>
      </c>
      <c r="W86" s="13" t="s">
        <v>1816</v>
      </c>
      <c r="X86" t="s">
        <v>4081</v>
      </c>
      <c r="Y86" t="str">
        <f t="shared" si="7"/>
        <v xml:space="preserve">    img_sequence_ti: "&lt;a href=\"09_glossary.html#img_sequence\" target=\"_blank\" data-bs-toggle=\"tooltip\" data-bs-title=\"Image Sequence: The order of the image in a rapid-fire sequence as reported in the image Exif data (text; e.g., '1 of 1' or '1 of 3'). Leave blank if not applicable.\"&gt;&lt;button type=\"button\" class=\"btn btn-bd-tip-info-hidden btn-sm position-relative\"&gt;.&lt;span class=\"position-absolute top-0 start-100 translate-middle\"&gt;{{ icon_info }}&lt;/span&gt;&lt;/button&gt;&lt;/a&gt;"</v>
      </c>
    </row>
    <row r="87" spans="1:26">
      <c r="A87" s="30"/>
      <c r="B87" s="30">
        <v>72</v>
      </c>
      <c r="C87" s="30" t="s">
        <v>429</v>
      </c>
      <c r="D87" s="73" t="s">
        <v>984</v>
      </c>
      <c r="E87" s="40" t="s">
        <v>4140</v>
      </c>
      <c r="F87" s="30" t="s">
        <v>897</v>
      </c>
      <c r="G87" s="30" t="s">
        <v>767</v>
      </c>
      <c r="H87" s="30" t="s">
        <v>1260</v>
      </c>
      <c r="I87" s="40" t="s">
        <v>1261</v>
      </c>
      <c r="J87" s="40" t="str">
        <f t="shared" si="4"/>
        <v>img_set_end_date_time</v>
      </c>
      <c r="K87" s="40" t="s">
        <v>700</v>
      </c>
      <c r="L87" s="34" t="str">
        <f>IF(VLOOKUP(J87,find_replace!H:H,1,"false")=J87,"TRUE","FALSE")</f>
        <v>TRUE</v>
      </c>
      <c r="M87" s="73" t="s">
        <v>378</v>
      </c>
      <c r="N87" s="73" t="s">
        <v>378</v>
      </c>
      <c r="O87" s="60" t="str">
        <f t="shared" si="5"/>
        <v xml:space="preserve">    term_img_set_end_date_time: "Image Set End Date Time (DD-MMM-YYYY HH:MM:SS)"</v>
      </c>
      <c r="P87" s="39" t="str">
        <f t="shared" si="6"/>
        <v xml:space="preserve">    def_img_set_end_date_time: "The date and time of the last image or video collected during a specific deployment (e.g., '17-Jan-2018 22:10:05').  &lt;br&gt; &lt;br&gt; The Image Set End Date Time may not coincide with the deployment end date time. Recording this field allows users to account for deployments that were conducted but for which no data was found and to confirm the last date and time a camera was active (if functioning) if no images or videos were captured prior to Service*/Retrieval (especially valuable if users did not collect Time-lapse images or if the camera malfunctioned)."</v>
      </c>
      <c r="Q87" s="40"/>
      <c r="R87" s="74" t="b">
        <v>1</v>
      </c>
      <c r="S87" s="77" t="b">
        <v>1</v>
      </c>
      <c r="T87" s="77" t="b">
        <v>1</v>
      </c>
      <c r="U87" s="76" t="s">
        <v>895</v>
      </c>
      <c r="V87" t="s">
        <v>896</v>
      </c>
      <c r="W87" s="13" t="s">
        <v>1816</v>
      </c>
      <c r="X87" t="s">
        <v>4081</v>
      </c>
      <c r="Y87" t="str">
        <f t="shared" si="7"/>
        <v xml:space="preserve">    img_set_end_date_time_ti: "&lt;a href=\"09_glossary.html#img_set_end_date_time\" target=\"_blank\" data-bs-toggle=\"tooltip\" data-bs-title=\"Image Set End Date Time (DD-MMM-YYYY HH:MM:SS): The date and time of the last image or video collected during a specific deployment (e.g., '17-Jan-2018 22:10:05').  &lt;br&gt; &lt;br&gt; The Image Set End Date Time may not coincide with the deployment end date time. Recording this field allows users to account for deployments that were conducted but for which no data was found and to confirm the last date and time a camera was active (if functioning) if no images or videos were captured prior to Service*/Retrieval (especially valuable if users did not collect Time-lapse images or if the camera malfunctioned).\"&gt;&lt;button type=\"button\" class=\"btn btn-bd-tip-info-hidden btn-sm position-relative\"&gt;.&lt;span class=\"position-absolute top-0 start-100 translate-middle\"&gt;{{ icon_info }}&lt;/span&gt;&lt;/button&gt;&lt;/a&gt;"</v>
      </c>
    </row>
    <row r="88" spans="1:26">
      <c r="A88" s="30"/>
      <c r="B88" s="30">
        <v>73</v>
      </c>
      <c r="C88" s="30" t="s">
        <v>429</v>
      </c>
      <c r="D88" s="73" t="s">
        <v>984</v>
      </c>
      <c r="E88" s="40" t="s">
        <v>4139</v>
      </c>
      <c r="F88" s="30" t="s">
        <v>897</v>
      </c>
      <c r="G88" s="30" t="s">
        <v>767</v>
      </c>
      <c r="H88" s="30" t="s">
        <v>1260</v>
      </c>
      <c r="I88" s="40" t="s">
        <v>1262</v>
      </c>
      <c r="J88" s="40" t="str">
        <f t="shared" si="4"/>
        <v>img_set_start_date_time</v>
      </c>
      <c r="K88" s="40" t="s">
        <v>701</v>
      </c>
      <c r="L88" s="34" t="str">
        <f>IF(VLOOKUP(J88,find_replace!H:H,1,"false")=J88,"TRUE","FALSE")</f>
        <v>TRUE</v>
      </c>
      <c r="M88" s="73" t="s">
        <v>379</v>
      </c>
      <c r="N88" s="73" t="s">
        <v>379</v>
      </c>
      <c r="O88" s="60" t="str">
        <f t="shared" si="5"/>
        <v xml:space="preserve">    term_img_set_start_date_time: "Image Set Start Date Time (DD-MMM-YYYY HH:MM:SS)"</v>
      </c>
      <c r="P88" s="39" t="str">
        <f t="shared" si="6"/>
        <v xml:space="preserve">    def_img_set_start_date_time: "The date and time of the first image or video collected during a specific deployment (e.g., '17-Jan-2018 12:00:02'). &lt;br&gt;&lt;br&gt; The Image Set Start Date Time may not coincide with the Deployment Start Date Time. Recording this field allows users to confirm the first date and time a camera was active (reliable if Time-lapse images were collected; especially valuable if the user scheduled a start delay)."</v>
      </c>
      <c r="Q88" s="40"/>
      <c r="R88" s="74" t="b">
        <v>1</v>
      </c>
      <c r="S88" s="77" t="b">
        <v>1</v>
      </c>
      <c r="T88" s="77" t="b">
        <v>1</v>
      </c>
      <c r="U88" s="76" t="s">
        <v>895</v>
      </c>
      <c r="V88" t="s">
        <v>896</v>
      </c>
      <c r="W88" s="13" t="s">
        <v>1816</v>
      </c>
      <c r="X88" t="s">
        <v>4081</v>
      </c>
      <c r="Y88" t="str">
        <f t="shared" si="7"/>
        <v xml:space="preserve">    img_set_start_date_time_ti: "&lt;a href=\"09_glossary.html#img_set_start_date_time\" target=\"_blank\" data-bs-toggle=\"tooltip\" data-bs-title=\"Image Set Start Date Time (DD-MMM-YYYY HH:MM:SS): The date and time of the first image or video collected during a specific deployment (e.g., '17-Jan-2018 12:00:02'). &lt;br&gt;&lt;br&gt; The Image Set Start Date Time may not coincide with the Deployment Start Date Time. Recording this field allows users to confirm the first date and time a camera was active (reliable if Time-lapse images were collected; especially valuable if the user scheduled a start delay).\"&gt;&lt;button type=\"button\" class=\"btn btn-bd-tip-info-hidden btn-sm position-relative\"&gt;.&lt;span class=\"position-absolute top-0 start-100 translate-middle\"&gt;{{ icon_info }}&lt;/span&gt;&lt;/button&gt;&lt;/a&gt;"</v>
      </c>
    </row>
    <row r="89" spans="1:26">
      <c r="A89" s="30"/>
      <c r="B89" s="30">
        <v>74</v>
      </c>
      <c r="C89" s="30" t="s">
        <v>0</v>
      </c>
      <c r="D89" s="73" t="s">
        <v>984</v>
      </c>
      <c r="E89" s="34" t="s">
        <v>176</v>
      </c>
      <c r="F89" s="30"/>
      <c r="G89" s="30" t="s">
        <v>767</v>
      </c>
      <c r="H89" s="40" t="s">
        <v>1249</v>
      </c>
      <c r="I89" s="40" t="s">
        <v>1263</v>
      </c>
      <c r="J89" s="40" t="str">
        <f t="shared" si="4"/>
        <v>img_tagging</v>
      </c>
      <c r="K89" s="34" t="s">
        <v>176</v>
      </c>
      <c r="L89" s="34" t="str">
        <f>IF(VLOOKUP(J89,find_replace!H:H,1,"false")=J89,"TRUE","FALSE")</f>
        <v>TRUE</v>
      </c>
      <c r="M89" s="73" t="s">
        <v>175</v>
      </c>
      <c r="N89" s="73" t="s">
        <v>175</v>
      </c>
      <c r="O89" s="60" t="str">
        <f t="shared" si="5"/>
        <v xml:space="preserve">    term_img_tagging: "Image tagging"</v>
      </c>
      <c r="P89" s="39" t="str">
        <f t="shared" si="6"/>
        <v xml:space="preserve">    def_img_tagging: "The process of classifying an image according to the wildlife species, other entities (e.g., human, vehicle), or conditions within the image. Image tagging may follow image classification to further classify characteristics of the individuals (e.g., age class, sex class, or behaviour) or entities within the image."</v>
      </c>
      <c r="Q89" s="40"/>
      <c r="R89" s="74" t="s">
        <v>51</v>
      </c>
      <c r="S89" s="75" t="b">
        <v>0</v>
      </c>
      <c r="T89" s="77" t="b">
        <v>1</v>
      </c>
      <c r="U89" s="76" t="s">
        <v>895</v>
      </c>
      <c r="V89" t="s">
        <v>896</v>
      </c>
      <c r="W89" s="13" t="s">
        <v>1816</v>
      </c>
      <c r="X89" t="s">
        <v>4081</v>
      </c>
      <c r="Y89" t="str">
        <f t="shared" si="7"/>
        <v xml:space="preserve">    img_tagging_ti: "&lt;a href=\"09_glossary.html#img_tagging\" target=\"_blank\" data-bs-toggle=\"tooltip\" data-bs-title=\"Image tagging: The process of classifying an image according to the wildlife species, other entities (e.g., human, vehicle), or conditions within the image. Image tagging may follow image classification to further classify characteristics of the individuals (e.g., age class, sex class, or behaviour) or entities within the image.\"&gt;&lt;button type=\"button\" class=\"btn btn-bd-tip-info-hidden btn-sm position-relative\"&gt;.&lt;span class=\"position-absolute top-0 start-100 translate-middle\"&gt;{{ icon_info }}&lt;/span&gt;&lt;/button&gt;&lt;/a&gt;"</v>
      </c>
    </row>
    <row r="90" spans="1:26">
      <c r="A90" s="30"/>
      <c r="B90" s="30">
        <v>75</v>
      </c>
      <c r="C90" s="30" t="s">
        <v>429</v>
      </c>
      <c r="D90" s="73" t="s">
        <v>984</v>
      </c>
      <c r="E90" s="40" t="s">
        <v>490</v>
      </c>
      <c r="F90" s="30" t="s">
        <v>897</v>
      </c>
      <c r="G90" s="30" t="s">
        <v>767</v>
      </c>
      <c r="H90" s="30" t="s">
        <v>1253</v>
      </c>
      <c r="I90" s="40" t="s">
        <v>1264</v>
      </c>
      <c r="J90" s="40" t="str">
        <f t="shared" si="4"/>
        <v>img_trigger_mode</v>
      </c>
      <c r="K90" s="40" t="s">
        <v>749</v>
      </c>
      <c r="L90" s="34" t="str">
        <f>IF(VLOOKUP(J90,find_replace!H:H,1,"false")=J90,"TRUE","FALSE")</f>
        <v>TRUE</v>
      </c>
      <c r="M90" s="73" t="s">
        <v>380</v>
      </c>
      <c r="N90" s="73" t="s">
        <v>380</v>
      </c>
      <c r="O90" s="60" t="str">
        <f t="shared" si="5"/>
        <v xml:space="preserve">    term_img_trigger_mode: "Image Trigger Mode"</v>
      </c>
      <c r="P90" s="39" t="str">
        <f t="shared" si="6"/>
        <v xml:space="preserve">    def_img_trigger_mode: "The type of trigger mode used to capture the image as reported in the image Exif data (e.g., 'Time Lapse,' 'Motion Detection,' 'CodeLoc Not Entered,' 'External Sensor'). Record 'Unknown' if not known."</v>
      </c>
      <c r="Q90" s="40" t="b">
        <v>1</v>
      </c>
      <c r="R90" s="74" t="b">
        <v>0</v>
      </c>
      <c r="S90" s="77" t="b">
        <v>1</v>
      </c>
      <c r="T90" s="75" t="b">
        <v>0</v>
      </c>
      <c r="U90" s="76" t="s">
        <v>895</v>
      </c>
      <c r="V90" t="s">
        <v>896</v>
      </c>
      <c r="W90" s="13" t="s">
        <v>1816</v>
      </c>
      <c r="X90" t="s">
        <v>4081</v>
      </c>
      <c r="Y90" t="str">
        <f t="shared" si="7"/>
        <v xml:space="preserve">    img_trigger_mode_ti: "&lt;a href=\"09_glossary.html#img_trigger_mode\" target=\"_blank\" data-bs-toggle=\"tooltip\" data-bs-title=\"Image Trigger Mode: The type of trigger mode used to capture the image as reported in the image Exif data (e.g., 'Time Lapse,' 'Motion Detection,' 'CodeLoc Not Entered,' 'External Sensor'). Record 'Unknown' if not known.\"&gt;&lt;button type=\"button\" class=\"btn btn-bd-tip-info-hidden btn-sm position-relative\"&gt;.&lt;span class=\"position-absolute top-0 start-100 translate-middle\"&gt;{{ icon_info }}&lt;/span&gt;&lt;/button&gt;&lt;/a&gt;"</v>
      </c>
    </row>
    <row r="91" spans="1:26">
      <c r="A91" s="30"/>
      <c r="B91" s="30">
        <v>76</v>
      </c>
      <c r="C91" s="30" t="s">
        <v>429</v>
      </c>
      <c r="D91" s="73" t="s">
        <v>984</v>
      </c>
      <c r="E91" s="40" t="s">
        <v>491</v>
      </c>
      <c r="F91" s="30" t="s">
        <v>897</v>
      </c>
      <c r="G91" s="30" t="s">
        <v>767</v>
      </c>
      <c r="H91" s="30" t="s">
        <v>183</v>
      </c>
      <c r="I91" s="40" t="s">
        <v>1258</v>
      </c>
      <c r="J91" s="40" t="str">
        <f t="shared" si="4"/>
        <v>img_sequence_comments</v>
      </c>
      <c r="K91" s="40" t="s">
        <v>748</v>
      </c>
      <c r="L91" s="34" t="str">
        <f>IF(VLOOKUP(J91,find_replace!H:H,1,"false")=J91,"TRUE","FALSE")</f>
        <v>TRUE</v>
      </c>
      <c r="M91" s="73" t="s">
        <v>412</v>
      </c>
      <c r="N91" s="73" t="s">
        <v>412</v>
      </c>
      <c r="O91" s="60" t="str">
        <f t="shared" si="5"/>
        <v xml:space="preserve">    term_img_sequence_comments: "Image/Sequence Comments"</v>
      </c>
      <c r="P91" s="39" t="str">
        <f t="shared" si="6"/>
        <v xml:space="preserve">    def_img_sequence_comments: "Comments describing additional details about the image*/sequence."</v>
      </c>
      <c r="Q91" s="40"/>
      <c r="R91" s="74" t="b">
        <v>0</v>
      </c>
      <c r="S91" s="77" t="b">
        <v>1</v>
      </c>
      <c r="T91" s="75" t="b">
        <v>0</v>
      </c>
      <c r="U91" s="76" t="s">
        <v>895</v>
      </c>
      <c r="V91" t="s">
        <v>896</v>
      </c>
      <c r="W91" s="13" t="s">
        <v>1816</v>
      </c>
      <c r="X91" t="s">
        <v>4081</v>
      </c>
      <c r="Y91" t="str">
        <f t="shared" si="7"/>
        <v xml:space="preserve">    img_sequence_comments_ti: "&lt;a href=\"09_glossary.html#img_sequence_comments\" target=\"_blank\" data-bs-toggle=\"tooltip\" data-bs-title=\"Image/Sequence Comments: Comments describing additional details about the image*/sequence.\"&gt;&lt;button type=\"button\" class=\"btn btn-bd-tip-info-hidden btn-sm position-relative\"&gt;.&lt;span class=\"position-absolute top-0 start-100 translate-middle\"&gt;{{ icon_info }}&lt;/span&gt;&lt;/button&gt;&lt;/a&gt;"</v>
      </c>
    </row>
    <row r="92" spans="1:26" s="17" customFormat="1">
      <c r="A92" s="30"/>
      <c r="B92" s="30">
        <v>77</v>
      </c>
      <c r="C92" s="30" t="s">
        <v>429</v>
      </c>
      <c r="D92" s="73" t="s">
        <v>984</v>
      </c>
      <c r="E92" s="40" t="s">
        <v>284</v>
      </c>
      <c r="F92" s="30" t="s">
        <v>897</v>
      </c>
      <c r="G92" s="30" t="s">
        <v>767</v>
      </c>
      <c r="H92" s="40" t="s">
        <v>1249</v>
      </c>
      <c r="I92" s="40" t="s">
        <v>1259</v>
      </c>
      <c r="J92" s="40" t="str">
        <f t="shared" si="4"/>
        <v>img_sequence_date_time</v>
      </c>
      <c r="K92" s="40" t="s">
        <v>699</v>
      </c>
      <c r="L92" s="34" t="str">
        <f>IF(VLOOKUP(J92,find_replace!H:H,1,"false")=J92,"TRUE","FALSE")</f>
        <v>TRUE</v>
      </c>
      <c r="M92" s="86" t="s">
        <v>413</v>
      </c>
      <c r="N92" s="86" t="s">
        <v>413</v>
      </c>
      <c r="O92" s="60" t="str">
        <f t="shared" si="5"/>
        <v xml:space="preserve">    term_img_sequence_date_time: "Image/Sequence Date Time (DD-MMM-YYYY HH:MM:SS)"</v>
      </c>
      <c r="P92" s="39" t="str">
        <f t="shared" si="6"/>
        <v xml:space="preserve">    def_img_sequence_date_time: "The date and time of an image, or the image chosen to represent the sequence, recorded as 'DD-MMM-YYYY HH:MM:SS' (e.g., 22-Jul-2018 11:02:02).  &lt;br&gt; &lt;br&gt; Sequence date*/time information may be reported for a 'representative image' of a sequence (i.e., the image with the most information). For example, if three images were included in a sequence, but the Sex Class could only be discerned in the second image [all else remaining equal], the second image would be the best representative image of the sequence. &lt;br&gt; &lt;br&gt; The Image*/Sequence Date Time differs from the Image Set Start Date Time which refers to the first image or video collected during a deployment. "</v>
      </c>
      <c r="Q92" s="40"/>
      <c r="R92" s="74" t="b">
        <v>1</v>
      </c>
      <c r="S92" s="77" t="b">
        <v>1</v>
      </c>
      <c r="T92" s="75" t="b">
        <v>0</v>
      </c>
      <c r="U92" s="76" t="s">
        <v>895</v>
      </c>
      <c r="V92" t="s">
        <v>896</v>
      </c>
      <c r="W92" s="13" t="s">
        <v>1816</v>
      </c>
      <c r="X92" t="s">
        <v>4081</v>
      </c>
      <c r="Y92" t="str">
        <f t="shared" si="7"/>
        <v xml:space="preserve">    img_sequence_date_time_ti: "&lt;a href=\"09_glossary.html#img_sequence_date_time\" target=\"_blank\" data-bs-toggle=\"tooltip\" data-bs-title=\"Image/Sequence Date Time (DD-MMM-YYYY HH:MM:SS): The date and time of an image, or the image chosen to represent the sequence, recorded as 'DD-MMM-YYYY HH:MM:SS' (e.g., 22-Jul-2018 11:02:02).  &lt;br&gt; &lt;br&gt; Sequence date*/time information may be reported for a 'representative image' of a sequence (i.e., the image with the most information). For example, if three images were included in a sequence, but the Sex Class could only be discerned in the second image [all else remaining equal], the second image would be the best representative image of the sequence. &lt;br&gt; &lt;br&gt; The Image*/Sequence Date Time differs from the Image Set Start Date Time which refers to the first image or video collected during a deployment. \"&gt;&lt;button type=\"button\" class=\"btn btn-bd-tip-info-hidden btn-sm position-relative\"&gt;.&lt;span class=\"position-absolute top-0 start-100 translate-middle\"&gt;{{ icon_info }}&lt;/span&gt;&lt;/button&gt;&lt;/a&gt;"</v>
      </c>
      <c r="Z92"/>
    </row>
    <row r="93" spans="1:26" s="17" customFormat="1">
      <c r="A93" s="30"/>
      <c r="B93" s="30">
        <v>78</v>
      </c>
      <c r="C93" s="30" t="s">
        <v>0</v>
      </c>
      <c r="D93" s="73" t="s">
        <v>984</v>
      </c>
      <c r="E93" s="34" t="s">
        <v>174</v>
      </c>
      <c r="F93" s="30"/>
      <c r="G93" s="30" t="s">
        <v>767</v>
      </c>
      <c r="H93" s="30"/>
      <c r="I93" s="40" t="s">
        <v>173</v>
      </c>
      <c r="J93" s="40" t="str">
        <f t="shared" si="4"/>
        <v>imperfect_detection</v>
      </c>
      <c r="K93" s="34" t="s">
        <v>174</v>
      </c>
      <c r="L93" s="34" t="str">
        <f>IF(VLOOKUP(J93,find_replace!H:H,1,"false")=J93,"TRUE","FALSE")</f>
        <v>TRUE</v>
      </c>
      <c r="M93" s="73" t="s">
        <v>381</v>
      </c>
      <c r="N93" s="73" t="s">
        <v>381</v>
      </c>
      <c r="O93" s="60" t="str">
        <f t="shared" si="5"/>
        <v xml:space="preserve">    term_imperfect_detection: "Imperfect detection"</v>
      </c>
      <c r="P93" s="39" t="str">
        <f t="shared" si="6"/>
        <v xml:space="preserve">    def_imperfect_detection: "Species are often detected 'imperfectly,' meaning that they are not always detected when they are present (e.g., due to cover of vegetation, cryptic nature or small size) (MacKenzie et al., 2004)."</v>
      </c>
      <c r="Q93" s="40"/>
      <c r="R93" s="74" t="s">
        <v>51</v>
      </c>
      <c r="S93" s="75" t="b">
        <v>0</v>
      </c>
      <c r="T93" s="77" t="b">
        <v>1</v>
      </c>
      <c r="U93" s="76" t="s">
        <v>895</v>
      </c>
      <c r="V93" t="s">
        <v>896</v>
      </c>
      <c r="W93" s="13" t="s">
        <v>1816</v>
      </c>
      <c r="X93" t="s">
        <v>4081</v>
      </c>
      <c r="Y93" t="str">
        <f t="shared" si="7"/>
        <v xml:space="preserve">    imperfect_detection_ti: "&lt;a href=\"09_glossary.html#imperfect_detection\" target=\"_blank\" data-bs-toggle=\"tooltip\" data-bs-title=\"Imperfect detection: Species are often detected 'imperfectly,' meaning that they are not always detected when they are present (e.g., due to cover of vegetation, cryptic nature or small size) (MacKenzie et al., 2004).\"&gt;&lt;button type=\"button\" class=\"btn btn-bd-tip-info-hidden btn-sm position-relative\"&gt;.&lt;span class=\"position-absolute top-0 start-100 translate-middle\"&gt;{{ icon_info }}&lt;/span&gt;&lt;/button&gt;&lt;/a&gt;"</v>
      </c>
    </row>
    <row r="94" spans="1:26">
      <c r="A94" s="30"/>
      <c r="B94" s="30">
        <v>79</v>
      </c>
      <c r="C94" s="30" t="s">
        <v>0</v>
      </c>
      <c r="D94" s="73" t="s">
        <v>984</v>
      </c>
      <c r="E94" s="34" t="s">
        <v>172</v>
      </c>
      <c r="F94" s="30"/>
      <c r="G94" s="30" t="s">
        <v>767</v>
      </c>
      <c r="H94" s="30"/>
      <c r="I94" s="40" t="s">
        <v>170</v>
      </c>
      <c r="J94" s="40" t="str">
        <f t="shared" si="4"/>
        <v>independent_detections</v>
      </c>
      <c r="K94" s="34" t="s">
        <v>172</v>
      </c>
      <c r="L94" s="34" t="str">
        <f>IF(VLOOKUP(J94,find_replace!H:H,1,"false")=J94,"TRUE","FALSE")</f>
        <v>TRUE</v>
      </c>
      <c r="M94" s="73" t="s">
        <v>171</v>
      </c>
      <c r="N94" s="73" t="s">
        <v>171</v>
      </c>
      <c r="O94" s="60" t="str">
        <f t="shared" si="5"/>
        <v xml:space="preserve">    term_independent_detections: "Independent detections"</v>
      </c>
      <c r="P94" s="39" t="str">
        <f t="shared" si="6"/>
        <v xml:space="preserve">    def_independent_detections: "Detections that are deemed to be independent based on a user-defined threshold (e.g., 30 minutes)."</v>
      </c>
      <c r="Q94" s="40"/>
      <c r="R94" s="74" t="s">
        <v>51</v>
      </c>
      <c r="S94" s="75" t="b">
        <v>0</v>
      </c>
      <c r="T94" s="77" t="b">
        <v>1</v>
      </c>
      <c r="U94" s="76" t="s">
        <v>895</v>
      </c>
      <c r="V94" t="s">
        <v>896</v>
      </c>
      <c r="W94" s="13" t="s">
        <v>1816</v>
      </c>
      <c r="X94" t="s">
        <v>4081</v>
      </c>
      <c r="Y94" t="str">
        <f t="shared" si="7"/>
        <v xml:space="preserve">    independent_detections_ti: "&lt;a href=\"09_glossary.html#independent_detections\" target=\"_blank\" data-bs-toggle=\"tooltip\" data-bs-title=\"Independent detections: Detections that are deemed to be independent based on a user-defined threshold (e.g., 30 minutes).\"&gt;&lt;button type=\"button\" class=\"btn btn-bd-tip-info-hidden btn-sm position-relative\"&gt;.&lt;span class=\"position-absolute top-0 start-100 translate-middle\"&gt;{{ icon_info }}&lt;/span&gt;&lt;/button&gt;&lt;/a&gt;"</v>
      </c>
      <c r="Z94" s="17"/>
    </row>
    <row r="95" spans="1:26">
      <c r="A95" s="30"/>
      <c r="B95" s="30">
        <v>80</v>
      </c>
      <c r="C95" s="30" t="s">
        <v>429</v>
      </c>
      <c r="D95" s="73" t="s">
        <v>984</v>
      </c>
      <c r="E95" s="40" t="s">
        <v>4153</v>
      </c>
      <c r="F95" s="30" t="s">
        <v>897</v>
      </c>
      <c r="G95" s="30" t="s">
        <v>767</v>
      </c>
      <c r="H95" s="40" t="s">
        <v>1249</v>
      </c>
      <c r="I95" s="40" t="s">
        <v>283</v>
      </c>
      <c r="J95" s="40" t="str">
        <f t="shared" si="4"/>
        <v>individual_count</v>
      </c>
      <c r="K95" s="40" t="s">
        <v>702</v>
      </c>
      <c r="L95" s="34" t="str">
        <f>IF(VLOOKUP(J95,find_replace!H:H,1,"false")=J95,"TRUE","FALSE")</f>
        <v>TRUE</v>
      </c>
      <c r="M95" s="73" t="s">
        <v>414</v>
      </c>
      <c r="N95" s="73" t="s">
        <v>414</v>
      </c>
      <c r="O95" s="60" t="str">
        <f t="shared" si="5"/>
        <v xml:space="preserve">    term_individual_count: "Individual Count"</v>
      </c>
      <c r="P95" s="39" t="str">
        <f t="shared" si="6"/>
        <v xml:space="preserve">    def_individual_count: "The number of unique individuals being categorized. Depending on the Event Type, this may be recorded as the total number of individuals, or according to Age Class and*/or Sex Class."</v>
      </c>
      <c r="Q95" s="40"/>
      <c r="R95" s="74" t="b">
        <v>1</v>
      </c>
      <c r="S95" s="77" t="b">
        <v>1</v>
      </c>
      <c r="T95" s="77" t="b">
        <v>1</v>
      </c>
      <c r="U95" s="76" t="s">
        <v>895</v>
      </c>
      <c r="V95" t="s">
        <v>896</v>
      </c>
      <c r="W95" s="13" t="s">
        <v>1816</v>
      </c>
      <c r="X95" t="s">
        <v>4081</v>
      </c>
      <c r="Y95" t="str">
        <f t="shared" si="7"/>
        <v xml:space="preserve">    individual_count_ti: "&lt;a href=\"09_glossary.html#individual_count\" target=\"_blank\" data-bs-toggle=\"tooltip\" data-bs-title=\"Individual Count: The number of unique individuals being categorized. Depending on the Event Type, this may be recorded as the total number of individuals, or according to Age Class and*/or Sex Class.\"&gt;&lt;button type=\"button\" class=\"btn btn-bd-tip-info-hidden btn-sm position-relative\"&gt;.&lt;span class=\"position-absolute top-0 start-100 translate-middle\"&gt;{{ icon_info }}&lt;/span&gt;&lt;/button&gt;&lt;/a&gt;"</v>
      </c>
    </row>
    <row r="96" spans="1:26">
      <c r="A96" s="30"/>
      <c r="B96" s="30">
        <v>81</v>
      </c>
      <c r="C96" s="30" t="s">
        <v>0</v>
      </c>
      <c r="D96" s="73" t="s">
        <v>984</v>
      </c>
      <c r="E96" s="34" t="s">
        <v>169</v>
      </c>
      <c r="F96" s="30"/>
      <c r="G96" s="30" t="s">
        <v>767</v>
      </c>
      <c r="H96" s="30" t="s">
        <v>546</v>
      </c>
      <c r="I96" s="40" t="s">
        <v>168</v>
      </c>
      <c r="J96" s="40" t="str">
        <f t="shared" si="4"/>
        <v>settings_infrared_illum</v>
      </c>
      <c r="K96" s="34" t="s">
        <v>169</v>
      </c>
      <c r="L96" s="34" t="str">
        <f>IF(VLOOKUP(J96,find_replace!H:H,1,"false")=J96,"TRUE","FALSE")</f>
        <v>TRUE</v>
      </c>
      <c r="M96" s="73" t="s">
        <v>398</v>
      </c>
      <c r="N96" s="73" t="s">
        <v>398</v>
      </c>
      <c r="O96" s="60" t="str">
        <f t="shared" si="5"/>
        <v xml:space="preserve">    term_settings_infrared_illum: "Infrared illuminator"</v>
      </c>
      <c r="P96" s="39" t="str">
        <f t="shared" si="6"/>
        <v xml:space="preserve">    def_settings_infrared_illum: "The camera setting that can be enabled (if applicable to the camera make and camera model) to obtain greater visibility at night by producing infrared light. This field is categorical; leave blank if not applicable and record 'Unknown' if not known."</v>
      </c>
      <c r="Q96" s="40" t="b">
        <v>1</v>
      </c>
      <c r="R96" s="74" t="s">
        <v>51</v>
      </c>
      <c r="S96" s="77" t="b">
        <v>1</v>
      </c>
      <c r="T96" s="77" t="b">
        <v>1</v>
      </c>
      <c r="U96" s="76" t="s">
        <v>895</v>
      </c>
      <c r="V96" t="s">
        <v>896</v>
      </c>
      <c r="W96" s="13" t="s">
        <v>1816</v>
      </c>
      <c r="X96" t="s">
        <v>4081</v>
      </c>
      <c r="Y96" t="str">
        <f t="shared" si="7"/>
        <v xml:space="preserve">    settings_infrared_illum_ti: "&lt;a href=\"09_glossary.html#settings_infrared_illum\" target=\"_blank\" data-bs-toggle=\"tooltip\" data-bs-title=\"Infrared illuminator: The camera setting that can be enabled (if applicable to the camera make and camera model) to obtain greater visibility at night by producing infrared light. This field is categorical; leave blank if not applicable and record 'Unknown' if not known.\"&gt;&lt;button type=\"button\" class=\"btn btn-bd-tip-info-hidden btn-sm position-relative\"&gt;.&lt;span class=\"position-absolute top-0 start-100 translate-middle\"&gt;{{ icon_info }}&lt;/span&gt;&lt;/button&gt;&lt;/a&gt;"</v>
      </c>
    </row>
    <row r="97" spans="1:26">
      <c r="A97" s="30"/>
      <c r="B97" s="30">
        <v>82</v>
      </c>
      <c r="C97" s="30" t="s">
        <v>0</v>
      </c>
      <c r="D97" s="73" t="s">
        <v>984</v>
      </c>
      <c r="E97" s="34" t="s">
        <v>167</v>
      </c>
      <c r="F97" s="30" t="s">
        <v>897</v>
      </c>
      <c r="G97" s="30" t="s">
        <v>767</v>
      </c>
      <c r="H97" s="30" t="s">
        <v>4</v>
      </c>
      <c r="I97" s="40" t="s">
        <v>3</v>
      </c>
      <c r="J97" s="40" t="str">
        <f t="shared" si="4"/>
        <v>mod_is</v>
      </c>
      <c r="K97" s="34" t="s">
        <v>899</v>
      </c>
      <c r="L97" s="34" t="str">
        <f>IF(VLOOKUP(J97,find_replace!H:H,1,"false")=J97,"TRUE","FALSE")</f>
        <v>TRUE</v>
      </c>
      <c r="M97" s="73" t="s">
        <v>990</v>
      </c>
      <c r="N97" s="73" t="s">
        <v>873</v>
      </c>
      <c r="O97" s="60" t="str">
        <f t="shared" si="5"/>
        <v xml:space="preserve">    term_mod_is: "Instantaneous sampling (IS) model (Moeller et al., 2018)"</v>
      </c>
      <c r="P97" s="39" t="str">
        <f t="shared" si="6"/>
        <v xml:space="preserve">    def_mod_is: "A method used to estimate abundance or [density](#density) from time-lapse images from randomly deployed cameras; the number of unique individuals (the count) is needed ({{ rtxt_moeller_et_al_2018 }})."</v>
      </c>
      <c r="Q97" s="40"/>
      <c r="R97" s="74" t="s">
        <v>51</v>
      </c>
      <c r="S97" s="75" t="b">
        <v>0</v>
      </c>
      <c r="T97" s="77" t="b">
        <v>1</v>
      </c>
      <c r="U97" s="76" t="s">
        <v>895</v>
      </c>
      <c r="V97" t="s">
        <v>896</v>
      </c>
      <c r="W97" s="13" t="s">
        <v>1816</v>
      </c>
      <c r="X97" t="s">
        <v>4081</v>
      </c>
      <c r="Y97" t="str">
        <f t="shared" si="7"/>
        <v xml:space="preserve">    mod_is_ti: "&lt;a href=\"09_glossary.html#mod_is\" target=\"_blank\" data-bs-toggle=\"tooltip\" data-bs-title=\"Instantaneous sampling (IS) model (Moeller et al., 2018): A method used to estimate abundance or [density](#density) from time-lapse images from randomly deployed cameras; the number of unique individuals (the count) is needed ({{ rtxt_moeller_et_al_2018 }}).\"&gt;&lt;button type=\"button\" class=\"btn btn-bd-tip-info-hidden btn-sm position-relative\"&gt;.&lt;span class=\"position-absolute top-0 start-100 translate-middle\"&gt;{{ icon_info }}&lt;/span&gt;&lt;/button&gt;&lt;/a&gt;"</v>
      </c>
    </row>
    <row r="98" spans="1:26" s="2" customFormat="1">
      <c r="A98" s="35"/>
      <c r="B98" s="35"/>
      <c r="C98" s="35" t="s">
        <v>0</v>
      </c>
      <c r="D98" s="73" t="s">
        <v>984</v>
      </c>
      <c r="E98" s="34" t="s">
        <v>561</v>
      </c>
      <c r="F98" s="30"/>
      <c r="G98" s="35" t="s">
        <v>767</v>
      </c>
      <c r="H98" s="30" t="s">
        <v>815</v>
      </c>
      <c r="I98" s="80" t="s">
        <v>562</v>
      </c>
      <c r="J98" s="40" t="str">
        <f t="shared" si="4"/>
        <v>use_intensity</v>
      </c>
      <c r="K98" s="80" t="s">
        <v>561</v>
      </c>
      <c r="L98" s="34" t="str">
        <f>IF(VLOOKUP(J98,find_replace!H:H,1,"false")=J98,"TRUE","FALSE")</f>
        <v>TRUE</v>
      </c>
      <c r="M98" s="87" t="s">
        <v>4116</v>
      </c>
      <c r="N98" s="87" t="s">
        <v>841</v>
      </c>
      <c r="O98" s="60" t="str">
        <f t="shared" si="5"/>
        <v xml:space="preserve">    term_use_intensity: "Intensity of use"</v>
      </c>
      <c r="P98" s="39" t="str">
        <f t="shared" si="6"/>
        <v xml:space="preserve">    def_use_intensity: "The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v>
      </c>
      <c r="Q98" s="35"/>
      <c r="R98" s="35"/>
      <c r="S98" s="35"/>
      <c r="T98" s="35"/>
      <c r="U98" s="76" t="s">
        <v>895</v>
      </c>
      <c r="V98" t="s">
        <v>896</v>
      </c>
      <c r="W98" s="13" t="s">
        <v>1816</v>
      </c>
      <c r="X98" t="s">
        <v>4081</v>
      </c>
      <c r="Y98" t="str">
        <f t="shared" si="7"/>
        <v xml:space="preserve">    use_intensity_ti: "&lt;a href=\"09_glossary.html#use_intensity\" target=\"_blank\" data-bs-toggle=\"tooltip\" data-bs-title=\"Intensity of use: 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2013).\"&gt;&lt;button type=\"button\" class=\"btn btn-bd-tip-info-hidden btn-sm position-relative\"&gt;.&lt;span class=\"position-absolute top-0 start-100 translate-middle\"&gt;{{ icon_info }}&lt;/span&gt;&lt;/button&gt;&lt;/a&gt;"</v>
      </c>
      <c r="Z98"/>
    </row>
    <row r="99" spans="1:26" s="2" customFormat="1">
      <c r="A99" s="35"/>
      <c r="B99" s="35">
        <v>83</v>
      </c>
      <c r="C99" s="35" t="s">
        <v>0</v>
      </c>
      <c r="D99" s="73" t="s">
        <v>984</v>
      </c>
      <c r="E99" s="34" t="s">
        <v>166</v>
      </c>
      <c r="F99" s="30"/>
      <c r="G99" s="35" t="s">
        <v>767</v>
      </c>
      <c r="H99" s="30"/>
      <c r="I99" s="80" t="s">
        <v>562</v>
      </c>
      <c r="J99" s="40" t="str">
        <f t="shared" si="4"/>
        <v>use_intensity</v>
      </c>
      <c r="K99" s="80" t="s">
        <v>166</v>
      </c>
      <c r="L99" s="34" t="str">
        <f>IF(VLOOKUP(J99,find_replace!H:H,1,"false")=J99,"TRUE","FALSE")</f>
        <v>TRUE</v>
      </c>
      <c r="M99" s="87" t="s">
        <v>382</v>
      </c>
      <c r="N99" s="87" t="s">
        <v>382</v>
      </c>
      <c r="O99" s="60" t="str">
        <f t="shared" si="5"/>
        <v xml:space="preserve">    term_use_intensity: "Intensity of use (Keim et al., 2019)"</v>
      </c>
      <c r="P99" s="39" t="str">
        <f t="shared" si="6"/>
        <v xml:space="preserve">    def_use_intensity: "The expected number of use events of a specific resource unit during a unit of time… [which characterizes] how frequently a particular resource unit is used' (Keim et al., 2019). The intensity of use differs from the probability of use (which characterizes 'the probability of at least one use event of that resource unit during a unit of time'; Keim et al., 2019)."</v>
      </c>
      <c r="Q99" s="80"/>
      <c r="R99" s="88" t="s">
        <v>51</v>
      </c>
      <c r="S99" s="88" t="b">
        <v>0</v>
      </c>
      <c r="T99" s="88" t="b">
        <v>1</v>
      </c>
      <c r="U99" s="76" t="s">
        <v>895</v>
      </c>
      <c r="V99" t="s">
        <v>896</v>
      </c>
      <c r="W99" s="13" t="s">
        <v>1816</v>
      </c>
      <c r="X99" t="s">
        <v>4081</v>
      </c>
      <c r="Y99" t="str">
        <f t="shared" si="7"/>
        <v xml:space="preserve">    use_intensity_ti: "&lt;a href=\"09_glossary.html#use_intensity\" target=\"_blank\" data-bs-toggle=\"tooltip\" data-bs-title=\"Intensity of use (Keim et al., 2019): The expected number of use events of a specific resource unit during a unit of time… [which characterizes] how frequently a particular resource unit is used' (Keim et al., 2019). The intensity of use differs from the probability of use (which characterizes 'the probability of at least one use event of that resource unit during a unit of time'; Keim et al., 2019).\"&gt;&lt;button type=\"button\" class=\"btn btn-bd-tip-info-hidden btn-sm position-relative\"&gt;.&lt;span class=\"position-absolute top-0 start-100 translate-middle\"&gt;{{ icon_info }}&lt;/span&gt;&lt;/button&gt;&lt;/a&gt;"</v>
      </c>
    </row>
    <row r="100" spans="1:26" s="2" customFormat="1">
      <c r="A100" s="30"/>
      <c r="B100" s="30">
        <v>84</v>
      </c>
      <c r="C100" s="30" t="s">
        <v>0</v>
      </c>
      <c r="D100" s="73" t="s">
        <v>984</v>
      </c>
      <c r="E100" s="34" t="s">
        <v>165</v>
      </c>
      <c r="F100" s="30"/>
      <c r="G100" s="30" t="s">
        <v>767</v>
      </c>
      <c r="H100" s="30"/>
      <c r="I100" s="40" t="s">
        <v>164</v>
      </c>
      <c r="J100" s="40" t="str">
        <f t="shared" si="4"/>
        <v>inter_detection_interval</v>
      </c>
      <c r="K100" s="34" t="s">
        <v>165</v>
      </c>
      <c r="L100" s="34" t="str">
        <f>IF(VLOOKUP(J100,find_replace!H:H,1,"false")=J100,"TRUE","FALSE")</f>
        <v>TRUE</v>
      </c>
      <c r="M100" s="73" t="s">
        <v>829</v>
      </c>
      <c r="N100" s="73" t="s">
        <v>872</v>
      </c>
      <c r="O100" s="60" t="str">
        <f t="shared" si="5"/>
        <v xml:space="preserve">    term_inter_detection_interval: "Inter-detection interval"</v>
      </c>
      <c r="P100" s="39" t="str">
        <f t="shared" si="6"/>
        <v xml:space="preserve">    def_inter_detection_interval: "A user-defined threshold used to define a single 'detection event' (i.e., independent 'events') for group of images or video clips (e.g., 30 minutes or 1 hour). The threshold should be recorded in the [Survey Design Description](#survey_design_description)."</v>
      </c>
      <c r="Q100" s="40"/>
      <c r="R100" s="74" t="s">
        <v>51</v>
      </c>
      <c r="S100" s="77" t="b">
        <v>1</v>
      </c>
      <c r="T100" s="77" t="b">
        <v>1</v>
      </c>
      <c r="U100" s="76" t="s">
        <v>895</v>
      </c>
      <c r="V100" t="s">
        <v>896</v>
      </c>
      <c r="W100" s="13" t="s">
        <v>1816</v>
      </c>
      <c r="X100" t="s">
        <v>4081</v>
      </c>
      <c r="Y100" t="str">
        <f t="shared" si="7"/>
        <v xml:space="preserve">    inter_detection_interval_ti: "&lt;a href=\"09_glossary.html#inter_detection_interval\" target=\"_blank\" data-bs-toggle=\"tooltip\" data-bs-title=\"Inter-detection interval: A user-defined threshold used to define a single 'detection event' (i.e., independent 'events') for group of images or video clips (e.g., 30 minutes or 1 hour). The threshold should be recorded in the [Survey Design Description](#survey_design_description).\"&gt;&lt;button type=\"button\" class=\"btn btn-bd-tip-info-hidden btn-sm position-relative\"&gt;.&lt;span class=\"position-absolute top-0 start-100 translate-middle\"&gt;{{ icon_info }}&lt;/span&gt;&lt;/button&gt;&lt;/a&gt;"</v>
      </c>
    </row>
    <row r="101" spans="1:26" s="2" customFormat="1">
      <c r="A101" s="30"/>
      <c r="B101" s="30">
        <v>85</v>
      </c>
      <c r="C101" s="30" t="s">
        <v>0</v>
      </c>
      <c r="D101" s="73" t="s">
        <v>984</v>
      </c>
      <c r="E101" s="34" t="s">
        <v>163</v>
      </c>
      <c r="F101" s="30"/>
      <c r="G101" s="30" t="s">
        <v>767</v>
      </c>
      <c r="H101" s="30" t="s">
        <v>4</v>
      </c>
      <c r="I101" s="40" t="s">
        <v>38</v>
      </c>
      <c r="J101" s="40" t="str">
        <f t="shared" si="4"/>
        <v>mod_inventory</v>
      </c>
      <c r="K101" s="34" t="s">
        <v>163</v>
      </c>
      <c r="L101" s="34" t="str">
        <f>IF(VLOOKUP(J101,find_replace!H:H,1,"false")=J101,"TRUE","FALSE")</f>
        <v>TRUE</v>
      </c>
      <c r="M101" s="73" t="s">
        <v>1012</v>
      </c>
      <c r="N101" s="73" t="s">
        <v>871</v>
      </c>
      <c r="O101" s="60" t="str">
        <f t="shared" si="5"/>
        <v xml:space="preserve">    term_mod_inventory: "Inventory"</v>
      </c>
      <c r="P101" s="39" t="str">
        <f t="shared" si="6"/>
        <v xml:space="preserve">    def_mod_inventory: "Rapid assessment [surveys](#survey) to determine what species are present in a given area at a given point in time; there is no attempt made to quantify aspects of communities or populations ({{ rtxt_wearn_gloverkapfer_2017 }})."</v>
      </c>
      <c r="Q101" s="40"/>
      <c r="R101" s="74" t="s">
        <v>51</v>
      </c>
      <c r="S101" s="75" t="b">
        <v>0</v>
      </c>
      <c r="T101" s="77" t="b">
        <v>1</v>
      </c>
      <c r="U101" s="76" t="s">
        <v>895</v>
      </c>
      <c r="V101" t="s">
        <v>896</v>
      </c>
      <c r="W101" s="13" t="s">
        <v>1816</v>
      </c>
      <c r="X101" t="s">
        <v>4081</v>
      </c>
      <c r="Y101" t="str">
        <f t="shared" si="7"/>
        <v xml:space="preserve">    mod_inventory_ti: "&lt;a href=\"09_glossary.html#mod_inventory\" target=\"_blank\" data-bs-toggle=\"tooltip\" data-bs-title=\"Inventory: Rapid assessment [surveys](#survey) to determine what species are present in a given area at a given point in time; there is no attempt made to quantify aspects of communities or populations ({{ rtxt_wearn_gloverkapfer_2017 }}).\"&gt;&lt;button type=\"button\" class=\"btn btn-bd-tip-info-hidden btn-sm position-relative\"&gt;.&lt;span class=\"position-absolute top-0 start-100 translate-middle\"&gt;{{ icon_info }}&lt;/span&gt;&lt;/button&gt;&lt;/a&gt;"</v>
      </c>
    </row>
    <row r="102" spans="1:26" s="2" customFormat="1">
      <c r="A102" s="30"/>
      <c r="B102" s="30">
        <v>86</v>
      </c>
      <c r="C102" s="30" t="s">
        <v>430</v>
      </c>
      <c r="D102" s="73" t="s">
        <v>984</v>
      </c>
      <c r="E102" s="40" t="s">
        <v>282</v>
      </c>
      <c r="F102" s="30" t="s">
        <v>897</v>
      </c>
      <c r="G102" s="30" t="s">
        <v>767</v>
      </c>
      <c r="H102" s="40" t="s">
        <v>1249</v>
      </c>
      <c r="I102" s="40" t="s">
        <v>280</v>
      </c>
      <c r="J102" s="40" t="str">
        <f t="shared" si="4"/>
        <v>age_class_juvenile</v>
      </c>
      <c r="K102" s="40" t="s">
        <v>673</v>
      </c>
      <c r="L102" s="34" t="str">
        <f>IF(VLOOKUP(J102,find_replace!H:H,1,"false")=J102,"TRUE","FALSE")</f>
        <v>TRUE</v>
      </c>
      <c r="M102" s="73" t="s">
        <v>281</v>
      </c>
      <c r="N102" s="73" t="s">
        <v>281</v>
      </c>
      <c r="O102" s="60" t="str">
        <f t="shared" si="5"/>
        <v xml:space="preserve">    term_age_class_juvenile: "Juvenile"</v>
      </c>
      <c r="P102" s="39" t="str">
        <f t="shared" si="6"/>
        <v xml:space="preserve">    def_age_class_juvenile: "Animals in their first summer, with clearly juvenile features (e.g., spots); mammals older than neonates but that still require parental care."</v>
      </c>
      <c r="Q102" s="40"/>
      <c r="R102" s="74" t="s">
        <v>51</v>
      </c>
      <c r="S102" s="77" t="b">
        <v>1</v>
      </c>
      <c r="T102" s="75" t="b">
        <v>0</v>
      </c>
      <c r="U102" s="76" t="s">
        <v>895</v>
      </c>
      <c r="V102" t="s">
        <v>896</v>
      </c>
      <c r="W102" s="13" t="s">
        <v>1816</v>
      </c>
      <c r="X102" t="s">
        <v>4081</v>
      </c>
      <c r="Y102" t="str">
        <f t="shared" si="7"/>
        <v xml:space="preserve">    age_class_juvenile_ti: "&lt;a href=\"09_glossary.html#age_class_juvenile\" target=\"_blank\" data-bs-toggle=\"tooltip\" data-bs-title=\"Juvenile: Animals in their first summer, with clearly juvenile features (e.g., spots); mammals older than neonates but that still require parental care.\"&gt;&lt;button type=\"button\" class=\"btn btn-bd-tip-info-hidden btn-sm position-relative\"&gt;.&lt;span class=\"position-absolute top-0 start-100 translate-middle\"&gt;{{ icon_info }}&lt;/span&gt;&lt;/button&gt;&lt;/a&gt;"</v>
      </c>
    </row>
    <row r="103" spans="1:26" s="2" customFormat="1">
      <c r="A103" s="30"/>
      <c r="B103" s="30">
        <v>87</v>
      </c>
      <c r="C103" s="30" t="s">
        <v>0</v>
      </c>
      <c r="D103" s="73" t="s">
        <v>984</v>
      </c>
      <c r="E103" s="34" t="s">
        <v>520</v>
      </c>
      <c r="F103" s="30"/>
      <c r="G103" s="30" t="s">
        <v>767</v>
      </c>
      <c r="H103" s="30"/>
      <c r="I103" s="40" t="s">
        <v>519</v>
      </c>
      <c r="J103" s="40" t="str">
        <f t="shared" si="4"/>
        <v>kernel_density_estimator</v>
      </c>
      <c r="K103" s="34" t="s">
        <v>520</v>
      </c>
      <c r="L103" s="34" t="str">
        <f>IF(VLOOKUP(J103,find_replace!H:H,1,"false")=J103,"TRUE","FALSE")</f>
        <v>TRUE</v>
      </c>
      <c r="M103" s="73" t="s">
        <v>1001</v>
      </c>
      <c r="N103" s="73" t="s">
        <v>870</v>
      </c>
      <c r="O103" s="60" t="str">
        <f t="shared" si="5"/>
        <v xml:space="preserve">    term_kernel_density_estimator: "Kernel density estimator"</v>
      </c>
      <c r="P103" s="39" t="str">
        <f t="shared" si="6"/>
        <v xml:space="preserve">    def_kernel_density_estimator: "The probability of 'utilization' ({{ rtxt_jennrich_turner_1969 }}); describes the relative probability of use (Powell &amp; Mitchell, 2012)."</v>
      </c>
      <c r="Q103" s="40"/>
      <c r="R103" s="74" t="s">
        <v>51</v>
      </c>
      <c r="S103" s="75" t="b">
        <v>0</v>
      </c>
      <c r="T103" s="77" t="b">
        <v>1</v>
      </c>
      <c r="U103" s="76" t="s">
        <v>895</v>
      </c>
      <c r="V103" t="s">
        <v>896</v>
      </c>
      <c r="W103" s="13" t="s">
        <v>1816</v>
      </c>
      <c r="X103" t="s">
        <v>4081</v>
      </c>
      <c r="Y103" t="str">
        <f t="shared" si="7"/>
        <v xml:space="preserve">    kernel_density_estimator_ti: "&lt;a href=\"09_glossary.html#kernel_density_estimator\" target=\"_blank\" data-bs-toggle=\"tooltip\" data-bs-title=\"Kernel density estimator: The probability of 'utilization' ({{ rtxt_jennrich_turner_1969 }}); describes the relative probability of use (Powell &amp; Mitchell, 2012).\"&gt;&lt;button type=\"button\" class=\"btn btn-bd-tip-info-hidden btn-sm position-relative\"&gt;.&lt;span class=\"position-absolute top-0 start-100 translate-middle\"&gt;{{ icon_info }}&lt;/span&gt;&lt;/button&gt;&lt;/a&gt;"</v>
      </c>
    </row>
    <row r="104" spans="1:26" s="2" customFormat="1">
      <c r="A104" s="30"/>
      <c r="B104" s="30">
        <v>88</v>
      </c>
      <c r="C104" s="30" t="s">
        <v>429</v>
      </c>
      <c r="D104" s="73" t="s">
        <v>984</v>
      </c>
      <c r="E104" s="40" t="s">
        <v>492</v>
      </c>
      <c r="F104" s="30" t="s">
        <v>897</v>
      </c>
      <c r="G104" s="30" t="s">
        <v>767</v>
      </c>
      <c r="H104" s="30" t="s">
        <v>544</v>
      </c>
      <c r="I104" s="40" t="s">
        <v>326</v>
      </c>
      <c r="J104" s="40" t="str">
        <f t="shared" si="4"/>
        <v>key_id</v>
      </c>
      <c r="K104" s="40" t="s">
        <v>750</v>
      </c>
      <c r="L104" s="34" t="str">
        <f>IF(VLOOKUP(J104,find_replace!H:H,1,"false")=J104,"TRUE","FALSE")</f>
        <v>TRUE</v>
      </c>
      <c r="M104" s="73" t="s">
        <v>415</v>
      </c>
      <c r="N104" s="73" t="s">
        <v>415</v>
      </c>
      <c r="O104" s="60" t="str">
        <f t="shared" si="5"/>
        <v xml:space="preserve">    term_key_id: "Key ID"</v>
      </c>
      <c r="P104" s="39" t="str">
        <f t="shared" si="6"/>
        <v xml:space="preserve">    def_key_id: "The unique ID for the specific key or set of keys used to lock*/secure the camera to the post, tree, etc."</v>
      </c>
      <c r="Q104" s="40"/>
      <c r="R104" s="74" t="b">
        <v>0</v>
      </c>
      <c r="S104" s="77" t="b">
        <v>1</v>
      </c>
      <c r="T104" s="77" t="b">
        <v>1</v>
      </c>
      <c r="U104" s="76" t="s">
        <v>895</v>
      </c>
      <c r="V104" t="s">
        <v>896</v>
      </c>
      <c r="W104" s="13" t="s">
        <v>1816</v>
      </c>
      <c r="X104" t="s">
        <v>4081</v>
      </c>
      <c r="Y104" t="str">
        <f t="shared" si="7"/>
        <v xml:space="preserve">    key_id_ti: "&lt;a href=\"09_glossary.html#key_id\" target=\"_blank\" data-bs-toggle=\"tooltip\" data-bs-title=\"Key ID: The unique ID for the specific key or set of keys used to lock*/secure the camera to the post, tree, etc.\"&gt;&lt;button type=\"button\" class=\"btn btn-bd-tip-info-hidden btn-sm position-relative\"&gt;.&lt;span class=\"position-absolute top-0 start-100 translate-middle\"&gt;{{ icon_info }}&lt;/span&gt;&lt;/button&gt;&lt;/a&gt;"</v>
      </c>
    </row>
    <row r="105" spans="1:26" s="2" customFormat="1">
      <c r="A105" s="30"/>
      <c r="B105" s="30">
        <v>89</v>
      </c>
      <c r="C105" s="30" t="s">
        <v>429</v>
      </c>
      <c r="D105" s="73" t="s">
        <v>984</v>
      </c>
      <c r="E105" s="40" t="s">
        <v>4146</v>
      </c>
      <c r="F105" s="30" t="s">
        <v>897</v>
      </c>
      <c r="G105" s="30" t="s">
        <v>767</v>
      </c>
      <c r="H105" s="30" t="s">
        <v>547</v>
      </c>
      <c r="I105" s="40" t="s">
        <v>1222</v>
      </c>
      <c r="J105" s="40" t="str">
        <f t="shared" si="4"/>
        <v>latitude_cam_location</v>
      </c>
      <c r="K105" s="40" t="s">
        <v>703</v>
      </c>
      <c r="L105" s="34" t="str">
        <f>IF(VLOOKUP(J105,find_replace!H:H,1,"false")=J105,"TRUE","FALSE")</f>
        <v>TRUE</v>
      </c>
      <c r="M105" s="73" t="s">
        <v>383</v>
      </c>
      <c r="N105" s="73" t="s">
        <v>383</v>
      </c>
      <c r="O105" s="60" t="str">
        <f t="shared" si="5"/>
        <v xml:space="preserve">    term_latitude_cam_location: "Latitude Camera Location"</v>
      </c>
      <c r="P105" s="39" t="str">
        <f t="shared" si="6"/>
        <v xml:space="preserve">    def_latitude_cam_location: "The latitude of the camera location in decimal degrees to five decimal places (e.g., '53.78136'). Leave blank if recording Northing instead."</v>
      </c>
      <c r="Q105" s="40" t="b">
        <v>1</v>
      </c>
      <c r="R105" s="74" t="b">
        <v>1</v>
      </c>
      <c r="S105" s="77" t="b">
        <v>1</v>
      </c>
      <c r="T105" s="77" t="b">
        <v>1</v>
      </c>
      <c r="U105" s="76" t="s">
        <v>895</v>
      </c>
      <c r="V105" t="s">
        <v>896</v>
      </c>
      <c r="W105" s="13" t="s">
        <v>1816</v>
      </c>
      <c r="X105" t="s">
        <v>4081</v>
      </c>
      <c r="Y105" t="str">
        <f t="shared" si="7"/>
        <v xml:space="preserve">    latitude_cam_location_ti: "&lt;a href=\"09_glossary.html#latitude_cam_location\" target=\"_blank\" data-bs-toggle=\"tooltip\" data-bs-title=\"Latitude Camera Location: The latitude of the camera location in decimal degrees to five decimal places (e.g., '53.78136'). Leave blank if recording Northing instead.\"&gt;&lt;button type=\"button\" class=\"btn btn-bd-tip-info-hidden btn-sm position-relative\"&gt;.&lt;span class=\"position-absolute top-0 start-100 translate-middle\"&gt;{{ icon_info }}&lt;/span&gt;&lt;/button&gt;&lt;/a&gt;"</v>
      </c>
    </row>
    <row r="106" spans="1:26" s="2" customFormat="1">
      <c r="A106" s="30"/>
      <c r="B106" s="30">
        <v>90</v>
      </c>
      <c r="C106" s="30" t="s">
        <v>429</v>
      </c>
      <c r="D106" s="73" t="s">
        <v>984</v>
      </c>
      <c r="E106" s="40" t="s">
        <v>4147</v>
      </c>
      <c r="F106" s="30" t="s">
        <v>897</v>
      </c>
      <c r="G106" s="30" t="s">
        <v>767</v>
      </c>
      <c r="H106" s="30" t="s">
        <v>547</v>
      </c>
      <c r="I106" s="40" t="s">
        <v>1223</v>
      </c>
      <c r="J106" s="40" t="str">
        <f t="shared" si="4"/>
        <v>longitude_cam_location</v>
      </c>
      <c r="K106" s="40" t="s">
        <v>704</v>
      </c>
      <c r="L106" s="34" t="str">
        <f>IF(VLOOKUP(J106,find_replace!H:H,1,"false")=J106,"TRUE","FALSE")</f>
        <v>TRUE</v>
      </c>
      <c r="M106" s="73" t="s">
        <v>384</v>
      </c>
      <c r="N106" s="73" t="s">
        <v>384</v>
      </c>
      <c r="O106" s="60" t="str">
        <f t="shared" si="5"/>
        <v xml:space="preserve">    term_longitude_cam_location: "Longitude Camera Location"</v>
      </c>
      <c r="P106" s="39" t="str">
        <f t="shared" si="6"/>
        <v xml:space="preserve">    def_longitude_cam_location: "The longitude of the camera location in decimal degrees to five decimal places (e.g., '-113.46067'). Leave blank if recording Easting instead."</v>
      </c>
      <c r="Q106" s="40" t="b">
        <v>1</v>
      </c>
      <c r="R106" s="74" t="b">
        <v>1</v>
      </c>
      <c r="S106" s="77" t="b">
        <v>1</v>
      </c>
      <c r="T106" s="77" t="b">
        <v>1</v>
      </c>
      <c r="U106" s="76" t="s">
        <v>895</v>
      </c>
      <c r="V106" t="s">
        <v>896</v>
      </c>
      <c r="W106" s="13" t="s">
        <v>1816</v>
      </c>
      <c r="X106" t="s">
        <v>4081</v>
      </c>
      <c r="Y106" t="str">
        <f t="shared" si="7"/>
        <v xml:space="preserve">    longitude_cam_location_ti: "&lt;a href=\"09_glossary.html#longitude_cam_location\" target=\"_blank\" data-bs-toggle=\"tooltip\" data-bs-title=\"Longitude Camera Location: The longitude of the camera location in decimal degrees to five decimal places (e.g., '-113.46067'). Leave blank if recording Easting instead.\"&gt;&lt;button type=\"button\" class=\"btn btn-bd-tip-info-hidden btn-sm position-relative\"&gt;.&lt;span class=\"position-absolute top-0 start-100 translate-middle\"&gt;{{ icon_info }}&lt;/span&gt;&lt;/button&gt;&lt;/a&gt;"</v>
      </c>
    </row>
    <row r="107" spans="1:26" s="2" customFormat="1">
      <c r="A107" s="30"/>
      <c r="B107" s="30">
        <v>91</v>
      </c>
      <c r="C107" s="30" t="s">
        <v>0</v>
      </c>
      <c r="D107" s="73" t="s">
        <v>984</v>
      </c>
      <c r="E107" s="34" t="s">
        <v>162</v>
      </c>
      <c r="F107" s="30"/>
      <c r="G107" s="30" t="s">
        <v>767</v>
      </c>
      <c r="H107" s="30" t="s">
        <v>539</v>
      </c>
      <c r="I107" s="40" t="s">
        <v>161</v>
      </c>
      <c r="J107" s="40" t="str">
        <f t="shared" si="4"/>
        <v>baitlure_lure</v>
      </c>
      <c r="K107" s="34" t="s">
        <v>162</v>
      </c>
      <c r="L107" s="34" t="str">
        <f>IF(VLOOKUP(J107,find_replace!H:H,1,"false")=J107,"TRUE","FALSE")</f>
        <v>TRUE</v>
      </c>
      <c r="M107" s="73" t="s">
        <v>1011</v>
      </c>
      <c r="N107" s="73" t="s">
        <v>874</v>
      </c>
      <c r="O107" s="60" t="str">
        <f t="shared" si="5"/>
        <v xml:space="preserve">    term_baitlure_lure: "Lure"</v>
      </c>
      <c r="P107" s="39" t="str">
        <f t="shared" si="6"/>
        <v xml:space="preserve">    def_baitlure_lure: "Any substance that draws animals closer; lures include scent (olfactory) lure, visual lure and audible lure ({{ rtxt_schlexer_2008 }})."</v>
      </c>
      <c r="Q107" s="40"/>
      <c r="R107" s="74" t="s">
        <v>51</v>
      </c>
      <c r="S107" s="77" t="b">
        <v>1</v>
      </c>
      <c r="T107" s="77" t="b">
        <v>1</v>
      </c>
      <c r="U107" s="76" t="s">
        <v>895</v>
      </c>
      <c r="V107" t="s">
        <v>896</v>
      </c>
      <c r="W107" s="13" t="s">
        <v>1816</v>
      </c>
      <c r="X107" t="s">
        <v>4081</v>
      </c>
      <c r="Y107" t="str">
        <f t="shared" si="7"/>
        <v xml:space="preserve">    baitlure_lure_ti: "&lt;a href=\"09_glossary.html#baitlure_lure\" target=\"_blank\" data-bs-toggle=\"tooltip\" data-bs-title=\"Lure: Any substance that draws animals closer; lures include scent (olfactory) lure, visual lure and audible lure ({{ rtxt_schlexer_2008 }}).\"&gt;&lt;button type=\"button\" class=\"btn btn-bd-tip-info-hidden btn-sm position-relative\"&gt;.&lt;span class=\"position-absolute top-0 start-100 translate-middle\"&gt;{{ icon_info }}&lt;/span&gt;&lt;/button&gt;&lt;/a&gt;"</v>
      </c>
    </row>
    <row r="108" spans="1:26">
      <c r="A108" s="30"/>
      <c r="B108" s="30">
        <v>92</v>
      </c>
      <c r="C108" s="30" t="s">
        <v>0</v>
      </c>
      <c r="D108" s="73" t="s">
        <v>984</v>
      </c>
      <c r="E108" s="34" t="s">
        <v>730</v>
      </c>
      <c r="F108" s="30"/>
      <c r="G108" s="30" t="s">
        <v>767</v>
      </c>
      <c r="H108" s="40" t="s">
        <v>817</v>
      </c>
      <c r="I108" s="40" t="s">
        <v>159</v>
      </c>
      <c r="J108" s="40" t="str">
        <f t="shared" si="4"/>
        <v>typeid_marked</v>
      </c>
      <c r="K108" s="34" t="s">
        <v>1436</v>
      </c>
      <c r="L108" s="34" t="str">
        <f>IF(VLOOKUP(J108,find_replace!H:H,1,"false")=J108,"TRUE","FALSE")</f>
        <v>TRUE</v>
      </c>
      <c r="M108" s="73" t="s">
        <v>160</v>
      </c>
      <c r="N108" s="73" t="s">
        <v>160</v>
      </c>
      <c r="O108" s="60" t="str">
        <f t="shared" si="5"/>
        <v xml:space="preserve">    term_typeid_marked: "Marked individuals / populations / species"</v>
      </c>
      <c r="P108" s="39" t="str">
        <f t="shared" si="6"/>
        <v xml:space="preserve">    def_typeid_marked: "Individuals, populations, or species (varies with modelling approach and context) that can be identified using natural or artificial markings (e.g., coat patterns, scars, tags, collars)."</v>
      </c>
      <c r="Q108" s="40"/>
      <c r="R108" s="74" t="s">
        <v>51</v>
      </c>
      <c r="S108" s="75" t="b">
        <v>0</v>
      </c>
      <c r="T108" s="77" t="b">
        <v>1</v>
      </c>
      <c r="U108" s="76" t="s">
        <v>895</v>
      </c>
      <c r="V108" t="s">
        <v>896</v>
      </c>
      <c r="W108" s="13" t="s">
        <v>1816</v>
      </c>
      <c r="X108" t="s">
        <v>4081</v>
      </c>
      <c r="Y108" t="str">
        <f t="shared" si="7"/>
        <v xml:space="preserve">    typeid_marked_ti: "&lt;a href=\"09_glossary.html#typeid_marked\" target=\"_blank\" data-bs-toggle=\"tooltip\" data-bs-title=\"Marked individuals / populations / species: Individuals, populations, or species (varies with modelling approach and context) that can be identified using natural or artificial markings (e.g., coat patterns, scars, tags, collars).\"&gt;&lt;button type=\"button\" class=\"btn btn-bd-tip-info-hidden btn-sm position-relative\"&gt;.&lt;span class=\"position-absolute top-0 start-100 translate-middle\"&gt;{{ icon_info }}&lt;/span&gt;&lt;/button&gt;&lt;/a&gt;"</v>
      </c>
      <c r="Z108" s="2"/>
    </row>
    <row r="109" spans="1:26">
      <c r="A109" s="30"/>
      <c r="B109" s="30">
        <v>93</v>
      </c>
      <c r="C109" s="30" t="s">
        <v>0</v>
      </c>
      <c r="D109" s="73" t="s">
        <v>984</v>
      </c>
      <c r="E109" s="34" t="s">
        <v>158</v>
      </c>
      <c r="F109" s="30" t="s">
        <v>897</v>
      </c>
      <c r="G109" s="30" t="s">
        <v>767</v>
      </c>
      <c r="H109" s="30" t="s">
        <v>4</v>
      </c>
      <c r="I109" s="40" t="s">
        <v>27</v>
      </c>
      <c r="J109" s="40" t="str">
        <f t="shared" si="4"/>
        <v>mod_mr</v>
      </c>
      <c r="K109" s="34" t="s">
        <v>158</v>
      </c>
      <c r="L109" s="34" t="str">
        <f>IF(VLOOKUP(J109,find_replace!H:H,1,"false")=J109,"TRUE","FALSE")</f>
        <v>TRUE</v>
      </c>
      <c r="M109" s="73" t="s">
        <v>989</v>
      </c>
      <c r="N109" s="73" t="s">
        <v>849</v>
      </c>
      <c r="O109" s="60" t="str">
        <f t="shared" si="5"/>
        <v xml:space="preserve">    term_mod_mr: "Mark-resight (MR) model (Arnason et al., 1991; McClintock et al., 2009)"</v>
      </c>
      <c r="P109" s="39" t="str">
        <f t="shared" si="6"/>
        <v xml:space="preserve">    def_mod_mr: "A method used to estimate the abundance of partially marked populations using the number of marked individuals, the number of unmarked individuals, and the detection probability from marked animals ({{ rtxt_wearn_gloverkapfer_2017 }}). MR is similar to capture-recapture (CR; Karanth, 1995; Karanth &amp; Nichols, 1998) models, except only a portion of animals are individually identified."</v>
      </c>
      <c r="Q109" s="40"/>
      <c r="R109" s="74" t="s">
        <v>51</v>
      </c>
      <c r="S109" s="75" t="b">
        <v>0</v>
      </c>
      <c r="T109" s="77" t="b">
        <v>1</v>
      </c>
      <c r="U109" s="76" t="s">
        <v>895</v>
      </c>
      <c r="V109" t="s">
        <v>896</v>
      </c>
      <c r="W109" s="13" t="s">
        <v>1816</v>
      </c>
      <c r="X109" t="s">
        <v>4081</v>
      </c>
      <c r="Y109" t="str">
        <f t="shared" si="7"/>
        <v xml:space="preserve">    mod_mr_ti: "&lt;a href=\"09_glossary.html#mod_mr\" target=\"_blank\" data-bs-toggle=\"tooltip\" data-bs-title=\"Mark-resight (MR) model (Arnason et al., 1991; McClintock et al., 2009): A method used to estimate the abundance of partially marked populations using the number of marked individuals, the number of unmarked individuals, and the detection probability from marked animals ({{ rtxt_wearn_gloverkapfer_2017 }}). MR is similar to capture-recapture (CR; Karanth, 1995; Karanth &amp; Nichols, 1998) models, except only a portion of animals are individually identified.\"&gt;&lt;button type=\"button\" class=\"btn btn-bd-tip-info-hidden btn-sm position-relative\"&gt;.&lt;span class=\"position-absolute top-0 start-100 translate-middle\"&gt;{{ icon_info }}&lt;/span&gt;&lt;/button&gt;&lt;/a&gt;"</v>
      </c>
    </row>
    <row r="110" spans="1:26">
      <c r="A110" s="30"/>
      <c r="B110" s="30">
        <v>94</v>
      </c>
      <c r="C110" s="30" t="s">
        <v>0</v>
      </c>
      <c r="D110" s="73" t="s">
        <v>984</v>
      </c>
      <c r="E110" s="34" t="s">
        <v>157</v>
      </c>
      <c r="F110" s="35"/>
      <c r="G110" s="30" t="s">
        <v>767</v>
      </c>
      <c r="H110" s="30"/>
      <c r="I110" s="40" t="s">
        <v>155</v>
      </c>
      <c r="J110" s="40" t="str">
        <f t="shared" si="4"/>
        <v>metadata</v>
      </c>
      <c r="K110" s="34" t="s">
        <v>157</v>
      </c>
      <c r="L110" s="34" t="str">
        <f>IF(VLOOKUP(J110,find_replace!H:H,1,"false")=J110,"TRUE","FALSE")</f>
        <v>TRUE</v>
      </c>
      <c r="M110" s="73" t="s">
        <v>156</v>
      </c>
      <c r="N110" s="73" t="s">
        <v>156</v>
      </c>
      <c r="O110" s="60" t="str">
        <f t="shared" si="5"/>
        <v xml:space="preserve">    term_metadata: "Metadata"</v>
      </c>
      <c r="P110" s="39" t="str">
        <f t="shared" si="6"/>
        <v xml:space="preserve">    def_metadata: "Data that provides information about other data (e.g., the number of images on an SD card)."</v>
      </c>
      <c r="Q110" s="40"/>
      <c r="R110" s="74" t="s">
        <v>51</v>
      </c>
      <c r="S110" s="77" t="b">
        <v>1</v>
      </c>
      <c r="T110" s="77" t="b">
        <v>1</v>
      </c>
      <c r="U110" s="76" t="s">
        <v>895</v>
      </c>
      <c r="V110" t="s">
        <v>896</v>
      </c>
      <c r="W110" s="13" t="s">
        <v>1816</v>
      </c>
      <c r="X110" t="s">
        <v>4081</v>
      </c>
      <c r="Y110" t="str">
        <f t="shared" si="7"/>
        <v xml:space="preserve">    metadata_ti: "&lt;a href=\"09_glossary.html#metadata\" target=\"_blank\" data-bs-toggle=\"tooltip\" data-bs-title=\"Metadata: Data that provides information about other data (e.g., the number of images on an SD card).\"&gt;&lt;button type=\"button\" class=\"btn btn-bd-tip-info-hidden btn-sm position-relative\"&gt;.&lt;span class=\"position-absolute top-0 start-100 translate-middle\"&gt;{{ icon_info }}&lt;/span&gt;&lt;/button&gt;&lt;/a&gt;"</v>
      </c>
    </row>
    <row r="111" spans="1:26">
      <c r="A111" s="30"/>
      <c r="B111" s="30">
        <v>95</v>
      </c>
      <c r="C111" s="30" t="s">
        <v>0</v>
      </c>
      <c r="D111" s="73" t="s">
        <v>984</v>
      </c>
      <c r="E111" s="34" t="s">
        <v>154</v>
      </c>
      <c r="F111" s="30"/>
      <c r="G111" s="30" t="s">
        <v>767</v>
      </c>
      <c r="H111" s="30" t="s">
        <v>4</v>
      </c>
      <c r="I111" s="40" t="s">
        <v>1372</v>
      </c>
      <c r="J111" s="40" t="str">
        <f t="shared" si="4"/>
        <v>mod_assumption</v>
      </c>
      <c r="K111" s="34" t="s">
        <v>154</v>
      </c>
      <c r="L111" s="34" t="str">
        <f>IF(VLOOKUP(J111,find_replace!H:H,1,"false")=J111,"TRUE","FALSE")</f>
        <v>TRUE</v>
      </c>
      <c r="M111" s="73" t="s">
        <v>416</v>
      </c>
      <c r="N111" s="73" t="s">
        <v>416</v>
      </c>
      <c r="O111" s="60" t="str">
        <f t="shared" si="5"/>
        <v xml:space="preserve">    term_mod_assumption: "Model assumption"</v>
      </c>
      <c r="P111" s="39" t="str">
        <f t="shared" si="6"/>
        <v xml:space="preserve">    def_mod_assumption: "Explicitly stated (or implicitly premised) conventions, choices and other specifications (e.g., about the data, wildlife ecology*/behaviour, the relationships between variables, etc.) on which a particular modelling approach is based that allows the model to provide valid inference."</v>
      </c>
      <c r="Q111" s="40"/>
      <c r="R111" s="74" t="s">
        <v>51</v>
      </c>
      <c r="S111" s="75" t="b">
        <v>0</v>
      </c>
      <c r="T111" s="77" t="b">
        <v>1</v>
      </c>
      <c r="U111" s="76" t="s">
        <v>895</v>
      </c>
      <c r="V111" t="s">
        <v>896</v>
      </c>
      <c r="W111" s="13" t="s">
        <v>1816</v>
      </c>
      <c r="X111" t="s">
        <v>4081</v>
      </c>
      <c r="Y111" t="str">
        <f t="shared" si="7"/>
        <v xml:space="preserve">    mod_assumption_ti: "&lt;a href=\"09_glossary.html#mod_assumption\" target=\"_blank\" data-bs-toggle=\"tooltip\" data-bs-title=\"Model assumption: Explicitly stated (or implicitly premised) conventions, choices and other specifications (e.g., about the data, wildlife ecology*/behaviour, the relationships between variables, etc.) on which a particular modelling approach is based that allows the model to provide valid inference.\"&gt;&lt;button type=\"button\" class=\"btn btn-bd-tip-info-hidden btn-sm position-relative\"&gt;.&lt;span class=\"position-absolute top-0 start-100 translate-middle\"&gt;{{ icon_info }}&lt;/span&gt;&lt;/button&gt;&lt;/a&gt;"</v>
      </c>
    </row>
    <row r="112" spans="1:26">
      <c r="A112" s="30"/>
      <c r="B112" s="30">
        <v>96</v>
      </c>
      <c r="C112" s="30" t="s">
        <v>0</v>
      </c>
      <c r="D112" s="73" t="s">
        <v>984</v>
      </c>
      <c r="E112" s="34" t="s">
        <v>153</v>
      </c>
      <c r="F112" s="30"/>
      <c r="G112" s="30" t="s">
        <v>767</v>
      </c>
      <c r="H112" s="30" t="s">
        <v>4</v>
      </c>
      <c r="I112" s="40" t="s">
        <v>1371</v>
      </c>
      <c r="J112" s="40" t="str">
        <f t="shared" si="4"/>
        <v>mod_approach</v>
      </c>
      <c r="K112" s="34" t="s">
        <v>153</v>
      </c>
      <c r="L112" s="34" t="str">
        <f>IF(VLOOKUP(J112,find_replace!H:H,1,"false")=J112,"TRUE","FALSE")</f>
        <v>TRUE</v>
      </c>
      <c r="M112" s="73" t="s">
        <v>819</v>
      </c>
      <c r="N112" s="73" t="s">
        <v>860</v>
      </c>
      <c r="O112" s="60" t="str">
        <f t="shared" si="5"/>
        <v xml:space="preserve">    term_mod_approach: "Modelling approach"</v>
      </c>
      <c r="P112" s="39" t="str">
        <f t="shared" si="6"/>
        <v xml:space="preserve">    def_mod_approach: "The method used to analyze the camera data, which should depend on the state variable, e.g., occupancy models [MacKenzie et al., 2002], spatially explicit capture recapture (SECR) for [density](#density) estimation [Chandler &amp; Royle, 2013], etc. and the Target Species."</v>
      </c>
      <c r="Q112" s="40"/>
      <c r="R112" s="74" t="s">
        <v>51</v>
      </c>
      <c r="S112" s="77" t="b">
        <v>1</v>
      </c>
      <c r="T112" s="77" t="b">
        <v>1</v>
      </c>
      <c r="U112" s="76" t="s">
        <v>895</v>
      </c>
      <c r="V112" t="s">
        <v>896</v>
      </c>
      <c r="W112" s="13" t="s">
        <v>1816</v>
      </c>
      <c r="X112" t="s">
        <v>4081</v>
      </c>
      <c r="Y112" t="str">
        <f t="shared" si="7"/>
        <v xml:space="preserve">    mod_approach_ti: "&lt;a href=\"09_glossary.html#mod_approach\" target=\"_blank\" data-bs-toggle=\"tooltip\" data-bs-title=\"Modelling approach: The method used to analyze the camera data, which should depend on the state variable, e.g., occupancy models [MacKenzie et al., 2002], spatially explicit capture recapture (SECR) for [density](#density) estimation [Chandler &amp; Royle, 2013], etc. and the Target Species.\"&gt;&lt;button type=\"button\" class=\"btn btn-bd-tip-info-hidden btn-sm position-relative\"&gt;.&lt;span class=\"position-absolute top-0 start-100 translate-middle\"&gt;{{ icon_info }}&lt;/span&gt;&lt;/button&gt;&lt;/a&gt;"</v>
      </c>
    </row>
    <row r="113" spans="1:25">
      <c r="A113" s="30"/>
      <c r="B113" s="30">
        <v>97</v>
      </c>
      <c r="C113" s="30" t="s">
        <v>429</v>
      </c>
      <c r="D113" s="73" t="s">
        <v>984</v>
      </c>
      <c r="E113" s="40" t="s">
        <v>4157</v>
      </c>
      <c r="F113" s="30" t="s">
        <v>897</v>
      </c>
      <c r="G113" s="30" t="s">
        <v>767</v>
      </c>
      <c r="H113" s="30" t="s">
        <v>546</v>
      </c>
      <c r="I113" s="40" t="s">
        <v>1265</v>
      </c>
      <c r="J113" s="40" t="str">
        <f t="shared" si="4"/>
        <v>settings_motion_img_interval</v>
      </c>
      <c r="K113" s="40" t="s">
        <v>718</v>
      </c>
      <c r="L113" s="34" t="str">
        <f>IF(VLOOKUP(J113,find_replace!H:H,1,"false")=J113,"TRUE","FALSE")</f>
        <v>TRUE</v>
      </c>
      <c r="M113" s="73" t="s">
        <v>399</v>
      </c>
      <c r="N113" s="73" t="s">
        <v>399</v>
      </c>
      <c r="O113" s="60" t="str">
        <f t="shared" si="5"/>
        <v xml:space="preserve">    term_settings_motion_img_interval: "Motion Image Interval (seconds)"</v>
      </c>
      <c r="P113" s="39" t="str">
        <f t="shared" si="6"/>
        <v xml:space="preserve">    def_settings_motion_img_interval: "The time (in seconds) between images within a multi-image sequence that occur due to motion, heat, or activation of external detector devices. The Motion Image Interval is pre-set in the camera’s settings by the user, but the time at which the camera collects images because of this setting is influenced by the presence of movement or heat. For example, if the camera was set to take 3 images per event at a Motion Image Interval of 3 seconds when the camera detects motion or heat, the first image will be collected (e.g., at 09:00:00), the second image will be collected 3 seconds later (09:00:03), and the third will be collected 3 seconds after that (09:00:06).  &lt;br&gt; &lt;br&gt; This setting differs from the Quiet Period in that the delay occurs between images contained within a multi-image sequence, rather than between multi-image sequences (as in Quiet Period). If a Motion Image Interval was not set, enter '0' seconds (i.e., instantaneous)."</v>
      </c>
      <c r="Q113" s="40" t="b">
        <v>1</v>
      </c>
      <c r="R113" s="74" t="b">
        <v>1</v>
      </c>
      <c r="S113" s="77" t="b">
        <v>1</v>
      </c>
      <c r="T113" s="77" t="b">
        <v>1</v>
      </c>
      <c r="U113" s="76" t="s">
        <v>895</v>
      </c>
      <c r="V113" t="s">
        <v>896</v>
      </c>
      <c r="W113" s="13" t="s">
        <v>1816</v>
      </c>
      <c r="X113" t="s">
        <v>4081</v>
      </c>
      <c r="Y113" t="str">
        <f t="shared" si="7"/>
        <v xml:space="preserve">    settings_motion_img_interval_ti: "&lt;a href=\"09_glossary.html#settings_motion_img_interval\" target=\"_blank\" data-bs-toggle=\"tooltip\" data-bs-title=\"Motion Image Interval (seconds): The time (in seconds) between images within a multi-image sequence that occur due to motion, heat, or activation of external detector devices. The Motion Image Interval is pre-set in the camera’s settings by the user, but the time at which the camera collects images because of this setting is influenced by the presence of movement or heat. For example, if the camera was set to take 3 images per event at a Motion Image Interval of 3 seconds when the camera detects motion or heat, the first image will be collected (e.g., at 09:00:00), the second image will be collected 3 seconds later (09:00:03), and the third will be collected 3 seconds after that (09:00:06).  &lt;br&gt; &lt;br&gt; This setting differs from the Quiet Period in that the delay occurs between images contained within a multi-image sequence, rather than between multi-image sequences (as in Quiet Period). If a Motion Image Interval was not set, enter '0' seconds (i.e., instantaneous).\"&gt;&lt;button type=\"button\" class=\"btn btn-bd-tip-info-hidden btn-sm position-relative\"&gt;.&lt;span class=\"position-absolute top-0 start-100 translate-middle\"&gt;{{ icon_info }}&lt;/span&gt;&lt;/button&gt;&lt;/a&gt;"</v>
      </c>
    </row>
    <row r="114" spans="1:25">
      <c r="A114" s="30"/>
      <c r="B114" s="30">
        <v>98</v>
      </c>
      <c r="C114" s="30" t="s">
        <v>0</v>
      </c>
      <c r="D114" s="73" t="s">
        <v>984</v>
      </c>
      <c r="E114" s="34" t="s">
        <v>152</v>
      </c>
      <c r="F114" s="30" t="s">
        <v>897</v>
      </c>
      <c r="G114" s="30" t="s">
        <v>767</v>
      </c>
      <c r="H114" s="30" t="s">
        <v>4</v>
      </c>
      <c r="I114" s="40" t="s">
        <v>449</v>
      </c>
      <c r="J114" s="40" t="str">
        <f t="shared" si="4"/>
        <v>mod_rai_nb</v>
      </c>
      <c r="K114" s="34" t="s">
        <v>152</v>
      </c>
      <c r="L114" s="34" t="str">
        <f>IF(VLOOKUP(J114,find_replace!H:H,1,"false")=J114,"TRUE","FALSE")</f>
        <v>TRUE</v>
      </c>
      <c r="M114" s="73" t="s">
        <v>151</v>
      </c>
      <c r="N114" s="73" t="s">
        <v>151</v>
      </c>
      <c r="O114" s="60" t="str">
        <f t="shared" si="5"/>
        <v xml:space="preserve">    term_mod_rai_nb: "Negative binomial (NB) regression (Mullahy, 1986)"</v>
      </c>
      <c r="P114" s="39" t="str">
        <f t="shared" si="6"/>
        <v xml:space="preserve">    def_mod_rai_nb: "A regression model used for count data with overdispersion but without zero-inflation. [relative abundance indices]"</v>
      </c>
      <c r="Q114" s="40"/>
      <c r="R114" s="74" t="s">
        <v>51</v>
      </c>
      <c r="S114" s="75" t="b">
        <v>0</v>
      </c>
      <c r="T114" s="77" t="b">
        <v>1</v>
      </c>
      <c r="U114" s="76" t="s">
        <v>895</v>
      </c>
      <c r="V114" t="s">
        <v>896</v>
      </c>
      <c r="W114" s="13" t="s">
        <v>1816</v>
      </c>
      <c r="X114" t="s">
        <v>4081</v>
      </c>
      <c r="Y114" t="str">
        <f t="shared" si="7"/>
        <v xml:space="preserve">    mod_rai_nb_ti: "&lt;a href=\"09_glossary.html#mod_rai_nb\" target=\"_blank\" data-bs-toggle=\"tooltip\" data-bs-title=\"Negative binomial (NB) regression (Mullahy, 1986): A regression model used for count data with overdispersion but without zero-inflation. [relative abundance indices]\"&gt;&lt;button type=\"button\" class=\"btn btn-bd-tip-info-hidden btn-sm position-relative\"&gt;.&lt;span class=\"position-absolute top-0 start-100 translate-middle\"&gt;{{ icon_info }}&lt;/span&gt;&lt;/button&gt;&lt;/a&gt;"</v>
      </c>
    </row>
    <row r="115" spans="1:25">
      <c r="A115" s="30"/>
      <c r="B115" s="30">
        <v>99</v>
      </c>
      <c r="C115" s="30" t="s">
        <v>429</v>
      </c>
      <c r="D115" s="73" t="s">
        <v>984</v>
      </c>
      <c r="E115" s="40" t="s">
        <v>279</v>
      </c>
      <c r="F115" s="30" t="s">
        <v>897</v>
      </c>
      <c r="G115" s="30" t="s">
        <v>767</v>
      </c>
      <c r="H115" s="30" t="s">
        <v>544</v>
      </c>
      <c r="I115" s="40" t="s">
        <v>351</v>
      </c>
      <c r="J115" s="40" t="str">
        <f t="shared" si="4"/>
        <v>cam_id_new</v>
      </c>
      <c r="K115" s="40" t="s">
        <v>681</v>
      </c>
      <c r="L115" s="34" t="str">
        <f>IF(VLOOKUP(J115,find_replace!H:H,1,"false")=J115,"TRUE","FALSE")</f>
        <v>TRUE</v>
      </c>
      <c r="M115" s="73" t="s">
        <v>984</v>
      </c>
      <c r="N115" s="73" t="s">
        <v>984</v>
      </c>
      <c r="O115" s="60" t="str">
        <f t="shared" si="5"/>
        <v xml:space="preserve">    term_cam_id_new: "New Camera ID"</v>
      </c>
      <c r="P115" s="39" t="str">
        <f t="shared" si="6"/>
        <v>-</v>
      </c>
      <c r="Q115" s="40"/>
      <c r="R115" s="74" t="b">
        <v>1</v>
      </c>
      <c r="S115" s="75" t="b">
        <v>0</v>
      </c>
      <c r="T115" s="75" t="b">
        <v>0</v>
      </c>
      <c r="U115" s="76" t="s">
        <v>895</v>
      </c>
      <c r="V115" t="s">
        <v>896</v>
      </c>
      <c r="W115" s="13" t="s">
        <v>1816</v>
      </c>
      <c r="X115" t="s">
        <v>4081</v>
      </c>
      <c r="Y115" t="str">
        <f t="shared" si="7"/>
        <v>-</v>
      </c>
    </row>
    <row r="116" spans="1:25">
      <c r="A116" s="30"/>
      <c r="B116" s="30">
        <v>100</v>
      </c>
      <c r="C116" s="30" t="s">
        <v>429</v>
      </c>
      <c r="D116" s="73" t="s">
        <v>984</v>
      </c>
      <c r="E116" s="40" t="s">
        <v>278</v>
      </c>
      <c r="F116" s="30" t="s">
        <v>897</v>
      </c>
      <c r="G116" s="30" t="s">
        <v>767</v>
      </c>
      <c r="H116" s="30" t="s">
        <v>544</v>
      </c>
      <c r="I116" s="40" t="s">
        <v>1240</v>
      </c>
      <c r="J116" s="40" t="str">
        <f t="shared" si="4"/>
        <v>cam_make_new</v>
      </c>
      <c r="K116" s="40" t="s">
        <v>685</v>
      </c>
      <c r="L116" s="34" t="str">
        <f>IF(VLOOKUP(J116,find_replace!H:H,1,"false")=J116,"TRUE","FALSE")</f>
        <v>TRUE</v>
      </c>
      <c r="M116" s="73" t="s">
        <v>984</v>
      </c>
      <c r="N116" s="73" t="s">
        <v>984</v>
      </c>
      <c r="O116" s="60" t="str">
        <f t="shared" si="5"/>
        <v xml:space="preserve">    term_cam_make_new: "New Camera Make"</v>
      </c>
      <c r="P116" s="39" t="str">
        <f t="shared" si="6"/>
        <v>-</v>
      </c>
      <c r="Q116" s="40"/>
      <c r="R116" s="74" t="b">
        <v>1</v>
      </c>
      <c r="S116" s="75" t="b">
        <v>0</v>
      </c>
      <c r="T116" s="75" t="b">
        <v>0</v>
      </c>
      <c r="U116" s="76" t="s">
        <v>895</v>
      </c>
      <c r="V116" t="s">
        <v>896</v>
      </c>
      <c r="W116" s="13" t="s">
        <v>1816</v>
      </c>
      <c r="X116" t="s">
        <v>4081</v>
      </c>
      <c r="Y116" t="str">
        <f t="shared" si="7"/>
        <v>-</v>
      </c>
    </row>
    <row r="117" spans="1:25">
      <c r="A117" s="30"/>
      <c r="B117" s="30">
        <v>101</v>
      </c>
      <c r="C117" s="30" t="s">
        <v>429</v>
      </c>
      <c r="D117" s="73" t="s">
        <v>984</v>
      </c>
      <c r="E117" s="40" t="s">
        <v>277</v>
      </c>
      <c r="F117" s="30" t="s">
        <v>897</v>
      </c>
      <c r="G117" s="30" t="s">
        <v>767</v>
      </c>
      <c r="H117" s="30" t="s">
        <v>544</v>
      </c>
      <c r="I117" s="40" t="s">
        <v>1242</v>
      </c>
      <c r="J117" s="40" t="str">
        <f t="shared" si="4"/>
        <v>cam_model_new</v>
      </c>
      <c r="K117" s="40" t="s">
        <v>687</v>
      </c>
      <c r="L117" s="34" t="str">
        <f>IF(VLOOKUP(J117,find_replace!H:H,1,"false")=J117,"TRUE","FALSE")</f>
        <v>TRUE</v>
      </c>
      <c r="M117" s="73" t="s">
        <v>984</v>
      </c>
      <c r="N117" s="73" t="s">
        <v>984</v>
      </c>
      <c r="O117" s="60" t="str">
        <f t="shared" si="5"/>
        <v xml:space="preserve">    term_cam_model_new: "New Camera Model"</v>
      </c>
      <c r="P117" s="39" t="str">
        <f t="shared" si="6"/>
        <v>-</v>
      </c>
      <c r="Q117" s="40"/>
      <c r="R117" s="74" t="b">
        <v>1</v>
      </c>
      <c r="S117" s="75" t="b">
        <v>0</v>
      </c>
      <c r="T117" s="75" t="b">
        <v>0</v>
      </c>
      <c r="U117" s="76" t="s">
        <v>895</v>
      </c>
      <c r="V117" t="s">
        <v>896</v>
      </c>
      <c r="W117" s="13" t="s">
        <v>1816</v>
      </c>
      <c r="X117" t="s">
        <v>4081</v>
      </c>
      <c r="Y117" t="str">
        <f t="shared" si="7"/>
        <v>-</v>
      </c>
    </row>
    <row r="118" spans="1:25">
      <c r="A118" s="30"/>
      <c r="B118" s="30">
        <v>102</v>
      </c>
      <c r="C118" s="30" t="s">
        <v>429</v>
      </c>
      <c r="D118" s="73" t="s">
        <v>984</v>
      </c>
      <c r="E118" s="40" t="s">
        <v>276</v>
      </c>
      <c r="F118" s="30" t="s">
        <v>897</v>
      </c>
      <c r="G118" s="30" t="s">
        <v>767</v>
      </c>
      <c r="H118" s="30" t="s">
        <v>544</v>
      </c>
      <c r="I118" s="40" t="s">
        <v>1244</v>
      </c>
      <c r="J118" s="40" t="str">
        <f t="shared" si="4"/>
        <v>cam_serial_number_new</v>
      </c>
      <c r="K118" s="40" t="s">
        <v>689</v>
      </c>
      <c r="L118" s="34" t="str">
        <f>IF(VLOOKUP(J118,find_replace!H:H,1,"false")=J118,"TRUE","FALSE")</f>
        <v>TRUE</v>
      </c>
      <c r="M118" s="73" t="s">
        <v>984</v>
      </c>
      <c r="N118" s="73" t="s">
        <v>984</v>
      </c>
      <c r="O118" s="60" t="str">
        <f t="shared" si="5"/>
        <v xml:space="preserve">    term_cam_serial_number_new: "New Camera Serial Number"</v>
      </c>
      <c r="P118" s="39" t="str">
        <f t="shared" si="6"/>
        <v>-</v>
      </c>
      <c r="Q118" s="40"/>
      <c r="R118" s="74" t="b">
        <v>1</v>
      </c>
      <c r="S118" s="75" t="b">
        <v>0</v>
      </c>
      <c r="T118" s="75" t="b">
        <v>0</v>
      </c>
      <c r="U118" s="76" t="s">
        <v>895</v>
      </c>
      <c r="V118" t="s">
        <v>896</v>
      </c>
      <c r="W118" s="13" t="s">
        <v>1816</v>
      </c>
      <c r="X118" t="s">
        <v>4081</v>
      </c>
      <c r="Y118" t="str">
        <f t="shared" si="7"/>
        <v>-</v>
      </c>
    </row>
    <row r="119" spans="1:25">
      <c r="A119" s="30"/>
      <c r="B119" s="30">
        <v>103</v>
      </c>
      <c r="C119" s="30" t="s">
        <v>429</v>
      </c>
      <c r="D119" s="73" t="s">
        <v>984</v>
      </c>
      <c r="E119" s="40" t="s">
        <v>556</v>
      </c>
      <c r="F119" s="30" t="s">
        <v>897</v>
      </c>
      <c r="G119" s="30" t="s">
        <v>767</v>
      </c>
      <c r="H119" s="30" t="s">
        <v>544</v>
      </c>
      <c r="I119" s="40" t="s">
        <v>352</v>
      </c>
      <c r="J119" s="40" t="str">
        <f t="shared" si="4"/>
        <v>sd_id_new</v>
      </c>
      <c r="K119" s="40" t="s">
        <v>712</v>
      </c>
      <c r="L119" s="34" t="str">
        <f>IF(VLOOKUP(J119,find_replace!H:H,1,"false")=J119,"TRUE","FALSE")</f>
        <v>TRUE</v>
      </c>
      <c r="M119" s="73" t="s">
        <v>984</v>
      </c>
      <c r="N119" s="73" t="s">
        <v>984</v>
      </c>
      <c r="O119" s="60" t="str">
        <f t="shared" si="5"/>
        <v xml:space="preserve">    term_sd_id_new: "New SD Card ID"</v>
      </c>
      <c r="P119" s="39" t="str">
        <f t="shared" si="6"/>
        <v>-</v>
      </c>
      <c r="Q119" s="40"/>
      <c r="R119" s="74" t="b">
        <v>0</v>
      </c>
      <c r="S119" s="77" t="b">
        <v>1</v>
      </c>
      <c r="T119" s="77" t="b">
        <v>1</v>
      </c>
      <c r="U119" s="76" t="s">
        <v>895</v>
      </c>
      <c r="V119" t="s">
        <v>896</v>
      </c>
      <c r="W119" s="13" t="s">
        <v>1816</v>
      </c>
      <c r="X119" t="s">
        <v>4081</v>
      </c>
      <c r="Y119" t="str">
        <f t="shared" si="7"/>
        <v>-</v>
      </c>
    </row>
    <row r="120" spans="1:25">
      <c r="A120" s="30"/>
      <c r="B120" s="30">
        <v>104</v>
      </c>
      <c r="C120" s="30" t="s">
        <v>0</v>
      </c>
      <c r="D120" s="73" t="s">
        <v>984</v>
      </c>
      <c r="E120" s="40" t="s">
        <v>150</v>
      </c>
      <c r="F120" s="30"/>
      <c r="G120" s="30" t="s">
        <v>767</v>
      </c>
      <c r="H120" s="30" t="s">
        <v>4</v>
      </c>
      <c r="I120" s="40" t="s">
        <v>459</v>
      </c>
      <c r="J120" s="40" t="str">
        <f t="shared" si="4"/>
        <v>mod_n_mixture</v>
      </c>
      <c r="K120" s="40" t="s">
        <v>150</v>
      </c>
      <c r="L120" s="34" t="str">
        <f>IF(VLOOKUP(J120,find_replace!H:H,1,"false")=J120,"TRUE","FALSE")</f>
        <v>TRUE</v>
      </c>
      <c r="M120" s="73" t="s">
        <v>386</v>
      </c>
      <c r="N120" s="73" t="s">
        <v>386</v>
      </c>
      <c r="O120" s="60" t="str">
        <f t="shared" si="5"/>
        <v xml:space="preserve">    term_mod_n_mixture: "N-mixture models"</v>
      </c>
      <c r="P120" s="39" t="str">
        <f t="shared" si="6"/>
        <v xml:space="preserve">    def_mod_n_mixture: "A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v>
      </c>
      <c r="Q120" s="40"/>
      <c r="R120" s="74" t="s">
        <v>51</v>
      </c>
      <c r="S120" s="75" t="b">
        <v>0</v>
      </c>
      <c r="T120" s="77" t="b">
        <v>1</v>
      </c>
      <c r="U120" s="76" t="s">
        <v>895</v>
      </c>
      <c r="V120" t="s">
        <v>896</v>
      </c>
      <c r="W120" s="13" t="s">
        <v>1816</v>
      </c>
      <c r="X120" t="s">
        <v>4081</v>
      </c>
      <c r="Y120" t="str">
        <f t="shared" si="7"/>
        <v xml:space="preserve">    mod_n_mixture_ti: "&lt;a href=\"09_glossary.html#mod_n_mixture\" target=\"_blank\" data-bs-toggle=\"tooltip\" data-bs-title=\"N-mixture models: 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2023]).\"&gt;&lt;button type=\"button\" class=\"btn btn-bd-tip-info-hidden btn-sm position-relative\"&gt;.&lt;span class=\"position-absolute top-0 start-100 translate-middle\"&gt;{{ icon_info }}&lt;/span&gt;&lt;/button&gt;&lt;/a&gt;"</v>
      </c>
    </row>
    <row r="121" spans="1:25">
      <c r="A121" s="30"/>
      <c r="B121" s="30">
        <v>105</v>
      </c>
      <c r="C121" s="30" t="s">
        <v>429</v>
      </c>
      <c r="D121" s="73" t="s">
        <v>984</v>
      </c>
      <c r="E121" s="40" t="s">
        <v>4151</v>
      </c>
      <c r="F121" s="30" t="s">
        <v>897</v>
      </c>
      <c r="G121" s="30" t="s">
        <v>767</v>
      </c>
      <c r="H121" s="30" t="s">
        <v>547</v>
      </c>
      <c r="I121" s="40" t="s">
        <v>1224</v>
      </c>
      <c r="J121" s="40" t="str">
        <f t="shared" si="4"/>
        <v>northing_cam_location</v>
      </c>
      <c r="K121" s="40" t="s">
        <v>705</v>
      </c>
      <c r="L121" s="34" t="str">
        <f>IF(VLOOKUP(J121,find_replace!H:H,1,"false")=J121,"TRUE","FALSE")</f>
        <v>TRUE</v>
      </c>
      <c r="M121" s="73" t="s">
        <v>389</v>
      </c>
      <c r="N121" s="73" t="s">
        <v>389</v>
      </c>
      <c r="O121" s="60" t="str">
        <f t="shared" si="5"/>
        <v xml:space="preserve">    term_northing_cam_location: "Northing Camera Location"</v>
      </c>
      <c r="P121" s="39" t="str">
        <f t="shared" si="6"/>
        <v xml:space="preserve">    def_northing_cam_location: "The northing UTM coordinate of the camera location (e.g., '5962006'). Record using the NAD83 datum. Leave blank if recording the Latitude instead."</v>
      </c>
      <c r="Q121" s="40" t="b">
        <v>1</v>
      </c>
      <c r="R121" s="74" t="b">
        <v>1</v>
      </c>
      <c r="S121" s="77" t="b">
        <v>1</v>
      </c>
      <c r="T121" s="77" t="b">
        <v>1</v>
      </c>
      <c r="U121" s="76" t="s">
        <v>895</v>
      </c>
      <c r="V121" t="s">
        <v>896</v>
      </c>
      <c r="W121" s="13" t="s">
        <v>1816</v>
      </c>
      <c r="X121" t="s">
        <v>4081</v>
      </c>
      <c r="Y121" t="str">
        <f t="shared" si="7"/>
        <v xml:space="preserve">    northing_cam_location_ti: "&lt;a href=\"09_glossary.html#northing_cam_location\" target=\"_blank\" data-bs-toggle=\"tooltip\" data-bs-title=\"Northing Camera Location: The northing UTM coordinate of the camera location (e.g., '5962006'). Record using the NAD83 datum. Leave blank if recording the Latitude instead.\"&gt;&lt;button type=\"button\" class=\"btn btn-bd-tip-info-hidden btn-sm position-relative\"&gt;.&lt;span class=\"position-absolute top-0 start-100 translate-middle\"&gt;{{ icon_info }}&lt;/span&gt;&lt;/button&gt;&lt;/a&gt;"</v>
      </c>
    </row>
    <row r="122" spans="1:25">
      <c r="A122" s="30"/>
      <c r="B122" s="30"/>
      <c r="C122" s="30" t="s">
        <v>0</v>
      </c>
      <c r="D122" s="73" t="s">
        <v>984</v>
      </c>
      <c r="E122" s="30"/>
      <c r="F122" s="30"/>
      <c r="G122" s="30" t="s">
        <v>768</v>
      </c>
      <c r="H122" s="30"/>
      <c r="I122" s="30" t="s">
        <v>1783</v>
      </c>
      <c r="J122" s="40" t="str">
        <f t="shared" si="4"/>
        <v>mod_divers_rich_rich_obs</v>
      </c>
      <c r="K122" s="30" t="s">
        <v>1216</v>
      </c>
      <c r="L122" s="34" t="str">
        <f>IF(VLOOKUP(J122,find_replace!H:H,1,"false")=J122,"TRUE","FALSE")</f>
        <v>TRUE</v>
      </c>
      <c r="M122" s="54" t="s">
        <v>4121</v>
      </c>
      <c r="N122" s="55" t="s">
        <v>1804</v>
      </c>
      <c r="O122" s="60" t="str">
        <f t="shared" si="5"/>
        <v xml:space="preserve">    term_mod_divers_rich_rich_obs: "Observed species richness"</v>
      </c>
      <c r="P122" s="39" t="str">
        <f t="shared" si="6"/>
        <v xml:space="preserve">    def_mod_divers_rich_rich_obs: "The sum of the number of species seen' (e.g. {{ rtxt_kitamura_et_al_2010 }}; {{ rtxt_pettorelli_et_al_2010 }}; {{ rtxt_ahumada_et_al_2011 }}; {{ rtxt_samejima_et_al_2012 }})"</v>
      </c>
      <c r="Q122" s="30"/>
      <c r="R122" s="30"/>
      <c r="S122" s="30"/>
      <c r="T122" s="30"/>
      <c r="U122" s="76" t="s">
        <v>895</v>
      </c>
      <c r="V122" t="s">
        <v>896</v>
      </c>
      <c r="W122" s="13" t="s">
        <v>1816</v>
      </c>
      <c r="X122" t="s">
        <v>4081</v>
      </c>
      <c r="Y122" t="str">
        <f t="shared" si="7"/>
        <v xml:space="preserve">    mod_divers_rich_rich_obs_ti: "&lt;a href=\"09_glossary.html#mod_divers_rich_rich_obs\" target=\"_blank\" data-bs-toggle=\"tooltip\" data-bs-title=\"Observed species richness: The sum of the number of species seen' (e.g. {{ rtxt_kitamura_et_al_2010 }}; {{ rtxt_pettorelli_et_al_2010 }}; {{ rtxt_ahumada_et_al_2011 }}; {{ rtxt_samejima_et_al_2012 }})\"&gt;&lt;button type=\"button\" class=\"btn btn-bd-tip-info-hidden btn-sm position-relative\"&gt;.&lt;span class=\"position-absolute top-0 start-100 translate-middle\"&gt;{{ icon_info }}&lt;/span&gt;&lt;/button&gt;&lt;/a&gt;"</v>
      </c>
    </row>
    <row r="123" spans="1:25">
      <c r="A123" s="30"/>
      <c r="B123" s="30">
        <v>107</v>
      </c>
      <c r="C123" s="30" t="s">
        <v>0</v>
      </c>
      <c r="D123" s="73" t="s">
        <v>984</v>
      </c>
      <c r="E123" s="34" t="s">
        <v>46</v>
      </c>
      <c r="F123" s="30"/>
      <c r="G123" s="30" t="s">
        <v>767</v>
      </c>
      <c r="H123" s="30" t="s">
        <v>40</v>
      </c>
      <c r="I123" s="40" t="s">
        <v>47</v>
      </c>
      <c r="J123" s="40" t="str">
        <f t="shared" si="4"/>
        <v>obj_occupancy</v>
      </c>
      <c r="K123" s="34" t="s">
        <v>46</v>
      </c>
      <c r="L123" s="34" t="str">
        <f>IF(VLOOKUP(J123,find_replace!H:H,1,"false")=J123,"TRUE","FALSE")</f>
        <v>TRUE</v>
      </c>
      <c r="M123" s="73" t="s">
        <v>1010</v>
      </c>
      <c r="N123" s="73" t="s">
        <v>876</v>
      </c>
      <c r="O123" s="60" t="str">
        <f t="shared" si="5"/>
        <v xml:space="preserve">    term_obj_occupancy: "Occupancy"</v>
      </c>
      <c r="P123" s="39" t="str">
        <f t="shared" si="6"/>
        <v xml:space="preserve">    def_obj_occupancy: "The probability a site is occupied by the species ({{ rtxt_mackenzie_et_al_2002 }})."</v>
      </c>
      <c r="Q123" s="40"/>
      <c r="R123" s="74" t="s">
        <v>51</v>
      </c>
      <c r="S123" s="77" t="b">
        <v>1</v>
      </c>
      <c r="T123" s="77" t="b">
        <v>1</v>
      </c>
      <c r="U123" s="76" t="s">
        <v>895</v>
      </c>
      <c r="V123" t="s">
        <v>896</v>
      </c>
      <c r="W123" s="13" t="s">
        <v>1816</v>
      </c>
      <c r="X123" t="s">
        <v>4081</v>
      </c>
      <c r="Y123" t="str">
        <f t="shared" si="7"/>
        <v xml:space="preserve">    obj_occupancy_ti: "&lt;a href=\"09_glossary.html#obj_occupancy\" target=\"_blank\" data-bs-toggle=\"tooltip\" data-bs-title=\"Occupancy: The probability a site is occupied by the species ({{ rtxt_mackenzie_et_al_2002 }}).\"&gt;&lt;button type=\"button\" class=\"btn btn-bd-tip-info-hidden btn-sm position-relative\"&gt;.&lt;span class=\"position-absolute top-0 start-100 translate-middle\"&gt;{{ icon_info }}&lt;/span&gt;&lt;/button&gt;&lt;/a&gt;"</v>
      </c>
    </row>
    <row r="124" spans="1:25">
      <c r="A124" s="31"/>
      <c r="B124" s="31"/>
      <c r="C124" s="31" t="s">
        <v>0</v>
      </c>
      <c r="D124" s="73" t="s">
        <v>1755</v>
      </c>
      <c r="E124" s="31" t="s">
        <v>46</v>
      </c>
      <c r="F124" s="30"/>
      <c r="G124" s="30" t="s">
        <v>767</v>
      </c>
      <c r="H124" s="31" t="s">
        <v>40</v>
      </c>
      <c r="I124" s="31" t="s">
        <v>47</v>
      </c>
      <c r="J124" s="40" t="str">
        <f t="shared" si="4"/>
        <v>obj_occupancy_mod</v>
      </c>
      <c r="K124" s="31" t="s">
        <v>46</v>
      </c>
      <c r="L124" s="34" t="e">
        <f>IF(VLOOKUP(J124,find_replace!H:H,1,"false")=J124,"TRUE","FALSE")</f>
        <v>#N/A</v>
      </c>
      <c r="M124" s="84" t="s">
        <v>1000</v>
      </c>
      <c r="N124" s="84" t="s">
        <v>875</v>
      </c>
      <c r="O124" s="60" t="str">
        <f t="shared" si="5"/>
        <v xml:space="preserve">    term_obj_occupancy_mod: "Occupancy"</v>
      </c>
      <c r="P124" s="39" t="str">
        <f t="shared" si="6"/>
        <v xml:space="preserve">    def_obj_occupancy_mod: "The probability a site is occupied by the species ({{ rtxt_mackenzie_et_al_2002 }}). Occupancy is also highly suitable for evaluating broad-scale patterns of species distribution ({{ rtxt_wearn_gloverkapfer_2017 }})."</v>
      </c>
      <c r="Q124" s="31"/>
      <c r="R124" s="31"/>
      <c r="S124" s="31"/>
      <c r="T124" s="31"/>
      <c r="U124" s="76" t="s">
        <v>895</v>
      </c>
      <c r="V124" t="s">
        <v>896</v>
      </c>
      <c r="W124" s="13" t="s">
        <v>1816</v>
      </c>
      <c r="X124" t="s">
        <v>4081</v>
      </c>
      <c r="Y124" t="str">
        <f t="shared" si="7"/>
        <v xml:space="preserve">    obj_occupancy_mod_ti: "&lt;a href=\"09_glossary.html#obj_occupancy_mod\" target=\"_blank\" data-bs-toggle=\"tooltip\" data-bs-title=\"Occupancy: The probability a site is occupied by the species ({{ rtxt_mackenzie_et_al_2002 }}). Occupancy is also highly suitable for evaluating broad-scale patterns of species distribution ({{ rtxt_wearn_gloverkapfer_2017 }}).\"&gt;&lt;button type=\"button\" class=\"btn btn-bd-tip-info-hidden btn-sm position-relative\"&gt;.&lt;span class=\"position-absolute top-0 start-100 translate-middle\"&gt;{{ icon_info }}&lt;/span&gt;&lt;/button&gt;&lt;/a&gt;"</v>
      </c>
    </row>
    <row r="125" spans="1:25">
      <c r="A125" s="30"/>
      <c r="B125" s="30">
        <v>108</v>
      </c>
      <c r="C125" s="30" t="s">
        <v>0</v>
      </c>
      <c r="D125" s="73" t="s">
        <v>984</v>
      </c>
      <c r="E125" s="34" t="s">
        <v>148</v>
      </c>
      <c r="F125" s="30" t="s">
        <v>897</v>
      </c>
      <c r="G125" s="30" t="s">
        <v>767</v>
      </c>
      <c r="H125" s="30" t="s">
        <v>4</v>
      </c>
      <c r="I125" s="40" t="s">
        <v>34</v>
      </c>
      <c r="J125" s="40" t="str">
        <f t="shared" si="4"/>
        <v>mod_occupancy</v>
      </c>
      <c r="K125" s="34" t="s">
        <v>148</v>
      </c>
      <c r="L125" s="34" t="str">
        <f>IF(VLOOKUP(J125,find_replace!H:H,1,"false")=J125,"TRUE","FALSE")</f>
        <v>TRUE</v>
      </c>
      <c r="M125" s="73" t="s">
        <v>147</v>
      </c>
      <c r="N125" s="73" t="s">
        <v>147</v>
      </c>
      <c r="O125" s="60" t="str">
        <f t="shared" si="5"/>
        <v xml:space="preserve">    term_mod_occupancy: "Occupancy model (MacKenzie et al., 2002)"</v>
      </c>
      <c r="P125" s="39" t="str">
        <f t="shared" si="6"/>
        <v xml:space="preserve">    def_mod_occupancy: "A modelling approach used to account for imperfect detection by first evaluating the detection probability of a species via detection histories (i.e., present or absent) to determine the probability of the true presence or absence of a species at a site (MacKenzie et al., 2002)."</v>
      </c>
      <c r="Q125" s="40"/>
      <c r="R125" s="74" t="s">
        <v>51</v>
      </c>
      <c r="S125" s="75" t="b">
        <v>0</v>
      </c>
      <c r="T125" s="77" t="b">
        <v>1</v>
      </c>
      <c r="U125" s="76" t="s">
        <v>895</v>
      </c>
      <c r="V125" t="s">
        <v>896</v>
      </c>
      <c r="W125" s="13" t="s">
        <v>1816</v>
      </c>
      <c r="X125" t="s">
        <v>4081</v>
      </c>
      <c r="Y125" t="str">
        <f t="shared" si="7"/>
        <v xml:space="preserve">    mod_occupancy_ti: "&lt;a href=\"09_glossary.html#mod_occupancy\" target=\"_blank\" data-bs-toggle=\"tooltip\" data-bs-title=\"Occupancy model (MacKenzie et al., 2002): A modelling approach used to account for imperfect detection by first evaluating the detection probability of a species via detection histories (i.e., present or absent) to determine the probability of the true presence or absence of a species at a site (MacKenzie et al., 2002).\"&gt;&lt;button type=\"button\" class=\"btn btn-bd-tip-info-hidden btn-sm position-relative\"&gt;.&lt;span class=\"position-absolute top-0 start-100 translate-middle\"&gt;{{ icon_info }}&lt;/span&gt;&lt;/button&gt;&lt;/a&gt;"</v>
      </c>
    </row>
    <row r="126" spans="1:25">
      <c r="A126" s="30"/>
      <c r="B126" s="30">
        <v>109</v>
      </c>
      <c r="C126" s="30" t="s">
        <v>0</v>
      </c>
      <c r="D126" s="73" t="s">
        <v>984</v>
      </c>
      <c r="E126" s="40" t="s">
        <v>146</v>
      </c>
      <c r="F126" s="30"/>
      <c r="G126" s="30" t="s">
        <v>767</v>
      </c>
      <c r="H126" s="30" t="s">
        <v>4</v>
      </c>
      <c r="I126" s="40" t="s">
        <v>460</v>
      </c>
      <c r="J126" s="40" t="str">
        <f t="shared" si="4"/>
        <v>mod_overdispersion</v>
      </c>
      <c r="K126" s="40" t="s">
        <v>146</v>
      </c>
      <c r="L126" s="34" t="str">
        <f>IF(VLOOKUP(J126,find_replace!H:H,1,"false")=J126,"TRUE","FALSE")</f>
        <v>TRUE</v>
      </c>
      <c r="M126" s="73" t="s">
        <v>1009</v>
      </c>
      <c r="N126" s="73" t="s">
        <v>877</v>
      </c>
      <c r="O126" s="60" t="str">
        <f t="shared" si="5"/>
        <v xml:space="preserve">    term_mod_overdispersion: "Overdispersion"</v>
      </c>
      <c r="P126" s="39" t="str">
        <f t="shared" si="6"/>
        <v xml:space="preserve">    def_mod_overdispersion: "A variance significantly larger than the mean ({{ rtxt_bliss_fisher_1953 }}); greater variability in a set of data than predicted by the error structure of the model (Harrison et al., 2018); excess variability can be caused by zero inflation, non-independence of counts, or both ({{ rtxt_zurr_et_al_2009 }})."</v>
      </c>
      <c r="Q126" s="40"/>
      <c r="R126" s="74" t="s">
        <v>51</v>
      </c>
      <c r="S126" s="75" t="b">
        <v>0</v>
      </c>
      <c r="T126" s="77" t="b">
        <v>1</v>
      </c>
      <c r="U126" s="76" t="s">
        <v>895</v>
      </c>
      <c r="V126" t="s">
        <v>896</v>
      </c>
      <c r="W126" s="13" t="s">
        <v>1816</v>
      </c>
      <c r="X126" t="s">
        <v>4081</v>
      </c>
      <c r="Y126" t="str">
        <f t="shared" si="7"/>
        <v xml:space="preserve">    mod_overdispersion_ti: "&lt;a href=\"09_glossary.html#mod_overdispersion\" target=\"_blank\" data-bs-toggle=\"tooltip\" data-bs-title=\"Overdispersion: A variance significantly larger than the mean ({{ rtxt_bliss_fisher_1953 }}); greater variability in a set of data than predicted by the error structure of the model (Harrison et al., 2018); excess variability can be caused by zero inflation, non-independence of counts, or both ({{ rtxt_zurr_et_al_2009 }}).\"&gt;&lt;button type=\"button\" class=\"btn btn-bd-tip-info-hidden btn-sm position-relative\"&gt;.&lt;span class=\"position-absolute top-0 start-100 translate-middle\"&gt;{{ icon_info }}&lt;/span&gt;&lt;/button&gt;&lt;/a&gt;"</v>
      </c>
    </row>
    <row r="127" spans="1:25">
      <c r="A127" s="30"/>
      <c r="B127" s="30">
        <v>110</v>
      </c>
      <c r="C127" s="30" t="s">
        <v>0</v>
      </c>
      <c r="D127" s="73" t="s">
        <v>984</v>
      </c>
      <c r="E127" s="34" t="s">
        <v>145</v>
      </c>
      <c r="F127" s="30"/>
      <c r="G127" s="30" t="s">
        <v>767</v>
      </c>
      <c r="H127" s="30" t="s">
        <v>540</v>
      </c>
      <c r="I127" s="40" t="s">
        <v>144</v>
      </c>
      <c r="J127" s="40" t="str">
        <f t="shared" si="4"/>
        <v>sampledesign_paired</v>
      </c>
      <c r="K127" s="34" t="s">
        <v>145</v>
      </c>
      <c r="L127" s="34" t="str">
        <f>IF(VLOOKUP(J127,find_replace!H:H,1,"false")=J127,"TRUE","FALSE")</f>
        <v>TRUE</v>
      </c>
      <c r="M127" s="73" t="s">
        <v>394</v>
      </c>
      <c r="N127" s="73" t="s">
        <v>394</v>
      </c>
      <c r="O127" s="60" t="str">
        <f t="shared" si="5"/>
        <v xml:space="preserve">    term_sampledesign_paired: "Paired design"</v>
      </c>
      <c r="P127" s="39" t="str">
        <f t="shared" si="6"/>
        <v xml:space="preserve">    def_sampledesign_paired: "A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v>
      </c>
      <c r="Q127" s="40"/>
      <c r="R127" s="74" t="s">
        <v>51</v>
      </c>
      <c r="S127" s="77" t="b">
        <v>1</v>
      </c>
      <c r="T127" s="77" t="b">
        <v>1</v>
      </c>
      <c r="U127" s="76" t="s">
        <v>895</v>
      </c>
      <c r="V127" t="s">
        <v>896</v>
      </c>
      <c r="W127" s="13" t="s">
        <v>1816</v>
      </c>
      <c r="X127" t="s">
        <v>4081</v>
      </c>
      <c r="Y127" t="str">
        <f t="shared" si="7"/>
        <v xml:space="preserve">    sampledesign_paired_ti: "&lt;a href=\"09_glossary.html#sampledesign_paired\" target=\"_blank\" data-bs-toggle=\"tooltip\" data-bs-title=\"Paired design: 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systematic).\"&gt;&lt;button type=\"button\" class=\"btn btn-bd-tip-info-hidden btn-sm position-relative\"&gt;.&lt;span class=\"position-absolute top-0 start-100 translate-middle\"&gt;{{ icon_info }}&lt;/span&gt;&lt;/button&gt;&lt;/a&gt;"</v>
      </c>
    </row>
    <row r="128" spans="1:25">
      <c r="A128" s="30"/>
      <c r="B128" s="30">
        <v>111</v>
      </c>
      <c r="C128" s="30" t="s">
        <v>0</v>
      </c>
      <c r="D128" s="73" t="s">
        <v>984</v>
      </c>
      <c r="E128" s="34" t="s">
        <v>731</v>
      </c>
      <c r="F128" s="30"/>
      <c r="G128" s="30" t="s">
        <v>767</v>
      </c>
      <c r="H128" s="40" t="s">
        <v>817</v>
      </c>
      <c r="I128" s="40" t="s">
        <v>143</v>
      </c>
      <c r="J128" s="40" t="str">
        <f t="shared" si="4"/>
        <v>typeid_partially_marked</v>
      </c>
      <c r="K128" s="34" t="s">
        <v>1428</v>
      </c>
      <c r="L128" s="34" t="str">
        <f>IF(VLOOKUP(J128,find_replace!H:H,1,"false")=J128,"TRUE","FALSE")</f>
        <v>TRUE</v>
      </c>
      <c r="M128" s="73" t="s">
        <v>423</v>
      </c>
      <c r="N128" s="73" t="s">
        <v>423</v>
      </c>
      <c r="O128" s="60" t="str">
        <f t="shared" si="5"/>
        <v xml:space="preserve">    term_typeid_partially_marked: "Partially marked individuals / populations / species"</v>
      </c>
      <c r="P128" s="39" t="str">
        <f t="shared" si="6"/>
        <v xml:space="preserve">    def_typeid_partially_marked: "Individuals,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v>
      </c>
      <c r="Q128" s="40"/>
      <c r="R128" s="74" t="s">
        <v>51</v>
      </c>
      <c r="S128" s="75" t="b">
        <v>0</v>
      </c>
      <c r="T128" s="77" t="b">
        <v>1</v>
      </c>
      <c r="U128" s="76" t="s">
        <v>895</v>
      </c>
      <c r="V128" t="s">
        <v>896</v>
      </c>
      <c r="W128" s="13" t="s">
        <v>1816</v>
      </c>
      <c r="X128" t="s">
        <v>4081</v>
      </c>
      <c r="Y128" t="str">
        <f t="shared" si="7"/>
        <v xml:space="preserve">    typeid_partially_marked_ti: "&lt;a href=\"09_glossary.html#typeid_partially_marked\" target=\"_blank\" data-bs-toggle=\"tooltip\" data-bs-title=\"Partially marked individuals / populations / species: 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marked.\"&gt;&lt;button type=\"button\" class=\"btn btn-bd-tip-info-hidden btn-sm position-relative\"&gt;.&lt;span class=\"position-absolute top-0 start-100 translate-middle\"&gt;{{ icon_info }}&lt;/span&gt;&lt;/button&gt;&lt;/a&gt;"</v>
      </c>
    </row>
    <row r="129" spans="1:26">
      <c r="A129" s="30"/>
      <c r="B129" s="30">
        <v>112</v>
      </c>
      <c r="C129" s="30" t="s">
        <v>429</v>
      </c>
      <c r="D129" s="73" t="s">
        <v>984</v>
      </c>
      <c r="E129" s="40" t="s">
        <v>4136</v>
      </c>
      <c r="F129" s="30" t="s">
        <v>897</v>
      </c>
      <c r="G129" s="30" t="s">
        <v>767</v>
      </c>
      <c r="H129" s="30" t="s">
        <v>546</v>
      </c>
      <c r="I129" s="40" t="s">
        <v>274</v>
      </c>
      <c r="J129" s="40" t="str">
        <f t="shared" si="4"/>
        <v>settings_photos_per_trigger</v>
      </c>
      <c r="K129" s="40" t="s">
        <v>719</v>
      </c>
      <c r="L129" s="34" t="str">
        <f>IF(VLOOKUP(J129,find_replace!H:H,1,"false")=J129,"TRUE","FALSE")</f>
        <v>TRUE</v>
      </c>
      <c r="M129" s="73" t="s">
        <v>275</v>
      </c>
      <c r="N129" s="73" t="s">
        <v>275</v>
      </c>
      <c r="O129" s="60" t="str">
        <f t="shared" si="5"/>
        <v xml:space="preserve">    term_settings_photos_per_trigger: "Photos Per Trigger"</v>
      </c>
      <c r="P129" s="39" t="str">
        <f t="shared" si="6"/>
        <v xml:space="preserve">    def_settings_photos_per_trigger: "The camera setting that describes the number of photos taken each time the camera is triggered."</v>
      </c>
      <c r="Q129" s="40"/>
      <c r="R129" s="74" t="b">
        <v>1</v>
      </c>
      <c r="S129" s="77" t="b">
        <v>1</v>
      </c>
      <c r="T129" s="77" t="b">
        <v>1</v>
      </c>
      <c r="U129" s="76" t="s">
        <v>895</v>
      </c>
      <c r="V129" t="s">
        <v>896</v>
      </c>
      <c r="W129" s="13" t="s">
        <v>1816</v>
      </c>
      <c r="X129" t="s">
        <v>4081</v>
      </c>
      <c r="Y129" t="str">
        <f t="shared" si="7"/>
        <v xml:space="preserve">    settings_photos_per_trigger_ti: "&lt;a href=\"09_glossary.html#settings_photos_per_trigger\" target=\"_blank\" data-bs-toggle=\"tooltip\" data-bs-title=\"Photos Per Trigger: The camera setting that describes the number of photos taken each time the camera is triggered.\"&gt;&lt;button type=\"button\" class=\"btn btn-bd-tip-info-hidden btn-sm position-relative\"&gt;.&lt;span class=\"position-absolute top-0 start-100 translate-middle\"&gt;{{ icon_info }}&lt;/span&gt;&lt;/button&gt;&lt;/a&gt;"</v>
      </c>
    </row>
    <row r="130" spans="1:26">
      <c r="A130" s="30"/>
      <c r="B130" s="30">
        <v>113</v>
      </c>
      <c r="C130" s="30" t="s">
        <v>0</v>
      </c>
      <c r="D130" s="73" t="s">
        <v>984</v>
      </c>
      <c r="E130" s="34" t="s">
        <v>142</v>
      </c>
      <c r="F130" s="30"/>
      <c r="G130" s="30" t="s">
        <v>767</v>
      </c>
      <c r="H130" s="30" t="s">
        <v>4</v>
      </c>
      <c r="I130" s="40" t="s">
        <v>432</v>
      </c>
      <c r="J130" s="40" t="str">
        <f t="shared" ref="J130:J193" si="8">IF(D130&lt;&gt;"-",I130&amp;"_"&amp;D130,I130)</f>
        <v>mod_rai_poisson</v>
      </c>
      <c r="K130" s="34" t="s">
        <v>142</v>
      </c>
      <c r="L130" s="34" t="str">
        <f>IF(VLOOKUP(J130,find_replace!H:H,1,"false")=J130,"TRUE","FALSE")</f>
        <v>TRUE</v>
      </c>
      <c r="M130" s="73" t="s">
        <v>141</v>
      </c>
      <c r="N130" s="73" t="s">
        <v>141</v>
      </c>
      <c r="O130" s="60" t="str">
        <f t="shared" ref="O130:O193" si="9">IF(M130=999,"",("    term_"&amp;J130&amp;": """&amp;K130&amp;""""))</f>
        <v xml:space="preserve">    term_mod_rai_poisson: "Poisson regression"</v>
      </c>
      <c r="P130" s="39" t="str">
        <f t="shared" ref="P130:P193" si="10">IF(M130="-","-",("    def_"&amp;J130&amp;": """&amp;M130&amp;""""))</f>
        <v xml:space="preserve">    def_mod_rai_poisson: "A regression model for count data used when data are not overdispersed or zero-inflated (Lambert, 1992). [relative abundance indices]"</v>
      </c>
      <c r="Q130" s="40"/>
      <c r="R130" s="74" t="s">
        <v>51</v>
      </c>
      <c r="S130" s="75" t="b">
        <v>0</v>
      </c>
      <c r="T130" s="77" t="b">
        <v>1</v>
      </c>
      <c r="U130" s="76" t="s">
        <v>895</v>
      </c>
      <c r="V130" t="s">
        <v>896</v>
      </c>
      <c r="W130" s="13" t="s">
        <v>1816</v>
      </c>
      <c r="X130" t="s">
        <v>4081</v>
      </c>
      <c r="Y130" t="str">
        <f t="shared" ref="Y130:Y193" si="11">IF(M130&lt;&gt;"-",("    "&amp;J130&amp;"_ti"&amp;": "&amp;""""&amp;"&lt;a href=\"&amp;""""&amp;"09_glossary.html#"&amp;J130&amp;V130&amp;K130&amp;": "&amp;M130&amp;W130&amp;""&amp;X130&amp;""""),"-")</f>
        <v xml:space="preserve">    mod_rai_poisson_ti: "&lt;a href=\"09_glossary.html#mod_rai_poisson\" target=\"_blank\" data-bs-toggle=\"tooltip\" data-bs-title=\"Poisson regression: A regression model for count data used when data are not overdispersed or zero-inflated (Lambert, 1992). [relative abundance indices]\"&gt;&lt;button type=\"button\" class=\"btn btn-bd-tip-info-hidden btn-sm position-relative\"&gt;.&lt;span class=\"position-absolute top-0 start-100 translate-middle\"&gt;{{ icon_info }}&lt;/span&gt;&lt;/button&gt;&lt;/a&gt;"</v>
      </c>
    </row>
    <row r="131" spans="1:26" ht="15.75">
      <c r="C131" s="30" t="s">
        <v>0</v>
      </c>
      <c r="D131" s="73" t="s">
        <v>984</v>
      </c>
      <c r="G131" s="30" t="s">
        <v>651</v>
      </c>
      <c r="I131" s="31" t="s">
        <v>4682</v>
      </c>
      <c r="J131" s="40" t="str">
        <f t="shared" si="8"/>
        <v>obj_vital_rate_popln_growth</v>
      </c>
      <c r="K131" s="61" t="s">
        <v>4678</v>
      </c>
      <c r="L131" s="34" t="e">
        <f>IF(VLOOKUP(J131,find_replace!H:H,1,"false")=J131,"TRUE","FALSE")</f>
        <v>#N/A</v>
      </c>
      <c r="M131" s="97" t="s">
        <v>4679</v>
      </c>
      <c r="O131" s="60" t="str">
        <f t="shared" si="9"/>
        <v xml:space="preserve">    term_obj_vital_rate_popln_growth: "Population growth rate"</v>
      </c>
      <c r="P131" s="39" t="str">
        <f t="shared" si="10"/>
        <v xml:space="preserve">    def_obj_vital_rate_popln_growth: "The rate of population growth over time. Used as a short-term estimator of growth trend. May also be refferred to as 'The rate of population change'. The rate of population change (increase or decrease) can be estimated, for example, from two or more population estimates (or relative abundance indices) over time.' ({{ rtxt_nbckc_2024a }})"</v>
      </c>
      <c r="U131" s="76" t="s">
        <v>895</v>
      </c>
      <c r="V131" t="s">
        <v>896</v>
      </c>
      <c r="W131" s="13" t="s">
        <v>1816</v>
      </c>
      <c r="X131" t="s">
        <v>4081</v>
      </c>
      <c r="Y131" t="str">
        <f t="shared" si="11"/>
        <v xml:space="preserve">    obj_vital_rate_popln_growth_ti: "&lt;a href=\"09_glossary.html#obj_vital_rate_popln_growth\" target=\"_blank\" data-bs-toggle=\"tooltip\" data-bs-title=\"Population growth rate: The rate of population growth over time. Used as a short-term estimator of growth trend. May also be refferred to as 'The rate of population change'. The rate of population change (increase or decrease) can be estimated, for example, from two or more population estimates (or relative abundance indices) over time.' ({{ rtxt_nbckc_2024a }})\"&gt;&lt;button type=\"button\" class=\"btn btn-bd-tip-info-hidden btn-sm position-relative\"&gt;.&lt;span class=\"position-absolute top-0 start-100 translate-middle\"&gt;{{ icon_info }}&lt;/span&gt;&lt;/button&gt;&lt;/a&gt;"</v>
      </c>
    </row>
    <row r="132" spans="1:26" s="39" customFormat="1">
      <c r="A132" s="30"/>
      <c r="B132" s="30"/>
      <c r="C132" s="30" t="s">
        <v>0</v>
      </c>
      <c r="D132" s="73" t="s">
        <v>984</v>
      </c>
      <c r="E132" s="30"/>
      <c r="F132" s="30"/>
      <c r="G132" s="30" t="s">
        <v>463</v>
      </c>
      <c r="H132" s="30"/>
      <c r="I132" s="30" t="s">
        <v>788</v>
      </c>
      <c r="J132" s="40" t="str">
        <f t="shared" si="8"/>
        <v>precision</v>
      </c>
      <c r="K132" s="30" t="s">
        <v>662</v>
      </c>
      <c r="L132" s="34" t="str">
        <f>IF(VLOOKUP(J132,find_replace!H:H,1,"false")=J132,"TRUE","FALSE")</f>
        <v>TRUE</v>
      </c>
      <c r="M132" s="54" t="s">
        <v>1352</v>
      </c>
      <c r="N132" s="54" t="s">
        <v>1353</v>
      </c>
      <c r="O132" s="60" t="str">
        <f t="shared" si="9"/>
        <v xml:space="preserve">    term_precision: "Precision"</v>
      </c>
      <c r="P132" s="39" t="str">
        <f t="shared" si="10"/>
        <v xml:space="preserve">    def_precision: "Uncertainty in estimates ({{ rtxt_hammond_et_al_2021 }})' ({{ rtxt_clarke_et_al_2023 }})."</v>
      </c>
      <c r="Q132" s="30"/>
      <c r="R132" s="30"/>
      <c r="S132" s="30"/>
      <c r="T132" s="30"/>
      <c r="U132" s="76" t="s">
        <v>895</v>
      </c>
      <c r="V132" t="s">
        <v>896</v>
      </c>
      <c r="W132" s="13" t="s">
        <v>1816</v>
      </c>
      <c r="X132" t="s">
        <v>4081</v>
      </c>
      <c r="Y132" t="str">
        <f t="shared" si="11"/>
        <v xml:space="preserve">    precision_ti: "&lt;a href=\"09_glossary.html#precision\" target=\"_blank\" data-bs-toggle=\"tooltip\" data-bs-title=\"Precision: Uncertainty in estimates ({{ rtxt_hammond_et_al_2021 }})' ({{ rtxt_clarke_et_al_2023 }}).\"&gt;&lt;button type=\"button\" class=\"btn btn-bd-tip-info-hidden btn-sm position-relative\"&gt;.&lt;span class=\"position-absolute top-0 start-100 translate-middle\"&gt;{{ icon_info }}&lt;/span&gt;&lt;/button&gt;&lt;/a&gt;"</v>
      </c>
      <c r="Z132"/>
    </row>
    <row r="133" spans="1:26">
      <c r="A133" s="30"/>
      <c r="B133" s="30"/>
      <c r="C133" s="30" t="s">
        <v>0</v>
      </c>
      <c r="D133" s="73" t="s">
        <v>984</v>
      </c>
      <c r="E133" s="34" t="s">
        <v>560</v>
      </c>
      <c r="F133" s="30"/>
      <c r="G133" s="30" t="s">
        <v>767</v>
      </c>
      <c r="H133" s="30" t="s">
        <v>815</v>
      </c>
      <c r="I133" s="40" t="s">
        <v>563</v>
      </c>
      <c r="J133" s="40" t="str">
        <f t="shared" si="8"/>
        <v>use_probability</v>
      </c>
      <c r="K133" s="34" t="s">
        <v>560</v>
      </c>
      <c r="L133" s="34" t="str">
        <f>IF(VLOOKUP(J133,find_replace!H:H,1,"false")=J133,"TRUE","FALSE")</f>
        <v>TRUE</v>
      </c>
      <c r="M133" s="91" t="s">
        <v>776</v>
      </c>
      <c r="N133" s="91" t="s">
        <v>776</v>
      </c>
      <c r="O133" s="60" t="str">
        <f t="shared" si="9"/>
        <v xml:space="preserve">    term_use_probability: "Probability of use"</v>
      </c>
      <c r="P133" s="39" t="str">
        <f t="shared" si="10"/>
        <v xml:space="preserve">    def_use_probability: "The probability of at least one, use event of that resource unit during a unit of time' (i.e.,  would a particular resource unit be used at least once) (Keim et al., 2019)."</v>
      </c>
      <c r="Q133" s="30"/>
      <c r="R133" s="30"/>
      <c r="S133" s="30"/>
      <c r="T133" s="30"/>
      <c r="U133" s="76" t="s">
        <v>895</v>
      </c>
      <c r="V133" t="s">
        <v>896</v>
      </c>
      <c r="W133" s="13" t="s">
        <v>1816</v>
      </c>
      <c r="X133" t="s">
        <v>4081</v>
      </c>
      <c r="Y133" t="str">
        <f t="shared" si="11"/>
        <v xml:space="preserve">    use_probability_ti: "&lt;a href=\"09_glossary.html#use_probability\" target=\"_blank\" data-bs-toggle=\"tooltip\" data-bs-title=\"Probability of use: The probability of at least one, use event of that resource unit during a unit of time' (i.e.,  would a particular resource unit be used at least once) (Keim et al., 2019).\"&gt;&lt;button type=\"button\" class=\"btn btn-bd-tip-info-hidden btn-sm position-relative\"&gt;.&lt;span class=\"position-absolute top-0 start-100 translate-middle\"&gt;{{ icon_info }}&lt;/span&gt;&lt;/button&gt;&lt;/a&gt;"</v>
      </c>
    </row>
    <row r="134" spans="1:26">
      <c r="A134" s="30"/>
      <c r="B134" s="30">
        <v>114</v>
      </c>
      <c r="C134" s="30" t="s">
        <v>0</v>
      </c>
      <c r="D134" s="73" t="s">
        <v>984</v>
      </c>
      <c r="E134" s="34" t="s">
        <v>140</v>
      </c>
      <c r="F134" s="30"/>
      <c r="G134" s="30" t="s">
        <v>767</v>
      </c>
      <c r="H134" s="40" t="s">
        <v>139</v>
      </c>
      <c r="I134" s="40" t="s">
        <v>139</v>
      </c>
      <c r="J134" s="40" t="str">
        <f t="shared" si="8"/>
        <v>project</v>
      </c>
      <c r="K134" s="34" t="s">
        <v>140</v>
      </c>
      <c r="L134" s="34" t="str">
        <f>IF(VLOOKUP(J134,find_replace!H:H,1,"false")=J134,"TRUE","FALSE")</f>
        <v>TRUE</v>
      </c>
      <c r="M134" s="73" t="s">
        <v>390</v>
      </c>
      <c r="N134" s="73" t="s">
        <v>390</v>
      </c>
      <c r="O134" s="60" t="str">
        <f t="shared" si="9"/>
        <v xml:space="preserve">    term_project: "Project"</v>
      </c>
      <c r="P134" s="39" t="str">
        <f t="shared" si="10"/>
        <v xml:space="preserve">    def_project: "A scientific study, inventory or monitoring program that has a certain objective, defined methods, and a defined boundary in space and time (recorded as 'Project Name')."</v>
      </c>
      <c r="Q134" s="40"/>
      <c r="R134" s="74" t="s">
        <v>51</v>
      </c>
      <c r="S134" s="77" t="b">
        <v>1</v>
      </c>
      <c r="T134" s="77" t="b">
        <v>1</v>
      </c>
      <c r="U134" s="76" t="s">
        <v>895</v>
      </c>
      <c r="V134" t="s">
        <v>896</v>
      </c>
      <c r="W134" s="13" t="s">
        <v>1816</v>
      </c>
      <c r="X134" t="s">
        <v>4081</v>
      </c>
      <c r="Y134" t="str">
        <f t="shared" si="11"/>
        <v xml:space="preserve">    project_ti: "&lt;a href=\"09_glossary.html#project\" target=\"_blank\" data-bs-toggle=\"tooltip\" data-bs-title=\"Project: A scientific study, inventory or monitoring program that has a certain objective, defined methods, and a defined boundary in space and time (recorded as 'Project Name').\"&gt;&lt;button type=\"button\" class=\"btn btn-bd-tip-info-hidden btn-sm position-relative\"&gt;.&lt;span class=\"position-absolute top-0 start-100 translate-middle\"&gt;{{ icon_info }}&lt;/span&gt;&lt;/button&gt;&lt;/a&gt;"</v>
      </c>
      <c r="Z134" s="39"/>
    </row>
    <row r="135" spans="1:26">
      <c r="A135" s="30"/>
      <c r="B135" s="30">
        <v>115</v>
      </c>
      <c r="C135" s="30" t="s">
        <v>429</v>
      </c>
      <c r="D135" s="73" t="s">
        <v>984</v>
      </c>
      <c r="E135" s="40" t="s">
        <v>270</v>
      </c>
      <c r="F135" s="30" t="s">
        <v>897</v>
      </c>
      <c r="G135" s="30" t="s">
        <v>767</v>
      </c>
      <c r="H135" s="40" t="s">
        <v>139</v>
      </c>
      <c r="I135" s="40" t="s">
        <v>268</v>
      </c>
      <c r="J135" s="40" t="str">
        <f t="shared" si="8"/>
        <v>project_coordinator</v>
      </c>
      <c r="K135" s="40" t="s">
        <v>706</v>
      </c>
      <c r="L135" s="34" t="str">
        <f>IF(VLOOKUP(J135,find_replace!H:H,1,"false")=J135,"TRUE","FALSE")</f>
        <v>TRUE</v>
      </c>
      <c r="M135" s="73" t="s">
        <v>269</v>
      </c>
      <c r="N135" s="73" t="s">
        <v>269</v>
      </c>
      <c r="O135" s="60" t="str">
        <f t="shared" si="9"/>
        <v xml:space="preserve">    term_project_coordinator: "Project Coordinator"</v>
      </c>
      <c r="P135" s="39" t="str">
        <f t="shared" si="10"/>
        <v xml:space="preserve">    def_project_coordinator: "The first and last name of the primary contact for the project."</v>
      </c>
      <c r="Q135" s="40"/>
      <c r="R135" s="74" t="b">
        <v>1</v>
      </c>
      <c r="S135" s="77" t="b">
        <v>1</v>
      </c>
      <c r="T135" s="75" t="b">
        <v>0</v>
      </c>
      <c r="U135" s="76" t="s">
        <v>895</v>
      </c>
      <c r="V135" t="s">
        <v>896</v>
      </c>
      <c r="W135" s="13" t="s">
        <v>1816</v>
      </c>
      <c r="X135" t="s">
        <v>4081</v>
      </c>
      <c r="Y135" t="str">
        <f t="shared" si="11"/>
        <v xml:space="preserve">    project_coordinator_ti: "&lt;a href=\"09_glossary.html#project_coordinator\" target=\"_blank\" data-bs-toggle=\"tooltip\" data-bs-title=\"Project Coordinator: The first and last name of the primary contact for the project.\"&gt;&lt;button type=\"button\" class=\"btn btn-bd-tip-info-hidden btn-sm position-relative\"&gt;.&lt;span class=\"position-absolute top-0 start-100 translate-middle\"&gt;{{ icon_info }}&lt;/span&gt;&lt;/button&gt;&lt;/a&gt;"</v>
      </c>
    </row>
    <row r="136" spans="1:26">
      <c r="A136" s="30"/>
      <c r="B136" s="30">
        <v>116</v>
      </c>
      <c r="C136" s="30" t="s">
        <v>429</v>
      </c>
      <c r="D136" s="73" t="s">
        <v>984</v>
      </c>
      <c r="E136" s="40" t="s">
        <v>273</v>
      </c>
      <c r="F136" s="30" t="s">
        <v>897</v>
      </c>
      <c r="G136" s="30" t="s">
        <v>767</v>
      </c>
      <c r="H136" s="40" t="s">
        <v>139</v>
      </c>
      <c r="I136" s="40" t="s">
        <v>271</v>
      </c>
      <c r="J136" s="40" t="str">
        <f t="shared" si="8"/>
        <v>project_coordinator_email</v>
      </c>
      <c r="K136" s="40" t="s">
        <v>707</v>
      </c>
      <c r="L136" s="34" t="str">
        <f>IF(VLOOKUP(J136,find_replace!H:H,1,"false")=J136,"TRUE","FALSE")</f>
        <v>TRUE</v>
      </c>
      <c r="M136" s="73" t="s">
        <v>272</v>
      </c>
      <c r="N136" s="73" t="s">
        <v>272</v>
      </c>
      <c r="O136" s="60" t="str">
        <f t="shared" si="9"/>
        <v xml:space="preserve">    term_project_coordinator_email: "Project Coordinator Email"</v>
      </c>
      <c r="P136" s="39" t="str">
        <f t="shared" si="10"/>
        <v xml:space="preserve">    def_project_coordinator_email: "The email address of the Project Coordinator."</v>
      </c>
      <c r="Q136" s="40"/>
      <c r="R136" s="74" t="b">
        <v>1</v>
      </c>
      <c r="S136" s="77" t="b">
        <v>1</v>
      </c>
      <c r="T136" s="75" t="b">
        <v>0</v>
      </c>
      <c r="U136" s="76" t="s">
        <v>895</v>
      </c>
      <c r="V136" t="s">
        <v>896</v>
      </c>
      <c r="W136" s="13" t="s">
        <v>1816</v>
      </c>
      <c r="X136" t="s">
        <v>4081</v>
      </c>
      <c r="Y136" t="str">
        <f t="shared" si="11"/>
        <v xml:space="preserve">    project_coordinator_email_ti: "&lt;a href=\"09_glossary.html#project_coordinator_email\" target=\"_blank\" data-bs-toggle=\"tooltip\" data-bs-title=\"Project Coordinator Email: The email address of the Project Coordinator.\"&gt;&lt;button type=\"button\" class=\"btn btn-bd-tip-info-hidden btn-sm position-relative\"&gt;.&lt;span class=\"position-absolute top-0 start-100 translate-middle\"&gt;{{ icon_info }}&lt;/span&gt;&lt;/button&gt;&lt;/a&gt;"</v>
      </c>
    </row>
    <row r="137" spans="1:26">
      <c r="A137" s="30"/>
      <c r="B137" s="30">
        <v>117</v>
      </c>
      <c r="C137" s="30" t="s">
        <v>429</v>
      </c>
      <c r="D137" s="73" t="s">
        <v>984</v>
      </c>
      <c r="E137" s="40" t="s">
        <v>267</v>
      </c>
      <c r="F137" s="30" t="s">
        <v>897</v>
      </c>
      <c r="G137" s="30" t="s">
        <v>767</v>
      </c>
      <c r="H137" s="40" t="s">
        <v>139</v>
      </c>
      <c r="I137" s="40" t="s">
        <v>265</v>
      </c>
      <c r="J137" s="40" t="str">
        <f t="shared" si="8"/>
        <v>project_description</v>
      </c>
      <c r="K137" s="40" t="s">
        <v>708</v>
      </c>
      <c r="L137" s="34" t="str">
        <f>IF(VLOOKUP(J137,find_replace!H:H,1,"false")=J137,"TRUE","FALSE")</f>
        <v>TRUE</v>
      </c>
      <c r="M137" s="73" t="s">
        <v>266</v>
      </c>
      <c r="N137" s="73" t="s">
        <v>266</v>
      </c>
      <c r="O137" s="60" t="str">
        <f t="shared" si="9"/>
        <v xml:space="preserve">    term_project_description: "Project Description"</v>
      </c>
      <c r="P137" s="39" t="str">
        <f t="shared" si="10"/>
        <v xml:space="preserve">    def_project_description: "A description of the project objective(s) and general methods."</v>
      </c>
      <c r="Q137" s="40"/>
      <c r="R137" s="74" t="b">
        <v>1</v>
      </c>
      <c r="S137" s="77" t="b">
        <v>1</v>
      </c>
      <c r="T137" s="75" t="b">
        <v>0</v>
      </c>
      <c r="U137" s="76" t="s">
        <v>895</v>
      </c>
      <c r="V137" t="s">
        <v>896</v>
      </c>
      <c r="W137" s="13" t="s">
        <v>1816</v>
      </c>
      <c r="X137" t="s">
        <v>4081</v>
      </c>
      <c r="Y137" t="str">
        <f t="shared" si="11"/>
        <v xml:space="preserve">    project_description_ti: "&lt;a href=\"09_glossary.html#project_description\" target=\"_blank\" data-bs-toggle=\"tooltip\" data-bs-title=\"Project Description: A description of the project objective(s) and general methods.\"&gt;&lt;button type=\"button\" class=\"btn btn-bd-tip-info-hidden btn-sm position-relative\"&gt;.&lt;span class=\"position-absolute top-0 start-100 translate-middle\"&gt;{{ icon_info }}&lt;/span&gt;&lt;/button&gt;&lt;/a&gt;"</v>
      </c>
    </row>
    <row r="138" spans="1:26">
      <c r="A138" s="30"/>
      <c r="B138" s="30">
        <v>118</v>
      </c>
      <c r="C138" s="30" t="s">
        <v>429</v>
      </c>
      <c r="D138" s="73" t="s">
        <v>984</v>
      </c>
      <c r="E138" s="40" t="s">
        <v>4129</v>
      </c>
      <c r="F138" s="30" t="s">
        <v>897</v>
      </c>
      <c r="G138" s="30" t="s">
        <v>767</v>
      </c>
      <c r="H138" s="40" t="s">
        <v>139</v>
      </c>
      <c r="I138" s="40" t="s">
        <v>264</v>
      </c>
      <c r="J138" s="40" t="str">
        <f t="shared" si="8"/>
        <v>project_name</v>
      </c>
      <c r="K138" s="40" t="s">
        <v>709</v>
      </c>
      <c r="L138" s="34" t="str">
        <f>IF(VLOOKUP(J138,find_replace!H:H,1,"false")=J138,"TRUE","FALSE")</f>
        <v>TRUE</v>
      </c>
      <c r="M138" s="73" t="s">
        <v>391</v>
      </c>
      <c r="N138" s="73" t="s">
        <v>391</v>
      </c>
      <c r="O138" s="60" t="str">
        <f t="shared" si="9"/>
        <v xml:space="preserve">    term_project_name: "Project Name"</v>
      </c>
      <c r="P138" s="39" t="str">
        <f t="shared" si="10"/>
        <v xml:space="preserve">    def_project_name: "A unique alphanumeric identifier for each project. Ideally, the Project Name should include an abbreviation for the organization, a brief project name, and the year the project began (e.g., 'uofa_oilsands_2018')."</v>
      </c>
      <c r="Q138" s="40"/>
      <c r="R138" s="74" t="b">
        <v>1</v>
      </c>
      <c r="S138" s="77" t="b">
        <v>1</v>
      </c>
      <c r="T138" s="77" t="b">
        <v>1</v>
      </c>
      <c r="U138" s="76" t="s">
        <v>895</v>
      </c>
      <c r="V138" t="s">
        <v>896</v>
      </c>
      <c r="W138" s="13" t="s">
        <v>1816</v>
      </c>
      <c r="X138" t="s">
        <v>4081</v>
      </c>
      <c r="Y138" t="str">
        <f t="shared" si="11"/>
        <v xml:space="preserve">    project_name_ti: "&lt;a href=\"09_glossary.html#project_name\" target=\"_blank\" data-bs-toggle=\"tooltip\" data-bs-title=\"Project Name: A unique alphanumeric identifier for each project. Ideally, the Project Name should include an abbreviation for the organization, a brief project name, and the year the project began (e.g., 'uofa_oilsands_2018').\"&gt;&lt;button type=\"button\" class=\"btn btn-bd-tip-info-hidden btn-sm position-relative\"&gt;.&lt;span class=\"position-absolute top-0 start-100 translate-middle\"&gt;{{ icon_info }}&lt;/span&gt;&lt;/button&gt;&lt;/a&gt;"</v>
      </c>
    </row>
    <row r="139" spans="1:26">
      <c r="A139" s="30"/>
      <c r="B139" s="30">
        <v>119</v>
      </c>
      <c r="C139" s="30" t="s">
        <v>0</v>
      </c>
      <c r="D139" s="73" t="s">
        <v>984</v>
      </c>
      <c r="E139" s="34" t="s">
        <v>138</v>
      </c>
      <c r="F139" s="30"/>
      <c r="G139" s="30" t="s">
        <v>767</v>
      </c>
      <c r="H139" s="30"/>
      <c r="I139" s="40" t="s">
        <v>136</v>
      </c>
      <c r="J139" s="40" t="str">
        <f t="shared" si="8"/>
        <v>pseudoreplication</v>
      </c>
      <c r="K139" s="34" t="s">
        <v>138</v>
      </c>
      <c r="L139" s="34" t="str">
        <f>IF(VLOOKUP(J139,find_replace!H:H,1,"false")=J139,"TRUE","FALSE")</f>
        <v>TRUE</v>
      </c>
      <c r="M139" s="73" t="s">
        <v>137</v>
      </c>
      <c r="N139" s="73" t="s">
        <v>137</v>
      </c>
      <c r="O139" s="60" t="str">
        <f t="shared" si="9"/>
        <v xml:space="preserve">    term_pseudoreplication: "Pseudoreplication"</v>
      </c>
      <c r="P139" s="39" t="str">
        <f t="shared" si="10"/>
        <v xml:space="preserve">    def_pseudoreplication: "When observations are not statistically independent (spatially or temporally) but are treated as if they are independent."</v>
      </c>
      <c r="Q139" s="40"/>
      <c r="R139" s="74" t="s">
        <v>51</v>
      </c>
      <c r="S139" s="75" t="b">
        <v>0</v>
      </c>
      <c r="T139" s="77" t="b">
        <v>1</v>
      </c>
      <c r="U139" s="76" t="s">
        <v>895</v>
      </c>
      <c r="V139" t="s">
        <v>896</v>
      </c>
      <c r="W139" s="13" t="s">
        <v>1816</v>
      </c>
      <c r="X139" t="s">
        <v>4081</v>
      </c>
      <c r="Y139" t="str">
        <f t="shared" si="11"/>
        <v xml:space="preserve">    pseudoreplication_ti: "&lt;a href=\"09_glossary.html#pseudoreplication\" target=\"_blank\" data-bs-toggle=\"tooltip\" data-bs-title=\"Pseudoreplication: When observations are not statistically independent (spatially or temporally) but are treated as if they are independent.\"&gt;&lt;button type=\"button\" class=\"btn btn-bd-tip-info-hidden btn-sm position-relative\"&gt;.&lt;span class=\"position-absolute top-0 start-100 translate-middle\"&gt;{{ icon_info }}&lt;/span&gt;&lt;/button&gt;&lt;/a&gt;"</v>
      </c>
    </row>
    <row r="140" spans="1:26">
      <c r="A140" s="30"/>
      <c r="B140" s="30">
        <v>120</v>
      </c>
      <c r="C140" s="30" t="s">
        <v>429</v>
      </c>
      <c r="D140" s="73" t="s">
        <v>984</v>
      </c>
      <c r="E140" s="40" t="s">
        <v>263</v>
      </c>
      <c r="F140" s="30" t="s">
        <v>897</v>
      </c>
      <c r="G140" s="30" t="s">
        <v>767</v>
      </c>
      <c r="H140" s="30" t="s">
        <v>541</v>
      </c>
      <c r="I140" s="40" t="s">
        <v>262</v>
      </c>
      <c r="J140" s="40" t="str">
        <f t="shared" si="8"/>
        <v>purpose_of_visit</v>
      </c>
      <c r="K140" s="40" t="s">
        <v>710</v>
      </c>
      <c r="L140" s="34" t="str">
        <f>IF(VLOOKUP(J140,find_replace!H:H,1,"false")=J140,"TRUE","FALSE")</f>
        <v>TRUE</v>
      </c>
      <c r="M140" s="73" t="s">
        <v>417</v>
      </c>
      <c r="N140" s="73" t="s">
        <v>417</v>
      </c>
      <c r="O140" s="60" t="str">
        <f t="shared" si="9"/>
        <v xml:space="preserve">    term_purpose_of_visit: "Purpose of Visit"</v>
      </c>
      <c r="P140" s="39" t="str">
        <f t="shared" si="10"/>
        <v xml:space="preserve">    def_purpose_of_visit: "The reason for visiting the camera location (i.e. to deploy the camera ['Deployment'], retrieve the camera ['Retrieve'] or to change batteries*/SD card or replace the camera ['Service'])."</v>
      </c>
      <c r="Q140" s="40"/>
      <c r="R140" s="74" t="b">
        <v>1</v>
      </c>
      <c r="S140" s="77" t="b">
        <v>1</v>
      </c>
      <c r="T140" s="77" t="b">
        <v>1</v>
      </c>
      <c r="U140" s="76" t="s">
        <v>895</v>
      </c>
      <c r="V140" t="s">
        <v>896</v>
      </c>
      <c r="W140" s="13" t="s">
        <v>1816</v>
      </c>
      <c r="X140" t="s">
        <v>4081</v>
      </c>
      <c r="Y140" t="str">
        <f t="shared" si="11"/>
        <v xml:space="preserve">    purpose_of_visit_ti: "&lt;a href=\"09_glossary.html#purpose_of_visit\" target=\"_blank\" data-bs-toggle=\"tooltip\" data-bs-title=\"Purpose of Visit: The reason for visiting the camera location (i.e. to deploy the camera ['Deployment'], retrieve the camera ['Retrieve'] or to change batteries*/SD card or replace the camera ['Service']).\"&gt;&lt;button type=\"button\" class=\"btn btn-bd-tip-info-hidden btn-sm position-relative\"&gt;.&lt;span class=\"position-absolute top-0 start-100 translate-middle\"&gt;{{ icon_info }}&lt;/span&gt;&lt;/button&gt;&lt;/a&gt;"</v>
      </c>
    </row>
    <row r="141" spans="1:26">
      <c r="A141" s="30"/>
      <c r="B141" s="30">
        <v>121</v>
      </c>
      <c r="C141" s="30" t="s">
        <v>429</v>
      </c>
      <c r="D141" s="73" t="s">
        <v>984</v>
      </c>
      <c r="E141" s="40" t="s">
        <v>4159</v>
      </c>
      <c r="F141" s="30" t="s">
        <v>897</v>
      </c>
      <c r="G141" s="30" t="s">
        <v>767</v>
      </c>
      <c r="H141" s="30" t="s">
        <v>546</v>
      </c>
      <c r="I141" s="40" t="s">
        <v>261</v>
      </c>
      <c r="J141" s="40" t="str">
        <f t="shared" si="8"/>
        <v>settings_quiet_period</v>
      </c>
      <c r="K141" s="40" t="s">
        <v>720</v>
      </c>
      <c r="L141" s="34" t="str">
        <f>IF(VLOOKUP(J141,find_replace!H:H,1,"false")=J141,"TRUE","FALSE")</f>
        <v>TRUE</v>
      </c>
      <c r="M141" s="73" t="s">
        <v>400</v>
      </c>
      <c r="N141" s="73" t="s">
        <v>400</v>
      </c>
      <c r="O141" s="60" t="str">
        <f t="shared" si="9"/>
        <v xml:space="preserve">    term_settings_quiet_period: "Quiet Period (seconds)"</v>
      </c>
      <c r="P141" s="39" t="str">
        <f t="shared" si="10"/>
        <v xml:space="preserve">    def_settings_quiet_period: "The user-defined camera setting which provides the time (in seconds) between shutter 'triggers' if the camera was programmed to pause between firing initially and firing a second time. If a Quiet Period was not set, enter '0.' &lt;br&gt; &lt;br&gt; Also known as 'time lag' (depending on the Camera Make and Camera Model; Palmer et al., 2018). The Quiet Period differs from the Motion Image Interval in that the delay occurs between multi-image sequences rather than between the images contained within multi-image sequences (as in the Motion Image Interval)."</v>
      </c>
      <c r="Q141" s="40" t="b">
        <v>1</v>
      </c>
      <c r="R141" s="74" t="b">
        <v>1</v>
      </c>
      <c r="S141" s="77" t="b">
        <v>1</v>
      </c>
      <c r="T141" s="77" t="b">
        <v>1</v>
      </c>
      <c r="U141" s="76" t="s">
        <v>895</v>
      </c>
      <c r="V141" t="s">
        <v>896</v>
      </c>
      <c r="W141" s="13" t="s">
        <v>1816</v>
      </c>
      <c r="X141" t="s">
        <v>4081</v>
      </c>
      <c r="Y141" t="str">
        <f t="shared" si="11"/>
        <v xml:space="preserve">    settings_quiet_period_ti: "&lt;a href=\"09_glossary.html#settings_quiet_period\" target=\"_blank\" data-bs-toggle=\"tooltip\" data-bs-title=\"Quiet Period (seconds): The user-defined camera setting which provides the time (in seconds) between shutter 'triggers' if the camera was programmed to pause between firing initially and firing a second time. If a Quiet Period was not set, enter '0.' &lt;br&gt; &lt;br&gt; Also known as 'time lag' (depending on the Camera Make and Camera Model; Palmer et al., 2018). The Quiet Period differs from the Motion Image Interval in that the delay occurs between multi-image sequences rather than between the images contained within multi-image sequences (as in the Motion Image Interval).\"&gt;&lt;button type=\"button\" class=\"btn btn-bd-tip-info-hidden btn-sm position-relative\"&gt;.&lt;span class=\"position-absolute top-0 start-100 translate-middle\"&gt;{{ icon_info }}&lt;/span&gt;&lt;/button&gt;&lt;/a&gt;"</v>
      </c>
    </row>
    <row r="142" spans="1:26">
      <c r="A142" s="30"/>
      <c r="B142" s="30">
        <v>122</v>
      </c>
      <c r="C142" s="30" t="s">
        <v>0</v>
      </c>
      <c r="D142" s="73" t="s">
        <v>984</v>
      </c>
      <c r="E142" s="34" t="s">
        <v>456</v>
      </c>
      <c r="F142" s="30"/>
      <c r="G142" s="30" t="s">
        <v>767</v>
      </c>
      <c r="H142" s="30" t="s">
        <v>540</v>
      </c>
      <c r="I142" s="40" t="s">
        <v>134</v>
      </c>
      <c r="J142" s="40" t="str">
        <f t="shared" si="8"/>
        <v>sampledesign_random</v>
      </c>
      <c r="K142" s="34" t="s">
        <v>456</v>
      </c>
      <c r="L142" s="34" t="str">
        <f>IF(VLOOKUP(J142,find_replace!H:H,1,"false")=J142,"TRUE","FALSE")</f>
        <v>TRUE</v>
      </c>
      <c r="M142" s="73" t="s">
        <v>135</v>
      </c>
      <c r="N142" s="73" t="s">
        <v>135</v>
      </c>
      <c r="O142" s="60" t="str">
        <f t="shared" si="9"/>
        <v xml:space="preserve">    term_sampledesign_random: "Random (or 'simple random') design"</v>
      </c>
      <c r="P142" s="39" t="str">
        <f t="shared" si="10"/>
        <v xml:space="preserve">    def_sampledesign_random: "Cameras occur at randomized camera locations (or sample stations) across the area of interest, sometimes with a predetermined minimum distance between camera locations (or sample stations)."</v>
      </c>
      <c r="Q142" s="40"/>
      <c r="R142" s="74" t="s">
        <v>51</v>
      </c>
      <c r="S142" s="77" t="b">
        <v>1</v>
      </c>
      <c r="T142" s="77" t="b">
        <v>1</v>
      </c>
      <c r="U142" s="76" t="s">
        <v>895</v>
      </c>
      <c r="V142" t="s">
        <v>896</v>
      </c>
      <c r="W142" s="13" t="s">
        <v>1816</v>
      </c>
      <c r="X142" t="s">
        <v>4081</v>
      </c>
      <c r="Y142" t="str">
        <f t="shared" si="11"/>
        <v xml:space="preserve">    sampledesign_random_ti: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stations).\"&gt;&lt;button type=\"button\" class=\"btn btn-bd-tip-info-hidden btn-sm position-relative\"&gt;.&lt;span class=\"position-absolute top-0 start-100 translate-middle\"&gt;{{ icon_info }}&lt;/span&gt;&lt;/button&gt;&lt;/a&gt;"</v>
      </c>
    </row>
    <row r="143" spans="1:26">
      <c r="A143" s="30"/>
      <c r="B143" s="30">
        <v>123</v>
      </c>
      <c r="C143" s="30" t="s">
        <v>0</v>
      </c>
      <c r="D143" s="73" t="s">
        <v>984</v>
      </c>
      <c r="E143" s="40" t="s">
        <v>4123</v>
      </c>
      <c r="F143" s="30" t="s">
        <v>897</v>
      </c>
      <c r="G143" s="30" t="s">
        <v>767</v>
      </c>
      <c r="H143" s="30" t="s">
        <v>4</v>
      </c>
      <c r="I143" s="40" t="s">
        <v>14</v>
      </c>
      <c r="J143" s="40" t="str">
        <f t="shared" si="8"/>
        <v>mod_rest</v>
      </c>
      <c r="K143" s="40" t="s">
        <v>4123</v>
      </c>
      <c r="L143" s="34" t="str">
        <f>IF(VLOOKUP(J143,find_replace!H:H,1,"false")=J143,"TRUE","FALSE")</f>
        <v>TRUE</v>
      </c>
      <c r="M143" s="73" t="s">
        <v>133</v>
      </c>
      <c r="N143" s="73" t="s">
        <v>133</v>
      </c>
      <c r="O143" s="60" t="str">
        <f t="shared" si="9"/>
        <v xml:space="preserve">    term_mod_rest: "Random encounter and staying time (REST) model (Nakashima et al., 2018)"</v>
      </c>
      <c r="P143" s="39" t="str">
        <f t="shared" si="10"/>
        <v xml:space="preserve">    def_mod_rest: "A recent modification of the REM (Nakashima et al., 2018) that substitutes staying time (i.e., the cumulative time in the cameras' detection zone) for movement speed (staying time and movement speed are inversely proportional) (Cappelle et al., 2021)."</v>
      </c>
      <c r="Q143" s="40"/>
      <c r="R143" s="74" t="s">
        <v>51</v>
      </c>
      <c r="S143" s="75" t="b">
        <v>0</v>
      </c>
      <c r="T143" s="77" t="b">
        <v>1</v>
      </c>
      <c r="U143" s="76" t="s">
        <v>895</v>
      </c>
      <c r="V143" t="s">
        <v>896</v>
      </c>
      <c r="W143" s="13" t="s">
        <v>1816</v>
      </c>
      <c r="X143" t="s">
        <v>4081</v>
      </c>
      <c r="Y143" t="str">
        <f t="shared" si="11"/>
        <v xml:space="preserve">    mod_rest_ti: "&lt;a href=\"09_glossary.html#mod_rest\" target=\"_blank\" data-bs-toggle=\"tooltip\" data-bs-title=\"Random encounter and staying time (REST) model (Nakashima et al., 2018): A recent modification of the REM (Nakashima et al., 2018) that substitutes staying time (i.e., the cumulative time in the cameras' detection zone) for movement speed (staying time and movement speed are inversely proportional) (Cappelle et al., 2021).\"&gt;&lt;button type=\"button\" class=\"btn btn-bd-tip-info-hidden btn-sm position-relative\"&gt;.&lt;span class=\"position-absolute top-0 start-100 translate-middle\"&gt;{{ icon_info }}&lt;/span&gt;&lt;/button&gt;&lt;/a&gt;"</v>
      </c>
    </row>
    <row r="144" spans="1:26">
      <c r="A144" s="30"/>
      <c r="B144" s="30">
        <v>124</v>
      </c>
      <c r="C144" s="30" t="s">
        <v>0</v>
      </c>
      <c r="D144" s="73" t="s">
        <v>984</v>
      </c>
      <c r="E144" s="34" t="s">
        <v>132</v>
      </c>
      <c r="F144" s="30" t="s">
        <v>897</v>
      </c>
      <c r="G144" s="30" t="s">
        <v>767</v>
      </c>
      <c r="H144" s="30" t="s">
        <v>4</v>
      </c>
      <c r="I144" s="40" t="s">
        <v>16</v>
      </c>
      <c r="J144" s="40" t="str">
        <f t="shared" si="8"/>
        <v>mod_rem</v>
      </c>
      <c r="K144" s="34" t="s">
        <v>132</v>
      </c>
      <c r="L144" s="34" t="str">
        <f>IF(VLOOKUP(J144,find_replace!H:H,1,"false")=J144,"TRUE","FALSE")</f>
        <v>TRUE</v>
      </c>
      <c r="M144" s="73" t="s">
        <v>771</v>
      </c>
      <c r="N144" s="73" t="s">
        <v>861</v>
      </c>
      <c r="O144" s="60" t="str">
        <f t="shared" si="9"/>
        <v xml:space="preserve">    term_mod_rem: "Random encounter model (REM) (Rowcliffe et al., 2008, 2013)"</v>
      </c>
      <c r="P144" s="39" t="str">
        <f t="shared" si="10"/>
        <v xml:space="preserve">    def_mod_rem: "A method used to estimate the [density](#density) of unmarked populations; uses the rate of independent captures, an estimate of movement rate, average group size, and the area sampled by the remote camera."</v>
      </c>
      <c r="Q144" s="40"/>
      <c r="R144" s="74" t="s">
        <v>51</v>
      </c>
      <c r="S144" s="75" t="b">
        <v>0</v>
      </c>
      <c r="T144" s="77" t="b">
        <v>1</v>
      </c>
      <c r="U144" s="76" t="s">
        <v>895</v>
      </c>
      <c r="V144" t="s">
        <v>896</v>
      </c>
      <c r="W144" s="13" t="s">
        <v>1816</v>
      </c>
      <c r="X144" t="s">
        <v>4081</v>
      </c>
      <c r="Y144" t="str">
        <f t="shared" si="11"/>
        <v xml:space="preserve">    mod_rem_ti: "&lt;a href=\"09_glossary.html#mod_rem\" target=\"_blank\" data-bs-toggle=\"tooltip\" data-bs-title=\"Random encounter model (REM) (Rowcliffe et al., 2008, 2013): A method used to estimate the [density](#density) of unmarked populations; uses the rate of independent captures, an estimate of movement rate, average group size, and the area sampled by the remote camera.\"&gt;&lt;button type=\"button\" class=\"btn btn-bd-tip-info-hidden btn-sm position-relative\"&gt;.&lt;span class=\"position-absolute top-0 start-100 translate-middle\"&gt;{{ icon_info }}&lt;/span&gt;&lt;/button&gt;&lt;/a&gt;"</v>
      </c>
    </row>
    <row r="145" spans="1:25">
      <c r="A145" s="30"/>
      <c r="B145" s="30"/>
      <c r="C145" s="30" t="s">
        <v>0</v>
      </c>
      <c r="D145" s="73" t="s">
        <v>984</v>
      </c>
      <c r="E145" s="30"/>
      <c r="F145" s="30"/>
      <c r="G145" s="30" t="s">
        <v>768</v>
      </c>
      <c r="H145" s="30"/>
      <c r="I145" s="30" t="s">
        <v>985</v>
      </c>
      <c r="J145" s="40" t="str">
        <f t="shared" si="8"/>
        <v>rarefaction</v>
      </c>
      <c r="K145" s="30" t="s">
        <v>1358</v>
      </c>
      <c r="L145" s="34" t="str">
        <f>IF(VLOOKUP(J145,find_replace!H:H,1,"false")=J145,"TRUE","FALSE")</f>
        <v>TRUE</v>
      </c>
      <c r="M145" s="55" t="s">
        <v>1834</v>
      </c>
      <c r="N145" s="55" t="s">
        <v>1836</v>
      </c>
      <c r="O145" s="60" t="str">
        <f t="shared" si="9"/>
        <v xml:space="preserve">    term_rarefaction: "Rarefaction"</v>
      </c>
      <c r="P145" s="39" t="str">
        <f t="shared" si="10"/>
        <v xml:space="preserve">    def_rarefaction: "A statistical interpolation method of rarefying or thinning a reference sample by drawing random subsets of individuals (or samples) in order to standardize the comparison of biological diversity on the basis of a common number of individuals or samples' ({{ rtxt_gotelli_chao_2013 }})"</v>
      </c>
      <c r="Q145" s="30"/>
      <c r="R145" s="30"/>
      <c r="S145" s="30"/>
      <c r="T145" s="30"/>
      <c r="U145" s="76" t="s">
        <v>895</v>
      </c>
      <c r="V145" t="s">
        <v>896</v>
      </c>
      <c r="W145" s="13" t="s">
        <v>1816</v>
      </c>
      <c r="X145" t="s">
        <v>4081</v>
      </c>
      <c r="Y145" t="str">
        <f t="shared" si="11"/>
        <v xml:space="preserve">    rarefaction_ti: "&lt;a href=\"09_glossary.html#rarefaction\" target=\"_blank\" data-bs-toggle=\"tooltip\" data-bs-title=\"Rarefaction: A statistical interpolation method of rarefying or thinning a reference sample by drawing random subsets of individuals (or samples) in order to standardize the comparison of biological diversity on the basis of a common number of individuals or samples' ({{ rtxt_gotelli_chao_2013 }})\"&gt;&lt;button type=\"button\" class=\"btn btn-bd-tip-info-hidden btn-sm position-relative\"&gt;.&lt;span class=\"position-absolute top-0 start-100 translate-middle\"&gt;{{ icon_info }}&lt;/span&gt;&lt;/button&gt;&lt;/a&gt;"</v>
      </c>
    </row>
    <row r="146" spans="1:25">
      <c r="A146" s="30"/>
      <c r="B146" s="30">
        <v>125</v>
      </c>
      <c r="C146" s="30" t="s">
        <v>0</v>
      </c>
      <c r="D146" s="73" t="s">
        <v>984</v>
      </c>
      <c r="E146" s="34" t="s">
        <v>131</v>
      </c>
      <c r="F146" s="30"/>
      <c r="G146" s="30" t="s">
        <v>767</v>
      </c>
      <c r="H146" s="30" t="s">
        <v>549</v>
      </c>
      <c r="I146" s="40" t="s">
        <v>129</v>
      </c>
      <c r="J146" s="40" t="str">
        <f t="shared" si="8"/>
        <v>recovery_time</v>
      </c>
      <c r="K146" s="34" t="s">
        <v>131</v>
      </c>
      <c r="L146" s="34" t="str">
        <f>IF(VLOOKUP(J146,find_replace!H:H,1,"false")=J146,"TRUE","FALSE")</f>
        <v>TRUE</v>
      </c>
      <c r="M146" s="73" t="s">
        <v>130</v>
      </c>
      <c r="N146" s="73" t="s">
        <v>130</v>
      </c>
      <c r="O146" s="60" t="str">
        <f t="shared" si="9"/>
        <v xml:space="preserve">    term_recovery_time: "Recovery time"</v>
      </c>
      <c r="P146" s="39" t="str">
        <f t="shared" si="10"/>
        <v xml:space="preserve">    def_recovery_time: "The time necessary for the camera to prepare to capture the next photo after the previous one has been recorded (Trolliet et al., 2014)."</v>
      </c>
      <c r="Q146" s="40"/>
      <c r="R146" s="74" t="s">
        <v>51</v>
      </c>
      <c r="S146" s="75" t="b">
        <v>0</v>
      </c>
      <c r="T146" s="77" t="b">
        <v>1</v>
      </c>
      <c r="U146" s="76" t="s">
        <v>895</v>
      </c>
      <c r="V146" t="s">
        <v>896</v>
      </c>
      <c r="W146" s="13" t="s">
        <v>1816</v>
      </c>
      <c r="X146" t="s">
        <v>4081</v>
      </c>
      <c r="Y146" t="str">
        <f t="shared" si="11"/>
        <v xml:space="preserve">    recovery_time_ti: "&lt;a href=\"09_glossary.html#recovery_time\" target=\"_blank\" data-bs-toggle=\"tooltip\" data-bs-title=\"Recovery time: The time necessary for the camera to prepare to capture the next photo after the previous one has been recorded (Trolliet et al., 2014).\"&gt;&lt;button type=\"button\" class=\"btn btn-bd-tip-info-hidden btn-sm position-relative\"&gt;.&lt;span class=\"position-absolute top-0 start-100 translate-middle\"&gt;{{ icon_info }}&lt;/span&gt;&lt;/button&gt;&lt;/a&gt;"</v>
      </c>
    </row>
    <row r="147" spans="1:25" ht="15.75">
      <c r="C147" s="30" t="s">
        <v>0</v>
      </c>
      <c r="D147" s="73" t="s">
        <v>984</v>
      </c>
      <c r="G147" s="30" t="s">
        <v>651</v>
      </c>
      <c r="I147" s="31" t="s">
        <v>4681</v>
      </c>
      <c r="J147" s="40" t="str">
        <f t="shared" si="8"/>
        <v>obj_vital_rate_recruitment</v>
      </c>
      <c r="K147" s="96" t="s">
        <v>4037</v>
      </c>
      <c r="L147" s="34" t="e">
        <f>IF(VLOOKUP(J147,find_replace!H:H,1,"false")=J147,"TRUE","FALSE")</f>
        <v>#N/A</v>
      </c>
      <c r="M147" s="64" t="s">
        <v>4677</v>
      </c>
      <c r="O147" s="60" t="str">
        <f t="shared" si="9"/>
        <v xml:space="preserve">    term_obj_vital_rate_recruitment: "Recruitment rate"</v>
      </c>
      <c r="P147" s="39" t="str">
        <f t="shared" si="10"/>
        <v xml:space="preserve">    def_obj_vital_rate_recruitment: "is the process by which new individuals are added to an existing population, whether by birth and maturation or by immigration. Recruitment rate is really a measure of how many individuals are added to the reproductive pool; individuals are considered to have been recruited once they've reached a certain age ({{ ts_species_dependent }}), and this age is generally related to when they begin to reproduce. (modified from {{ rtxt_nbckc_2024a }})"</v>
      </c>
      <c r="U147" s="76" t="s">
        <v>895</v>
      </c>
      <c r="V147" t="s">
        <v>896</v>
      </c>
      <c r="W147" s="13" t="s">
        <v>1816</v>
      </c>
      <c r="X147" t="s">
        <v>4081</v>
      </c>
      <c r="Y147" t="str">
        <f t="shared" si="11"/>
        <v xml:space="preserve">    obj_vital_rate_recruitment_ti: "&lt;a href=\"09_glossary.html#obj_vital_rate_recruitment\" target=\"_blank\" data-bs-toggle=\"tooltip\" data-bs-title=\"Recruitment rate: is the process by which new individuals are added to an existing population, whether by birth and maturation or by immigration. Recruitment rate is really a measure of how many individuals are added to the reproductive pool; individuals are considered to have been recruited once they've reached a certain age ({{ ts_species_dependent }}), and this age is generally related to when they begin to reproduce. (modified from {{ rtxt_nbckc_2024a }})\"&gt;&lt;button type=\"button\" class=\"btn btn-bd-tip-info-hidden btn-sm position-relative\"&gt;.&lt;span class=\"position-absolute top-0 start-100 translate-middle\"&gt;{{ icon_info }}&lt;/span&gt;&lt;/button&gt;&lt;/a&gt;"</v>
      </c>
    </row>
    <row r="148" spans="1:25">
      <c r="A148" s="30"/>
      <c r="B148" s="30">
        <v>126</v>
      </c>
      <c r="C148" s="30" t="s">
        <v>0</v>
      </c>
      <c r="D148" s="73" t="s">
        <v>984</v>
      </c>
      <c r="E148" s="34" t="s">
        <v>128</v>
      </c>
      <c r="F148" s="30"/>
      <c r="G148" s="30" t="s">
        <v>767</v>
      </c>
      <c r="H148" s="40" t="s">
        <v>542</v>
      </c>
      <c r="I148" s="40" t="s">
        <v>126</v>
      </c>
      <c r="J148" s="40" t="str">
        <f t="shared" si="8"/>
        <v>fov_registration_area</v>
      </c>
      <c r="K148" s="34" t="s">
        <v>128</v>
      </c>
      <c r="L148" s="34" t="str">
        <f>IF(VLOOKUP(J148,find_replace!H:H,1,"false")=J148,"TRUE","FALSE")</f>
        <v>TRUE</v>
      </c>
      <c r="M148" s="73" t="s">
        <v>127</v>
      </c>
      <c r="N148" s="73" t="s">
        <v>127</v>
      </c>
      <c r="O148" s="60" t="str">
        <f t="shared" si="9"/>
        <v xml:space="preserve">    term_fov_registration_area: "Registration area"</v>
      </c>
      <c r="P148" s="39" t="str">
        <f t="shared" si="10"/>
        <v xml:space="preserve">    def_fov_registration_area: "The area in which an animal entering has at least some probability of being captured on the image."</v>
      </c>
      <c r="Q148" s="40"/>
      <c r="R148" s="74" t="s">
        <v>51</v>
      </c>
      <c r="S148" s="75" t="b">
        <v>0</v>
      </c>
      <c r="T148" s="77" t="b">
        <v>1</v>
      </c>
      <c r="U148" s="76" t="s">
        <v>895</v>
      </c>
      <c r="V148" t="s">
        <v>896</v>
      </c>
      <c r="W148" s="13" t="s">
        <v>1816</v>
      </c>
      <c r="X148" t="s">
        <v>4081</v>
      </c>
      <c r="Y148" t="str">
        <f t="shared" si="11"/>
        <v xml:space="preserve">    fov_registration_area_ti: "&lt;a href=\"09_glossary.html#fov_registration_area\" target=\"_blank\" data-bs-toggle=\"tooltip\" data-bs-title=\"Registration area: The area in which an animal entering has at least some probability of being captured on the image.\"&gt;&lt;button type=\"button\" class=\"btn btn-bd-tip-info-hidden btn-sm position-relative\"&gt;.&lt;span class=\"position-absolute top-0 start-100 translate-middle\"&gt;{{ icon_info }}&lt;/span&gt;&lt;/button&gt;&lt;/a&gt;"</v>
      </c>
    </row>
    <row r="149" spans="1:25">
      <c r="A149" s="31"/>
      <c r="B149" s="31"/>
      <c r="C149" s="31" t="s">
        <v>0</v>
      </c>
      <c r="D149" s="73" t="s">
        <v>984</v>
      </c>
      <c r="E149" s="31" t="s">
        <v>44</v>
      </c>
      <c r="F149" s="30"/>
      <c r="G149" s="30" t="s">
        <v>767</v>
      </c>
      <c r="H149" s="31" t="s">
        <v>40</v>
      </c>
      <c r="I149" s="31" t="s">
        <v>45</v>
      </c>
      <c r="J149" s="40" t="str">
        <f t="shared" si="8"/>
        <v>obj_rel_abund</v>
      </c>
      <c r="K149" s="31" t="s">
        <v>44</v>
      </c>
      <c r="L149" s="34" t="str">
        <f>IF(VLOOKUP(J149,find_replace!H:H,1,"false")=J149,"TRUE","FALSE")</f>
        <v>TRUE</v>
      </c>
      <c r="M149" s="31" t="s">
        <v>816</v>
      </c>
      <c r="N149" s="31" t="s">
        <v>816</v>
      </c>
      <c r="O149" s="60" t="str">
        <f t="shared" si="9"/>
        <v xml:space="preserve">    term_obj_rel_abund: "Relative abundance"</v>
      </c>
      <c r="P149" s="39" t="str">
        <f t="shared" si="10"/>
        <v xml:space="preserve">    def_obj_rel_abund: "The number of animals detected from one camera/area compared to another camera/area."</v>
      </c>
      <c r="Q149" s="31"/>
      <c r="R149" s="31"/>
      <c r="S149" s="31"/>
      <c r="T149" s="31"/>
      <c r="U149" s="76" t="s">
        <v>895</v>
      </c>
      <c r="V149" t="s">
        <v>896</v>
      </c>
      <c r="W149" s="13" t="s">
        <v>1816</v>
      </c>
      <c r="X149" t="s">
        <v>4081</v>
      </c>
      <c r="Y149" t="str">
        <f t="shared" si="11"/>
        <v xml:space="preserve">    obj_rel_abund_ti: "&lt;a href=\"09_glossary.html#obj_rel_abund\" target=\"_blank\" data-bs-toggle=\"tooltip\" data-bs-title=\"Relative abundance: The number of animals detected from one camera/area compared to another camera/area.\"&gt;&lt;button type=\"button\" class=\"btn btn-bd-tip-info-hidden btn-sm position-relative\"&gt;.&lt;span class=\"position-absolute top-0 start-100 translate-middle\"&gt;{{ icon_info }}&lt;/span&gt;&lt;/button&gt;&lt;/a&gt;"</v>
      </c>
    </row>
    <row r="150" spans="1:25">
      <c r="A150" s="30"/>
      <c r="B150" s="30">
        <v>127</v>
      </c>
      <c r="C150" s="30" t="s">
        <v>0</v>
      </c>
      <c r="D150" s="73" t="s">
        <v>984</v>
      </c>
      <c r="E150" s="34" t="s">
        <v>32</v>
      </c>
      <c r="F150" s="30"/>
      <c r="G150" s="30" t="s">
        <v>767</v>
      </c>
      <c r="H150" s="30" t="s">
        <v>4</v>
      </c>
      <c r="I150" s="40" t="s">
        <v>33</v>
      </c>
      <c r="J150" s="40" t="str">
        <f t="shared" si="8"/>
        <v>mod_rai</v>
      </c>
      <c r="K150" s="34" t="s">
        <v>32</v>
      </c>
      <c r="L150" s="34" t="str">
        <f>IF(VLOOKUP(J150,find_replace!H:H,1,"false")=J150,"TRUE","FALSE")</f>
        <v>TRUE</v>
      </c>
      <c r="M150" s="73" t="s">
        <v>125</v>
      </c>
      <c r="N150" s="73" t="s">
        <v>125</v>
      </c>
      <c r="O150" s="60" t="str">
        <f t="shared" si="9"/>
        <v xml:space="preserve">    term_mod_rai: "Relative abundance indices"</v>
      </c>
      <c r="P150" s="39" t="str">
        <f t="shared" si="10"/>
        <v xml:space="preserve">    def_mod_rai: "An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v>
      </c>
      <c r="Q150" s="40"/>
      <c r="R150" s="74" t="s">
        <v>51</v>
      </c>
      <c r="S150" s="75" t="b">
        <v>0</v>
      </c>
      <c r="T150" s="77" t="b">
        <v>1</v>
      </c>
      <c r="U150" s="76" t="s">
        <v>895</v>
      </c>
      <c r="V150" t="s">
        <v>896</v>
      </c>
      <c r="W150" s="13" t="s">
        <v>1816</v>
      </c>
      <c r="X150" t="s">
        <v>4081</v>
      </c>
      <c r="Y150" t="str">
        <f t="shared" si="11"/>
        <v xml:space="preserve">    mod_rai_ti: "&lt;a href=\"09_glossary.html#mod_rai\" target=\"_blank\" data-bs-toggle=\"tooltip\" data-bs-title=\"Relative abundance indices: 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2011).\"&gt;&lt;button type=\"button\" class=\"btn btn-bd-tip-info-hidden btn-sm position-relative\"&gt;.&lt;span class=\"position-absolute top-0 start-100 translate-middle\"&gt;{{ icon_info }}&lt;/span&gt;&lt;/button&gt;&lt;/a&gt;"</v>
      </c>
    </row>
    <row r="151" spans="1:25">
      <c r="A151" s="30"/>
      <c r="B151" s="30">
        <v>128</v>
      </c>
      <c r="C151" s="30" t="s">
        <v>429</v>
      </c>
      <c r="D151" s="73" t="s">
        <v>984</v>
      </c>
      <c r="E151" s="40" t="s">
        <v>494</v>
      </c>
      <c r="F151" s="30" t="s">
        <v>897</v>
      </c>
      <c r="G151" s="30" t="s">
        <v>767</v>
      </c>
      <c r="H151" s="30" t="s">
        <v>544</v>
      </c>
      <c r="I151" s="40" t="s">
        <v>324</v>
      </c>
      <c r="J151" s="40" t="str">
        <f t="shared" si="8"/>
        <v>remaining_battery_percent</v>
      </c>
      <c r="K151" s="40" t="s">
        <v>752</v>
      </c>
      <c r="L151" s="34" t="str">
        <f>IF(VLOOKUP(J151,find_replace!H:H,1,"false")=J151,"TRUE","FALSE")</f>
        <v>TRUE</v>
      </c>
      <c r="M151" s="73" t="s">
        <v>325</v>
      </c>
      <c r="N151" s="73" t="s">
        <v>325</v>
      </c>
      <c r="O151" s="60" t="str">
        <f t="shared" si="9"/>
        <v xml:space="preserve">    term_remaining_battery_percent: "Remaining Battery (%)"</v>
      </c>
      <c r="P151" s="39" t="str">
        <f t="shared" si="10"/>
        <v xml:space="preserve">    def_remaining_battery_percent: "The remaining battery power (%) of batteries within a camera."</v>
      </c>
      <c r="Q151" s="40"/>
      <c r="R151" s="74" t="b">
        <v>0</v>
      </c>
      <c r="S151" s="77" t="b">
        <v>1</v>
      </c>
      <c r="T151" s="77" t="b">
        <v>1</v>
      </c>
      <c r="U151" s="76" t="s">
        <v>895</v>
      </c>
      <c r="V151" t="s">
        <v>896</v>
      </c>
      <c r="W151" s="13" t="s">
        <v>1816</v>
      </c>
      <c r="X151" t="s">
        <v>4081</v>
      </c>
      <c r="Y151" t="str">
        <f t="shared" si="11"/>
        <v xml:space="preserve">    remaining_battery_percent_ti: "&lt;a href=\"09_glossary.html#remaining_battery_percent\" target=\"_blank\" data-bs-toggle=\"tooltip\" data-bs-title=\"Remaining Battery (%): The remaining battery power (%) of batteries within a camera.\"&gt;&lt;button type=\"button\" class=\"btn btn-bd-tip-info-hidden btn-sm position-relative\"&gt;.&lt;span class=\"position-absolute top-0 start-100 translate-middle\"&gt;{{ icon_info }}&lt;/span&gt;&lt;/button&gt;&lt;/a&gt;"</v>
      </c>
    </row>
    <row r="152" spans="1:25">
      <c r="A152" s="30"/>
      <c r="B152" s="30">
        <v>129</v>
      </c>
      <c r="C152" s="30" t="s">
        <v>0</v>
      </c>
      <c r="D152" s="73" t="s">
        <v>984</v>
      </c>
      <c r="E152" s="34" t="s">
        <v>124</v>
      </c>
      <c r="F152" s="30" t="s">
        <v>897</v>
      </c>
      <c r="G152" s="30" t="s">
        <v>767</v>
      </c>
      <c r="H152" s="30" t="s">
        <v>4</v>
      </c>
      <c r="I152" s="40" t="s">
        <v>461</v>
      </c>
      <c r="J152" s="40" t="str">
        <f t="shared" si="8"/>
        <v>mod_royle_nichols</v>
      </c>
      <c r="K152" s="34" t="s">
        <v>124</v>
      </c>
      <c r="L152" s="34" t="str">
        <f>IF(VLOOKUP(J152,find_replace!H:H,1,"false")=J152,"TRUE","FALSE")</f>
        <v>TRUE</v>
      </c>
      <c r="M152" s="73" t="s">
        <v>772</v>
      </c>
      <c r="N152" s="73" t="s">
        <v>862</v>
      </c>
      <c r="O152" s="60" t="str">
        <f t="shared" si="9"/>
        <v xml:space="preserve">    term_mod_royle_nichols: "Royle-Nichols model (Royle &amp; Nichols, 2003; MacKenzie et al., 2006)"</v>
      </c>
      <c r="P152" s="39" t="str">
        <f t="shared" si="10"/>
        <v xml:space="preserve">    def_mod_royle_nichols: "A method used to estimate population abundance or [density](#density), which assumes that individuals are counted only once per sampling occasion (Royle, 2004), but that does not require all individuals to be marked. Royle-Nichols models are a type of site-structured model (i.e., that 'treat each camera as though it samples... [a] distinct population within a larger meta-population' [Clarke et al., 2023])."</v>
      </c>
      <c r="Q152" s="40"/>
      <c r="R152" s="74" t="s">
        <v>51</v>
      </c>
      <c r="S152" s="75" t="b">
        <v>0</v>
      </c>
      <c r="T152" s="77" t="b">
        <v>1</v>
      </c>
      <c r="U152" s="76" t="s">
        <v>895</v>
      </c>
      <c r="V152" t="s">
        <v>896</v>
      </c>
      <c r="W152" s="13" t="s">
        <v>1816</v>
      </c>
      <c r="X152" t="s">
        <v>4081</v>
      </c>
      <c r="Y152" t="str">
        <f t="shared" si="11"/>
        <v xml:space="preserve">    mod_royle_nichols_ti: "&lt;a href=\"09_glossary.html#mod_royle_nichols\" target=\"_blank\" data-bs-toggle=\"tooltip\" data-bs-title=\"Royle-Nichols model (Royle &amp; Nichols, 2003; MacKenzie et al., 2006): A method used to estimate population abundance or [density](#density), which assumes that individuals are counted only once per sampling occasion (Royle, 2004), but that does not require all individuals to be marked. Royle-Nichols models are a type of site-structured model (i.e., that 'treat each camera as though it samples... [a] distinct population within a larger meta-population' [Clarke et al., 2023]).\"&gt;&lt;button type=\"button\" class=\"btn btn-bd-tip-info-hidden btn-sm position-relative\"&gt;.&lt;span class=\"position-absolute top-0 start-100 translate-middle\"&gt;{{ icon_info }}&lt;/span&gt;&lt;/button&gt;&lt;/a&gt;"</v>
      </c>
    </row>
    <row r="153" spans="1:25">
      <c r="A153" s="30"/>
      <c r="B153" s="30">
        <v>130</v>
      </c>
      <c r="C153" s="30" t="s">
        <v>0</v>
      </c>
      <c r="D153" s="73" t="s">
        <v>984</v>
      </c>
      <c r="E153" s="34" t="s">
        <v>123</v>
      </c>
      <c r="F153" s="30"/>
      <c r="G153" s="30" t="s">
        <v>767</v>
      </c>
      <c r="H153" s="30" t="s">
        <v>547</v>
      </c>
      <c r="I153" s="40" t="s">
        <v>122</v>
      </c>
      <c r="J153" s="40" t="str">
        <f t="shared" si="8"/>
        <v>sample_station</v>
      </c>
      <c r="K153" s="34" t="s">
        <v>123</v>
      </c>
      <c r="L153" s="34" t="str">
        <f>IF(VLOOKUP(J153,find_replace!H:H,1,"false")=J153,"TRUE","FALSE")</f>
        <v>TRUE</v>
      </c>
      <c r="M153" s="73" t="s">
        <v>392</v>
      </c>
      <c r="N153" s="73" t="s">
        <v>392</v>
      </c>
      <c r="O153" s="60" t="str">
        <f t="shared" si="9"/>
        <v xml:space="preserve">    term_sample_station: "Sample station"</v>
      </c>
      <c r="P153" s="39" t="str">
        <f t="shared" si="10"/>
        <v xml:space="preserve">    def_sample_station: "A grouping of two or more non-independent camera locations, such as when cameras are clustered or paired (recorded as 'Sample Station Name')."</v>
      </c>
      <c r="Q153" s="40"/>
      <c r="R153" s="74" t="s">
        <v>51</v>
      </c>
      <c r="S153" s="77" t="b">
        <v>1</v>
      </c>
      <c r="T153" s="77" t="b">
        <v>1</v>
      </c>
      <c r="U153" s="76" t="s">
        <v>895</v>
      </c>
      <c r="V153" t="s">
        <v>896</v>
      </c>
      <c r="W153" s="13" t="s">
        <v>1816</v>
      </c>
      <c r="X153" t="s">
        <v>4081</v>
      </c>
      <c r="Y153" t="str">
        <f t="shared" si="11"/>
        <v xml:space="preserve">    sample_station_ti: "&lt;a href=\"09_glossary.html#sample_station\" target=\"_blank\" data-bs-toggle=\"tooltip\" data-bs-title=\"Sample station: A grouping of two or more non-independent camera locations, such as when cameras are clustered or paired (recorded as 'Sample Station Name').\"&gt;&lt;button type=\"button\" class=\"btn btn-bd-tip-info-hidden btn-sm position-relative\"&gt;.&lt;span class=\"position-absolute top-0 start-100 translate-middle\"&gt;{{ icon_info }}&lt;/span&gt;&lt;/button&gt;&lt;/a&gt;"</v>
      </c>
    </row>
    <row r="154" spans="1:25">
      <c r="A154" s="30"/>
      <c r="B154" s="30">
        <v>131</v>
      </c>
      <c r="C154" s="30" t="s">
        <v>429</v>
      </c>
      <c r="D154" s="73" t="s">
        <v>984</v>
      </c>
      <c r="E154" s="40" t="s">
        <v>4125</v>
      </c>
      <c r="F154" s="30" t="s">
        <v>897</v>
      </c>
      <c r="G154" s="30" t="s">
        <v>767</v>
      </c>
      <c r="H154" s="30" t="s">
        <v>547</v>
      </c>
      <c r="I154" s="40" t="s">
        <v>260</v>
      </c>
      <c r="J154" s="40" t="str">
        <f t="shared" si="8"/>
        <v>sample_station_name</v>
      </c>
      <c r="K154" s="40" t="s">
        <v>711</v>
      </c>
      <c r="L154" s="34" t="str">
        <f>IF(VLOOKUP(J154,find_replace!H:H,1,"false")=J154,"TRUE","FALSE")</f>
        <v>TRUE</v>
      </c>
      <c r="M154" s="73" t="s">
        <v>393</v>
      </c>
      <c r="N154" s="73" t="s">
        <v>393</v>
      </c>
      <c r="O154" s="60" t="str">
        <f t="shared" si="9"/>
        <v xml:space="preserve">    term_sample_station_name: "Sample Station Name"</v>
      </c>
      <c r="P154" s="39" t="str">
        <f t="shared" si="10"/>
        <v xml:space="preserve">    def_sample_station_name: "A sequential alphanumeric identifier for each grouping of two more non-independent camera locations (when cameras are deployed in clusters, pairs, or arrays; e.g., 'ss1' in 'ss1_bh1,' 'ss1_bh2,' 'ss1_bh3' etc.). Leave blank if not applicable."</v>
      </c>
      <c r="Q154" s="40" t="b">
        <v>1</v>
      </c>
      <c r="R154" s="74" t="b">
        <v>1</v>
      </c>
      <c r="S154" s="77" t="b">
        <v>1</v>
      </c>
      <c r="T154" s="77" t="b">
        <v>1</v>
      </c>
      <c r="U154" s="76" t="s">
        <v>895</v>
      </c>
      <c r="V154" t="s">
        <v>896</v>
      </c>
      <c r="W154" s="13" t="s">
        <v>1816</v>
      </c>
      <c r="X154" t="s">
        <v>4081</v>
      </c>
      <c r="Y154" t="str">
        <f t="shared" si="11"/>
        <v xml:space="preserve">    sample_station_name_ti: "&lt;a href=\"09_glossary.html#sample_station_name\" target=\"_blank\" data-bs-toggle=\"tooltip\" data-bs-title=\"Sample Station Name: A sequential alphanumeric identifier for each grouping of two more non-independent camera locations (when cameras are deployed in clusters, pairs, or arrays; e.g., 'ss1' in 'ss1_bh1,' 'ss1_bh2,' 'ss1_bh3' etc.). Leave blank if not applicable.\"&gt;&lt;button type=\"button\" class=\"btn btn-bd-tip-info-hidden btn-sm position-relative\"&gt;.&lt;span class=\"position-absolute top-0 start-100 translate-middle\"&gt;{{ icon_info }}&lt;/span&gt;&lt;/button&gt;&lt;/a&gt;"</v>
      </c>
    </row>
    <row r="155" spans="1:25">
      <c r="A155" s="30"/>
      <c r="B155" s="30">
        <v>132</v>
      </c>
      <c r="C155" s="30" t="s">
        <v>0</v>
      </c>
      <c r="D155" s="73" t="s">
        <v>984</v>
      </c>
      <c r="E155" s="34" t="s">
        <v>121</v>
      </c>
      <c r="F155" s="30"/>
      <c r="G155" s="30" t="s">
        <v>767</v>
      </c>
      <c r="H155" s="30" t="s">
        <v>539</v>
      </c>
      <c r="I155" s="40" t="s">
        <v>120</v>
      </c>
      <c r="J155" s="40" t="str">
        <f t="shared" si="8"/>
        <v>baitlure_scent_lure</v>
      </c>
      <c r="K155" s="34" t="s">
        <v>121</v>
      </c>
      <c r="L155" s="34" t="str">
        <f>IF(VLOOKUP(J155,find_replace!H:H,1,"false")=J155,"TRUE","FALSE")</f>
        <v>TRUE</v>
      </c>
      <c r="M155" s="73" t="s">
        <v>999</v>
      </c>
      <c r="N155" s="73" t="s">
        <v>882</v>
      </c>
      <c r="O155" s="60" t="str">
        <f t="shared" si="9"/>
        <v xml:space="preserve">    term_baitlure_scent_lure: "Scent lure"</v>
      </c>
      <c r="P155" s="39" t="str">
        <f t="shared" si="10"/>
        <v xml:space="preserve">    def_baitlure_scent_lure: "Any material that draws animals closer via their sense of smell ({{ rtxt_schlexer_2008 }})."</v>
      </c>
      <c r="Q155" s="40"/>
      <c r="R155" s="74" t="s">
        <v>51</v>
      </c>
      <c r="S155" s="75" t="b">
        <v>0</v>
      </c>
      <c r="T155" s="77" t="b">
        <v>1</v>
      </c>
      <c r="U155" s="76" t="s">
        <v>895</v>
      </c>
      <c r="V155" t="s">
        <v>896</v>
      </c>
      <c r="W155" s="13" t="s">
        <v>1816</v>
      </c>
      <c r="X155" t="s">
        <v>4081</v>
      </c>
      <c r="Y155" t="str">
        <f t="shared" si="11"/>
        <v xml:space="preserve">    baitlure_scent_lure_ti: "&lt;a href=\"09_glossary.html#baitlure_scent_lure\" target=\"_blank\" data-bs-toggle=\"tooltip\" data-bs-title=\"Scent lure: Any material that draws animals closer via their sense of smell ({{ rtxt_schlexer_2008 }}).\"&gt;&lt;button type=\"button\" class=\"btn btn-bd-tip-info-hidden btn-sm position-relative\"&gt;.&lt;span class=\"position-absolute top-0 start-100 translate-middle\"&gt;{{ icon_info }}&lt;/span&gt;&lt;/button&gt;&lt;/a&gt;"</v>
      </c>
    </row>
    <row r="156" spans="1:25">
      <c r="A156" s="30"/>
      <c r="B156" s="30">
        <v>133</v>
      </c>
      <c r="C156" s="30" t="s">
        <v>429</v>
      </c>
      <c r="D156" s="73" t="s">
        <v>984</v>
      </c>
      <c r="E156" s="40" t="s">
        <v>495</v>
      </c>
      <c r="F156" s="30" t="s">
        <v>897</v>
      </c>
      <c r="G156" s="30" t="s">
        <v>767</v>
      </c>
      <c r="H156" s="30" t="s">
        <v>544</v>
      </c>
      <c r="I156" s="40" t="s">
        <v>323</v>
      </c>
      <c r="J156" s="40" t="str">
        <f t="shared" si="8"/>
        <v>sd_card_id</v>
      </c>
      <c r="K156" s="40" t="s">
        <v>753</v>
      </c>
      <c r="L156" s="34" t="str">
        <f>IF(VLOOKUP(J156,find_replace!H:H,1,"false")=J156,"TRUE","FALSE")</f>
        <v>TRUE</v>
      </c>
      <c r="M156" s="73" t="s">
        <v>395</v>
      </c>
      <c r="N156" s="73" t="s">
        <v>395</v>
      </c>
      <c r="O156" s="60" t="str">
        <f t="shared" si="9"/>
        <v xml:space="preserve">    term_sd_card_id: "SD Card ID"</v>
      </c>
      <c r="P156" s="39" t="str">
        <f t="shared" si="10"/>
        <v xml:space="preserve">    def_sd_card_id: "The ID label on an SD card (e.g., 'cmu_100')."</v>
      </c>
      <c r="Q156" s="40"/>
      <c r="R156" s="74" t="b">
        <v>0</v>
      </c>
      <c r="S156" s="77" t="b">
        <v>1</v>
      </c>
      <c r="T156" s="77" t="b">
        <v>1</v>
      </c>
      <c r="U156" s="76" t="s">
        <v>895</v>
      </c>
      <c r="V156" t="s">
        <v>896</v>
      </c>
      <c r="W156" s="13" t="s">
        <v>1816</v>
      </c>
      <c r="X156" t="s">
        <v>4081</v>
      </c>
      <c r="Y156" t="str">
        <f t="shared" si="11"/>
        <v xml:space="preserve">    sd_card_id_ti: "&lt;a href=\"09_glossary.html#sd_card_id\" target=\"_blank\" data-bs-toggle=\"tooltip\" data-bs-title=\"SD Card ID: The ID label on an SD card (e.g., 'cmu_100').\"&gt;&lt;button type=\"button\" class=\"btn btn-bd-tip-info-hidden btn-sm position-relative\"&gt;.&lt;span class=\"position-absolute top-0 start-100 translate-middle\"&gt;{{ icon_info }}&lt;/span&gt;&lt;/button&gt;&lt;/a&gt;"</v>
      </c>
    </row>
    <row r="157" spans="1:25">
      <c r="A157" s="30"/>
      <c r="B157" s="30">
        <v>134</v>
      </c>
      <c r="C157" s="30" t="s">
        <v>429</v>
      </c>
      <c r="D157" s="73" t="s">
        <v>984</v>
      </c>
      <c r="E157" s="40" t="s">
        <v>496</v>
      </c>
      <c r="F157" s="30" t="s">
        <v>897</v>
      </c>
      <c r="G157" s="30" t="s">
        <v>767</v>
      </c>
      <c r="H157" s="30" t="s">
        <v>544</v>
      </c>
      <c r="I157" s="40" t="s">
        <v>321</v>
      </c>
      <c r="J157" s="40" t="str">
        <f t="shared" si="8"/>
        <v>sd_card_replaced</v>
      </c>
      <c r="K157" s="40" t="s">
        <v>754</v>
      </c>
      <c r="L157" s="34" t="str">
        <f>IF(VLOOKUP(J157,find_replace!H:H,1,"false")=J157,"TRUE","FALSE")</f>
        <v>TRUE</v>
      </c>
      <c r="M157" s="73" t="s">
        <v>322</v>
      </c>
      <c r="N157" s="73" t="s">
        <v>322</v>
      </c>
      <c r="O157" s="60" t="str">
        <f t="shared" si="9"/>
        <v xml:space="preserve">    term_sd_card_replaced: "SD Card Replaced"</v>
      </c>
      <c r="P157" s="39" t="str">
        <f t="shared" si="10"/>
        <v xml:space="preserve">    def_sd_card_replaced: "Whether the SD card was replaced."</v>
      </c>
      <c r="Q157" s="40"/>
      <c r="R157" s="74" t="b">
        <v>0</v>
      </c>
      <c r="S157" s="77" t="b">
        <v>1</v>
      </c>
      <c r="T157" s="77" t="b">
        <v>1</v>
      </c>
      <c r="U157" s="76" t="s">
        <v>895</v>
      </c>
      <c r="V157" t="s">
        <v>896</v>
      </c>
      <c r="W157" s="13" t="s">
        <v>1816</v>
      </c>
      <c r="X157" t="s">
        <v>4081</v>
      </c>
      <c r="Y157" t="str">
        <f t="shared" si="11"/>
        <v xml:space="preserve">    sd_card_replaced_ti: "&lt;a href=\"09_glossary.html#sd_card_replaced\" target=\"_blank\" data-bs-toggle=\"tooltip\" data-bs-title=\"SD Card Replaced: Whether the SD card was replaced.\"&gt;&lt;button type=\"button\" class=\"btn btn-bd-tip-info-hidden btn-sm position-relative\"&gt;.&lt;span class=\"position-absolute top-0 start-100 translate-middle\"&gt;{{ icon_info }}&lt;/span&gt;&lt;/button&gt;&lt;/a&gt;"</v>
      </c>
    </row>
    <row r="158" spans="1:25">
      <c r="A158" s="30"/>
      <c r="B158" s="30">
        <v>135</v>
      </c>
      <c r="C158" s="30" t="s">
        <v>429</v>
      </c>
      <c r="D158" s="73" t="s">
        <v>984</v>
      </c>
      <c r="E158" s="40" t="s">
        <v>497</v>
      </c>
      <c r="F158" s="30" t="s">
        <v>897</v>
      </c>
      <c r="G158" s="30" t="s">
        <v>767</v>
      </c>
      <c r="H158" s="30" t="s">
        <v>544</v>
      </c>
      <c r="I158" s="40" t="s">
        <v>319</v>
      </c>
      <c r="J158" s="40" t="str">
        <f t="shared" si="8"/>
        <v>sd_card_status</v>
      </c>
      <c r="K158" s="40" t="s">
        <v>755</v>
      </c>
      <c r="L158" s="34" t="str">
        <f>IF(VLOOKUP(J158,find_replace!H:H,1,"false")=J158,"TRUE","FALSE")</f>
        <v>TRUE</v>
      </c>
      <c r="M158" s="73" t="s">
        <v>320</v>
      </c>
      <c r="N158" s="73" t="s">
        <v>320</v>
      </c>
      <c r="O158" s="60" t="str">
        <f t="shared" si="9"/>
        <v xml:space="preserve">    term_sd_card_status: "SD Card Status (% Full)"</v>
      </c>
      <c r="P158" s="39" t="str">
        <f t="shared" si="10"/>
        <v xml:space="preserve">    def_sd_card_status: "The remaining storage capacity on an SD card; collected during a camera service or retrieval."</v>
      </c>
      <c r="Q158" s="40"/>
      <c r="R158" s="74" t="b">
        <v>0</v>
      </c>
      <c r="S158" s="77" t="b">
        <v>1</v>
      </c>
      <c r="T158" s="77" t="b">
        <v>1</v>
      </c>
      <c r="U158" s="76" t="s">
        <v>895</v>
      </c>
      <c r="V158" t="s">
        <v>896</v>
      </c>
      <c r="W158" s="13" t="s">
        <v>1816</v>
      </c>
      <c r="X158" t="s">
        <v>4081</v>
      </c>
      <c r="Y158" t="str">
        <f t="shared" si="11"/>
        <v xml:space="preserve">    sd_card_status_ti: "&lt;a href=\"09_glossary.html#sd_card_status\" target=\"_blank\" data-bs-toggle=\"tooltip\" data-bs-title=\"SD Card Status (% Full): The remaining storage capacity on an SD card; collected during a camera service or retrieval.\"&gt;&lt;button type=\"button\" class=\"btn btn-bd-tip-info-hidden btn-sm position-relative\"&gt;.&lt;span class=\"position-absolute top-0 start-100 translate-middle\"&gt;{{ icon_info }}&lt;/span&gt;&lt;/button&gt;&lt;/a&gt;"</v>
      </c>
    </row>
    <row r="159" spans="1:25">
      <c r="A159" s="30"/>
      <c r="B159" s="30">
        <v>136</v>
      </c>
      <c r="C159" s="30" t="s">
        <v>429</v>
      </c>
      <c r="D159" s="73" t="s">
        <v>984</v>
      </c>
      <c r="E159" s="40" t="s">
        <v>498</v>
      </c>
      <c r="F159" s="30" t="s">
        <v>897</v>
      </c>
      <c r="G159" s="30" t="s">
        <v>767</v>
      </c>
      <c r="H159" s="30" t="s">
        <v>543</v>
      </c>
      <c r="I159" s="40" t="s">
        <v>318</v>
      </c>
      <c r="J159" s="40" t="str">
        <f t="shared" si="8"/>
        <v>security</v>
      </c>
      <c r="K159" s="40" t="s">
        <v>756</v>
      </c>
      <c r="L159" s="34" t="str">
        <f>IF(VLOOKUP(J159,find_replace!H:H,1,"false")=J159,"TRUE","FALSE")</f>
        <v>TRUE</v>
      </c>
      <c r="M159" s="73" t="s">
        <v>396</v>
      </c>
      <c r="N159" s="73" t="s">
        <v>396</v>
      </c>
      <c r="O159" s="60" t="str">
        <f t="shared" si="9"/>
        <v xml:space="preserve">    term_security: "Security"</v>
      </c>
      <c r="P159" s="39" t="str">
        <f t="shared" si="10"/>
        <v xml:space="preserve">    def_security: "The equipment used to secure the camera (e.g., 'Security box,' 'Bracket,' 'Bracket + Screws,' or 'None')."</v>
      </c>
      <c r="Q159" s="40" t="b">
        <v>1</v>
      </c>
      <c r="R159" s="74" t="b">
        <v>0</v>
      </c>
      <c r="S159" s="77" t="b">
        <v>1</v>
      </c>
      <c r="T159" s="77" t="b">
        <v>1</v>
      </c>
      <c r="U159" s="76" t="s">
        <v>895</v>
      </c>
      <c r="V159" t="s">
        <v>896</v>
      </c>
      <c r="W159" s="13" t="s">
        <v>1816</v>
      </c>
      <c r="X159" t="s">
        <v>4081</v>
      </c>
      <c r="Y159" t="str">
        <f t="shared" si="11"/>
        <v xml:space="preserve">    security_ti: "&lt;a href=\"09_glossary.html#security\" target=\"_blank\" data-bs-toggle=\"tooltip\" data-bs-title=\"Security: The equipment used to secure the camera (e.g., 'Security box,' 'Bracket,' 'Bracket + Screws,' or 'None').\"&gt;&lt;button type=\"button\" class=\"btn btn-bd-tip-info-hidden btn-sm position-relative\"&gt;.&lt;span class=\"position-absolute top-0 start-100 translate-middle\"&gt;{{ icon_info }}&lt;/span&gt;&lt;/button&gt;&lt;/a&gt;"</v>
      </c>
    </row>
    <row r="160" spans="1:25">
      <c r="A160" s="30"/>
      <c r="B160" s="30">
        <v>137</v>
      </c>
      <c r="C160" s="30" t="s">
        <v>0</v>
      </c>
      <c r="D160" s="73" t="s">
        <v>984</v>
      </c>
      <c r="E160" s="34" t="s">
        <v>119</v>
      </c>
      <c r="F160" s="30"/>
      <c r="G160" s="30" t="s">
        <v>767</v>
      </c>
      <c r="H160" s="30"/>
      <c r="I160" s="40" t="s">
        <v>118</v>
      </c>
      <c r="J160" s="40" t="str">
        <f t="shared" si="8"/>
        <v>sequence</v>
      </c>
      <c r="K160" s="34" t="s">
        <v>119</v>
      </c>
      <c r="L160" s="34" t="str">
        <f>IF(VLOOKUP(J160,find_replace!H:H,1,"false")=J160,"TRUE","FALSE")</f>
        <v>TRUE</v>
      </c>
      <c r="M160" s="73" t="s">
        <v>830</v>
      </c>
      <c r="N160" s="73" t="s">
        <v>883</v>
      </c>
      <c r="O160" s="60" t="str">
        <f t="shared" si="9"/>
        <v xml:space="preserve">    term_sequence: "Sequence"</v>
      </c>
      <c r="P160" s="39" t="str">
        <f t="shared" si="10"/>
        <v xml:space="preserve">    def_sequence: "A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Description](#survey_design_description))."</v>
      </c>
      <c r="Q160" s="40"/>
      <c r="R160" s="74" t="s">
        <v>51</v>
      </c>
      <c r="S160" s="77" t="b">
        <v>1</v>
      </c>
      <c r="T160" s="77" t="b">
        <v>1</v>
      </c>
      <c r="U160" s="76" t="s">
        <v>895</v>
      </c>
      <c r="V160" t="s">
        <v>896</v>
      </c>
      <c r="W160" s="13" t="s">
        <v>1816</v>
      </c>
      <c r="X160" t="s">
        <v>4081</v>
      </c>
      <c r="Y160" t="str">
        <f t="shared" si="11"/>
        <v xml:space="preserve">    sequence_ti: "&lt;a href=\"09_glossary.html#sequence\" target=\"_blank\" data-bs-toggle=\"tooltip\" data-bs-title=\"Sequence: 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Description](#survey_design_description)).\"&gt;&lt;button type=\"button\" class=\"btn btn-bd-tip-info-hidden btn-sm position-relative\"&gt;.&lt;span class=\"position-absolute top-0 start-100 translate-middle\"&gt;{{ icon_info }}&lt;/span&gt;&lt;/button&gt;&lt;/a&gt;"</v>
      </c>
    </row>
    <row r="161" spans="1:26">
      <c r="A161" s="30"/>
      <c r="B161" s="30">
        <v>138</v>
      </c>
      <c r="C161" s="30" t="s">
        <v>429</v>
      </c>
      <c r="D161" s="73" t="s">
        <v>984</v>
      </c>
      <c r="E161" s="40" t="s">
        <v>4127</v>
      </c>
      <c r="F161" s="30" t="s">
        <v>897</v>
      </c>
      <c r="G161" s="30" t="s">
        <v>767</v>
      </c>
      <c r="H161" s="30"/>
      <c r="I161" s="40" t="s">
        <v>259</v>
      </c>
      <c r="J161" s="40" t="str">
        <f t="shared" si="8"/>
        <v>sequence_name</v>
      </c>
      <c r="K161" s="40" t="s">
        <v>713</v>
      </c>
      <c r="L161" s="34" t="str">
        <f>IF(VLOOKUP(J161,find_replace!H:H,1,"false")=J161,"TRUE","FALSE")</f>
        <v>TRUE</v>
      </c>
      <c r="M161" s="73" t="s">
        <v>397</v>
      </c>
      <c r="N161" s="73" t="s">
        <v>397</v>
      </c>
      <c r="O161" s="60" t="str">
        <f t="shared" si="9"/>
        <v xml:space="preserve">    term_sequence_name: "Sequence Name"</v>
      </c>
      <c r="P161" s="39" t="str">
        <f t="shared" si="10"/>
        <v xml:space="preserve">    def_sequence_name: "A unique alphanumeric identifier for a multi-image sequence. The Sequence Name should ideally consist of the Deployment Name and the names of the first and last images and videos in the sequence (separated by '_') (i.e., 'Deployment Name'_'img_#[name of first image in sequence]'_'img_#[name of last image in sequence] (e.g., 'bh1_22-Jul-2018_img_001-img_005'). Leave blank if not applicable. "</v>
      </c>
      <c r="Q161" s="40" t="b">
        <v>1</v>
      </c>
      <c r="R161" s="74" t="b">
        <v>1</v>
      </c>
      <c r="S161" s="77" t="b">
        <v>1</v>
      </c>
      <c r="T161" s="77" t="b">
        <v>1</v>
      </c>
      <c r="U161" s="76" t="s">
        <v>895</v>
      </c>
      <c r="V161" t="s">
        <v>896</v>
      </c>
      <c r="W161" s="13" t="s">
        <v>1816</v>
      </c>
      <c r="X161" t="s">
        <v>4081</v>
      </c>
      <c r="Y161" t="str">
        <f t="shared" si="11"/>
        <v xml:space="preserve">    sequence_name_ti: "&lt;a href=\"09_glossary.html#sequence_name\" target=\"_blank\" data-bs-toggle=\"tooltip\" data-bs-title=\"Sequence Name: A unique alphanumeric identifier for a multi-image sequence. The Sequence Name should ideally consist of the Deployment Name and the names of the first and last images and videos in the sequence (separated by '_') (i.e., 'Deployment Name'_'img_#[name of first image in sequence]'_'img_#[name of last image in sequence] (e.g., 'bh1_22-Jul-2018_img_001-img_005'). Leave blank if not applicable. \"&gt;&lt;button type=\"button\" class=\"btn btn-bd-tip-info-hidden btn-sm position-relative\"&gt;.&lt;span class=\"position-absolute top-0 start-100 translate-middle\"&gt;{{ icon_info }}&lt;/span&gt;&lt;/button&gt;&lt;/a&gt;"</v>
      </c>
    </row>
    <row r="162" spans="1:26">
      <c r="A162" s="30"/>
      <c r="B162" s="30">
        <v>139</v>
      </c>
      <c r="C162" s="30" t="s">
        <v>0</v>
      </c>
      <c r="D162" s="73" t="s">
        <v>984</v>
      </c>
      <c r="E162" s="34" t="s">
        <v>117</v>
      </c>
      <c r="F162" s="30"/>
      <c r="G162" s="30" t="s">
        <v>767</v>
      </c>
      <c r="H162" s="30" t="s">
        <v>541</v>
      </c>
      <c r="I162" s="40" t="s">
        <v>116</v>
      </c>
      <c r="J162" s="40" t="str">
        <f t="shared" si="8"/>
        <v>service_retrieval</v>
      </c>
      <c r="K162" s="34" t="s">
        <v>714</v>
      </c>
      <c r="L162" s="34" t="str">
        <f>IF(VLOOKUP(J162,find_replace!H:H,1,"false")=J162,"TRUE","FALSE")</f>
        <v>TRUE</v>
      </c>
      <c r="M162" s="73" t="s">
        <v>111</v>
      </c>
      <c r="N162" s="73" t="s">
        <v>111</v>
      </c>
      <c r="O162" s="60" t="str">
        <f t="shared" si="9"/>
        <v xml:space="preserve">    term_service_retrieval: "Service/Retrieval"</v>
      </c>
      <c r="P162" s="39" t="str">
        <f t="shared" si="10"/>
        <v xml:space="preserve">    def_service_retrieval: "When a crew has gone to a location to service or retrieve a remote camera."</v>
      </c>
      <c r="Q162" s="40"/>
      <c r="R162" s="74" t="s">
        <v>51</v>
      </c>
      <c r="S162" s="77" t="b">
        <v>1</v>
      </c>
      <c r="T162" s="77" t="b">
        <v>1</v>
      </c>
      <c r="U162" s="76" t="s">
        <v>895</v>
      </c>
      <c r="V162" t="s">
        <v>896</v>
      </c>
      <c r="W162" s="13" t="s">
        <v>1816</v>
      </c>
      <c r="X162" t="s">
        <v>4081</v>
      </c>
      <c r="Y162" t="str">
        <f t="shared" si="11"/>
        <v xml:space="preserve">    service_retrieval_ti: "&lt;a href=\"09_glossary.html#service_retrieval\" target=\"_blank\" data-bs-toggle=\"tooltip\" data-bs-title=\"Service/Retrieval: When a crew has gone to a location to service or retrieve a remote camera.\"&gt;&lt;button type=\"button\" class=\"btn btn-bd-tip-info-hidden btn-sm position-relative\"&gt;.&lt;span class=\"position-absolute top-0 start-100 translate-middle\"&gt;{{ icon_info }}&lt;/span&gt;&lt;/button&gt;&lt;/a&gt;"</v>
      </c>
    </row>
    <row r="163" spans="1:26">
      <c r="A163" s="30"/>
      <c r="B163" s="30">
        <v>140</v>
      </c>
      <c r="C163" s="30" t="s">
        <v>429</v>
      </c>
      <c r="D163" s="73" t="s">
        <v>984</v>
      </c>
      <c r="E163" s="40" t="s">
        <v>499</v>
      </c>
      <c r="F163" s="30" t="s">
        <v>897</v>
      </c>
      <c r="G163" s="30" t="s">
        <v>767</v>
      </c>
      <c r="H163" s="30" t="s">
        <v>543</v>
      </c>
      <c r="I163" s="40" t="s">
        <v>316</v>
      </c>
      <c r="J163" s="40" t="str">
        <f t="shared" si="8"/>
        <v>service_retrieval_comments</v>
      </c>
      <c r="K163" s="40" t="s">
        <v>757</v>
      </c>
      <c r="L163" s="34" t="str">
        <f>IF(VLOOKUP(J163,find_replace!H:H,1,"false")=J163,"TRUE","FALSE")</f>
        <v>TRUE</v>
      </c>
      <c r="M163" s="73" t="s">
        <v>317</v>
      </c>
      <c r="N163" s="73" t="s">
        <v>317</v>
      </c>
      <c r="O163" s="60" t="str">
        <f t="shared" si="9"/>
        <v xml:space="preserve">    term_service_retrieval_comments: "Service/Retrieval Comments"</v>
      </c>
      <c r="P163" s="39" t="str">
        <f t="shared" si="10"/>
        <v xml:space="preserve">    def_service_retrieval_comments: "Comments describing additional details about the Service*/Retrieval."</v>
      </c>
      <c r="Q163" s="40"/>
      <c r="R163" s="74" t="b">
        <v>0</v>
      </c>
      <c r="S163" s="77" t="b">
        <v>1</v>
      </c>
      <c r="T163" s="77" t="b">
        <v>1</v>
      </c>
      <c r="U163" s="76" t="s">
        <v>895</v>
      </c>
      <c r="V163" t="s">
        <v>896</v>
      </c>
      <c r="W163" s="13" t="s">
        <v>1816</v>
      </c>
      <c r="X163" t="s">
        <v>4081</v>
      </c>
      <c r="Y163" t="str">
        <f t="shared" si="11"/>
        <v xml:space="preserve">    service_retrieval_comments_ti: "&lt;a href=\"09_glossary.html#service_retrieval_comments\" target=\"_blank\" data-bs-toggle=\"tooltip\" data-bs-title=\"Service/Retrieval Comments: Comments describing additional details about the Service*/Retrieval.\"&gt;&lt;button type=\"button\" class=\"btn btn-bd-tip-info-hidden btn-sm position-relative\"&gt;.&lt;span class=\"position-absolute top-0 start-100 translate-middle\"&gt;{{ icon_info }}&lt;/span&gt;&lt;/button&gt;&lt;/a&gt;"</v>
      </c>
    </row>
    <row r="164" spans="1:26">
      <c r="A164" s="30"/>
      <c r="B164" s="30">
        <v>141</v>
      </c>
      <c r="C164" s="30" t="s">
        <v>429</v>
      </c>
      <c r="D164" s="73" t="s">
        <v>984</v>
      </c>
      <c r="E164" s="40" t="s">
        <v>258</v>
      </c>
      <c r="F164" s="30" t="s">
        <v>897</v>
      </c>
      <c r="G164" s="30" t="s">
        <v>767</v>
      </c>
      <c r="H164" s="30" t="s">
        <v>541</v>
      </c>
      <c r="I164" s="40" t="s">
        <v>256</v>
      </c>
      <c r="J164" s="40" t="str">
        <f t="shared" si="8"/>
        <v>service_retrieval_crew</v>
      </c>
      <c r="K164" s="40" t="s">
        <v>715</v>
      </c>
      <c r="L164" s="34" t="str">
        <f>IF(VLOOKUP(J164,find_replace!H:H,1,"false")=J164,"TRUE","FALSE")</f>
        <v>TRUE</v>
      </c>
      <c r="M164" s="73" t="s">
        <v>257</v>
      </c>
      <c r="N164" s="73" t="s">
        <v>257</v>
      </c>
      <c r="O164" s="60" t="str">
        <f t="shared" si="9"/>
        <v xml:space="preserve">    term_service_retrieval_crew: "Service/Retrieval Crew"</v>
      </c>
      <c r="P164" s="39" t="str">
        <f t="shared" si="10"/>
        <v xml:space="preserve">    def_service_retrieval_crew: "The first and last names of the individuals who collected data during the Service*/Retrieval visit."</v>
      </c>
      <c r="Q164" s="40"/>
      <c r="R164" s="74" t="b">
        <v>1</v>
      </c>
      <c r="S164" s="77" t="b">
        <v>1</v>
      </c>
      <c r="T164" s="77" t="b">
        <v>1</v>
      </c>
      <c r="U164" s="76" t="s">
        <v>895</v>
      </c>
      <c r="V164" t="s">
        <v>896</v>
      </c>
      <c r="W164" s="13" t="s">
        <v>1816</v>
      </c>
      <c r="X164" t="s">
        <v>4081</v>
      </c>
      <c r="Y164" t="str">
        <f t="shared" si="11"/>
        <v xml:space="preserve">    service_retrieval_crew_ti: "&lt;a href=\"09_glossary.html#service_retrieval_crew\" target=\"_blank\" data-bs-toggle=\"tooltip\" data-bs-title=\"Service/Retrieval Crew: The first and last names of the individuals who collected data during the Service*/Retrieval visit.\"&gt;&lt;button type=\"button\" class=\"btn btn-bd-tip-info-hidden btn-sm position-relative\"&gt;.&lt;span class=\"position-absolute top-0 start-100 translate-middle\"&gt;{{ icon_info }}&lt;/span&gt;&lt;/button&gt;&lt;/a&gt;"</v>
      </c>
    </row>
    <row r="165" spans="1:26">
      <c r="A165" s="30"/>
      <c r="B165" s="30">
        <v>142</v>
      </c>
      <c r="C165" s="30" t="s">
        <v>0</v>
      </c>
      <c r="D165" s="73" t="s">
        <v>984</v>
      </c>
      <c r="E165" s="34" t="s">
        <v>115</v>
      </c>
      <c r="F165" s="30"/>
      <c r="G165" s="30" t="s">
        <v>767</v>
      </c>
      <c r="H165" s="30" t="s">
        <v>541</v>
      </c>
      <c r="I165" s="40" t="s">
        <v>113</v>
      </c>
      <c r="J165" s="40" t="str">
        <f t="shared" si="8"/>
        <v>service_retrieval_metadata</v>
      </c>
      <c r="K165" s="34" t="s">
        <v>716</v>
      </c>
      <c r="L165" s="34" t="str">
        <f>IF(VLOOKUP(J165,find_replace!H:H,1,"false")=J165,"TRUE","FALSE")</f>
        <v>TRUE</v>
      </c>
      <c r="M165" s="73" t="s">
        <v>114</v>
      </c>
      <c r="N165" s="73" t="s">
        <v>114</v>
      </c>
      <c r="O165" s="60" t="str">
        <f t="shared" si="9"/>
        <v xml:space="preserve">    term_service_retrieval_metadata: "Service/Retrieval metadata"</v>
      </c>
      <c r="P165" s="39" t="str">
        <f t="shared" si="10"/>
        <v xml:space="preserve">    def_service_retrieval_metadata: "Metadata that should be collected each time a camera location is visited to Service*/Retrieval Field Datasheet."</v>
      </c>
      <c r="Q165" s="40"/>
      <c r="R165" s="74" t="s">
        <v>51</v>
      </c>
      <c r="S165" s="77" t="b">
        <v>1</v>
      </c>
      <c r="T165" s="77" t="b">
        <v>1</v>
      </c>
      <c r="U165" s="76" t="s">
        <v>895</v>
      </c>
      <c r="V165" t="s">
        <v>896</v>
      </c>
      <c r="W165" s="13" t="s">
        <v>1816</v>
      </c>
      <c r="X165" t="s">
        <v>4081</v>
      </c>
      <c r="Y165" t="str">
        <f t="shared" si="11"/>
        <v xml:space="preserve">    service_retrieval_metadata_ti: "&lt;a href=\"09_glossary.html#service_retrieval_metadata\" target=\"_blank\" data-bs-toggle=\"tooltip\" data-bs-title=\"Service/Retrieval metadata: Metadata that should be collected each time a camera location is visited to Service*/Retrieval Field Datasheet.\"&gt;&lt;button type=\"button\" class=\"btn btn-bd-tip-info-hidden btn-sm position-relative\"&gt;.&lt;span class=\"position-absolute top-0 start-100 translate-middle\"&gt;{{ icon_info }}&lt;/span&gt;&lt;/button&gt;&lt;/a&gt;"</v>
      </c>
    </row>
    <row r="166" spans="1:26">
      <c r="A166" s="30"/>
      <c r="B166" s="30">
        <v>143</v>
      </c>
      <c r="C166" s="30" t="s">
        <v>0</v>
      </c>
      <c r="D166" s="73" t="s">
        <v>984</v>
      </c>
      <c r="E166" s="34" t="s">
        <v>112</v>
      </c>
      <c r="F166" s="30"/>
      <c r="G166" s="30" t="s">
        <v>767</v>
      </c>
      <c r="H166" s="30" t="s">
        <v>541</v>
      </c>
      <c r="I166" s="40" t="s">
        <v>110</v>
      </c>
      <c r="J166" s="40" t="str">
        <f t="shared" si="8"/>
        <v>service_retrieval_visit</v>
      </c>
      <c r="K166" s="34" t="s">
        <v>717</v>
      </c>
      <c r="L166" s="34" t="str">
        <f>IF(VLOOKUP(J166,find_replace!H:H,1,"false")=J166,"TRUE","FALSE")</f>
        <v>TRUE</v>
      </c>
      <c r="M166" s="73" t="s">
        <v>111</v>
      </c>
      <c r="N166" s="73" t="s">
        <v>111</v>
      </c>
      <c r="O166" s="60" t="str">
        <f t="shared" si="9"/>
        <v xml:space="preserve">    term_service_retrieval_visit: "Service/Retrieval visit"</v>
      </c>
      <c r="P166" s="39" t="str">
        <f t="shared" si="10"/>
        <v xml:space="preserve">    def_service_retrieval_visit: "When a crew has gone to a location to service or retrieve a remote camera."</v>
      </c>
      <c r="Q166" s="40"/>
      <c r="R166" s="74" t="s">
        <v>51</v>
      </c>
      <c r="S166" s="77" t="b">
        <v>1</v>
      </c>
      <c r="T166" s="77" t="b">
        <v>1</v>
      </c>
      <c r="U166" s="76" t="s">
        <v>895</v>
      </c>
      <c r="V166" t="s">
        <v>896</v>
      </c>
      <c r="W166" s="13" t="s">
        <v>1816</v>
      </c>
      <c r="X166" t="s">
        <v>4081</v>
      </c>
      <c r="Y166" t="str">
        <f t="shared" si="11"/>
        <v xml:space="preserve">    service_retrieval_visit_ti: "&lt;a href=\"09_glossary.html#service_retrieval_visit\" target=\"_blank\" data-bs-toggle=\"tooltip\" data-bs-title=\"Service/Retrieval visit: When a crew has gone to a location to service or retrieve a remote camera.\"&gt;&lt;button type=\"button\" class=\"btn btn-bd-tip-info-hidden btn-sm position-relative\"&gt;.&lt;span class=\"position-absolute top-0 start-100 translate-middle\"&gt;{{ icon_info }}&lt;/span&gt;&lt;/button&gt;&lt;/a&gt;"</v>
      </c>
    </row>
    <row r="167" spans="1:26">
      <c r="A167" s="30"/>
      <c r="B167" s="30">
        <v>144</v>
      </c>
      <c r="C167" s="30" t="s">
        <v>429</v>
      </c>
      <c r="D167" s="73" t="s">
        <v>984</v>
      </c>
      <c r="E167" s="40" t="s">
        <v>4156</v>
      </c>
      <c r="F167" s="30" t="s">
        <v>897</v>
      </c>
      <c r="G167" s="30" t="s">
        <v>767</v>
      </c>
      <c r="H167" s="40" t="s">
        <v>1249</v>
      </c>
      <c r="I167" s="40" t="s">
        <v>255</v>
      </c>
      <c r="J167" s="40" t="str">
        <f t="shared" si="8"/>
        <v>sex_class</v>
      </c>
      <c r="K167" s="40" t="s">
        <v>722</v>
      </c>
      <c r="L167" s="34" t="str">
        <f>IF(VLOOKUP(J167,find_replace!H:H,1,"false")=J167,"TRUE","FALSE")</f>
        <v>TRUE</v>
      </c>
      <c r="M167" s="73" t="s">
        <v>401</v>
      </c>
      <c r="N167" s="73" t="s">
        <v>401</v>
      </c>
      <c r="O167" s="60" t="str">
        <f t="shared" si="9"/>
        <v xml:space="preserve">    term_sex_class: "Sex Class"</v>
      </c>
      <c r="P167" s="39" t="str">
        <f t="shared" si="10"/>
        <v xml:space="preserve">    def_sex_class: "The sex classification of individual(s) being categorized (e.g., 'Male,' 'Female,' or 'Unknown')."</v>
      </c>
      <c r="Q167" s="40"/>
      <c r="R167" s="74" t="b">
        <v>1</v>
      </c>
      <c r="S167" s="77" t="b">
        <v>1</v>
      </c>
      <c r="T167" s="77" t="b">
        <v>1</v>
      </c>
      <c r="U167" s="76" t="s">
        <v>895</v>
      </c>
      <c r="V167" t="s">
        <v>896</v>
      </c>
      <c r="W167" s="13" t="s">
        <v>1816</v>
      </c>
      <c r="X167" t="s">
        <v>4081</v>
      </c>
      <c r="Y167" t="str">
        <f t="shared" si="11"/>
        <v xml:space="preserve">    sex_class_ti: "&lt;a href=\"09_glossary.html#sex_class\" target=\"_blank\" data-bs-toggle=\"tooltip\" data-bs-title=\"Sex Class: The sex classification of individual(s) being categorized (e.g., 'Male,' 'Female,' or 'Unknown').\"&gt;&lt;button type=\"button\" class=\"btn btn-bd-tip-info-hidden btn-sm position-relative\"&gt;.&lt;span class=\"position-absolute top-0 start-100 translate-middle\"&gt;{{ icon_info }}&lt;/span&gt;&lt;/button&gt;&lt;/a&gt;"</v>
      </c>
    </row>
    <row r="168" spans="1:26">
      <c r="A168" s="30"/>
      <c r="B168" s="30">
        <v>145</v>
      </c>
      <c r="C168" s="30" t="s">
        <v>0</v>
      </c>
      <c r="D168" s="73" t="s">
        <v>984</v>
      </c>
      <c r="E168" s="34" t="s">
        <v>109</v>
      </c>
      <c r="F168" s="30" t="s">
        <v>897</v>
      </c>
      <c r="G168" s="30" t="s">
        <v>767</v>
      </c>
      <c r="H168" s="30" t="s">
        <v>4</v>
      </c>
      <c r="I168" s="40" t="s">
        <v>6</v>
      </c>
      <c r="J168" s="40" t="str">
        <f t="shared" si="8"/>
        <v>mod_ste</v>
      </c>
      <c r="K168" s="34" t="s">
        <v>109</v>
      </c>
      <c r="L168" s="34" t="str">
        <f>IF(VLOOKUP(J168,find_replace!H:H,1,"false")=J168,"TRUE","FALSE")</f>
        <v>TRUE</v>
      </c>
      <c r="M168" s="73" t="s">
        <v>988</v>
      </c>
      <c r="N168" s="73" t="s">
        <v>884</v>
      </c>
      <c r="O168" s="60" t="str">
        <f t="shared" si="9"/>
        <v xml:space="preserve">    term_mod_ste: "Space-to-event (STE) model (Moeller et al., 2018)"</v>
      </c>
      <c r="P168" s="39" t="str">
        <f t="shared" si="10"/>
        <v xml:space="preserve">    def_mod_ste: "A method used to estimate abundance or [density](#density) that accounts for variable detection probability through the use of time-lapse images and is unaffected by animal movement rates (collapses sampling intervals to an instant in time, and thus estimates are unaffected by animal movement rates) ({{ rtxt_moeller_et_al_2018 }})."</v>
      </c>
      <c r="Q168" s="40"/>
      <c r="R168" s="74" t="s">
        <v>51</v>
      </c>
      <c r="S168" s="75" t="b">
        <v>0</v>
      </c>
      <c r="T168" s="77" t="b">
        <v>1</v>
      </c>
      <c r="U168" s="76" t="s">
        <v>895</v>
      </c>
      <c r="V168" t="s">
        <v>896</v>
      </c>
      <c r="W168" s="13" t="s">
        <v>1816</v>
      </c>
      <c r="X168" t="s">
        <v>4081</v>
      </c>
      <c r="Y168" t="str">
        <f t="shared" si="11"/>
        <v xml:space="preserve">    mod_ste_ti: "&lt;a href=\"09_glossary.html#mod_ste\" target=\"_blank\" data-bs-toggle=\"tooltip\" data-bs-title=\"Space-to-event (STE) model (Moeller et al., 2018): A method used to estimate abundance or [density](#density) that accounts for variable detection probability through the use of time-lapse images and is unaffected by animal movement rates (collapses sampling intervals to an instant in time, and thus estimates are unaffected by animal movement rates) ({{ rtxt_moeller_et_al_2018 }}).\"&gt;&lt;button type=\"button\" class=\"btn btn-bd-tip-info-hidden btn-sm position-relative\"&gt;.&lt;span class=\"position-absolute top-0 start-100 translate-middle\"&gt;{{ icon_info }}&lt;/span&gt;&lt;/button&gt;&lt;/a&gt;"</v>
      </c>
    </row>
    <row r="169" spans="1:26">
      <c r="A169" s="30"/>
      <c r="B169" s="30">
        <v>146</v>
      </c>
      <c r="C169" s="30" t="s">
        <v>0</v>
      </c>
      <c r="D169" s="73" t="s">
        <v>984</v>
      </c>
      <c r="E169" s="34" t="s">
        <v>108</v>
      </c>
      <c r="F169" s="30"/>
      <c r="G169" s="30" t="s">
        <v>767</v>
      </c>
      <c r="H169" s="30"/>
      <c r="I169" s="40" t="s">
        <v>106</v>
      </c>
      <c r="J169" s="40" t="str">
        <f t="shared" si="8"/>
        <v>spatial_autocorrelation</v>
      </c>
      <c r="K169" s="34" t="s">
        <v>108</v>
      </c>
      <c r="L169" s="34" t="str">
        <f>IF(VLOOKUP(J169,find_replace!H:H,1,"false")=J169,"TRUE","FALSE")</f>
        <v>TRUE</v>
      </c>
      <c r="M169" s="73" t="s">
        <v>107</v>
      </c>
      <c r="N169" s="73" t="s">
        <v>107</v>
      </c>
      <c r="O169" s="60" t="str">
        <f t="shared" si="9"/>
        <v xml:space="preserve">    term_spatial_autocorrelation: "Spatial autocorrelation"</v>
      </c>
      <c r="P169" s="39" t="str">
        <f t="shared" si="10"/>
        <v xml:space="preserve">    def_spatial_autocorrelation: "The tendency for locations that are closer together to be more similar."</v>
      </c>
      <c r="Q169" s="40"/>
      <c r="R169" s="74" t="s">
        <v>51</v>
      </c>
      <c r="S169" s="75" t="b">
        <v>0</v>
      </c>
      <c r="T169" s="77" t="b">
        <v>1</v>
      </c>
      <c r="U169" s="76" t="s">
        <v>895</v>
      </c>
      <c r="V169" t="s">
        <v>896</v>
      </c>
      <c r="W169" s="13" t="s">
        <v>1816</v>
      </c>
      <c r="X169" t="s">
        <v>4081</v>
      </c>
      <c r="Y169" t="str">
        <f t="shared" si="11"/>
        <v xml:space="preserve">    spatial_autocorrelation_ti: "&lt;a href=\"09_glossary.html#spatial_autocorrelation\" target=\"_blank\" data-bs-toggle=\"tooltip\" data-bs-title=\"Spatial autocorrelation: The tendency for locations that are closer together to be more similar.\"&gt;&lt;button type=\"button\" class=\"btn btn-bd-tip-info-hidden btn-sm position-relative\"&gt;.&lt;span class=\"position-absolute top-0 start-100 translate-middle\"&gt;{{ icon_info }}&lt;/span&gt;&lt;/button&gt;&lt;/a&gt;"</v>
      </c>
    </row>
    <row r="170" spans="1:26">
      <c r="A170" s="30"/>
      <c r="B170" s="30">
        <v>147</v>
      </c>
      <c r="C170" s="30" t="s">
        <v>0</v>
      </c>
      <c r="D170" s="73" t="s">
        <v>984</v>
      </c>
      <c r="E170" s="34" t="s">
        <v>441</v>
      </c>
      <c r="F170" s="30" t="s">
        <v>897</v>
      </c>
      <c r="G170" s="30" t="s">
        <v>767</v>
      </c>
      <c r="H170" s="30" t="s">
        <v>4</v>
      </c>
      <c r="I170" s="40" t="s">
        <v>23</v>
      </c>
      <c r="J170" s="40" t="str">
        <f t="shared" si="8"/>
        <v>mod_sc</v>
      </c>
      <c r="K170" s="34" t="s">
        <v>441</v>
      </c>
      <c r="L170" s="34" t="str">
        <f>IF(VLOOKUP(J170,find_replace!H:H,1,"false")=J170,"TRUE","FALSE")</f>
        <v>TRUE</v>
      </c>
      <c r="M170" s="73" t="s">
        <v>987</v>
      </c>
      <c r="N170" s="73" t="s">
        <v>891</v>
      </c>
      <c r="O170" s="60" t="str">
        <f t="shared" si="9"/>
        <v xml:space="preserve">    term_mod_sc: "Spatial count (SC) model / Unmarked spatial capture-recapture (Chandler &amp; Royle, 2013)"</v>
      </c>
      <c r="P170" s="39" t="str">
        <f t="shared" si="10"/>
        <v xml:space="preserve">    def_mod_sc: "A method used to estimate the [density](#density) of unmarked populations; similar to SECR (Borchers &amp; Efford, 2008; Efford, 2004; Royle &amp; Young, 2008; Royle et al., 2009); however, SC models account for individuals' unknown identities using the spatial pattern of detections ({{ rtxt_chandler_royle_2013 }}; Sun et al., 2022). SC uses trap-specific counts to estimate the location and number of activity centres to estimate [density](#density)."</v>
      </c>
      <c r="Q170" s="40"/>
      <c r="R170" s="74" t="s">
        <v>51</v>
      </c>
      <c r="S170" s="75" t="b">
        <v>0</v>
      </c>
      <c r="T170" s="77" t="b">
        <v>1</v>
      </c>
      <c r="U170" s="76" t="s">
        <v>895</v>
      </c>
      <c r="V170" t="s">
        <v>896</v>
      </c>
      <c r="W170" s="13" t="s">
        <v>1816</v>
      </c>
      <c r="X170" t="s">
        <v>4081</v>
      </c>
      <c r="Y170" t="str">
        <f t="shared" si="11"/>
        <v xml:space="preserve">    mod_sc_ti: "&lt;a href=\"09_glossary.html#mod_sc\" target=\"_blank\" data-bs-toggle=\"tooltip\" data-bs-title=\"Spatial count (SC) model / Unmarked spatial capture-recapture (Chandler &amp; Royle, 2013): A method used to estimate the [density](#density) of unmarked populations; similar to SECR (Borchers &amp; Efford, 2008; Efford, 2004; Royle &amp; Young, 2008; Royle et al., 2009); however, SC models account for individuals' unknown identities using the spatial pattern of detections ({{ rtxt_chandler_royle_2013 }}; Sun et al., 2022). SC uses trap-specific counts to estimate the location and number of activity centres to estimate [density](#density).\"&gt;&lt;button type=\"button\" class=\"btn btn-bd-tip-info-hidden btn-sm position-relative\"&gt;.&lt;span class=\"position-absolute top-0 start-100 translate-middle\"&gt;{{ icon_info }}&lt;/span&gt;&lt;/button&gt;&lt;/a&gt;"</v>
      </c>
    </row>
    <row r="171" spans="1:26">
      <c r="A171" s="30"/>
      <c r="B171" s="30">
        <v>148</v>
      </c>
      <c r="C171" s="30" t="s">
        <v>0</v>
      </c>
      <c r="D171" s="73" t="s">
        <v>984</v>
      </c>
      <c r="E171" s="34" t="s">
        <v>105</v>
      </c>
      <c r="F171" s="30" t="s">
        <v>897</v>
      </c>
      <c r="G171" s="30" t="s">
        <v>767</v>
      </c>
      <c r="H171" s="30" t="s">
        <v>4</v>
      </c>
      <c r="I171" s="40" t="s">
        <v>25</v>
      </c>
      <c r="J171" s="40" t="str">
        <f t="shared" si="8"/>
        <v>mod_smr</v>
      </c>
      <c r="K171" s="34" t="s">
        <v>105</v>
      </c>
      <c r="L171" s="34" t="str">
        <f>IF(VLOOKUP(J171,find_replace!H:H,1,"false")=J171,"TRUE","FALSE")</f>
        <v>TRUE</v>
      </c>
      <c r="M171" s="73" t="s">
        <v>774</v>
      </c>
      <c r="N171" s="73" t="s">
        <v>863</v>
      </c>
      <c r="O171" s="60" t="str">
        <f t="shared" si="9"/>
        <v xml:space="preserve">    term_mod_smr: "Spatial mark-resight (SMR) (Chandler &amp; Royle, 2013; Sollmann et al., 2013a, 2013b)"</v>
      </c>
      <c r="P171" s="39" t="str">
        <f t="shared" si="10"/>
        <v xml:space="preserve">    def_mod_smr: "A method used to estimate the [density](#density) of 'partially marked populations by combining... [detection] histories of marked [individuals] and counts of unmarked [individuals]' (Doran-Myers, 2018) over several occasions (Sollman et al., 2013a; Rich et al., 2014; Whittington et al., 2018). SMR models can be implemented using different statistical frameworks, including Bayesian estimation (Royle and Young, 2008; Morin et al., 2022)."</v>
      </c>
      <c r="Q171" s="40"/>
      <c r="R171" s="74" t="s">
        <v>51</v>
      </c>
      <c r="S171" s="75" t="b">
        <v>0</v>
      </c>
      <c r="T171" s="77" t="b">
        <v>1</v>
      </c>
      <c r="U171" s="76" t="s">
        <v>895</v>
      </c>
      <c r="V171" t="s">
        <v>896</v>
      </c>
      <c r="W171" s="13" t="s">
        <v>1816</v>
      </c>
      <c r="X171" t="s">
        <v>4081</v>
      </c>
      <c r="Y171" t="str">
        <f t="shared" si="11"/>
        <v xml:space="preserve">    mod_smr_ti: "&lt;a href=\"09_glossary.html#mod_smr\" target=\"_blank\" data-bs-toggle=\"tooltip\" data-bs-title=\"Spatial mark-resight (SMR) (Chandler &amp; Royle, 2013; Sollmann et al., 2013a, 2013b): A method used to estimate the [density](#density) of 'partially marked populations by combining... [detection] histories of marked [individuals] and counts of unmarked [individuals]' (Doran-Myers, 2018) over several occasions (Sollman et al., 2013a; Rich et al., 2014; Whittington et al., 2018). SMR models can be implemented using different statistical frameworks, including Bayesian estimation (Royle and Young, 2008; Morin et al., 2022).\"&gt;&lt;button type=\"button\" class=\"btn btn-bd-tip-info-hidden btn-sm position-relative\"&gt;.&lt;span class=\"position-absolute top-0 start-100 translate-middle\"&gt;{{ icon_info }}&lt;/span&gt;&lt;/button&gt;&lt;/a&gt;"</v>
      </c>
    </row>
    <row r="172" spans="1:26">
      <c r="A172" s="30"/>
      <c r="B172" s="30">
        <v>149</v>
      </c>
      <c r="C172" s="30" t="s">
        <v>0</v>
      </c>
      <c r="D172" s="73" t="s">
        <v>984</v>
      </c>
      <c r="E172" s="34" t="s">
        <v>104</v>
      </c>
      <c r="F172" s="30" t="s">
        <v>897</v>
      </c>
      <c r="G172" s="30" t="s">
        <v>767</v>
      </c>
      <c r="H172" s="30" t="s">
        <v>4</v>
      </c>
      <c r="I172" s="40" t="s">
        <v>21</v>
      </c>
      <c r="J172" s="40" t="str">
        <f t="shared" si="8"/>
        <v>mod_2flankspim</v>
      </c>
      <c r="K172" s="34" t="s">
        <v>104</v>
      </c>
      <c r="L172" s="34" t="str">
        <f>IF(VLOOKUP(J172,find_replace!H:H,1,"false")=J172,"TRUE","FALSE")</f>
        <v>TRUE</v>
      </c>
      <c r="M172" s="73" t="s">
        <v>769</v>
      </c>
      <c r="N172" s="73" t="s">
        <v>864</v>
      </c>
      <c r="O172" s="60" t="str">
        <f t="shared" si="9"/>
        <v xml:space="preserve">    term_mod_2flankspim: "Spatial partial identity model (2-flank SPIM) (Augustine et al., 2018)"</v>
      </c>
      <c r="P172" s="39" t="str">
        <f t="shared" si="10"/>
        <v xml:space="preserve">    def_mod_2flankspim: "A method used to estimate the [density](#density) of partially marked populations in which the 'spatial locations of where partial identity samples are captured to probabilistically resolve their complete identities' (Augustine et al., 2018). Paired sampling design is commonly used to capture both the right and left flanks of an animal to resolve individual identities (Augustine et al., 2018). 2-flank SPIM is an extension of the SCR model (Borchers &amp; Efford, 2008; Efford, 2004; Royle &amp; Young, 2008; Royle et al., 2009)."</v>
      </c>
      <c r="Q172" s="40"/>
      <c r="R172" s="74" t="s">
        <v>51</v>
      </c>
      <c r="S172" s="75" t="b">
        <v>0</v>
      </c>
      <c r="T172" s="77" t="b">
        <v>1</v>
      </c>
      <c r="U172" s="76" t="s">
        <v>895</v>
      </c>
      <c r="V172" t="s">
        <v>896</v>
      </c>
      <c r="W172" s="13" t="s">
        <v>1816</v>
      </c>
      <c r="X172" t="s">
        <v>4081</v>
      </c>
      <c r="Y172" t="str">
        <f t="shared" si="11"/>
        <v xml:space="preserve">    mod_2flankspim_ti: "&lt;a href=\"09_glossary.html#mod_2flankspim\" target=\"_blank\" data-bs-toggle=\"tooltip\" data-bs-title=\"Spatial partial identity model (2-flank SPIM) (Augustine et al., 2018): A method used to estimate the [density](#density) of partially marked populations in which the 'spatial locations of where partial identity samples are captured to probabilistically resolve their complete identities' (Augustine et al., 2018). Paired sampling design is commonly used to capture both the right and left flanks of an animal to resolve individual identities (Augustine et al., 2018). 2-flank SPIM is an extension of the SCR model (Borchers &amp; Efford, 2008; Efford, 2004; Royle &amp; Young, 2008; Royle et al., 2009).\"&gt;&lt;button type=\"button\" class=\"btn btn-bd-tip-info-hidden btn-sm position-relative\"&gt;.&lt;span class=\"position-absolute top-0 start-100 translate-middle\"&gt;{{ icon_info }}&lt;/span&gt;&lt;/button&gt;&lt;/a&gt;"</v>
      </c>
    </row>
    <row r="173" spans="1:26">
      <c r="A173" s="30"/>
      <c r="B173" s="30">
        <v>150</v>
      </c>
      <c r="C173" s="30" t="s">
        <v>0</v>
      </c>
      <c r="D173" s="73" t="s">
        <v>984</v>
      </c>
      <c r="E173" s="34" t="s">
        <v>550</v>
      </c>
      <c r="F173" s="30" t="s">
        <v>897</v>
      </c>
      <c r="G173" s="30" t="s">
        <v>767</v>
      </c>
      <c r="H173" s="30" t="s">
        <v>4</v>
      </c>
      <c r="I173" s="40" t="s">
        <v>28</v>
      </c>
      <c r="J173" s="40" t="str">
        <f t="shared" si="8"/>
        <v>mod_scr_secr</v>
      </c>
      <c r="K173" s="34" t="s">
        <v>550</v>
      </c>
      <c r="L173" s="34" t="str">
        <f>IF(VLOOKUP(J173,find_replace!H:H,1,"false")=J173,"TRUE","FALSE")</f>
        <v>TRUE</v>
      </c>
      <c r="M173" s="73" t="s">
        <v>773</v>
      </c>
      <c r="N173" s="73" t="s">
        <v>865</v>
      </c>
      <c r="O173" s="60" t="str">
        <f t="shared" si="9"/>
        <v xml:space="preserve">    term_mod_scr_secr: "Spatially explicit capture-recapture (SECR) / Spatial capture-recapture (SCR) (Borchers &amp; Efford, 2008; Efford, 2004; Royle &amp; Young, 2008; Royle et al., 2009)"</v>
      </c>
      <c r="P173" s="39" t="str">
        <f t="shared" si="10"/>
        <v xml:space="preserve">    def_mod_scr_secr: "The SECR (or SCR) method is used to estimate the [density](#density)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v>
      </c>
      <c r="Q173" s="40"/>
      <c r="R173" s="74" t="s">
        <v>51</v>
      </c>
      <c r="S173" s="75" t="b">
        <v>0</v>
      </c>
      <c r="T173" s="77" t="b">
        <v>1</v>
      </c>
      <c r="U173" s="76" t="s">
        <v>895</v>
      </c>
      <c r="V173" t="s">
        <v>896</v>
      </c>
      <c r="W173" s="13" t="s">
        <v>1816</v>
      </c>
      <c r="X173" t="s">
        <v>4081</v>
      </c>
      <c r="Y173" t="str">
        <f t="shared" si="11"/>
        <v xml:space="preserve">    mod_scr_secr_ti: "&lt;a href=\"09_glossary.html#mod_scr_secr\" target=\"_blank\" data-bs-toggle=\"tooltip\" data-bs-title=\"Spatially explicit capture-recapture (SECR) / Spatial capture-recapture (SCR) (Borchers &amp; Efford, 2008; Efford, 2004; Royle &amp; Young, 2008; Royle et al., 2009): The SECR (or SCR) method is used to estimate the [density](#density)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2022).\"&gt;&lt;button type=\"button\" class=\"btn btn-bd-tip-info-hidden btn-sm position-relative\"&gt;.&lt;span class=\"position-absolute top-0 start-100 translate-middle\"&gt;{{ icon_info }}&lt;/span&gt;&lt;/button&gt;&lt;/a&gt;"</v>
      </c>
    </row>
    <row r="174" spans="1:26" s="3" customFormat="1">
      <c r="A174" s="30"/>
      <c r="B174" s="30">
        <v>151</v>
      </c>
      <c r="C174" s="30" t="s">
        <v>429</v>
      </c>
      <c r="D174" s="73" t="s">
        <v>984</v>
      </c>
      <c r="E174" s="40" t="s">
        <v>254</v>
      </c>
      <c r="F174" s="30" t="s">
        <v>897</v>
      </c>
      <c r="G174" s="30" t="s">
        <v>767</v>
      </c>
      <c r="H174" s="40" t="s">
        <v>1249</v>
      </c>
      <c r="I174" s="40" t="s">
        <v>253</v>
      </c>
      <c r="J174" s="40" t="str">
        <f t="shared" si="8"/>
        <v>species</v>
      </c>
      <c r="K174" s="40" t="s">
        <v>644</v>
      </c>
      <c r="L174" s="34" t="str">
        <f>IF(VLOOKUP(J174,find_replace!H:H,1,"false")=J174,"TRUE","FALSE")</f>
        <v>TRUE</v>
      </c>
      <c r="M174" s="73" t="s">
        <v>402</v>
      </c>
      <c r="N174" s="73" t="s">
        <v>402</v>
      </c>
      <c r="O174" s="60" t="str">
        <f t="shared" si="9"/>
        <v xml:space="preserve">    term_species: "Species"</v>
      </c>
      <c r="P174" s="39" t="str">
        <f t="shared" si="10"/>
        <v xml:space="preserve">    def_species: "The capitalized common name of the species being categorized ('tagged')."</v>
      </c>
      <c r="Q174" s="40"/>
      <c r="R174" s="74" t="b">
        <v>1</v>
      </c>
      <c r="S174" s="77" t="b">
        <v>1</v>
      </c>
      <c r="T174" s="75" t="b">
        <v>0</v>
      </c>
      <c r="U174" s="76" t="s">
        <v>895</v>
      </c>
      <c r="V174" t="s">
        <v>896</v>
      </c>
      <c r="W174" s="13" t="s">
        <v>1816</v>
      </c>
      <c r="X174" t="s">
        <v>4081</v>
      </c>
      <c r="Y174" t="str">
        <f t="shared" si="11"/>
        <v xml:space="preserve">    species_ti: "&lt;a href=\"09_glossary.html#species\" target=\"_blank\" data-bs-toggle=\"tooltip\" data-bs-title=\"Species: The capitalized common name of the species being categorized ('tagged').\"&gt;&lt;button type=\"button\" class=\"btn btn-bd-tip-info-hidden btn-sm position-relative\"&gt;.&lt;span class=\"position-absolute top-0 start-100 translate-middle\"&gt;{{ icon_info }}&lt;/span&gt;&lt;/button&gt;&lt;/a&gt;"</v>
      </c>
      <c r="Z174"/>
    </row>
    <row r="175" spans="1:26">
      <c r="A175" s="30"/>
      <c r="B175" s="30"/>
      <c r="C175" s="30" t="s">
        <v>0</v>
      </c>
      <c r="D175" s="73" t="s">
        <v>984</v>
      </c>
      <c r="E175" s="30"/>
      <c r="F175" s="30"/>
      <c r="G175" s="30" t="s">
        <v>768</v>
      </c>
      <c r="H175" s="30"/>
      <c r="I175" s="30" t="s">
        <v>1785</v>
      </c>
      <c r="J175" s="40" t="str">
        <f t="shared" si="8"/>
        <v>distribution_species</v>
      </c>
      <c r="K175" s="30" t="s">
        <v>1272</v>
      </c>
      <c r="L175" s="34" t="str">
        <f>IF(VLOOKUP(J175,find_replace!H:H,1,"false")=J175,"TRUE","FALSE")</f>
        <v>TRUE</v>
      </c>
      <c r="M175" s="54" t="s">
        <v>4118</v>
      </c>
      <c r="N175" s="54" t="s">
        <v>1271</v>
      </c>
      <c r="O175" s="60" t="str">
        <f t="shared" si="9"/>
        <v xml:space="preserve">    term_distribution_species: "Species distribution"</v>
      </c>
      <c r="P175" s="39" t="str">
        <f t="shared" si="10"/>
        <v xml:space="preserve">    def_distribution_species: "The manner in which a species is spatially arranged. The geographic limits of a particular taxon's distribution is its range, often represented as shaded areas on a map."</v>
      </c>
      <c r="Q175" s="30"/>
      <c r="R175" s="30"/>
      <c r="S175" s="30"/>
      <c r="T175" s="30"/>
      <c r="U175" s="76" t="s">
        <v>895</v>
      </c>
      <c r="V175" t="s">
        <v>896</v>
      </c>
      <c r="W175" s="13" t="s">
        <v>1816</v>
      </c>
      <c r="X175" t="s">
        <v>4081</v>
      </c>
      <c r="Y175" t="str">
        <f t="shared" si="11"/>
        <v xml:space="preserve">    distribution_species_ti: "&lt;a href=\"09_glossary.html#distribution_species\" target=\"_blank\" data-bs-toggle=\"tooltip\" data-bs-title=\"Species distribution: The manner in which a species is spatially arranged. The geographic limits of a particular taxon's distribution is its range, often represented as shaded areas on a map.\"&gt;&lt;button type=\"button\" class=\"btn btn-bd-tip-info-hidden btn-sm position-relative\"&gt;.&lt;span class=\"position-absolute top-0 start-100 translate-middle\"&gt;{{ icon_info }}&lt;/span&gt;&lt;/button&gt;&lt;/a&gt;"</v>
      </c>
    </row>
    <row r="176" spans="1:26">
      <c r="A176" s="30"/>
      <c r="B176" s="30"/>
      <c r="C176" s="30" t="s">
        <v>0</v>
      </c>
      <c r="D176" s="73" t="s">
        <v>984</v>
      </c>
      <c r="E176" s="78" t="s">
        <v>443</v>
      </c>
      <c r="F176" s="31"/>
      <c r="G176" s="30" t="s">
        <v>767</v>
      </c>
      <c r="H176" s="30" t="s">
        <v>815</v>
      </c>
      <c r="I176" s="31" t="s">
        <v>538</v>
      </c>
      <c r="J176" s="40" t="str">
        <f t="shared" si="8"/>
        <v>mod_divers_rich_divers</v>
      </c>
      <c r="K176" s="78" t="s">
        <v>443</v>
      </c>
      <c r="L176" s="34" t="str">
        <f>IF(VLOOKUP(J176,find_replace!H:H,1,"false")=J176,"TRUE","FALSE")</f>
        <v>TRUE</v>
      </c>
      <c r="M176" s="55" t="s">
        <v>998</v>
      </c>
      <c r="N176" s="79" t="s">
        <v>890</v>
      </c>
      <c r="O176" s="60" t="str">
        <f t="shared" si="9"/>
        <v xml:space="preserve">    term_mod_divers_rich_divers: "Species diversity"</v>
      </c>
      <c r="P176" s="39" t="str">
        <f t="shared" si="10"/>
        <v xml:space="preserve">    def_mod_divers_rich_divers: "A measure of diversity that incorporates both the number of species in an assemblage and some measure of their relative abundances.' ({{ rtxt_gotelli_chao_2013 }})"</v>
      </c>
      <c r="Q176" s="30"/>
      <c r="R176" s="30"/>
      <c r="S176" s="30"/>
      <c r="T176" s="30"/>
      <c r="U176" s="76" t="s">
        <v>895</v>
      </c>
      <c r="V176" t="s">
        <v>896</v>
      </c>
      <c r="W176" s="13" t="s">
        <v>1816</v>
      </c>
      <c r="X176" t="s">
        <v>4081</v>
      </c>
      <c r="Y176" t="str">
        <f t="shared" si="11"/>
        <v xml:space="preserve">    mod_divers_rich_divers_ti: "&lt;a href=\"09_glossary.html#mod_divers_rich_divers\" target=\"_blank\" data-bs-toggle=\"tooltip\" data-bs-title=\"Species diversity: A measure of diversity that incorporates both the number of species in an assemblage and some measure of their relative abundances.' ({{ rtxt_gotelli_chao_2013 }})\"&gt;&lt;button type=\"button\" class=\"btn btn-bd-tip-info-hidden btn-sm position-relative\"&gt;.&lt;span class=\"position-absolute top-0 start-100 translate-middle\"&gt;{{ icon_info }}&lt;/span&gt;&lt;/button&gt;&lt;/a&gt;"</v>
      </c>
    </row>
    <row r="177" spans="1:26">
      <c r="A177" s="52"/>
      <c r="B177" s="52"/>
      <c r="C177" s="52" t="s">
        <v>0</v>
      </c>
      <c r="D177" s="73" t="s">
        <v>1755</v>
      </c>
      <c r="E177" s="80" t="s">
        <v>443</v>
      </c>
      <c r="F177" s="35"/>
      <c r="G177" s="52" t="s">
        <v>767</v>
      </c>
      <c r="H177" s="52" t="s">
        <v>815</v>
      </c>
      <c r="I177" s="35" t="s">
        <v>538</v>
      </c>
      <c r="J177" s="40" t="str">
        <f t="shared" si="8"/>
        <v>mod_divers_rich_divers_mod</v>
      </c>
      <c r="K177" s="80" t="s">
        <v>443</v>
      </c>
      <c r="L177" s="81" t="e">
        <f>IF(VLOOKUP(J177,find_replace!H:H,1,"false")=J177,"TRUE","FALSE")</f>
        <v>#N/A</v>
      </c>
      <c r="M177" s="82" t="s">
        <v>1788</v>
      </c>
      <c r="N177" s="82" t="s">
        <v>1789</v>
      </c>
      <c r="O177" s="60" t="str">
        <f t="shared" si="9"/>
        <v xml:space="preserve">    term_mod_divers_rich_divers_mod: "Species diversity"</v>
      </c>
      <c r="P177" s="39" t="str">
        <f t="shared" si="10"/>
        <v xml:space="preserve">    def_mod_divers_rich_divers_mod: "A measure of diversity that incorporates both the number of species in an assemblage and some measure of their relative abundances. Many species diversity indices can be converted by an algebraic transformation to Hill numbers.' ({{ rtxt_gotelli_chao_2013 }})"</v>
      </c>
      <c r="Q177" s="52"/>
      <c r="R177" s="52"/>
      <c r="S177" s="52"/>
      <c r="T177" s="52"/>
      <c r="U177" s="83" t="s">
        <v>895</v>
      </c>
      <c r="V177" t="s">
        <v>896</v>
      </c>
      <c r="W177" s="13" t="s">
        <v>1816</v>
      </c>
      <c r="X177" t="s">
        <v>4081</v>
      </c>
      <c r="Y177" t="str">
        <f t="shared" si="11"/>
        <v xml:space="preserve">    mod_divers_rich_divers_mod_ti: "&lt;a href=\"09_glossary.html#mod_divers_rich_divers_mod\" target=\"_blank\" data-bs-toggle=\"tooltip\" data-bs-title=\"Species diversity: A measure of diversity that incorporates both the number of species in an assemblage and some measure of their relative abundances. Many species diversity indices can be converted by an algebraic transformation to Hill numbers.' ({{ rtxt_gotelli_chao_2013 }})\"&gt;&lt;button type=\"button\" class=\"btn btn-bd-tip-info-hidden btn-sm position-relative\"&gt;.&lt;span class=\"position-absolute top-0 start-100 translate-middle\"&gt;{{ icon_info }}&lt;/span&gt;&lt;/button&gt;&lt;/a&gt;"</v>
      </c>
      <c r="Z177" s="3"/>
    </row>
    <row r="178" spans="1:26">
      <c r="A178" s="31"/>
      <c r="B178" s="31"/>
      <c r="C178" s="31" t="s">
        <v>0</v>
      </c>
      <c r="D178" s="73" t="s">
        <v>984</v>
      </c>
      <c r="E178" s="31" t="s">
        <v>35</v>
      </c>
      <c r="F178" s="31"/>
      <c r="G178" s="30" t="s">
        <v>767</v>
      </c>
      <c r="H178" s="31" t="s">
        <v>40</v>
      </c>
      <c r="I178" s="31" t="s">
        <v>48</v>
      </c>
      <c r="J178" s="40" t="str">
        <f t="shared" si="8"/>
        <v>obj_divers_rich</v>
      </c>
      <c r="K178" s="31" t="s">
        <v>35</v>
      </c>
      <c r="L178" s="34" t="str">
        <f>IF(VLOOKUP(J178,find_replace!H:H,1,"false")=J178,"TRUE","FALSE")</f>
        <v>TRUE</v>
      </c>
      <c r="M178" s="78" t="s">
        <v>4082</v>
      </c>
      <c r="N178" s="78" t="s">
        <v>1749</v>
      </c>
      <c r="O178" s="60" t="str">
        <f t="shared" si="9"/>
        <v xml:space="preserve">    term_obj_divers_rich: "Species diversity &amp; richness"</v>
      </c>
      <c r="P178" s="39" t="str">
        <f t="shared" si="10"/>
        <v xml:space="preserve">    def_obj_divers_rich: "    - &lt;b&gt;Species diversity&lt;/b&gt;: 'A measure of diversity that incorporates both the number of species in an assemblage and some measure of their relative abundances.' ({{ rtxt_gotelli_chao_2013 }})&lt;br&gt;    - &lt;b&gt;Species richness&lt;/b&gt;: 'The total number of species in an assemblage or a sample' ({{ rtxt_gotelli_chao_2013 }})."</v>
      </c>
      <c r="Q178" s="31"/>
      <c r="R178" s="31"/>
      <c r="S178" s="31"/>
      <c r="T178" s="31"/>
      <c r="U178" s="76" t="s">
        <v>895</v>
      </c>
      <c r="V178" t="s">
        <v>896</v>
      </c>
      <c r="W178" s="13" t="s">
        <v>1816</v>
      </c>
      <c r="X178" t="s">
        <v>4081</v>
      </c>
      <c r="Y178" t="str">
        <f t="shared" si="11"/>
        <v xml:space="preserve">    obj_divers_rich_ti: "&lt;a href=\"09_glossary.html#obj_divers_rich\" target=\"_blank\" data-bs-toggle=\"tooltip\" data-bs-title=\"Species diversity &amp; richness:     - &lt;b&gt;Species diversity&lt;/b&gt;: 'A measure of diversity that incorporates both the number of species in an assemblage and some measure of their relative abundances.' ({{ rtxt_gotelli_chao_2013 }})&lt;br&gt;    - &lt;b&gt;Species richness&lt;/b&gt;: 'The total number of species in an assemblage or a sample' ({{ rtxt_gotelli_chao_2013 }}).\"&gt;&lt;button type=\"button\" class=\"btn btn-bd-tip-info-hidden btn-sm position-relative\"&gt;.&lt;span class=\"position-absolute top-0 start-100 translate-middle\"&gt;{{ icon_info }}&lt;/span&gt;&lt;/button&gt;&lt;/a&gt;"</v>
      </c>
    </row>
    <row r="179" spans="1:26">
      <c r="A179" s="31"/>
      <c r="B179" s="31"/>
      <c r="C179" s="31" t="s">
        <v>0</v>
      </c>
      <c r="D179" s="73" t="s">
        <v>984</v>
      </c>
      <c r="E179" s="31" t="s">
        <v>37</v>
      </c>
      <c r="F179" s="31"/>
      <c r="G179" s="30" t="s">
        <v>767</v>
      </c>
      <c r="H179" s="31" t="s">
        <v>40</v>
      </c>
      <c r="I179" s="31" t="s">
        <v>49</v>
      </c>
      <c r="J179" s="40" t="str">
        <f t="shared" si="8"/>
        <v>obj_inventory</v>
      </c>
      <c r="K179" s="31" t="s">
        <v>37</v>
      </c>
      <c r="L179" s="34" t="str">
        <f>IF(VLOOKUP(J179,find_replace!H:H,1,"false")=J179,"TRUE","FALSE")</f>
        <v>TRUE</v>
      </c>
      <c r="M179" s="73" t="s">
        <v>997</v>
      </c>
      <c r="N179" s="85" t="s">
        <v>871</v>
      </c>
      <c r="O179" s="60" t="str">
        <f t="shared" si="9"/>
        <v xml:space="preserve">    term_obj_inventory: "Species inventory"</v>
      </c>
      <c r="P179" s="39" t="str">
        <f t="shared" si="10"/>
        <v xml:space="preserve">    def_obj_inventory: "Rapid assessment [surveys](#survey) used to determine what species are present in a given area at a given point in time; there is no attempt made to quantify aspects of communities or populations ({{ rtxt_wearn_gloverkapfer_2017 }})."</v>
      </c>
      <c r="Q179" s="31"/>
      <c r="R179" s="31"/>
      <c r="S179" s="31"/>
      <c r="T179" s="31"/>
      <c r="U179" s="76" t="s">
        <v>895</v>
      </c>
      <c r="V179" t="s">
        <v>896</v>
      </c>
      <c r="W179" s="13" t="s">
        <v>1816</v>
      </c>
      <c r="X179" t="s">
        <v>4081</v>
      </c>
      <c r="Y179" t="str">
        <f t="shared" si="11"/>
        <v xml:space="preserve">    obj_inventory_ti: "&lt;a href=\"09_glossary.html#obj_inventory\" target=\"_blank\" data-bs-toggle=\"tooltip\" data-bs-title=\"Species inventory: Rapid assessment [surveys](#survey) used to determine what species are present in a given area at a given point in time; there is no attempt made to quantify aspects of communities or populations ({{ rtxt_wearn_gloverkapfer_2017 }}).\"&gt;&lt;button type=\"button\" class=\"btn btn-bd-tip-info-hidden btn-sm position-relative\"&gt;.&lt;span class=\"position-absolute top-0 start-100 translate-middle\"&gt;{{ icon_info }}&lt;/span&gt;&lt;/button&gt;&lt;/a&gt;"</v>
      </c>
    </row>
    <row r="180" spans="1:26">
      <c r="A180" s="30"/>
      <c r="B180" s="30"/>
      <c r="C180" s="30" t="s">
        <v>0</v>
      </c>
      <c r="D180" s="73" t="s">
        <v>984</v>
      </c>
      <c r="E180" s="30"/>
      <c r="F180" s="30"/>
      <c r="G180" s="30" t="s">
        <v>768</v>
      </c>
      <c r="H180" s="30"/>
      <c r="I180" s="30" t="s">
        <v>458</v>
      </c>
      <c r="J180" s="40" t="str">
        <f t="shared" si="8"/>
        <v>sp_rarity</v>
      </c>
      <c r="K180" s="30" t="s">
        <v>666</v>
      </c>
      <c r="L180" s="34" t="str">
        <f>IF(VLOOKUP(J180,find_replace!H:H,1,"false")=J180,"TRUE","FALSE")</f>
        <v>TRUE</v>
      </c>
      <c r="M180" s="54" t="s">
        <v>4120</v>
      </c>
      <c r="N180" s="54" t="s">
        <v>1837</v>
      </c>
      <c r="O180" s="60" t="str">
        <f t="shared" si="9"/>
        <v xml:space="preserve">    term_sp_rarity: "Species rarity"</v>
      </c>
      <c r="P180" s="39" t="str">
        <f t="shared" si="10"/>
        <v xml:space="preserve">    def_sp_rarity: "The number of individuals present of the species in question, relative to the total number of individuals of all species (or how 'represented' is the species when considering the total number of individuals of all species)."</v>
      </c>
      <c r="Q180" s="30"/>
      <c r="R180" s="30"/>
      <c r="S180" s="30"/>
      <c r="T180" s="30"/>
      <c r="U180" s="76" t="s">
        <v>895</v>
      </c>
      <c r="V180" t="s">
        <v>896</v>
      </c>
      <c r="W180" s="13" t="s">
        <v>1816</v>
      </c>
      <c r="X180" t="s">
        <v>4081</v>
      </c>
      <c r="Y180" t="str">
        <f t="shared" si="11"/>
        <v xml:space="preserve">    sp_rarity_ti: "&lt;a href=\"09_glossary.html#sp_rarity\" target=\"_blank\" data-bs-toggle=\"tooltip\" data-bs-title=\"Species rarity: The number of individuals present of the species in question, relative to the total number of individuals of all species (or how 'represented' is the species when considering the total number of individuals of all species).\"&gt;&lt;button type=\"button\" class=\"btn btn-bd-tip-info-hidden btn-sm position-relative\"&gt;.&lt;span class=\"position-absolute top-0 start-100 translate-middle\"&gt;{{ icon_info }}&lt;/span&gt;&lt;/button&gt;&lt;/a&gt;"</v>
      </c>
    </row>
    <row r="181" spans="1:26">
      <c r="A181" s="30" t="s">
        <v>530</v>
      </c>
      <c r="B181" s="30"/>
      <c r="C181" s="30" t="s">
        <v>0</v>
      </c>
      <c r="D181" s="73" t="s">
        <v>984</v>
      </c>
      <c r="E181" s="78" t="s">
        <v>442</v>
      </c>
      <c r="F181" s="31"/>
      <c r="G181" s="30" t="s">
        <v>767</v>
      </c>
      <c r="H181" s="30" t="s">
        <v>815</v>
      </c>
      <c r="I181" s="31" t="s">
        <v>451</v>
      </c>
      <c r="J181" s="40" t="str">
        <f t="shared" si="8"/>
        <v>mod_divers_rich_rich</v>
      </c>
      <c r="K181" s="78" t="s">
        <v>442</v>
      </c>
      <c r="L181" s="34" t="str">
        <f>IF(VLOOKUP(J181,find_replace!H:H,1,"false")=J181,"TRUE","FALSE")</f>
        <v>TRUE</v>
      </c>
      <c r="M181" s="55" t="s">
        <v>995</v>
      </c>
      <c r="N181" s="79" t="s">
        <v>889</v>
      </c>
      <c r="O181" s="60" t="str">
        <f t="shared" si="9"/>
        <v xml:space="preserve">    term_mod_divers_rich_rich: "Species richness"</v>
      </c>
      <c r="P181" s="39" t="str">
        <f t="shared" si="10"/>
        <v xml:space="preserve">    def_mod_divers_rich_rich: "The total number of species in an assemblage or a sample' ({{ rtxt_gotelli_chao_2013 }})."</v>
      </c>
      <c r="Q181" s="30"/>
      <c r="R181" s="30"/>
      <c r="S181" s="30"/>
      <c r="T181" s="30"/>
      <c r="U181" s="76" t="s">
        <v>895</v>
      </c>
      <c r="V181" t="s">
        <v>896</v>
      </c>
      <c r="W181" s="13" t="s">
        <v>1816</v>
      </c>
      <c r="X181" t="s">
        <v>4081</v>
      </c>
      <c r="Y181" t="str">
        <f t="shared" si="11"/>
        <v xml:space="preserve">    mod_divers_rich_rich_ti: "&lt;a href=\"09_glossary.html#mod_divers_rich_rich\" target=\"_blank\" data-bs-toggle=\"tooltip\" data-bs-title=\"Species richness: The total number of species in an assemblage or a sample' ({{ rtxt_gotelli_chao_2013 }}).\"&gt;&lt;button type=\"button\" class=\"btn btn-bd-tip-info-hidden btn-sm position-relative\"&gt;.&lt;span class=\"position-absolute top-0 start-100 translate-middle\"&gt;{{ icon_info }}&lt;/span&gt;&lt;/button&gt;&lt;/a&gt;"</v>
      </c>
    </row>
    <row r="182" spans="1:26">
      <c r="A182" s="30" t="s">
        <v>530</v>
      </c>
      <c r="B182" s="30"/>
      <c r="C182" s="30" t="s">
        <v>0</v>
      </c>
      <c r="D182" s="73" t="s">
        <v>1755</v>
      </c>
      <c r="E182" s="78" t="s">
        <v>442</v>
      </c>
      <c r="F182" s="31"/>
      <c r="G182" s="30" t="s">
        <v>767</v>
      </c>
      <c r="H182" s="30" t="s">
        <v>815</v>
      </c>
      <c r="I182" s="31" t="s">
        <v>451</v>
      </c>
      <c r="J182" s="40" t="str">
        <f t="shared" si="8"/>
        <v>mod_divers_rich_rich_mod</v>
      </c>
      <c r="K182" s="78" t="s">
        <v>442</v>
      </c>
      <c r="L182" s="34" t="e">
        <f>IF(VLOOKUP(J182,find_replace!H:H,1,"false")=J182,"TRUE","FALSE")</f>
        <v>#N/A</v>
      </c>
      <c r="M182" s="54" t="s">
        <v>996</v>
      </c>
      <c r="N182" s="84" t="s">
        <v>878</v>
      </c>
      <c r="O182" s="60" t="str">
        <f t="shared" si="9"/>
        <v xml:space="preserve">    term_mod_divers_rich_rich_mod: "Species richness"</v>
      </c>
      <c r="P182" s="39" t="str">
        <f t="shared" si="10"/>
        <v xml:space="preserve">    def_mod_divers_rich_rich_mod: "The number of species found in the community/area measured ({{ rtxt_pyron_2010 }})."</v>
      </c>
      <c r="Q182" s="30"/>
      <c r="R182" s="30"/>
      <c r="S182" s="30"/>
      <c r="T182" s="30"/>
      <c r="U182" s="76" t="s">
        <v>895</v>
      </c>
      <c r="V182" t="s">
        <v>896</v>
      </c>
      <c r="W182" s="13" t="s">
        <v>1816</v>
      </c>
      <c r="X182" t="s">
        <v>4081</v>
      </c>
      <c r="Y182" t="str">
        <f t="shared" si="11"/>
        <v xml:space="preserve">    mod_divers_rich_rich_mod_ti: "&lt;a href=\"09_glossary.html#mod_divers_rich_rich_mod\" target=\"_blank\" data-bs-toggle=\"tooltip\" data-bs-title=\"Species richness: The number of species found in the community/area measured ({{ rtxt_pyron_2010 }}).\"&gt;&lt;button type=\"button\" class=\"btn btn-bd-tip-info-hidden btn-sm position-relative\"&gt;.&lt;span class=\"position-absolute top-0 start-100 translate-middle\"&gt;{{ icon_info }}&lt;/span&gt;&lt;/button&gt;&lt;/a&gt;"</v>
      </c>
    </row>
    <row r="183" spans="1:26">
      <c r="A183" s="30" t="s">
        <v>530</v>
      </c>
      <c r="B183" s="30"/>
      <c r="C183" s="30" t="s">
        <v>0</v>
      </c>
      <c r="D183" s="73" t="s">
        <v>1823</v>
      </c>
      <c r="E183" s="78" t="s">
        <v>442</v>
      </c>
      <c r="F183" s="31"/>
      <c r="G183" s="30" t="s">
        <v>767</v>
      </c>
      <c r="H183" s="30" t="s">
        <v>815</v>
      </c>
      <c r="I183" s="31" t="s">
        <v>451</v>
      </c>
      <c r="J183" s="40" t="str">
        <f t="shared" si="8"/>
        <v>mod_divers_rich_rich_mod2</v>
      </c>
      <c r="K183" s="78" t="s">
        <v>442</v>
      </c>
      <c r="L183" s="34" t="e">
        <f>IF(VLOOKUP(J183,find_replace!H:H,1,"false")=J183,"TRUE","FALSE")</f>
        <v>#N/A</v>
      </c>
      <c r="M183" s="55" t="s">
        <v>1787</v>
      </c>
      <c r="N183" s="55" t="s">
        <v>1786</v>
      </c>
      <c r="O183" s="60" t="str">
        <f t="shared" si="9"/>
        <v xml:space="preserve">    term_mod_divers_rich_rich_mod2: "Species richness"</v>
      </c>
      <c r="P183" s="39" t="str">
        <f t="shared" si="10"/>
        <v xml:space="preserve">    def_mod_divers_rich_rich_mod2: "The total number of species in an assemblage or a sample. Species richness in an assemblage is difficult to estimate reliably from sample data because it is very sensitive to the number of individuals and the number of samples collected. Species richness is a diversity of order 0 (which means it is completely insensitive to species abundances).' ({{ rtxt_gotelli_chao_2013 }})"</v>
      </c>
      <c r="Q183" s="30"/>
      <c r="R183" s="30"/>
      <c r="S183" s="30"/>
      <c r="T183" s="30"/>
      <c r="U183" s="76" t="s">
        <v>895</v>
      </c>
      <c r="V183" t="s">
        <v>896</v>
      </c>
      <c r="W183" s="13" t="s">
        <v>1816</v>
      </c>
      <c r="X183" t="s">
        <v>4081</v>
      </c>
      <c r="Y183" t="str">
        <f t="shared" si="11"/>
        <v xml:space="preserve">    mod_divers_rich_rich_mod2_ti: "&lt;a href=\"09_glossary.html#mod_divers_rich_rich_mod2\" target=\"_blank\" data-bs-toggle=\"tooltip\" data-bs-title=\"Species richness: The total number of species in an assemblage or a sample. Species richness in an assemblage is difficult to estimate reliably from sample data because it is very sensitive to the number of individuals and the number of samples collected. Species richness is a diversity of order 0 (which means it is completely insensitive to species abundances).' ({{ rtxt_gotelli_chao_2013 }})\"&gt;&lt;button type=\"button\" class=\"btn btn-bd-tip-info-hidden btn-sm position-relative\"&gt;.&lt;span class=\"position-absolute top-0 start-100 translate-middle\"&gt;{{ icon_info }}&lt;/span&gt;&lt;/button&gt;&lt;/a&gt;"</v>
      </c>
    </row>
    <row r="184" spans="1:26">
      <c r="A184" s="30"/>
      <c r="B184" s="30"/>
      <c r="C184" s="30" t="s">
        <v>0</v>
      </c>
      <c r="D184" s="73" t="s">
        <v>984</v>
      </c>
      <c r="E184" s="30"/>
      <c r="F184" s="30"/>
      <c r="G184" s="30" t="s">
        <v>768</v>
      </c>
      <c r="H184" s="30"/>
      <c r="I184" s="30" t="s">
        <v>1363</v>
      </c>
      <c r="J184" s="40" t="str">
        <f t="shared" si="8"/>
        <v>sp_accum_curve</v>
      </c>
      <c r="K184" s="30" t="s">
        <v>1357</v>
      </c>
      <c r="L184" s="34" t="str">
        <f>IF(VLOOKUP(J184,find_replace!H:H,1,"false")=J184,"TRUE","FALSE")</f>
        <v>TRUE</v>
      </c>
      <c r="M184" s="55" t="s">
        <v>1833</v>
      </c>
      <c r="N184" s="55" t="s">
        <v>1835</v>
      </c>
      <c r="O184" s="60" t="str">
        <f t="shared" si="9"/>
        <v xml:space="preserve">    term_sp_accum_curve: "Species-accumulation curve"</v>
      </c>
      <c r="P184" s="39" t="str">
        <f t="shared" si="10"/>
        <v xml:space="preserve">    def_sp_accum_curve: "A curve of rising biodiversity in which the x-axis is the number of sampling units (individuals or samples) from an assemblage and the y-axis is the observed species richness. The species accumulation curve rises monotonically to an asymptotic maximum number of species.' ({{ rtxt_gotelli_chao_2013 }})"</v>
      </c>
      <c r="Q184" s="30"/>
      <c r="R184" s="30"/>
      <c r="S184" s="30"/>
      <c r="T184" s="30"/>
      <c r="U184" s="76" t="s">
        <v>895</v>
      </c>
      <c r="V184" t="s">
        <v>896</v>
      </c>
      <c r="W184" s="13" t="s">
        <v>1816</v>
      </c>
      <c r="X184" t="s">
        <v>4081</v>
      </c>
      <c r="Y184" t="str">
        <f t="shared" si="11"/>
        <v xml:space="preserve">    sp_accum_curve_ti: "&lt;a href=\"09_glossary.html#sp_accum_curve\" target=\"_blank\" data-bs-toggle=\"tooltip\" data-bs-title=\"Species-accumulation curve: A curve of rising biodiversity in which the x-axis is the number of sampling units (individuals or samples) from an assemblage and the y-axis is the observed species richness. The species accumulation curve rises monotonically to an asymptotic maximum number of species.' ({{ rtxt_gotelli_chao_2013 }})\"&gt;&lt;button type=\"button\" class=\"btn btn-bd-tip-info-hidden btn-sm position-relative\"&gt;.&lt;span class=\"position-absolute top-0 start-100 translate-middle\"&gt;{{ icon_info }}&lt;/span&gt;&lt;/button&gt;&lt;/a&gt;"</v>
      </c>
    </row>
    <row r="185" spans="1:26">
      <c r="A185" s="30"/>
      <c r="B185" s="30"/>
      <c r="C185" s="30" t="s">
        <v>0</v>
      </c>
      <c r="D185" s="73" t="s">
        <v>984</v>
      </c>
      <c r="E185" s="30"/>
      <c r="F185" s="30"/>
      <c r="G185" s="30" t="s">
        <v>651</v>
      </c>
      <c r="H185" s="30"/>
      <c r="I185" s="30" t="s">
        <v>798</v>
      </c>
      <c r="J185" s="40" t="str">
        <f t="shared" si="8"/>
        <v>sp_specific</v>
      </c>
      <c r="K185" s="30" t="s">
        <v>646</v>
      </c>
      <c r="L185" s="34" t="str">
        <f>IF(VLOOKUP(J185,find_replace!H:H,1,"false")=J185,"TRUE","FALSE")</f>
        <v>TRUE</v>
      </c>
      <c r="M185" s="55" t="s">
        <v>1342</v>
      </c>
      <c r="N185" s="55" t="s">
        <v>1297</v>
      </c>
      <c r="O185" s="60" t="str">
        <f t="shared" si="9"/>
        <v xml:space="preserve">    term_sp_specific: "Species-specific"</v>
      </c>
      <c r="P185" s="39" t="str">
        <f t="shared" si="10"/>
        <v xml:space="preserve">    def_sp_specific: "Relating to one specific species. For example, focusing specifically on moose.' ({{ rtxt_kemp_et_al_2022 }})."</v>
      </c>
      <c r="Q185" s="30"/>
      <c r="R185" s="30"/>
      <c r="S185" s="30"/>
      <c r="T185" s="30"/>
      <c r="U185" s="76" t="s">
        <v>895</v>
      </c>
      <c r="V185" t="s">
        <v>896</v>
      </c>
      <c r="W185" s="13" t="s">
        <v>1816</v>
      </c>
      <c r="X185" t="s">
        <v>4081</v>
      </c>
      <c r="Y185" t="str">
        <f t="shared" si="11"/>
        <v xml:space="preserve">    sp_specific_ti: "&lt;a href=\"09_glossary.html#sp_specific\" target=\"_blank\" data-bs-toggle=\"tooltip\" data-bs-title=\"Species-specific: Relating to one specific species. For example, focusing specifically on moose.' ({{ rtxt_kemp_et_al_2022 }}).\"&gt;&lt;button type=\"button\" class=\"btn btn-bd-tip-info-hidden btn-sm position-relative\"&gt;.&lt;span class=\"position-absolute top-0 start-100 translate-middle\"&gt;{{ icon_info }}&lt;/span&gt;&lt;/button&gt;&lt;/a&gt;"</v>
      </c>
    </row>
    <row r="186" spans="1:26">
      <c r="A186" s="30"/>
      <c r="B186" s="30">
        <v>152</v>
      </c>
      <c r="C186" s="30" t="s">
        <v>429</v>
      </c>
      <c r="D186" s="73" t="s">
        <v>984</v>
      </c>
      <c r="E186" s="40" t="s">
        <v>500</v>
      </c>
      <c r="F186" s="30" t="s">
        <v>897</v>
      </c>
      <c r="G186" s="30" t="s">
        <v>767</v>
      </c>
      <c r="H186" s="30" t="s">
        <v>543</v>
      </c>
      <c r="I186" s="40" t="s">
        <v>314</v>
      </c>
      <c r="J186" s="40" t="str">
        <f t="shared" si="8"/>
        <v>stake_distance</v>
      </c>
      <c r="K186" s="40" t="s">
        <v>759</v>
      </c>
      <c r="L186" s="34" t="str">
        <f>IF(VLOOKUP(J186,find_replace!H:H,1,"false")=J186,"TRUE","FALSE")</f>
        <v>TRUE</v>
      </c>
      <c r="M186" s="73" t="s">
        <v>315</v>
      </c>
      <c r="N186" s="73" t="s">
        <v>315</v>
      </c>
      <c r="O186" s="60" t="str">
        <f t="shared" si="9"/>
        <v xml:space="preserve">    term_stake_distance: "Stake Distance (m)"</v>
      </c>
      <c r="P186" s="39" t="str">
        <f t="shared" si="10"/>
        <v xml:space="preserve">    def_stake_distance: "The distance from the camera to a stake (in metres to the nearest 0.05 m). Leave blank if not applicable."</v>
      </c>
      <c r="Q186" s="40" t="b">
        <v>1</v>
      </c>
      <c r="R186" s="74" t="b">
        <v>0</v>
      </c>
      <c r="S186" s="77" t="b">
        <v>1</v>
      </c>
      <c r="T186" s="77" t="b">
        <v>1</v>
      </c>
      <c r="U186" s="76" t="s">
        <v>895</v>
      </c>
      <c r="V186" t="s">
        <v>896</v>
      </c>
      <c r="W186" s="13" t="s">
        <v>1816</v>
      </c>
      <c r="X186" t="s">
        <v>4081</v>
      </c>
      <c r="Y186" t="str">
        <f t="shared" si="11"/>
        <v xml:space="preserve">    stake_distance_ti: "&lt;a href=\"09_glossary.html#stake_distance\" target=\"_blank\" data-bs-toggle=\"tooltip\" data-bs-title=\"Stake Distance (m): The distance from the camera to a stake (in metres to the nearest 0.05 m). Leave blank if not applicable.\"&gt;&lt;button type=\"button\" class=\"btn btn-bd-tip-info-hidden btn-sm position-relative\"&gt;.&lt;span class=\"position-absolute top-0 start-100 translate-middle\"&gt;{{ icon_info }}&lt;/span&gt;&lt;/button&gt;&lt;/a&gt;"</v>
      </c>
    </row>
    <row r="187" spans="1:26">
      <c r="A187" s="30"/>
      <c r="B187" s="30">
        <v>153</v>
      </c>
      <c r="C187" s="30" t="s">
        <v>0</v>
      </c>
      <c r="D187" s="73" t="s">
        <v>984</v>
      </c>
      <c r="E187" s="34" t="s">
        <v>103</v>
      </c>
      <c r="F187" s="30"/>
      <c r="G187" s="30" t="s">
        <v>767</v>
      </c>
      <c r="H187" s="40" t="s">
        <v>818</v>
      </c>
      <c r="I187" s="40" t="s">
        <v>102</v>
      </c>
      <c r="J187" s="40" t="str">
        <f t="shared" si="8"/>
        <v>state_variable</v>
      </c>
      <c r="K187" s="34" t="s">
        <v>103</v>
      </c>
      <c r="L187" s="34" t="str">
        <f>IF(VLOOKUP(J187,find_replace!H:H,1,"false")=J187,"TRUE","FALSE")</f>
        <v>TRUE</v>
      </c>
      <c r="M187" s="73" t="s">
        <v>315</v>
      </c>
      <c r="N187" s="73" t="s">
        <v>850</v>
      </c>
      <c r="O187" s="60" t="str">
        <f t="shared" si="9"/>
        <v xml:space="preserve">    term_state_variable: "State variable"</v>
      </c>
      <c r="P187" s="39" t="str">
        <f t="shared" si="10"/>
        <v xml:space="preserve">    def_state_variable: "The distance from the camera to a stake (in metres to the nearest 0.05 m). Leave blank if not applicable."</v>
      </c>
      <c r="Q187" s="40"/>
      <c r="R187" s="74" t="s">
        <v>51</v>
      </c>
      <c r="S187" s="75" t="b">
        <v>0</v>
      </c>
      <c r="T187" s="77" t="b">
        <v>1</v>
      </c>
      <c r="U187" s="76" t="s">
        <v>895</v>
      </c>
      <c r="V187" t="s">
        <v>896</v>
      </c>
      <c r="W187" s="13" t="s">
        <v>1816</v>
      </c>
      <c r="X187" t="s">
        <v>4081</v>
      </c>
      <c r="Y187" t="str">
        <f t="shared" si="11"/>
        <v xml:space="preserve">    state_variable_ti: "&lt;a href=\"09_glossary.html#state_variable\" target=\"_blank\" data-bs-toggle=\"tooltip\" data-bs-title=\"State variable: The distance from the camera to a stake (in metres to the nearest 0.05 m). Leave blank if not applicable.\"&gt;&lt;button type=\"button\" class=\"btn btn-bd-tip-info-hidden btn-sm position-relative\"&gt;.&lt;span class=\"position-absolute top-0 start-100 translate-middle\"&gt;{{ icon_info }}&lt;/span&gt;&lt;/button&gt;&lt;/a&gt;"</v>
      </c>
    </row>
    <row r="188" spans="1:26">
      <c r="A188" s="30"/>
      <c r="B188" s="30"/>
      <c r="C188" s="30" t="s">
        <v>0</v>
      </c>
      <c r="D188" s="73" t="s">
        <v>984</v>
      </c>
      <c r="E188" s="40" t="s">
        <v>766</v>
      </c>
      <c r="F188" s="30"/>
      <c r="G188" s="30" t="s">
        <v>768</v>
      </c>
      <c r="H188" s="30"/>
      <c r="I188" s="40" t="s">
        <v>765</v>
      </c>
      <c r="J188" s="40" t="str">
        <f t="shared" si="8"/>
        <v>strata</v>
      </c>
      <c r="K188" s="40" t="s">
        <v>766</v>
      </c>
      <c r="L188" s="34" t="str">
        <f>IF(VLOOKUP(J188,find_replace!H:H,1,"false")=J188,"TRUE","FALSE")</f>
        <v>TRUE</v>
      </c>
      <c r="M188" s="55" t="s">
        <v>1791</v>
      </c>
      <c r="N188" s="55" t="s">
        <v>1790</v>
      </c>
      <c r="O188" s="60" t="str">
        <f t="shared" si="9"/>
        <v xml:space="preserve">    term_strata: "Strata"</v>
      </c>
      <c r="P188" s="39" t="str">
        <f t="shared" si="10"/>
        <v xml:space="preserve">    def_strata: "(plural of stratum) the 'division in an organized system based on the characteristics of that system' ({{ rtxt_morrison_et_al_2008 }})"</v>
      </c>
      <c r="Q188" s="30"/>
      <c r="R188" s="30"/>
      <c r="S188" s="30"/>
      <c r="T188" s="30"/>
      <c r="U188" s="76" t="s">
        <v>895</v>
      </c>
      <c r="V188" t="s">
        <v>896</v>
      </c>
      <c r="W188" s="13" t="s">
        <v>1816</v>
      </c>
      <c r="X188" t="s">
        <v>4081</v>
      </c>
      <c r="Y188" t="str">
        <f t="shared" si="11"/>
        <v xml:space="preserve">    strata_ti: "&lt;a href=\"09_glossary.html#strata\" target=\"_blank\" data-bs-toggle=\"tooltip\" data-bs-title=\"Strata: (plural of stratum) the 'division in an organized system based on the characteristics of that system' ({{ rtxt_morrison_et_al_2008 }})\"&gt;&lt;button type=\"button\" class=\"btn btn-bd-tip-info-hidden btn-sm position-relative\"&gt;.&lt;span class=\"position-absolute top-0 start-100 translate-middle\"&gt;{{ icon_info }}&lt;/span&gt;&lt;/button&gt;&lt;/a&gt;"</v>
      </c>
    </row>
    <row r="189" spans="1:26">
      <c r="A189" s="30"/>
      <c r="B189" s="30">
        <v>154</v>
      </c>
      <c r="C189" s="30" t="s">
        <v>0</v>
      </c>
      <c r="D189" s="73" t="s">
        <v>984</v>
      </c>
      <c r="E189" s="34" t="s">
        <v>101</v>
      </c>
      <c r="F189" s="30"/>
      <c r="G189" s="30" t="s">
        <v>767</v>
      </c>
      <c r="H189" s="30" t="s">
        <v>540</v>
      </c>
      <c r="I189" s="40" t="s">
        <v>99</v>
      </c>
      <c r="J189" s="40" t="str">
        <f t="shared" si="8"/>
        <v>sampledesign_stratified</v>
      </c>
      <c r="K189" s="34" t="s">
        <v>101</v>
      </c>
      <c r="L189" s="34" t="str">
        <f>IF(VLOOKUP(J189,find_replace!H:H,1,"false")=J189,"TRUE","FALSE")</f>
        <v>TRUE</v>
      </c>
      <c r="M189" s="73" t="s">
        <v>100</v>
      </c>
      <c r="N189" s="73" t="s">
        <v>100</v>
      </c>
      <c r="O189" s="60" t="str">
        <f t="shared" si="9"/>
        <v xml:space="preserve">    term_sampledesign_stratified: "Stratified design"</v>
      </c>
      <c r="P189" s="39" t="str">
        <f t="shared" si="10"/>
        <v xml:space="preserve">    def_sampledesign_stratified: "The area of interest is divided into smaller strata (e.g., habitat type, disturbance levels), and cameras are placed within each stratum (e.g., 15%, 35% and 50% of sites within high, medium, and low disturbance strata)."</v>
      </c>
      <c r="Q189" s="40"/>
      <c r="R189" s="74" t="s">
        <v>51</v>
      </c>
      <c r="S189" s="77" t="b">
        <v>1</v>
      </c>
      <c r="T189" s="77" t="b">
        <v>1</v>
      </c>
      <c r="U189" s="76" t="s">
        <v>895</v>
      </c>
      <c r="V189" t="s">
        <v>896</v>
      </c>
      <c r="W189" s="13" t="s">
        <v>1816</v>
      </c>
      <c r="X189" t="s">
        <v>4081</v>
      </c>
      <c r="Y189" t="str">
        <f t="shared" si="11"/>
        <v xml:space="preserve">    sampledesign_stratified_ti: "&lt;a href=\"09_glossary.html#sampledesign_stratified\" target=\"_blank\" data-bs-toggle=\"tooltip\" data-bs-title=\"Stratified design: The area of interest is divided into smaller strata (e.g., habitat type, disturbance levels), and cameras are placed within each stratum (e.g., 15%, 35% and 50% of sites within high, medium, and low disturbance strata).\"&gt;&lt;button type=\"button\" class=\"btn btn-bd-tip-info-hidden btn-sm position-relative\"&gt;.&lt;span class=\"position-absolute top-0 start-100 translate-middle\"&gt;{{ icon_info }}&lt;/span&gt;&lt;/button&gt;&lt;/a&gt;"</v>
      </c>
    </row>
    <row r="190" spans="1:26">
      <c r="A190" s="30"/>
      <c r="B190" s="30">
        <v>155</v>
      </c>
      <c r="C190" s="30" t="s">
        <v>0</v>
      </c>
      <c r="D190" s="73" t="s">
        <v>984</v>
      </c>
      <c r="E190" s="34" t="s">
        <v>98</v>
      </c>
      <c r="F190" s="30"/>
      <c r="G190" s="30" t="s">
        <v>767</v>
      </c>
      <c r="H190" s="30" t="s">
        <v>540</v>
      </c>
      <c r="I190" s="40" t="s">
        <v>96</v>
      </c>
      <c r="J190" s="40" t="str">
        <f t="shared" si="8"/>
        <v>sampledesign_stratified_random</v>
      </c>
      <c r="K190" s="34" t="s">
        <v>98</v>
      </c>
      <c r="L190" s="34" t="str">
        <f>IF(VLOOKUP(J190,find_replace!H:H,1,"false")=J190,"TRUE","FALSE")</f>
        <v>TRUE</v>
      </c>
      <c r="M190" s="73" t="s">
        <v>97</v>
      </c>
      <c r="N190" s="73" t="s">
        <v>97</v>
      </c>
      <c r="O190" s="60" t="str">
        <f t="shared" si="9"/>
        <v xml:space="preserve">    term_sampledesign_stratified_random: "Stratified random design "</v>
      </c>
      <c r="P190" s="39" t="str">
        <f t="shared" si="10"/>
        <v xml:space="preserve">    def_sampledesign_stratified_random: "The area of interest is divided into smaller strata (e.g., habitat type, disturbance levels), and then a proportional random sample of sites is selected within each stratum (e.g., 15%, 35% and 50% of sites within high, medium and low disturbance strata)."</v>
      </c>
      <c r="Q190" s="40"/>
      <c r="R190" s="74" t="s">
        <v>51</v>
      </c>
      <c r="S190" s="75" t="b">
        <v>0</v>
      </c>
      <c r="T190" s="77" t="b">
        <v>1</v>
      </c>
      <c r="U190" s="76" t="s">
        <v>895</v>
      </c>
      <c r="V190" t="s">
        <v>896</v>
      </c>
      <c r="W190" s="13" t="s">
        <v>1816</v>
      </c>
      <c r="X190" t="s">
        <v>4081</v>
      </c>
      <c r="Y190" t="str">
        <f t="shared" si="11"/>
        <v xml:space="preserve">    sampledesign_stratified_random_ti: "&lt;a href=\"09_glossary.html#sampledesign_stratified_random\" target=\"_blank\" data-bs-toggle=\"tooltip\" data-bs-title=\"Stratified random design : The area of interest is divided into smaller strata (e.g., habitat type, disturbance levels), and then a proportional random sample of sites is selected within each stratum (e.g., 15%, 35% and 50% of sites within high, medium and low disturbance strata).\"&gt;&lt;button type=\"button\" class=\"btn btn-bd-tip-info-hidden btn-sm position-relative\"&gt;.&lt;span class=\"position-absolute top-0 start-100 translate-middle\"&gt;{{ icon_info }}&lt;/span&gt;&lt;/button&gt;&lt;/a&gt;"</v>
      </c>
    </row>
    <row r="191" spans="1:26">
      <c r="A191" s="30"/>
      <c r="B191" s="30"/>
      <c r="C191" s="30" t="s">
        <v>0</v>
      </c>
      <c r="D191" s="73" t="s">
        <v>984</v>
      </c>
      <c r="E191" s="40" t="s">
        <v>766</v>
      </c>
      <c r="F191" s="30"/>
      <c r="G191" s="30" t="s">
        <v>768</v>
      </c>
      <c r="H191" s="30"/>
      <c r="I191" s="40" t="s">
        <v>1766</v>
      </c>
      <c r="J191" s="40" t="str">
        <f t="shared" si="8"/>
        <v>stratum</v>
      </c>
      <c r="K191" s="40" t="s">
        <v>1765</v>
      </c>
      <c r="L191" s="34" t="str">
        <f>IF(VLOOKUP(J191,find_replace!H:H,1,"false")=J191,"TRUE","FALSE")</f>
        <v>TRUE</v>
      </c>
      <c r="M191" s="55" t="s">
        <v>3966</v>
      </c>
      <c r="N191" s="55" t="s">
        <v>3967</v>
      </c>
      <c r="O191" s="60" t="str">
        <f t="shared" si="9"/>
        <v xml:space="preserve">    term_stratum: "Stratum"</v>
      </c>
      <c r="P191" s="39" t="str">
        <f t="shared" si="10"/>
        <v xml:space="preserve">    def_stratum: "(singular of strata) a single group or category when a system is divided 'based on the characteristics of that system' ({{ rtxt_morrison_et_al_2008 }})"</v>
      </c>
      <c r="Q191" s="30"/>
      <c r="R191" s="30"/>
      <c r="S191" s="30"/>
      <c r="T191" s="30"/>
      <c r="U191" s="76" t="s">
        <v>895</v>
      </c>
      <c r="V191" t="s">
        <v>896</v>
      </c>
      <c r="W191" s="13" t="s">
        <v>1816</v>
      </c>
      <c r="X191" t="s">
        <v>4081</v>
      </c>
      <c r="Y191" t="str">
        <f t="shared" si="11"/>
        <v xml:space="preserve">    stratum_ti: "&lt;a href=\"09_glossary.html#stratum\" target=\"_blank\" data-bs-toggle=\"tooltip\" data-bs-title=\"Stratum: (singular of strata) a single group or category when a system is divided 'based on the characteristics of that system' ({{ rtxt_morrison_et_al_2008 }})\"&gt;&lt;button type=\"button\" class=\"btn btn-bd-tip-info-hidden btn-sm position-relative\"&gt;.&lt;span class=\"position-absolute top-0 start-100 translate-middle\"&gt;{{ icon_info }}&lt;/span&gt;&lt;/button&gt;&lt;/a&gt;"</v>
      </c>
    </row>
    <row r="192" spans="1:26">
      <c r="A192" s="30"/>
      <c r="B192" s="30">
        <v>156</v>
      </c>
      <c r="C192" s="30" t="s">
        <v>0</v>
      </c>
      <c r="D192" s="73" t="s">
        <v>984</v>
      </c>
      <c r="E192" s="34" t="s">
        <v>95</v>
      </c>
      <c r="F192" s="30"/>
      <c r="G192" s="30" t="s">
        <v>767</v>
      </c>
      <c r="H192" s="40" t="s">
        <v>94</v>
      </c>
      <c r="I192" s="40" t="s">
        <v>94</v>
      </c>
      <c r="J192" s="40" t="str">
        <f t="shared" si="8"/>
        <v>study_area</v>
      </c>
      <c r="K192" s="34" t="s">
        <v>95</v>
      </c>
      <c r="L192" s="34" t="str">
        <f>IF(VLOOKUP(J192,find_replace!H:H,1,"false")=J192,"TRUE","FALSE")</f>
        <v>TRUE</v>
      </c>
      <c r="M192" s="73" t="s">
        <v>403</v>
      </c>
      <c r="N192" s="73" t="s">
        <v>403</v>
      </c>
      <c r="O192" s="60" t="str">
        <f t="shared" si="9"/>
        <v xml:space="preserve">    term_study_area: "Study area"</v>
      </c>
      <c r="P192" s="39" t="str">
        <f t="shared" si="10"/>
        <v xml:space="preserve">    def_study_area: "A unique research, inventory or monitoring area (spatial boundary) within a project (there may be multiple study areas within a single project) (recorded as 'Study Area Name')."</v>
      </c>
      <c r="Q192" s="40"/>
      <c r="R192" s="74" t="s">
        <v>51</v>
      </c>
      <c r="S192" s="77" t="b">
        <v>1</v>
      </c>
      <c r="T192" s="77" t="b">
        <v>1</v>
      </c>
      <c r="U192" s="76" t="s">
        <v>895</v>
      </c>
      <c r="V192" t="s">
        <v>896</v>
      </c>
      <c r="W192" s="13" t="s">
        <v>1816</v>
      </c>
      <c r="X192" t="s">
        <v>4081</v>
      </c>
      <c r="Y192" t="str">
        <f t="shared" si="11"/>
        <v xml:space="preserve">    study_area_ti: "&lt;a href=\"09_glossary.html#study_area\" target=\"_blank\" data-bs-toggle=\"tooltip\" data-bs-title=\"Study area: A unique research, inventory or monitoring area (spatial boundary) within a project (there may be multiple study areas within a single project) (recorded as 'Study Area Name').\"&gt;&lt;button type=\"button\" class=\"btn btn-bd-tip-info-hidden btn-sm position-relative\"&gt;.&lt;span class=\"position-absolute top-0 start-100 translate-middle\"&gt;{{ icon_info }}&lt;/span&gt;&lt;/button&gt;&lt;/a&gt;"</v>
      </c>
    </row>
    <row r="193" spans="1:25">
      <c r="A193" s="30"/>
      <c r="B193" s="30">
        <v>157</v>
      </c>
      <c r="C193" s="30" t="s">
        <v>429</v>
      </c>
      <c r="D193" s="73" t="s">
        <v>984</v>
      </c>
      <c r="E193" s="40" t="s">
        <v>252</v>
      </c>
      <c r="F193" s="30" t="s">
        <v>897</v>
      </c>
      <c r="G193" s="30" t="s">
        <v>767</v>
      </c>
      <c r="H193" s="40" t="s">
        <v>94</v>
      </c>
      <c r="I193" s="40" t="s">
        <v>250</v>
      </c>
      <c r="J193" s="40" t="str">
        <f t="shared" si="8"/>
        <v>study_area_description</v>
      </c>
      <c r="K193" s="40" t="s">
        <v>723</v>
      </c>
      <c r="L193" s="34" t="str">
        <f>IF(VLOOKUP(J193,find_replace!H:H,1,"false")=J193,"TRUE","FALSE")</f>
        <v>TRUE</v>
      </c>
      <c r="M193" s="73" t="s">
        <v>251</v>
      </c>
      <c r="N193" s="73" t="s">
        <v>251</v>
      </c>
      <c r="O193" s="60" t="str">
        <f t="shared" si="9"/>
        <v xml:space="preserve">    term_study_area_description: "Study Area Description"</v>
      </c>
      <c r="P193" s="39" t="str">
        <f t="shared" si="10"/>
        <v xml:space="preserve">    def_study_area_description: "A description for each unique research or monitoring area including its location, the habitat type(s), land use(s) and habitat disturbances (where applicable)."</v>
      </c>
      <c r="Q193" s="40"/>
      <c r="R193" s="74" t="b">
        <v>1</v>
      </c>
      <c r="S193" s="77" t="b">
        <v>1</v>
      </c>
      <c r="T193" s="75" t="b">
        <v>0</v>
      </c>
      <c r="U193" s="76" t="s">
        <v>895</v>
      </c>
      <c r="V193" t="s">
        <v>896</v>
      </c>
      <c r="W193" s="13" t="s">
        <v>1816</v>
      </c>
      <c r="X193" t="s">
        <v>4081</v>
      </c>
      <c r="Y193" t="str">
        <f t="shared" si="11"/>
        <v xml:space="preserve">    study_area_description_ti: "&lt;a href=\"09_glossary.html#study_area_description\" target=\"_blank\" data-bs-toggle=\"tooltip\" data-bs-title=\"Study Area Description: A description for each unique research or monitoring area including its location, the habitat type(s), land use(s) and habitat disturbances (where applicable).\"&gt;&lt;button type=\"button\" class=\"btn btn-bd-tip-info-hidden btn-sm position-relative\"&gt;.&lt;span class=\"position-absolute top-0 start-100 translate-middle\"&gt;{{ icon_info }}&lt;/span&gt;&lt;/button&gt;&lt;/a&gt;"</v>
      </c>
    </row>
    <row r="194" spans="1:25">
      <c r="A194" s="30"/>
      <c r="B194" s="30">
        <v>158</v>
      </c>
      <c r="C194" s="30" t="s">
        <v>429</v>
      </c>
      <c r="D194" s="73" t="s">
        <v>984</v>
      </c>
      <c r="E194" s="40" t="s">
        <v>4130</v>
      </c>
      <c r="F194" s="30" t="s">
        <v>897</v>
      </c>
      <c r="G194" s="30" t="s">
        <v>767</v>
      </c>
      <c r="H194" s="40" t="s">
        <v>94</v>
      </c>
      <c r="I194" s="40" t="s">
        <v>249</v>
      </c>
      <c r="J194" s="40" t="str">
        <f t="shared" ref="J194:J236" si="12">IF(D194&lt;&gt;"-",I194&amp;"_"&amp;D194,I194)</f>
        <v>study_area_name</v>
      </c>
      <c r="K194" s="40" t="s">
        <v>724</v>
      </c>
      <c r="L194" s="34" t="str">
        <f>IF(VLOOKUP(J194,find_replace!H:H,1,"false")=J194,"TRUE","FALSE")</f>
        <v>TRUE</v>
      </c>
      <c r="M194" s="73" t="s">
        <v>835</v>
      </c>
      <c r="N194" s="73" t="s">
        <v>855</v>
      </c>
      <c r="O194" s="60" t="str">
        <f t="shared" ref="O194:O236" si="13">IF(M194=999,"",("    term_"&amp;J194&amp;": """&amp;K194&amp;""""))</f>
        <v xml:space="preserve">    term_study_area_name: "Study Area Name"</v>
      </c>
      <c r="P194" s="39" t="str">
        <f t="shared" ref="P194:P236" si="14">IF(M194="-","-",("    def_"&amp;J194&amp;": """&amp;M194&amp;""""))</f>
        <v xml:space="preserve">    def_study_area_name: "A unique alphanumeric identifier for each study area (e.g.,'oilsands_ref1'). If only one area was [survey](#survey)ed, the Project Name and Study Area Name should be the same."</v>
      </c>
      <c r="Q194" s="40"/>
      <c r="R194" s="74" t="b">
        <v>1</v>
      </c>
      <c r="S194" s="77" t="b">
        <v>1</v>
      </c>
      <c r="T194" s="77" t="b">
        <v>1</v>
      </c>
      <c r="U194" s="76" t="s">
        <v>895</v>
      </c>
      <c r="V194" t="s">
        <v>896</v>
      </c>
      <c r="W194" s="13" t="s">
        <v>1816</v>
      </c>
      <c r="X194" t="s">
        <v>4081</v>
      </c>
      <c r="Y194" t="str">
        <f t="shared" ref="Y194:Y236" si="15">IF(M194&lt;&gt;"-",("    "&amp;J194&amp;"_ti"&amp;": "&amp;""""&amp;"&lt;a href=\"&amp;""""&amp;"09_glossary.html#"&amp;J194&amp;V194&amp;K194&amp;": "&amp;M194&amp;W194&amp;""&amp;X194&amp;""""),"-")</f>
        <v xml:space="preserve">    study_area_name_ti: "&lt;a href=\"09_glossary.html#study_area_name\" target=\"_blank\" data-bs-toggle=\"tooltip\" data-bs-title=\"Study Area Name: A unique alphanumeric identifier for each study area (e.g.,'oilsands_ref1'). If only one area was [survey](#survey)ed, the Project Name and Study Area Name should be the same.\"&gt;&lt;button type=\"button\" class=\"btn btn-bd-tip-info-hidden btn-sm position-relative\"&gt;.&lt;span class=\"position-absolute top-0 start-100 translate-middle\"&gt;{{ icon_info }}&lt;/span&gt;&lt;/button&gt;&lt;/a&gt;"</v>
      </c>
    </row>
    <row r="195" spans="1:25">
      <c r="A195" s="30"/>
      <c r="B195" s="30">
        <v>159</v>
      </c>
      <c r="C195" s="30" t="s">
        <v>430</v>
      </c>
      <c r="D195" s="73" t="s">
        <v>984</v>
      </c>
      <c r="E195" s="40" t="s">
        <v>244</v>
      </c>
      <c r="F195" s="30" t="s">
        <v>897</v>
      </c>
      <c r="G195" s="30" t="s">
        <v>767</v>
      </c>
      <c r="H195" s="40" t="s">
        <v>1249</v>
      </c>
      <c r="I195" s="40" t="s">
        <v>243</v>
      </c>
      <c r="J195" s="40" t="str">
        <f t="shared" si="12"/>
        <v>age_class_subadult</v>
      </c>
      <c r="K195" s="40" t="s">
        <v>674</v>
      </c>
      <c r="L195" s="34" t="str">
        <f>IF(VLOOKUP(J195,find_replace!H:H,1,"false")=J195,"TRUE","FALSE")</f>
        <v>TRUE</v>
      </c>
      <c r="M195" s="73" t="s">
        <v>355</v>
      </c>
      <c r="N195" s="73" t="s">
        <v>355</v>
      </c>
      <c r="O195" s="60" t="str">
        <f t="shared" si="13"/>
        <v xml:space="preserve">    term_age_class_subadult: "Subadult"</v>
      </c>
      <c r="P195" s="39" t="str">
        <f t="shared" si="14"/>
        <v xml:space="preserve">    def_age_class_subadult: "Animals older than a 'Juvenile' but not yet an 'Adult'; a 'Subadult' may be further classified into 'Young of the Year' or 'Yearling.'"</v>
      </c>
      <c r="Q195" s="40"/>
      <c r="R195" s="74" t="s">
        <v>51</v>
      </c>
      <c r="S195" s="77" t="b">
        <v>1</v>
      </c>
      <c r="T195" s="75" t="b">
        <v>0</v>
      </c>
      <c r="U195" s="76" t="s">
        <v>895</v>
      </c>
      <c r="V195" t="s">
        <v>896</v>
      </c>
      <c r="W195" s="13" t="s">
        <v>1816</v>
      </c>
      <c r="X195" t="s">
        <v>4081</v>
      </c>
      <c r="Y195" t="str">
        <f t="shared" si="15"/>
        <v xml:space="preserve">    age_class_subadult_ti: "&lt;a href=\"09_glossary.html#age_class_subadult\" target=\"_blank\" data-bs-toggle=\"tooltip\" data-bs-title=\"Subadult: Animals older than a 'Juvenile' but not yet an 'Adult'; a 'Subadult' may be further classified into 'Young of the Year' or 'Yearling.'\"&gt;&lt;button type=\"button\" class=\"btn btn-bd-tip-info-hidden btn-sm position-relative\"&gt;.&lt;span class=\"position-absolute top-0 start-100 translate-middle\"&gt;{{ icon_info }}&lt;/span&gt;&lt;/button&gt;&lt;/a&gt;"</v>
      </c>
    </row>
    <row r="196" spans="1:25">
      <c r="A196" s="30"/>
      <c r="B196" s="30">
        <v>160</v>
      </c>
      <c r="C196" s="30" t="s">
        <v>430</v>
      </c>
      <c r="D196" s="73" t="s">
        <v>984</v>
      </c>
      <c r="E196" s="40" t="s">
        <v>248</v>
      </c>
      <c r="F196" s="30" t="s">
        <v>897</v>
      </c>
      <c r="G196" s="30" t="s">
        <v>767</v>
      </c>
      <c r="H196" s="40" t="s">
        <v>1249</v>
      </c>
      <c r="I196" s="40" t="s">
        <v>247</v>
      </c>
      <c r="J196" s="40" t="str">
        <f t="shared" si="12"/>
        <v>age_class_subadult_yearling</v>
      </c>
      <c r="K196" s="40" t="s">
        <v>675</v>
      </c>
      <c r="L196" s="34" t="str">
        <f>IF(VLOOKUP(J196,find_replace!H:H,1,"false")=J196,"TRUE","FALSE")</f>
        <v>TRUE</v>
      </c>
      <c r="M196" s="73" t="s">
        <v>356</v>
      </c>
      <c r="N196" s="73" t="s">
        <v>356</v>
      </c>
      <c r="O196" s="60" t="str">
        <f t="shared" si="13"/>
        <v xml:space="preserve">    term_age_class_subadult_yearling: "Subadult - Yearling"</v>
      </c>
      <c r="P196" s="39" t="str">
        <f t="shared" si="14"/>
        <v xml:space="preserve">    def_age_class_subadult_yearling: "Animals approximately one year old; has lived through one winter season; between 'Young of Year' and 'Adult.'"</v>
      </c>
      <c r="Q196" s="40"/>
      <c r="R196" s="74" t="s">
        <v>51</v>
      </c>
      <c r="S196" s="77" t="b">
        <v>1</v>
      </c>
      <c r="T196" s="75" t="b">
        <v>0</v>
      </c>
      <c r="U196" s="76" t="s">
        <v>895</v>
      </c>
      <c r="V196" t="s">
        <v>896</v>
      </c>
      <c r="W196" s="13" t="s">
        <v>1816</v>
      </c>
      <c r="X196" t="s">
        <v>4081</v>
      </c>
      <c r="Y196" t="str">
        <f t="shared" si="15"/>
        <v xml:space="preserve">    age_class_subadult_yearling_ti: "&lt;a href=\"09_glossary.html#age_class_subadult_yearling\" target=\"_blank\" data-bs-toggle=\"tooltip\" data-bs-title=\"Subadult - Yearling: Animals approximately one year old; has lived through one winter season; between 'Young of Year' and 'Adult.'\"&gt;&lt;button type=\"button\" class=\"btn btn-bd-tip-info-hidden btn-sm position-relative\"&gt;.&lt;span class=\"position-absolute top-0 start-100 translate-middle\"&gt;{{ icon_info }}&lt;/span&gt;&lt;/button&gt;&lt;/a&gt;"</v>
      </c>
    </row>
    <row r="197" spans="1:25">
      <c r="A197" s="30"/>
      <c r="B197" s="30">
        <v>161</v>
      </c>
      <c r="C197" s="30" t="s">
        <v>430</v>
      </c>
      <c r="D197" s="73" t="s">
        <v>984</v>
      </c>
      <c r="E197" s="40" t="s">
        <v>246</v>
      </c>
      <c r="F197" s="30" t="s">
        <v>897</v>
      </c>
      <c r="G197" s="30" t="s">
        <v>767</v>
      </c>
      <c r="H197" s="40" t="s">
        <v>1249</v>
      </c>
      <c r="I197" s="40" t="s">
        <v>245</v>
      </c>
      <c r="J197" s="40" t="str">
        <f t="shared" si="12"/>
        <v>age_class_subadult_youngofyear</v>
      </c>
      <c r="K197" s="40" t="s">
        <v>676</v>
      </c>
      <c r="L197" s="34" t="str">
        <f>IF(VLOOKUP(J197,find_replace!H:H,1,"false")=J197,"TRUE","FALSE")</f>
        <v>TRUE</v>
      </c>
      <c r="M197" s="73" t="s">
        <v>357</v>
      </c>
      <c r="N197" s="73" t="s">
        <v>357</v>
      </c>
      <c r="O197" s="60" t="str">
        <f t="shared" si="13"/>
        <v xml:space="preserve">    term_age_class_subadult_youngofyear: "Subadult - Young of Year"</v>
      </c>
      <c r="P197" s="39" t="str">
        <f t="shared" si="14"/>
        <v xml:space="preserve">    def_age_class_subadult_youngofyear: "Animals less than one year old; born in the previous year's spring, but has not yet lived through a winter season; between 'Juvenile' and 'Yearling.'"</v>
      </c>
      <c r="Q197" s="40"/>
      <c r="R197" s="74" t="s">
        <v>51</v>
      </c>
      <c r="S197" s="77" t="b">
        <v>1</v>
      </c>
      <c r="T197" s="75" t="b">
        <v>0</v>
      </c>
      <c r="U197" s="76" t="s">
        <v>895</v>
      </c>
      <c r="V197" t="s">
        <v>896</v>
      </c>
      <c r="W197" s="13" t="s">
        <v>1816</v>
      </c>
      <c r="X197" t="s">
        <v>4081</v>
      </c>
      <c r="Y197" t="str">
        <f t="shared" si="15"/>
        <v xml:space="preserve">    age_class_subadult_youngofyear_ti: "&lt;a href=\"09_glossary.html#age_class_subadult_youngofyear\" target=\"_blank\" data-bs-toggle=\"tooltip\" data-bs-title=\"Subadult - Young of Year: Animals less than one year old; born in the previous year's spring, but has not yet lived through a winter season; between 'Juvenile' and 'Yearling.'\"&gt;&lt;button type=\"button\" class=\"btn btn-bd-tip-info-hidden btn-sm position-relative\"&gt;.&lt;span class=\"position-absolute top-0 start-100 translate-middle\"&gt;{{ icon_info }}&lt;/span&gt;&lt;/button&gt;&lt;/a&gt;"</v>
      </c>
    </row>
    <row r="198" spans="1:25">
      <c r="A198" s="30"/>
      <c r="B198" s="30">
        <v>162</v>
      </c>
      <c r="C198" s="30" t="s">
        <v>0</v>
      </c>
      <c r="D198" s="73" t="s">
        <v>984</v>
      </c>
      <c r="E198" s="34" t="s">
        <v>528</v>
      </c>
      <c r="F198" s="30"/>
      <c r="G198" s="30" t="s">
        <v>767</v>
      </c>
      <c r="H198" s="40" t="s">
        <v>513</v>
      </c>
      <c r="I198" s="40" t="s">
        <v>513</v>
      </c>
      <c r="J198" s="40" t="str">
        <f t="shared" si="12"/>
        <v>survey</v>
      </c>
      <c r="K198" s="34" t="s">
        <v>528</v>
      </c>
      <c r="L198" s="34" t="str">
        <f>IF(VLOOKUP(J198,find_replace!H:H,1,"false")=J198,"TRUE","FALSE")</f>
        <v>TRUE</v>
      </c>
      <c r="M198" s="73" t="s">
        <v>828</v>
      </c>
      <c r="N198" s="73" t="s">
        <v>888</v>
      </c>
      <c r="O198" s="60" t="str">
        <f t="shared" si="13"/>
        <v xml:space="preserve">    term_survey: "Survey"</v>
      </c>
      <c r="P198" s="39" t="str">
        <f t="shared" si="14"/>
        <v xml:space="preserve">    def_survey: "A unique deployment period (temporal extent) within a project (recorded as '[Survey Name](#survey_name)')."</v>
      </c>
      <c r="Q198" s="40"/>
      <c r="R198" s="74" t="s">
        <v>51</v>
      </c>
      <c r="S198" s="77" t="b">
        <v>1</v>
      </c>
      <c r="T198" s="77" t="b">
        <v>1</v>
      </c>
      <c r="U198" s="76" t="s">
        <v>895</v>
      </c>
      <c r="V198" t="s">
        <v>896</v>
      </c>
      <c r="W198" s="13" t="s">
        <v>1816</v>
      </c>
      <c r="X198" t="s">
        <v>4081</v>
      </c>
      <c r="Y198" t="str">
        <f t="shared" si="15"/>
        <v xml:space="preserve">    survey_ti: "&lt;a href=\"09_glossary.html#survey\" target=\"_blank\" data-bs-toggle=\"tooltip\" data-bs-title=\"Survey: A unique deployment period (temporal extent) within a project (recorded as '[Survey Name](#survey_name)').\"&gt;&lt;button type=\"button\" class=\"btn btn-bd-tip-info-hidden btn-sm position-relative\"&gt;.&lt;span class=\"position-absolute top-0 start-100 translate-middle\"&gt;{{ icon_info }}&lt;/span&gt;&lt;/button&gt;&lt;/a&gt;"</v>
      </c>
    </row>
    <row r="199" spans="1:25">
      <c r="A199" s="30"/>
      <c r="B199" s="30">
        <v>163</v>
      </c>
      <c r="C199" s="30" t="s">
        <v>429</v>
      </c>
      <c r="D199" s="73" t="s">
        <v>984</v>
      </c>
      <c r="E199" s="40" t="s">
        <v>523</v>
      </c>
      <c r="F199" s="30" t="s">
        <v>897</v>
      </c>
      <c r="G199" s="30" t="s">
        <v>767</v>
      </c>
      <c r="H199" s="40" t="s">
        <v>513</v>
      </c>
      <c r="I199" s="40" t="s">
        <v>514</v>
      </c>
      <c r="J199" s="40" t="str">
        <f t="shared" si="12"/>
        <v>survey_design</v>
      </c>
      <c r="K199" s="40" t="s">
        <v>725</v>
      </c>
      <c r="L199" s="34" t="str">
        <f>IF(VLOOKUP(J199,find_replace!H:H,1,"false")=J199,"TRUE","FALSE")</f>
        <v>TRUE</v>
      </c>
      <c r="M199" s="73" t="s">
        <v>836</v>
      </c>
      <c r="N199" s="73" t="s">
        <v>887</v>
      </c>
      <c r="O199" s="60" t="str">
        <f t="shared" si="13"/>
        <v xml:space="preserve">    term_survey_design: "Survey Design"</v>
      </c>
      <c r="P199" s="39" t="str">
        <f t="shared" si="14"/>
        <v xml:space="preserve">    def_survey_design: "The spatial arrangement of remote cameras within the study area for an individual [survey](#survey). If 'Hierarchical (multiple)*/*,' include additional details in the [Survey Design Description](#survey_design_description). &lt;br&gt; &lt;br&gt; Note that we refer to different configurations of cameras more generally as study design and sampling design; however, the term '[Survey Design](#survey_design)' refers to study design as it applies to an individual [survey](#survey). There may be multiple [Survey Designs](#survey_design) for [surveys](#survey) within a project; if this occurs, the [Survey Design](#survey). should be reported separately for each [survey](#survey)."</v>
      </c>
      <c r="Q199" s="40" t="b">
        <v>1</v>
      </c>
      <c r="R199" s="74" t="b">
        <v>1</v>
      </c>
      <c r="S199" s="77" t="b">
        <v>1</v>
      </c>
      <c r="T199" s="77" t="b">
        <v>1</v>
      </c>
      <c r="U199" s="76" t="s">
        <v>895</v>
      </c>
      <c r="V199" t="s">
        <v>896</v>
      </c>
      <c r="W199" s="13" t="s">
        <v>1816</v>
      </c>
      <c r="X199" t="s">
        <v>4081</v>
      </c>
      <c r="Y199" t="str">
        <f t="shared" si="15"/>
        <v xml:space="preserve">    survey_design_ti: "&lt;a href=\"09_glossary.html#survey_design\" target=\"_blank\" data-bs-toggle=\"tooltip\" data-bs-title=\"Survey Design: The spatial arrangement of remote cameras within the study area for an individual [survey](#survey). If 'Hierarchical (multiple)*/*,' include additional details in the [Survey Design Description](#survey_design_description). &lt;br&gt; &lt;br&gt; Note that we refer to different configurations of cameras more generally as study design and sampling design; however, the term '[Survey Design](#survey_design)' refers to study design as it applies to an individual [survey](#survey). There may be multiple [Survey Designs](#survey_design) for [surveys](#survey) within a project; if this occurs, the [Survey Design](#survey). should be reported separately for each [survey](#survey).\"&gt;&lt;button type=\"button\" class=\"btn btn-bd-tip-info-hidden btn-sm position-relative\"&gt;.&lt;span class=\"position-absolute top-0 start-100 translate-middle\"&gt;{{ icon_info }}&lt;/span&gt;&lt;/button&gt;&lt;/a&gt;"</v>
      </c>
    </row>
    <row r="200" spans="1:25">
      <c r="A200" s="30"/>
      <c r="B200" s="30">
        <v>164</v>
      </c>
      <c r="C200" s="30" t="s">
        <v>429</v>
      </c>
      <c r="D200" s="73" t="s">
        <v>984</v>
      </c>
      <c r="E200" s="40" t="s">
        <v>524</v>
      </c>
      <c r="F200" s="30" t="s">
        <v>897</v>
      </c>
      <c r="G200" s="30" t="s">
        <v>767</v>
      </c>
      <c r="H200" s="30" t="s">
        <v>513</v>
      </c>
      <c r="I200" s="40" t="s">
        <v>515</v>
      </c>
      <c r="J200" s="40" t="str">
        <f t="shared" si="12"/>
        <v>survey_design_description</v>
      </c>
      <c r="K200" s="40" t="s">
        <v>760</v>
      </c>
      <c r="L200" s="34" t="str">
        <f>IF(VLOOKUP(J200,find_replace!H:H,1,"false")=J200,"TRUE","FALSE")</f>
        <v>TRUE</v>
      </c>
      <c r="M200" s="73" t="s">
        <v>826</v>
      </c>
      <c r="N200" s="73" t="s">
        <v>886</v>
      </c>
      <c r="O200" s="60" t="str">
        <f t="shared" si="13"/>
        <v xml:space="preserve">    term_survey_design_description: "Survey Design Description"</v>
      </c>
      <c r="P200" s="39" t="str">
        <f t="shared" si="14"/>
        <v xml:space="preserve">    def_survey_design_description: "A description of any additional details about the [Survey Design](#survey_design)."</v>
      </c>
      <c r="Q200" s="40"/>
      <c r="R200" s="74" t="b">
        <v>0</v>
      </c>
      <c r="S200" s="77" t="b">
        <v>1</v>
      </c>
      <c r="T200" s="77" t="b">
        <v>1</v>
      </c>
      <c r="U200" s="76" t="s">
        <v>895</v>
      </c>
      <c r="V200" t="s">
        <v>896</v>
      </c>
      <c r="W200" s="13" t="s">
        <v>1816</v>
      </c>
      <c r="X200" t="s">
        <v>4081</v>
      </c>
      <c r="Y200" t="str">
        <f t="shared" si="15"/>
        <v xml:space="preserve">    survey_design_description_ti: "&lt;a href=\"09_glossary.html#survey_design_description\" target=\"_blank\" data-bs-toggle=\"tooltip\" data-bs-title=\"Survey Design Description: A description of any additional details about the [Survey Design](#survey_design).\"&gt;&lt;button type=\"button\" class=\"btn btn-bd-tip-info-hidden btn-sm position-relative\"&gt;.&lt;span class=\"position-absolute top-0 start-100 translate-middle\"&gt;{{ icon_info }}&lt;/span&gt;&lt;/button&gt;&lt;/a&gt;"</v>
      </c>
    </row>
    <row r="201" spans="1:25">
      <c r="A201" s="30"/>
      <c r="B201" s="30">
        <v>165</v>
      </c>
      <c r="C201" s="30" t="s">
        <v>429</v>
      </c>
      <c r="D201" s="73" t="s">
        <v>984</v>
      </c>
      <c r="E201" s="40" t="s">
        <v>525</v>
      </c>
      <c r="F201" s="30" t="s">
        <v>897</v>
      </c>
      <c r="G201" s="30" t="s">
        <v>767</v>
      </c>
      <c r="H201" s="40" t="s">
        <v>513</v>
      </c>
      <c r="I201" s="40" t="s">
        <v>516</v>
      </c>
      <c r="J201" s="40" t="str">
        <f t="shared" si="12"/>
        <v>survey_name</v>
      </c>
      <c r="K201" s="40" t="s">
        <v>726</v>
      </c>
      <c r="L201" s="34" t="str">
        <f>IF(VLOOKUP(J201,find_replace!H:H,1,"false")=J201,"TRUE","FALSE")</f>
        <v>TRUE</v>
      </c>
      <c r="M201" s="73" t="s">
        <v>837</v>
      </c>
      <c r="N201" s="73" t="s">
        <v>856</v>
      </c>
      <c r="O201" s="60" t="str">
        <f t="shared" si="13"/>
        <v xml:space="preserve">    term_survey_name: "Survey Name"</v>
      </c>
      <c r="P201" s="39" t="str">
        <f t="shared" si="14"/>
        <v xml:space="preserve">    def_survey_name: "A unique alphanumeric identifier for each [survey](#survey) period (e.g., 'fortmc_001')."</v>
      </c>
      <c r="Q201" s="40"/>
      <c r="R201" s="74" t="b">
        <v>1</v>
      </c>
      <c r="S201" s="77" t="b">
        <v>1</v>
      </c>
      <c r="T201" s="77" t="b">
        <v>1</v>
      </c>
      <c r="U201" s="76" t="s">
        <v>895</v>
      </c>
      <c r="V201" t="s">
        <v>896</v>
      </c>
      <c r="W201" s="13" t="s">
        <v>1816</v>
      </c>
      <c r="X201" t="s">
        <v>4081</v>
      </c>
      <c r="Y201" t="str">
        <f t="shared" si="15"/>
        <v xml:space="preserve">    survey_name_ti: "&lt;a href=\"09_glossary.html#survey_name\" target=\"_blank\" data-bs-toggle=\"tooltip\" data-bs-title=\"Survey Name: A unique alphanumeric identifier for each [survey](#survey) period (e.g., 'fortmc_001').\"&gt;&lt;button type=\"button\" class=\"btn btn-bd-tip-info-hidden btn-sm position-relative\"&gt;.&lt;span class=\"position-absolute top-0 start-100 translate-middle\"&gt;{{ icon_info }}&lt;/span&gt;&lt;/button&gt;&lt;/a&gt;"</v>
      </c>
    </row>
    <row r="202" spans="1:25">
      <c r="A202" s="30"/>
      <c r="B202" s="30">
        <v>166</v>
      </c>
      <c r="C202" s="30" t="s">
        <v>429</v>
      </c>
      <c r="D202" s="73" t="s">
        <v>984</v>
      </c>
      <c r="E202" s="40" t="s">
        <v>526</v>
      </c>
      <c r="F202" s="30" t="s">
        <v>897</v>
      </c>
      <c r="G202" s="30" t="s">
        <v>767</v>
      </c>
      <c r="H202" s="40" t="s">
        <v>818</v>
      </c>
      <c r="I202" s="40" t="s">
        <v>517</v>
      </c>
      <c r="J202" s="40" t="str">
        <f t="shared" si="12"/>
        <v>survey_objectives</v>
      </c>
      <c r="K202" s="40" t="s">
        <v>727</v>
      </c>
      <c r="L202" s="34" t="str">
        <f>IF(VLOOKUP(J202,find_replace!H:H,1,"false")=J202,"TRUE","FALSE")</f>
        <v>TRUE</v>
      </c>
      <c r="M202" s="73" t="s">
        <v>838</v>
      </c>
      <c r="N202" s="73" t="s">
        <v>879</v>
      </c>
      <c r="O202" s="60" t="str">
        <f t="shared" si="13"/>
        <v xml:space="preserve">    term_survey_objectives: "Survey Objectives"</v>
      </c>
      <c r="P202" s="39" t="str">
        <f t="shared" si="14"/>
        <v xml:space="preserve">    def_survey_objectives: "The specific objectives of each [survey](#survey) within a project, including the [Target Species](#target_species), the state variables (e.g., occupancy, [density](#density)), and proposed modelling approach(es). Survey Objectives should be specific, measurable, achievable, relevant, and time-bound (i.e., SMART)."</v>
      </c>
      <c r="Q202" s="40"/>
      <c r="R202" s="74" t="b">
        <v>1</v>
      </c>
      <c r="S202" s="77" t="b">
        <v>1</v>
      </c>
      <c r="T202" s="77" t="b">
        <v>1</v>
      </c>
      <c r="U202" s="76" t="s">
        <v>895</v>
      </c>
      <c r="V202" t="s">
        <v>896</v>
      </c>
      <c r="W202" s="13" t="s">
        <v>1816</v>
      </c>
      <c r="X202" t="s">
        <v>4081</v>
      </c>
      <c r="Y202" t="str">
        <f t="shared" si="15"/>
        <v xml:space="preserve">    survey_objectives_ti: "&lt;a href=\"09_glossary.html#survey_objectives\" target=\"_blank\" data-bs-toggle=\"tooltip\" data-bs-title=\"Survey Objectives: The specific objectives of each [survey](#survey) within a project, including the [Target Species](#target_species), the state variables (e.g., occupancy, [density](#density)), and proposed modelling approach(es). Survey Objectives should be specific, measurable, achievable, relevant, and time-bound (i.e., SMART).\"&gt;&lt;button type=\"button\" class=\"btn btn-bd-tip-info-hidden btn-sm position-relative\"&gt;.&lt;span class=\"position-absolute top-0 start-100 translate-middle\"&gt;{{ icon_info }}&lt;/span&gt;&lt;/button&gt;&lt;/a&gt;"</v>
      </c>
    </row>
    <row r="203" spans="1:25">
      <c r="A203" s="30"/>
      <c r="B203" s="30">
        <v>167</v>
      </c>
      <c r="C203" s="30" t="s">
        <v>0</v>
      </c>
      <c r="D203" s="73" t="s">
        <v>984</v>
      </c>
      <c r="E203" s="34" t="s">
        <v>93</v>
      </c>
      <c r="F203" s="30"/>
      <c r="G203" s="30" t="s">
        <v>767</v>
      </c>
      <c r="H203" s="30" t="s">
        <v>540</v>
      </c>
      <c r="I203" s="40" t="s">
        <v>91</v>
      </c>
      <c r="J203" s="40" t="str">
        <f t="shared" si="12"/>
        <v>sampledesign_systematic</v>
      </c>
      <c r="K203" s="34" t="s">
        <v>93</v>
      </c>
      <c r="L203" s="34" t="str">
        <f>IF(VLOOKUP(J203,find_replace!H:H,1,"false")=J203,"TRUE","FALSE")</f>
        <v>TRUE</v>
      </c>
      <c r="M203" s="73" t="s">
        <v>92</v>
      </c>
      <c r="N203" s="73" t="s">
        <v>92</v>
      </c>
      <c r="O203" s="60" t="str">
        <f t="shared" si="13"/>
        <v xml:space="preserve">    term_sampledesign_systematic: "Systematic design"</v>
      </c>
      <c r="P203" s="39" t="str">
        <f t="shared" si="14"/>
        <v xml:space="preserve">    def_sampledesign_systematic: "Camera locations occur in a regular pattern (e.g., a grid pattern) across the study area."</v>
      </c>
      <c r="Q203" s="40"/>
      <c r="R203" s="74" t="s">
        <v>51</v>
      </c>
      <c r="S203" s="77" t="b">
        <v>1</v>
      </c>
      <c r="T203" s="77" t="b">
        <v>1</v>
      </c>
      <c r="U203" s="76" t="s">
        <v>895</v>
      </c>
      <c r="V203" t="s">
        <v>896</v>
      </c>
      <c r="W203" s="13" t="s">
        <v>1816</v>
      </c>
      <c r="X203" t="s">
        <v>4081</v>
      </c>
      <c r="Y203" t="str">
        <f t="shared" si="15"/>
        <v xml:space="preserve">    sampledesign_systematic_ti: "&lt;a href=\"09_glossary.html#sampledesign_systematic\" target=\"_blank\" data-bs-toggle=\"tooltip\" data-bs-title=\"Systematic design: Camera locations occur in a regular pattern (e.g., a grid pattern) across the study area.\"&gt;&lt;button type=\"button\" class=\"btn btn-bd-tip-info-hidden btn-sm position-relative\"&gt;.&lt;span class=\"position-absolute top-0 start-100 translate-middle\"&gt;{{ icon_info }}&lt;/span&gt;&lt;/button&gt;&lt;/a&gt;"</v>
      </c>
    </row>
    <row r="204" spans="1:25">
      <c r="A204" s="30"/>
      <c r="B204" s="30">
        <v>168</v>
      </c>
      <c r="C204" s="30" t="s">
        <v>0</v>
      </c>
      <c r="D204" s="73" t="s">
        <v>984</v>
      </c>
      <c r="E204" s="34" t="s">
        <v>90</v>
      </c>
      <c r="F204" s="30"/>
      <c r="G204" s="30" t="s">
        <v>767</v>
      </c>
      <c r="H204" s="30" t="s">
        <v>540</v>
      </c>
      <c r="I204" s="40" t="s">
        <v>88</v>
      </c>
      <c r="J204" s="40" t="str">
        <f t="shared" si="12"/>
        <v>sampledesign_systematic_random</v>
      </c>
      <c r="K204" s="34" t="s">
        <v>90</v>
      </c>
      <c r="L204" s="34" t="str">
        <f>IF(VLOOKUP(J204,find_replace!H:H,1,"false")=J204,"TRUE","FALSE")</f>
        <v>TRUE</v>
      </c>
      <c r="M204" s="73" t="s">
        <v>89</v>
      </c>
      <c r="N204" s="73" t="s">
        <v>89</v>
      </c>
      <c r="O204" s="60" t="str">
        <f t="shared" si="13"/>
        <v xml:space="preserve">    term_sampledesign_systematic_random: "Systematic random design"</v>
      </c>
      <c r="P204" s="39" t="str">
        <f t="shared" si="14"/>
        <v xml:space="preserve">    def_sampledesign_systematic_random: "Camera locations are selected using a two-stage approach. Firstly, girds are selected systematically (to occur within a regular pattern) across the study area. The location of the camera within each grid is then selected randomly."</v>
      </c>
      <c r="Q204" s="40"/>
      <c r="R204" s="74" t="s">
        <v>51</v>
      </c>
      <c r="S204" s="75" t="b">
        <v>0</v>
      </c>
      <c r="T204" s="77" t="b">
        <v>1</v>
      </c>
      <c r="U204" s="76" t="s">
        <v>895</v>
      </c>
      <c r="V204" t="s">
        <v>896</v>
      </c>
      <c r="W204" s="13" t="s">
        <v>1816</v>
      </c>
      <c r="X204" t="s">
        <v>4081</v>
      </c>
      <c r="Y204" t="str">
        <f t="shared" si="15"/>
        <v xml:space="preserve">    sampledesign_systematic_random_ti: "&lt;a href=\"09_glossary.html#sampledesign_systematic_random\" target=\"_blank\" data-bs-toggle=\"tooltip\" data-bs-title=\"Systematic random design: Camera locations are selected using a two-stage approach. Firstly, girds are selected systematically (to occur within a regular pattern) across the study area. The location of the camera within each grid is then selected randomly.\"&gt;&lt;button type=\"button\" class=\"btn btn-bd-tip-info-hidden btn-sm position-relative\"&gt;.&lt;span class=\"position-absolute top-0 start-100 translate-middle\"&gt;{{ icon_info }}&lt;/span&gt;&lt;/button&gt;&lt;/a&gt;"</v>
      </c>
    </row>
    <row r="205" spans="1:25">
      <c r="A205" s="30"/>
      <c r="B205" s="30">
        <v>169</v>
      </c>
      <c r="C205" s="30" t="s">
        <v>429</v>
      </c>
      <c r="D205" s="73" t="s">
        <v>984</v>
      </c>
      <c r="E205" s="40" t="s">
        <v>242</v>
      </c>
      <c r="F205" s="30"/>
      <c r="G205" s="30" t="s">
        <v>767</v>
      </c>
      <c r="H205" s="40" t="s">
        <v>1249</v>
      </c>
      <c r="I205" s="40" t="s">
        <v>241</v>
      </c>
      <c r="J205" s="40" t="str">
        <f t="shared" si="12"/>
        <v>tag</v>
      </c>
      <c r="K205" s="40" t="s">
        <v>728</v>
      </c>
      <c r="L205" s="34" t="str">
        <f>IF(VLOOKUP(J205,find_replace!H:H,1,"false")=J205,"TRUE","FALSE")</f>
        <v>TRUE</v>
      </c>
      <c r="M205" s="86" t="s">
        <v>422</v>
      </c>
      <c r="N205" s="86" t="s">
        <v>422</v>
      </c>
      <c r="O205" s="60" t="str">
        <f t="shared" si="13"/>
        <v xml:space="preserve">    term_tag: "Tag"</v>
      </c>
      <c r="P205" s="39" t="str">
        <f t="shared" si="14"/>
        <v xml:space="preserve">    def_tag: "When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v>
      </c>
      <c r="Q205" s="40"/>
      <c r="R205" s="74" t="s">
        <v>51</v>
      </c>
      <c r="S205" s="77" t="b">
        <v>1</v>
      </c>
      <c r="T205" s="75" t="b">
        <v>0</v>
      </c>
      <c r="U205" s="76" t="s">
        <v>895</v>
      </c>
      <c r="V205" t="s">
        <v>896</v>
      </c>
      <c r="W205" s="13" t="s">
        <v>1816</v>
      </c>
      <c r="X205" t="s">
        <v>4081</v>
      </c>
      <c r="Y205" t="str">
        <f t="shared" si="15"/>
        <v xml:space="preserve">    tag_ti: "&lt;a href=\"09_glossary.html#tag\" target=\"_blank\" data-bs-toggle=\"tooltip\" data-bs-title=\"Tag: 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level).\"&gt;&lt;button type=\"button\" class=\"btn btn-bd-tip-info-hidden btn-sm position-relative\"&gt;.&lt;span class=\"position-absolute top-0 start-100 translate-middle\"&gt;{{ icon_info }}&lt;/span&gt;&lt;/button&gt;&lt;/a&gt;"</v>
      </c>
    </row>
    <row r="206" spans="1:25">
      <c r="A206" s="30"/>
      <c r="B206" s="30">
        <v>170</v>
      </c>
      <c r="C206" s="30" t="s">
        <v>429</v>
      </c>
      <c r="D206" s="73" t="s">
        <v>984</v>
      </c>
      <c r="E206" s="40" t="s">
        <v>4138</v>
      </c>
      <c r="F206" s="30" t="s">
        <v>897</v>
      </c>
      <c r="G206" s="30" t="s">
        <v>767</v>
      </c>
      <c r="H206" s="40" t="s">
        <v>818</v>
      </c>
      <c r="I206" s="40" t="s">
        <v>240</v>
      </c>
      <c r="J206" s="40" t="str">
        <f t="shared" si="12"/>
        <v>target_species</v>
      </c>
      <c r="K206" s="40" t="s">
        <v>729</v>
      </c>
      <c r="L206" s="34" t="str">
        <f>IF(VLOOKUP(J206,find_replace!H:H,1,"false")=J206,"TRUE","FALSE")</f>
        <v>TRUE</v>
      </c>
      <c r="M206" s="73" t="s">
        <v>839</v>
      </c>
      <c r="N206" s="73" t="s">
        <v>857</v>
      </c>
      <c r="O206" s="60" t="str">
        <f t="shared" si="13"/>
        <v xml:space="preserve">    term_target_species: "Target Species"</v>
      </c>
      <c r="P206" s="39" t="str">
        <f t="shared" si="14"/>
        <v xml:space="preserve">    def_target_species: "The common name(s) of the species that the [survey](#survey) was designed to detect."</v>
      </c>
      <c r="Q206" s="40"/>
      <c r="R206" s="74" t="b">
        <v>1</v>
      </c>
      <c r="S206" s="77" t="b">
        <v>1</v>
      </c>
      <c r="T206" s="77" t="b">
        <v>1</v>
      </c>
      <c r="U206" s="76" t="s">
        <v>895</v>
      </c>
      <c r="V206" t="s">
        <v>896</v>
      </c>
      <c r="W206" s="13" t="s">
        <v>1816</v>
      </c>
      <c r="X206" t="s">
        <v>4081</v>
      </c>
      <c r="Y206" t="str">
        <f t="shared" si="15"/>
        <v xml:space="preserve">    target_species_ti: "&lt;a href=\"09_glossary.html#target_species\" target=\"_blank\" data-bs-toggle=\"tooltip\" data-bs-title=\"Target Species: The common name(s) of the species that the [survey](#survey) was designed to detect.\"&gt;&lt;button type=\"button\" class=\"btn btn-bd-tip-info-hidden btn-sm position-relative\"&gt;.&lt;span class=\"position-absolute top-0 start-100 translate-middle\"&gt;{{ icon_info }}&lt;/span&gt;&lt;/button&gt;&lt;/a&gt;"</v>
      </c>
    </row>
    <row r="207" spans="1:25">
      <c r="A207" s="30"/>
      <c r="B207" s="30">
        <v>171</v>
      </c>
      <c r="C207" s="30" t="s">
        <v>0</v>
      </c>
      <c r="D207" s="73" t="s">
        <v>984</v>
      </c>
      <c r="E207" s="34" t="s">
        <v>87</v>
      </c>
      <c r="F207" s="30"/>
      <c r="G207" s="30" t="s">
        <v>767</v>
      </c>
      <c r="H207" s="30" t="s">
        <v>540</v>
      </c>
      <c r="I207" s="40" t="s">
        <v>85</v>
      </c>
      <c r="J207" s="40" t="str">
        <f t="shared" si="12"/>
        <v>sampledesign_targeted</v>
      </c>
      <c r="K207" s="34" t="s">
        <v>87</v>
      </c>
      <c r="L207" s="34" t="str">
        <f>IF(VLOOKUP(J207,find_replace!H:H,1,"false")=J207,"TRUE","FALSE")</f>
        <v>TRUE</v>
      </c>
      <c r="M207" s="73" t="s">
        <v>86</v>
      </c>
      <c r="N207" s="73" t="s">
        <v>86</v>
      </c>
      <c r="O207" s="60" t="str">
        <f t="shared" si="13"/>
        <v xml:space="preserve">    term_sampledesign_targeted: "Targeted design"</v>
      </c>
      <c r="P207" s="39" t="str">
        <f t="shared" si="14"/>
        <v xml:space="preserve">    def_sampledesign_targeted: "Camera locations or sample stations are placed in areas that are known or suspected to have higher activity levels (e.g., game trails, mineral licks)."</v>
      </c>
      <c r="Q207" s="40"/>
      <c r="R207" s="74" t="s">
        <v>51</v>
      </c>
      <c r="S207" s="77" t="b">
        <v>1</v>
      </c>
      <c r="T207" s="77" t="b">
        <v>1</v>
      </c>
      <c r="U207" s="76" t="s">
        <v>895</v>
      </c>
      <c r="V207" t="s">
        <v>896</v>
      </c>
      <c r="W207" s="13" t="s">
        <v>1816</v>
      </c>
      <c r="X207" t="s">
        <v>4081</v>
      </c>
      <c r="Y207" t="str">
        <f t="shared" si="15"/>
        <v xml:space="preserve">    sampledesign_targeted_ti: "&lt;a href=\"09_glossary.html#sampledesign_targeted\" target=\"_blank\" data-bs-toggle=\"tooltip\" data-bs-title=\"Targeted design: Camera locations or sample stations are placed in areas that are known or suspected to have higher activity levels (e.g., game trails, mineral licks).\"&gt;&lt;button type=\"button\" class=\"btn btn-bd-tip-info-hidden btn-sm position-relative\"&gt;.&lt;span class=\"position-absolute top-0 start-100 translate-middle\"&gt;{{ icon_info }}&lt;/span&gt;&lt;/button&gt;&lt;/a&gt;"</v>
      </c>
    </row>
    <row r="208" spans="1:25">
      <c r="A208" s="30"/>
      <c r="B208" s="30">
        <v>172</v>
      </c>
      <c r="C208" s="30" t="s">
        <v>0</v>
      </c>
      <c r="D208" s="73" t="s">
        <v>984</v>
      </c>
      <c r="E208" s="34" t="s">
        <v>84</v>
      </c>
      <c r="F208" s="30"/>
      <c r="G208" s="30" t="s">
        <v>767</v>
      </c>
      <c r="H208" s="30"/>
      <c r="I208" s="40" t="s">
        <v>82</v>
      </c>
      <c r="J208" s="40" t="str">
        <f t="shared" si="12"/>
        <v>test_image</v>
      </c>
      <c r="K208" s="34" t="s">
        <v>84</v>
      </c>
      <c r="L208" s="34" t="str">
        <f>IF(VLOOKUP(J208,find_replace!H:H,1,"false")=J208,"TRUE","FALSE")</f>
        <v>TRUE</v>
      </c>
      <c r="M208" s="73" t="s">
        <v>83</v>
      </c>
      <c r="N208" s="73" t="s">
        <v>83</v>
      </c>
      <c r="O208" s="60" t="str">
        <f t="shared" si="13"/>
        <v xml:space="preserve">    term_test_image: "Test image"</v>
      </c>
      <c r="P208" s="39" t="str">
        <f t="shared" si="14"/>
        <v xml:space="preserve">    def_test_image: "An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v>
      </c>
      <c r="Q208" s="40"/>
      <c r="R208" s="74" t="s">
        <v>51</v>
      </c>
      <c r="S208" s="77" t="b">
        <v>1</v>
      </c>
      <c r="T208" s="77" t="b">
        <v>1</v>
      </c>
      <c r="U208" s="76" t="s">
        <v>895</v>
      </c>
      <c r="V208" t="s">
        <v>896</v>
      </c>
      <c r="W208" s="13" t="s">
        <v>1816</v>
      </c>
      <c r="X208" t="s">
        <v>4081</v>
      </c>
      <c r="Y208" t="str">
        <f t="shared" si="15"/>
        <v xml:space="preserve">    test_image_ti: "&lt;a href=\"09_glossary.html#test_image\" target=\"_blank\" data-bs-toggle=\"tooltip\" data-bs-title=\"Test image: 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errors.\"&gt;&lt;button type=\"button\" class=\"btn btn-bd-tip-info-hidden btn-sm position-relative\"&gt;.&lt;span class=\"position-absolute top-0 start-100 translate-middle\"&gt;{{ icon_info }}&lt;/span&gt;&lt;/button&gt;&lt;/a&gt;"</v>
      </c>
    </row>
    <row r="209" spans="1:25">
      <c r="A209" s="30"/>
      <c r="B209" s="30">
        <v>173</v>
      </c>
      <c r="C209" s="30" t="s">
        <v>429</v>
      </c>
      <c r="D209" s="73" t="s">
        <v>984</v>
      </c>
      <c r="E209" s="40" t="s">
        <v>501</v>
      </c>
      <c r="F209" s="30" t="s">
        <v>897</v>
      </c>
      <c r="G209" s="30" t="s">
        <v>767</v>
      </c>
      <c r="H209" s="30" t="s">
        <v>543</v>
      </c>
      <c r="I209" s="40" t="s">
        <v>1394</v>
      </c>
      <c r="J209" s="40" t="str">
        <f t="shared" si="12"/>
        <v>test_image_taken</v>
      </c>
      <c r="K209" s="40" t="s">
        <v>761</v>
      </c>
      <c r="L209" s="34" t="str">
        <f>IF(VLOOKUP(J209,find_replace!H:H,1,"false")=J209,"TRUE","FALSE")</f>
        <v>TRUE</v>
      </c>
      <c r="M209" s="73" t="s">
        <v>313</v>
      </c>
      <c r="N209" s="73" t="s">
        <v>313</v>
      </c>
      <c r="O209" s="60" t="str">
        <f t="shared" si="13"/>
        <v xml:space="preserve">    term_test_image_taken: "Test Image Taken"</v>
      </c>
      <c r="P209" s="39" t="str">
        <f t="shared" si="14"/>
        <v xml:space="preserve">    def_test_image_taken: "Whether a test image (i.e., an image taken from a camera after it has been set up to provide a permanent record of the visit metadata) was taken. Arm the camera, from ~5 m in front, walk towards the camera while holding the Test Image Sheet."</v>
      </c>
      <c r="Q209" s="40"/>
      <c r="R209" s="74" t="b">
        <v>0</v>
      </c>
      <c r="S209" s="77" t="b">
        <v>1</v>
      </c>
      <c r="T209" s="77" t="b">
        <v>1</v>
      </c>
      <c r="U209" s="76" t="s">
        <v>895</v>
      </c>
      <c r="V209" t="s">
        <v>896</v>
      </c>
      <c r="W209" s="13" t="s">
        <v>1816</v>
      </c>
      <c r="X209" t="s">
        <v>4081</v>
      </c>
      <c r="Y209" t="str">
        <f t="shared" si="15"/>
        <v xml:space="preserve">    test_image_taken_ti: "&lt;a href=\"09_glossary.html#test_image_taken\" target=\"_blank\" data-bs-toggle=\"tooltip\" data-bs-title=\"Test Image Taken: Whether a test image (i.e., an image taken from a camera after it has been set up to provide a permanent record of the visit metadata) was taken. Arm the camera, from ~5 m in front, walk towards the camera while holding the Test Image Sheet.\"&gt;&lt;button type=\"button\" class=\"btn btn-bd-tip-info-hidden btn-sm position-relative\"&gt;.&lt;span class=\"position-absolute top-0 start-100 translate-middle\"&gt;{{ icon_info }}&lt;/span&gt;&lt;/button&gt;&lt;/a&gt;"</v>
      </c>
    </row>
    <row r="210" spans="1:25">
      <c r="A210" s="30"/>
      <c r="B210" s="30">
        <v>174</v>
      </c>
      <c r="C210" s="30" t="s">
        <v>0</v>
      </c>
      <c r="D210" s="73" t="s">
        <v>984</v>
      </c>
      <c r="E210" s="34" t="s">
        <v>81</v>
      </c>
      <c r="F210" s="30" t="s">
        <v>897</v>
      </c>
      <c r="G210" s="30" t="s">
        <v>767</v>
      </c>
      <c r="H210" s="30" t="s">
        <v>4</v>
      </c>
      <c r="I210" s="40" t="s">
        <v>12</v>
      </c>
      <c r="J210" s="40" t="str">
        <f t="shared" si="12"/>
        <v>mod_tifc</v>
      </c>
      <c r="K210" s="34" t="s">
        <v>81</v>
      </c>
      <c r="L210" s="34" t="str">
        <f>IF(VLOOKUP(J210,find_replace!H:H,1,"false")=J210,"TRUE","FALSE")</f>
        <v>TRUE</v>
      </c>
      <c r="M210" s="73" t="s">
        <v>775</v>
      </c>
      <c r="N210" s="73" t="s">
        <v>866</v>
      </c>
      <c r="O210" s="60" t="str">
        <f t="shared" si="13"/>
        <v xml:space="preserve">    term_mod_tifc: "Time in front of the camera (TIFC) (Huggard, 2018; Warbington &amp; Boyce, 2020; tested in Becker et al., 2022)"</v>
      </c>
      <c r="P210" s="39" t="str">
        <f t="shared" si="14"/>
        <v xml:space="preserve">    def_mod_tifc: "A method used to estimate [density](#density) that treats camera image data as quadrat samples (Becker et al., 2022)."</v>
      </c>
      <c r="Q210" s="40"/>
      <c r="R210" s="74" t="s">
        <v>51</v>
      </c>
      <c r="S210" s="75" t="b">
        <v>0</v>
      </c>
      <c r="T210" s="77" t="b">
        <v>1</v>
      </c>
      <c r="U210" s="76" t="s">
        <v>895</v>
      </c>
      <c r="V210" t="s">
        <v>896</v>
      </c>
      <c r="W210" s="13" t="s">
        <v>1816</v>
      </c>
      <c r="X210" t="s">
        <v>4081</v>
      </c>
      <c r="Y210" t="str">
        <f t="shared" si="15"/>
        <v xml:space="preserve">    mod_tifc_ti: "&lt;a href=\"09_glossary.html#mod_tifc\" target=\"_blank\" data-bs-toggle=\"tooltip\" data-bs-title=\"Time in front of the camera (TIFC) (Huggard, 2018; Warbington &amp; Boyce, 2020; tested in Becker et al., 2022): A method used to estimate [density](#density) that treats camera image data as quadrat samples (Becker et al., 2022).\"&gt;&lt;button type=\"button\" class=\"btn btn-bd-tip-info-hidden btn-sm position-relative\"&gt;.&lt;span class=\"position-absolute top-0 start-100 translate-middle\"&gt;{{ icon_info }}&lt;/span&gt;&lt;/button&gt;&lt;/a&gt;"</v>
      </c>
    </row>
    <row r="211" spans="1:25">
      <c r="A211" s="30"/>
      <c r="B211" s="30">
        <v>175</v>
      </c>
      <c r="C211" s="30" t="s">
        <v>0</v>
      </c>
      <c r="D211" s="73" t="s">
        <v>984</v>
      </c>
      <c r="E211" s="34" t="s">
        <v>80</v>
      </c>
      <c r="F211" s="30"/>
      <c r="G211" s="30" t="s">
        <v>767</v>
      </c>
      <c r="H211" s="30"/>
      <c r="I211" s="40" t="s">
        <v>79</v>
      </c>
      <c r="J211" s="40" t="str">
        <f t="shared" si="12"/>
        <v>timelapse_image</v>
      </c>
      <c r="K211" s="34" t="s">
        <v>80</v>
      </c>
      <c r="L211" s="34" t="str">
        <f>IF(VLOOKUP(J211,find_replace!H:H,1,"false")=J211,"TRUE","FALSE")</f>
        <v>TRUE</v>
      </c>
      <c r="M211" s="73" t="s">
        <v>831</v>
      </c>
      <c r="N211" s="73" t="s">
        <v>867</v>
      </c>
      <c r="O211" s="60" t="str">
        <f t="shared" si="13"/>
        <v xml:space="preserve">    term_timelapse_image: "Time-lapse image"</v>
      </c>
      <c r="P211" s="39" t="str">
        <f t="shared" si="14"/>
        <v xml:space="preserve">    def_timelapse_image: "Images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[density](#density) estimators' such as REM or time-to-event (TTE) models; see Moeller et al., [2018] for advantages and disadvantages)."</v>
      </c>
      <c r="Q211" s="40"/>
      <c r="R211" s="74" t="s">
        <v>51</v>
      </c>
      <c r="S211" s="77" t="b">
        <v>1</v>
      </c>
      <c r="T211" s="77" t="b">
        <v>1</v>
      </c>
      <c r="U211" s="76" t="s">
        <v>895</v>
      </c>
      <c r="V211" t="s">
        <v>896</v>
      </c>
      <c r="W211" s="13" t="s">
        <v>1816</v>
      </c>
      <c r="X211" t="s">
        <v>4081</v>
      </c>
      <c r="Y211" t="str">
        <f t="shared" si="15"/>
        <v xml:space="preserve">    timelapse_image_ti: "&lt;a href=\"09_glossary.html#timelapse_image\" target=\"_blank\" data-bs-toggle=\"tooltip\" data-bs-title=\"Time-lapse image: 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[density](#density) estimators' such as REM or time-to-event (TTE) models; see Moeller et al., [2018] for advantages and disadvantages).\"&gt;&lt;button type=\"button\" class=\"btn btn-bd-tip-info-hidden btn-sm position-relative\"&gt;.&lt;span class=\"position-absolute top-0 start-100 translate-middle\"&gt;{{ icon_info }}&lt;/span&gt;&lt;/button&gt;&lt;/a&gt;"</v>
      </c>
    </row>
    <row r="212" spans="1:25">
      <c r="A212" s="30"/>
      <c r="B212" s="30">
        <v>176</v>
      </c>
      <c r="C212" s="30" t="s">
        <v>0</v>
      </c>
      <c r="D212" s="73" t="s">
        <v>984</v>
      </c>
      <c r="E212" s="34" t="s">
        <v>78</v>
      </c>
      <c r="F212" s="30" t="s">
        <v>897</v>
      </c>
      <c r="G212" s="30" t="s">
        <v>767</v>
      </c>
      <c r="H212" s="30" t="s">
        <v>4</v>
      </c>
      <c r="I212" s="40" t="s">
        <v>8</v>
      </c>
      <c r="J212" s="40" t="str">
        <f t="shared" si="12"/>
        <v>mod_tte</v>
      </c>
      <c r="K212" s="34" t="s">
        <v>78</v>
      </c>
      <c r="L212" s="34" t="str">
        <f>IF(VLOOKUP(J212,find_replace!H:H,1,"false")=J212,"TRUE","FALSE")</f>
        <v>TRUE</v>
      </c>
      <c r="M212" s="73" t="s">
        <v>986</v>
      </c>
      <c r="N212" s="73" t="s">
        <v>885</v>
      </c>
      <c r="O212" s="60" t="str">
        <f t="shared" si="13"/>
        <v xml:space="preserve">    term_mod_tte: "Time-to-event (TTE) model (Moeller et al., 2018)"</v>
      </c>
      <c r="P212" s="39" t="str">
        <f t="shared" si="14"/>
        <v xml:space="preserve">    def_mod_tte: "A method used to estimate abundance or [density](#density) from the detection rate while accounting for animal movement rates ({{ rtxt_moeller_et_al_2018 }}). The TTE model assumes perfect detection (though there is a model extension to account for imperfect detection that requires further testing)."</v>
      </c>
      <c r="Q212" s="40"/>
      <c r="R212" s="74" t="s">
        <v>51</v>
      </c>
      <c r="S212" s="75" t="b">
        <v>0</v>
      </c>
      <c r="T212" s="77" t="b">
        <v>1</v>
      </c>
      <c r="U212" s="76" t="s">
        <v>895</v>
      </c>
      <c r="V212" t="s">
        <v>896</v>
      </c>
      <c r="W212" s="13" t="s">
        <v>1816</v>
      </c>
      <c r="X212" t="s">
        <v>4081</v>
      </c>
      <c r="Y212" t="str">
        <f t="shared" si="15"/>
        <v xml:space="preserve">    mod_tte_ti: "&lt;a href=\"09_glossary.html#mod_tte\" target=\"_blank\" data-bs-toggle=\"tooltip\" data-bs-title=\"Time-to-event (TTE) model (Moeller et al., 2018): A method used to estimate abundance or [density](#density) from the detection rate while accounting for animal movement rates ({{ rtxt_moeller_et_al_2018 }}). The TTE model assumes perfect detection (though there is a model extension to account for imperfect detection that requires further testing).\"&gt;&lt;button type=\"button\" class=\"btn btn-bd-tip-info-hidden btn-sm position-relative\"&gt;.&lt;span class=\"position-absolute top-0 start-100 translate-middle\"&gt;{{ icon_info }}&lt;/span&gt;&lt;/button&gt;&lt;/a&gt;"</v>
      </c>
    </row>
    <row r="213" spans="1:25">
      <c r="A213" s="30"/>
      <c r="B213" s="30">
        <v>177</v>
      </c>
      <c r="C213" s="30" t="s">
        <v>0</v>
      </c>
      <c r="D213" s="73" t="s">
        <v>984</v>
      </c>
      <c r="E213" s="34" t="s">
        <v>77</v>
      </c>
      <c r="F213" s="30"/>
      <c r="G213" s="30" t="s">
        <v>767</v>
      </c>
      <c r="H213" s="30"/>
      <c r="I213" s="40" t="s">
        <v>1246</v>
      </c>
      <c r="J213" s="40" t="str">
        <f t="shared" si="12"/>
        <v>total_number_of_cam_days</v>
      </c>
      <c r="K213" s="34" t="s">
        <v>77</v>
      </c>
      <c r="L213" s="34" t="str">
        <f>IF(VLOOKUP(J213,find_replace!H:H,1,"false")=J213,"TRUE","FALSE")</f>
        <v>TRUE</v>
      </c>
      <c r="M213" s="73" t="s">
        <v>840</v>
      </c>
      <c r="N213" s="73" t="s">
        <v>858</v>
      </c>
      <c r="O213" s="60" t="str">
        <f t="shared" si="13"/>
        <v xml:space="preserve">    term_total_number_of_cam_days: "Total number of camera days"</v>
      </c>
      <c r="P213" s="39" t="str">
        <f t="shared" si="14"/>
        <v xml:space="preserve">    def_total_number_of_cam_days: "The number of days that all cameras were active during the [survey](#survey)."</v>
      </c>
      <c r="Q213" s="40"/>
      <c r="R213" s="74" t="s">
        <v>51</v>
      </c>
      <c r="S213" s="75" t="b">
        <v>0</v>
      </c>
      <c r="T213" s="77" t="b">
        <v>1</v>
      </c>
      <c r="U213" s="76" t="s">
        <v>895</v>
      </c>
      <c r="V213" t="s">
        <v>896</v>
      </c>
      <c r="W213" s="13" t="s">
        <v>1816</v>
      </c>
      <c r="X213" t="s">
        <v>4081</v>
      </c>
      <c r="Y213" t="str">
        <f t="shared" si="15"/>
        <v xml:space="preserve">    total_number_of_cam_days_ti: "&lt;a href=\"09_glossary.html#total_number_of_cam_days\" target=\"_blank\" data-bs-toggle=\"tooltip\" data-bs-title=\"Total number of camera days: The number of days that all cameras were active during the [survey](#survey).\"&gt;&lt;button type=\"button\" class=\"btn btn-bd-tip-info-hidden btn-sm position-relative\"&gt;.&lt;span class=\"position-absolute top-0 start-100 translate-middle\"&gt;{{ icon_info }}&lt;/span&gt;&lt;/button&gt;&lt;/a&gt;"</v>
      </c>
    </row>
    <row r="214" spans="1:25">
      <c r="A214" s="30"/>
      <c r="B214" s="30">
        <v>178</v>
      </c>
      <c r="C214" s="30" t="s">
        <v>0</v>
      </c>
      <c r="D214" s="73" t="s">
        <v>984</v>
      </c>
      <c r="E214" s="34" t="s">
        <v>457</v>
      </c>
      <c r="F214" s="30"/>
      <c r="G214" s="30" t="s">
        <v>767</v>
      </c>
      <c r="H214" s="30"/>
      <c r="I214" s="40" t="s">
        <v>75</v>
      </c>
      <c r="J214" s="40" t="str">
        <f t="shared" si="12"/>
        <v>trigger_event</v>
      </c>
      <c r="K214" s="34" t="s">
        <v>457</v>
      </c>
      <c r="L214" s="34" t="str">
        <f>IF(VLOOKUP(J214,find_replace!H:H,1,"false")=J214,"TRUE","FALSE")</f>
        <v>TRUE</v>
      </c>
      <c r="M214" s="73" t="s">
        <v>76</v>
      </c>
      <c r="N214" s="73" t="s">
        <v>76</v>
      </c>
      <c r="O214" s="60" t="str">
        <f t="shared" si="13"/>
        <v xml:space="preserve">    term_trigger_event: "Trigger 'event'"</v>
      </c>
      <c r="P214" s="39" t="str">
        <f t="shared" si="14"/>
        <v xml:space="preserve">    def_trigger_event: "An activation of the camera detector(s) that initiates the capture of a single or multiple images, or the recording of video."</v>
      </c>
      <c r="Q214" s="40"/>
      <c r="R214" s="74" t="s">
        <v>51</v>
      </c>
      <c r="S214" s="77" t="b">
        <v>1</v>
      </c>
      <c r="T214" s="77" t="b">
        <v>1</v>
      </c>
      <c r="U214" s="76" t="s">
        <v>895</v>
      </c>
      <c r="V214" t="s">
        <v>896</v>
      </c>
      <c r="W214" s="13" t="s">
        <v>1816</v>
      </c>
      <c r="X214" t="s">
        <v>4081</v>
      </c>
      <c r="Y214" t="str">
        <f t="shared" si="15"/>
        <v xml:space="preserve">    trigger_event_ti: "&lt;a href=\"09_glossary.html#trigger_event\" target=\"_blank\" data-bs-toggle=\"tooltip\" data-bs-title=\"Trigger 'event': An activation of the camera detector(s) that initiates the capture of a single or multiple images, or the recording of video.\"&gt;&lt;button type=\"button\" class=\"btn btn-bd-tip-info-hidden btn-sm position-relative\"&gt;.&lt;span class=\"position-absolute top-0 start-100 translate-middle\"&gt;{{ icon_info }}&lt;/span&gt;&lt;/button&gt;&lt;/a&gt;"</v>
      </c>
    </row>
    <row r="215" spans="1:25">
      <c r="A215" s="30"/>
      <c r="B215" s="30">
        <v>179</v>
      </c>
      <c r="C215" s="30" t="s">
        <v>429</v>
      </c>
      <c r="D215" s="73" t="s">
        <v>984</v>
      </c>
      <c r="E215" s="40" t="s">
        <v>4137</v>
      </c>
      <c r="F215" s="30" t="s">
        <v>897</v>
      </c>
      <c r="G215" s="30" t="s">
        <v>767</v>
      </c>
      <c r="H215" s="30" t="s">
        <v>546</v>
      </c>
      <c r="I215" s="40" t="s">
        <v>239</v>
      </c>
      <c r="J215" s="40" t="str">
        <f t="shared" si="12"/>
        <v>settings_trigger_modes</v>
      </c>
      <c r="K215" s="40" t="s">
        <v>1776</v>
      </c>
      <c r="L215" s="34" t="str">
        <f>IF(VLOOKUP(J215,find_replace!H:H,1,"false")=J215,"TRUE","FALSE")</f>
        <v>TRUE</v>
      </c>
      <c r="M215" s="73" t="s">
        <v>419</v>
      </c>
      <c r="N215" s="73" t="s">
        <v>419</v>
      </c>
      <c r="O215" s="60" t="str">
        <f t="shared" si="13"/>
        <v xml:space="preserve">    term_settings_trigger_modes: "Trigger Mode(s) (camera settings)"</v>
      </c>
      <c r="P215" s="39" t="str">
        <f t="shared" si="14"/>
        <v xml:space="preserve">    def_settings_trigger_modes: "The camera setting(s) that determine how the camera will trigger: by motion ('Motion Image'), at set intervals ('Time-lapse image'), and*/or by video ('Video'; possible with newer camera models, such as Reconyx HP2X)."</v>
      </c>
      <c r="Q215" s="40"/>
      <c r="R215" s="74" t="b">
        <v>1</v>
      </c>
      <c r="S215" s="77" t="b">
        <v>1</v>
      </c>
      <c r="T215" s="77" t="b">
        <v>1</v>
      </c>
      <c r="U215" s="76" t="s">
        <v>895</v>
      </c>
      <c r="V215" t="s">
        <v>896</v>
      </c>
      <c r="W215" s="13" t="s">
        <v>1816</v>
      </c>
      <c r="X215" t="s">
        <v>4081</v>
      </c>
      <c r="Y215" t="str">
        <f t="shared" si="15"/>
        <v xml:space="preserve">    settings_trigger_modes_ti: "&lt;a href=\"09_glossary.html#settings_trigger_modes\" target=\"_blank\" data-bs-toggle=\"tooltip\" data-bs-title=\"Trigger Mode(s) (camera settings): The camera setting(s) that determine how the camera will trigger: by motion ('Motion Image'), at set intervals ('Time-lapse image'), and*/or by video ('Video'; possible with newer camera models, such as Reconyx HP2X).\"&gt;&lt;button type=\"button\" class=\"btn btn-bd-tip-info-hidden btn-sm position-relative\"&gt;.&lt;span class=\"position-absolute top-0 start-100 translate-middle\"&gt;{{ icon_info }}&lt;/span&gt;&lt;/button&gt;&lt;/a&gt;"</v>
      </c>
    </row>
    <row r="216" spans="1:25">
      <c r="A216" s="30"/>
      <c r="B216" s="30">
        <v>180</v>
      </c>
      <c r="C216" s="30" t="s">
        <v>429</v>
      </c>
      <c r="D216" s="73" t="s">
        <v>984</v>
      </c>
      <c r="E216" s="40" t="s">
        <v>4135</v>
      </c>
      <c r="F216" s="30" t="s">
        <v>897</v>
      </c>
      <c r="G216" s="30" t="s">
        <v>767</v>
      </c>
      <c r="H216" s="30" t="s">
        <v>546</v>
      </c>
      <c r="I216" s="40" t="s">
        <v>238</v>
      </c>
      <c r="J216" s="40" t="str">
        <f t="shared" si="12"/>
        <v>settings_trigger_sensitivity</v>
      </c>
      <c r="K216" s="40" t="s">
        <v>721</v>
      </c>
      <c r="L216" s="34" t="str">
        <f>IF(VLOOKUP(J216,find_replace!H:H,1,"false")=J216,"TRUE","FALSE")</f>
        <v>TRUE</v>
      </c>
      <c r="M216" s="73" t="s">
        <v>420</v>
      </c>
      <c r="N216" s="73" t="s">
        <v>420</v>
      </c>
      <c r="O216" s="60" t="str">
        <f t="shared" si="13"/>
        <v xml:space="preserve">    term_settings_trigger_sensitivity: "Trigger Sensitivity"</v>
      </c>
      <c r="P216" s="39" t="str">
        <f t="shared" si="14"/>
        <v xml:space="preserve">    def_settings_trigger_sensitivity: "The camera setting responsible for how sensitive a camera is to activation (to 'triggering') via the infrared and*/or heat detectors (if applicable, e.g., Reconyx HyperFire cameras have a choice between 'Low,' 'Low*/Med,' 'Med,' 'Med*/High,' 'High,' 'Very high' and 'Unknown'). "</v>
      </c>
      <c r="Q216" s="40"/>
      <c r="R216" s="74" t="b">
        <v>1</v>
      </c>
      <c r="S216" s="77" t="b">
        <v>1</v>
      </c>
      <c r="T216" s="77" t="b">
        <v>1</v>
      </c>
      <c r="U216" s="76" t="s">
        <v>895</v>
      </c>
      <c r="V216" t="s">
        <v>896</v>
      </c>
      <c r="W216" s="13" t="s">
        <v>1816</v>
      </c>
      <c r="X216" t="s">
        <v>4081</v>
      </c>
      <c r="Y216" t="str">
        <f t="shared" si="15"/>
        <v xml:space="preserve">    settings_trigger_sensitivity_ti: "&lt;a href=\"09_glossary.html#settings_trigger_sensitivity\" target=\"_blank\" data-bs-toggle=\"tooltip\" data-bs-title=\"Trigger Sensitivity: The camera setting responsible for how sensitive a camera is to activation (to 'triggering') via the infrared and*/or heat detectors (if applicable, e.g., Reconyx HyperFire cameras have a choice between 'Low,' 'Low*/Med,' 'Med,' 'Med*/High,' 'High,' 'Very high' and 'Unknown'). \"&gt;&lt;button type=\"button\" class=\"btn btn-bd-tip-info-hidden btn-sm position-relative\"&gt;.&lt;span class=\"position-absolute top-0 start-100 translate-middle\"&gt;{{ icon_info }}&lt;/span&gt;&lt;/button&gt;&lt;/a&gt;"</v>
      </c>
    </row>
    <row r="217" spans="1:25">
      <c r="A217" s="30"/>
      <c r="B217" s="30">
        <v>181</v>
      </c>
      <c r="C217" s="30" t="s">
        <v>0</v>
      </c>
      <c r="D217" s="73" t="s">
        <v>984</v>
      </c>
      <c r="E217" s="34" t="s">
        <v>74</v>
      </c>
      <c r="F217" s="30"/>
      <c r="G217" s="30" t="s">
        <v>767</v>
      </c>
      <c r="H217" s="30"/>
      <c r="I217" s="40" t="s">
        <v>73</v>
      </c>
      <c r="J217" s="40" t="str">
        <f t="shared" si="12"/>
        <v>trigger_speed</v>
      </c>
      <c r="K217" s="34" t="s">
        <v>74</v>
      </c>
      <c r="L217" s="34" t="str">
        <f>IF(VLOOKUP(J217,find_replace!H:H,1,"false")=J217,"TRUE","FALSE")</f>
        <v>TRUE</v>
      </c>
      <c r="M217" s="73" t="s">
        <v>404</v>
      </c>
      <c r="N217" s="73" t="s">
        <v>404</v>
      </c>
      <c r="O217" s="60" t="str">
        <f t="shared" si="13"/>
        <v xml:space="preserve">    term_trigger_speed: "Trigger speed"</v>
      </c>
      <c r="P217" s="39" t="str">
        <f t="shared" si="14"/>
        <v xml:space="preserve">    def_trigger_speed: "The time delay necessary for the camera to shoot a photo once an animal has interrupted the infrared beam within the camera's detection zone (Trolliet et al., 2014). Trigger speed differs from Motion Image Interval (a camera setting specified by the user) in that the trigger speed is inherent to the Camera Make and Camera Model (e.g., two different cameras, models both with a Motion Image Interval set to 'no delay,' may not be able to capture images at the same speed)."</v>
      </c>
      <c r="Q217" s="40"/>
      <c r="R217" s="74" t="s">
        <v>51</v>
      </c>
      <c r="S217" s="75" t="b">
        <v>0</v>
      </c>
      <c r="T217" s="77" t="b">
        <v>1</v>
      </c>
      <c r="U217" s="76" t="s">
        <v>895</v>
      </c>
      <c r="V217" t="s">
        <v>896</v>
      </c>
      <c r="W217" s="13" t="s">
        <v>1816</v>
      </c>
      <c r="X217" t="s">
        <v>4081</v>
      </c>
      <c r="Y217" t="str">
        <f t="shared" si="15"/>
        <v xml:space="preserve">    trigger_speed_ti: "&lt;a href=\"09_glossary.html#trigger_speed\" target=\"_blank\" data-bs-toggle=\"tooltip\" data-bs-title=\"Trigger speed: The time delay necessary for the camera to shoot a photo once an animal has interrupted the infrared beam within the camera's detection zone (Trolliet et al., 2014). Trigger speed differs from Motion Image Interval (a camera setting specified by the user) in that the trigger speed is inherent to the Camera Make and Camera Model (e.g., two different cameras, models both with a Motion Image Interval set to 'no delay,' may not be able to capture images at the same speed).\"&gt;&lt;button type=\"button\" class=\"btn btn-bd-tip-info-hidden btn-sm position-relative\"&gt;.&lt;span class=\"position-absolute top-0 start-100 translate-middle\"&gt;{{ icon_info }}&lt;/span&gt;&lt;/button&gt;&lt;/a&gt;"</v>
      </c>
    </row>
    <row r="218" spans="1:25">
      <c r="A218" s="30"/>
      <c r="B218" s="30">
        <v>182</v>
      </c>
      <c r="C218" s="30" t="s">
        <v>0</v>
      </c>
      <c r="D218" s="73" t="s">
        <v>984</v>
      </c>
      <c r="E218" s="34" t="s">
        <v>72</v>
      </c>
      <c r="F218" s="30"/>
      <c r="G218" s="30" t="s">
        <v>767</v>
      </c>
      <c r="H218" s="40" t="s">
        <v>817</v>
      </c>
      <c r="I218" s="40" t="s">
        <v>71</v>
      </c>
      <c r="J218" s="40" t="str">
        <f t="shared" si="12"/>
        <v>typeid_unmarked</v>
      </c>
      <c r="K218" s="34" t="s">
        <v>1420</v>
      </c>
      <c r="L218" s="34" t="str">
        <f>IF(VLOOKUP(J218,find_replace!H:H,1,"false")=J218,"TRUE","FALSE")</f>
        <v>TRUE</v>
      </c>
      <c r="M218" s="73" t="s">
        <v>424</v>
      </c>
      <c r="N218" s="73" t="s">
        <v>424</v>
      </c>
      <c r="O218" s="60" t="str">
        <f t="shared" si="13"/>
        <v xml:space="preserve">    term_typeid_unmarked: "Unmarked individuals / populations / species"</v>
      </c>
      <c r="P218" s="39" t="str">
        <f t="shared" si="14"/>
        <v xml:space="preserve">    def_typeid_unmarked: "Individuals,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v>
      </c>
      <c r="Q218" s="40"/>
      <c r="R218" s="74" t="s">
        <v>51</v>
      </c>
      <c r="S218" s="75" t="b">
        <v>0</v>
      </c>
      <c r="T218" s="77" t="b">
        <v>1</v>
      </c>
      <c r="U218" s="76" t="s">
        <v>895</v>
      </c>
      <c r="V218" t="s">
        <v>896</v>
      </c>
      <c r="W218" s="13" t="s">
        <v>1816</v>
      </c>
      <c r="X218" t="s">
        <v>4081</v>
      </c>
      <c r="Y218" t="str">
        <f t="shared" si="15"/>
        <v xml:space="preserve">    typeid_unmarked_ti: "&lt;a href=\"09_glossary.html#typeid_unmarked\" target=\"_blank\" data-bs-toggle=\"tooltip\" data-bs-title=\"Unmarked individuals / populations / species: 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2022).\"&gt;&lt;button type=\"button\" class=\"btn btn-bd-tip-info-hidden btn-sm position-relative\"&gt;.&lt;span class=\"position-absolute top-0 start-100 translate-middle\"&gt;{{ icon_info }}&lt;/span&gt;&lt;/button&gt;&lt;/a&gt;"</v>
      </c>
    </row>
    <row r="219" spans="1:25">
      <c r="A219" s="30"/>
      <c r="B219" s="30">
        <v>183</v>
      </c>
      <c r="C219" s="30" t="s">
        <v>0</v>
      </c>
      <c r="D219" s="73" t="s">
        <v>984</v>
      </c>
      <c r="E219" s="34" t="s">
        <v>70</v>
      </c>
      <c r="F219" s="30"/>
      <c r="G219" s="30" t="s">
        <v>767</v>
      </c>
      <c r="H219" s="30" t="s">
        <v>546</v>
      </c>
      <c r="I219" s="40" t="s">
        <v>69</v>
      </c>
      <c r="J219" s="40" t="str">
        <f t="shared" si="12"/>
        <v>settings_userlabel</v>
      </c>
      <c r="K219" s="34" t="s">
        <v>70</v>
      </c>
      <c r="L219" s="34" t="str">
        <f>IF(VLOOKUP(J219,find_replace!H:H,1,"false")=J219,"TRUE","FALSE")</f>
        <v>TRUE</v>
      </c>
      <c r="M219" s="73" t="s">
        <v>421</v>
      </c>
      <c r="N219" s="73" t="s">
        <v>421</v>
      </c>
      <c r="O219" s="60" t="str">
        <f t="shared" si="13"/>
        <v xml:space="preserve">    term_settings_userlabel: "User label"</v>
      </c>
      <c r="P219" s="39" t="str">
        <f t="shared" si="14"/>
        <v xml:space="preserve">    def_settings_userlabel: "A label (up to 16 characters) that can be programmed in the camera’s settings, and that will be visible in the data band of all photos and videos taken by the camera (Reconyx, 2018). It is recommended that users program the Sample Station Name*/Camera Location Name as the user label, which serves as a means to confirm which Sample Station Name*/Camera Location Name is associated with the images*/videos."</v>
      </c>
      <c r="Q219" s="40"/>
      <c r="R219" s="74" t="s">
        <v>51</v>
      </c>
      <c r="S219" s="75" t="b">
        <v>0</v>
      </c>
      <c r="T219" s="77" t="b">
        <v>1</v>
      </c>
      <c r="U219" s="76" t="s">
        <v>895</v>
      </c>
      <c r="V219" t="s">
        <v>896</v>
      </c>
      <c r="W219" s="13" t="s">
        <v>1816</v>
      </c>
      <c r="X219" t="s">
        <v>4081</v>
      </c>
      <c r="Y219" t="str">
        <f t="shared" si="15"/>
        <v xml:space="preserve">    settings_userlabel_ti: "&lt;a href=\"09_glossary.html#settings_userlabel\" target=\"_blank\" data-bs-toggle=\"tooltip\" data-bs-title=\"User label: A label (up to 16 characters) that can be programmed in the camera’s settings, and that will be visible in the data band of all photos and videos taken by the camera (Reconyx, 2018). It is recommended that users program the Sample Station Name*/Camera Location Name as the user label, which serves as a means to confirm which Sample Station Name*/Camera Location Name is associated with the images*/videos.\"&gt;&lt;button type=\"button\" class=\"btn btn-bd-tip-info-hidden btn-sm position-relative\"&gt;.&lt;span class=\"position-absolute top-0 start-100 translate-middle\"&gt;{{ icon_info }}&lt;/span&gt;&lt;/button&gt;&lt;/a&gt;"</v>
      </c>
    </row>
    <row r="220" spans="1:25">
      <c r="A220" s="30"/>
      <c r="B220" s="30">
        <v>184</v>
      </c>
      <c r="C220" s="30" t="s">
        <v>429</v>
      </c>
      <c r="D220" s="73" t="s">
        <v>984</v>
      </c>
      <c r="E220" s="40" t="s">
        <v>4152</v>
      </c>
      <c r="F220" s="30" t="s">
        <v>897</v>
      </c>
      <c r="G220" s="30" t="s">
        <v>767</v>
      </c>
      <c r="H220" s="30" t="s">
        <v>547</v>
      </c>
      <c r="I220" s="40" t="s">
        <v>1225</v>
      </c>
      <c r="J220" s="40" t="str">
        <f t="shared" si="12"/>
        <v>utm_zone_cam_location</v>
      </c>
      <c r="K220" s="40" t="s">
        <v>732</v>
      </c>
      <c r="L220" s="34" t="str">
        <f>IF(VLOOKUP(J220,find_replace!H:H,1,"false")=J220,"TRUE","FALSE")</f>
        <v>TRUE</v>
      </c>
      <c r="M220" s="73" t="s">
        <v>405</v>
      </c>
      <c r="N220" s="73" t="s">
        <v>405</v>
      </c>
      <c r="O220" s="60" t="str">
        <f t="shared" si="13"/>
        <v xml:space="preserve">    term_utm_zone_cam_location: "UTM Zone Camera Location"</v>
      </c>
      <c r="P220" s="39" t="str">
        <f t="shared" si="14"/>
        <v xml:space="preserve">    def_utm_zone_cam_location: "The number corresponding to the Universal Transverse Mercator (UTM) grid zone where the camera was placed (e.g., '12'). UTM is a coordinate system that divides the earth into grid zones that are identified with a number (representing a width of latitude) and letter (representing the hemisphere). &lt;br&gt; &lt;br&gt;In Alberta the UTM zones are either 11, 12, or TTM. Enter all other UTM zones in the Camera Location Comments field (e.g., zones 7-10 for British Columbia), or use Latitude and Longitude instead of UTM coordinates. &lt;br&gt; &lt;br&gt;"</v>
      </c>
      <c r="Q220" s="40"/>
      <c r="R220" s="74" t="b">
        <v>1</v>
      </c>
      <c r="S220" s="77" t="b">
        <v>1</v>
      </c>
      <c r="T220" s="77" t="b">
        <v>1</v>
      </c>
      <c r="U220" s="76" t="s">
        <v>895</v>
      </c>
      <c r="V220" t="s">
        <v>896</v>
      </c>
      <c r="W220" s="13" t="s">
        <v>1816</v>
      </c>
      <c r="X220" t="s">
        <v>4081</v>
      </c>
      <c r="Y220" t="str">
        <f t="shared" si="15"/>
        <v xml:space="preserve">    utm_zone_cam_location_ti: "&lt;a href=\"09_glossary.html#utm_zone_cam_location\" target=\"_blank\" data-bs-toggle=\"tooltip\" data-bs-title=\"UTM Zone Camera Location: The number corresponding to the Universal Transverse Mercator (UTM) grid zone where the camera was placed (e.g., '12'). UTM is a coordinate system that divides the earth into grid zones that are identified with a number (representing a width of latitude) and letter (representing the hemisphere). &lt;br&gt; &lt;br&gt;In Alberta the UTM zones are either 11, 12, or TTM. Enter all other UTM zones in the Camera Location Comments field (e.g., zones 7-10 for British Columbia), or use Latitude and Longitude instead of UTM coordinates. &lt;br&gt; &lt;br&gt;\"&gt;&lt;button type=\"button\" class=\"btn btn-bd-tip-info-hidden btn-sm position-relative\"&gt;.&lt;span class=\"position-absolute top-0 start-100 translate-middle\"&gt;{{ icon_info }}&lt;/span&gt;&lt;/button&gt;&lt;/a&gt;"</v>
      </c>
    </row>
    <row r="221" spans="1:25">
      <c r="A221" s="30"/>
      <c r="B221" s="30"/>
      <c r="C221" s="30" t="s">
        <v>0</v>
      </c>
      <c r="D221" s="73" t="s">
        <v>984</v>
      </c>
      <c r="E221" s="30"/>
      <c r="F221" s="30"/>
      <c r="G221" s="30" t="s">
        <v>463</v>
      </c>
      <c r="H221" s="30"/>
      <c r="I221" s="30" t="s">
        <v>790</v>
      </c>
      <c r="J221" s="40" t="str">
        <f t="shared" si="12"/>
        <v>variance</v>
      </c>
      <c r="K221" s="30" t="s">
        <v>664</v>
      </c>
      <c r="L221" s="34" t="str">
        <f>IF(VLOOKUP(J221,find_replace!H:H,1,"false")=J221,"TRUE","FALSE")</f>
        <v>TRUE</v>
      </c>
      <c r="M221" s="55" t="s">
        <v>1317</v>
      </c>
      <c r="N221" s="55" t="s">
        <v>1310</v>
      </c>
      <c r="O221" s="60" t="str">
        <f t="shared" si="13"/>
        <v xml:space="preserve">    term_variance: "Variance"</v>
      </c>
      <c r="P221" s="39" t="str">
        <f t="shared" si="14"/>
        <v xml:space="preserve">    def_variance: "The spread of numbers in a dataset compared to the mean of the dataset' ({{ rtxt_clarke_et_al_2023 }})."</v>
      </c>
      <c r="Q221" s="30"/>
      <c r="R221" s="30"/>
      <c r="S221" s="30"/>
      <c r="T221" s="30"/>
      <c r="U221" s="76" t="s">
        <v>895</v>
      </c>
      <c r="V221" t="s">
        <v>896</v>
      </c>
      <c r="W221" s="13" t="s">
        <v>1816</v>
      </c>
      <c r="X221" t="s">
        <v>4081</v>
      </c>
      <c r="Y221" t="str">
        <f t="shared" si="15"/>
        <v xml:space="preserve">    variance_ti: "&lt;a href=\"09_glossary.html#variance\" target=\"_blank\" data-bs-toggle=\"tooltip\" data-bs-title=\"Variance: The spread of numbers in a dataset compared to the mean of the dataset' ({{ rtxt_clarke_et_al_2023 }}).\"&gt;&lt;button type=\"button\" class=\"btn btn-bd-tip-info-hidden btn-sm position-relative\"&gt;.&lt;span class=\"position-absolute top-0 start-100 translate-middle\"&gt;{{ icon_info }}&lt;/span&gt;&lt;/button&gt;&lt;/a&gt;"</v>
      </c>
    </row>
    <row r="222" spans="1:25">
      <c r="A222" s="30"/>
      <c r="B222" s="30">
        <v>185</v>
      </c>
      <c r="C222" s="30" t="s">
        <v>429</v>
      </c>
      <c r="D222" s="73" t="s">
        <v>984</v>
      </c>
      <c r="E222" s="40" t="s">
        <v>502</v>
      </c>
      <c r="F222" s="30" t="s">
        <v>897</v>
      </c>
      <c r="G222" s="30" t="s">
        <v>767</v>
      </c>
      <c r="H222" s="30" t="s">
        <v>543</v>
      </c>
      <c r="I222" s="40" t="s">
        <v>311</v>
      </c>
      <c r="J222" s="40" t="str">
        <f t="shared" si="12"/>
        <v>settings_video_length</v>
      </c>
      <c r="K222" s="40" t="s">
        <v>758</v>
      </c>
      <c r="L222" s="34" t="str">
        <f>IF(VLOOKUP(J222,find_replace!H:H,1,"false")=J222,"TRUE","FALSE")</f>
        <v>TRUE</v>
      </c>
      <c r="M222" s="73" t="s">
        <v>312</v>
      </c>
      <c r="N222" s="73" t="s">
        <v>312</v>
      </c>
      <c r="O222" s="60" t="str">
        <f t="shared" si="13"/>
        <v xml:space="preserve">    term_settings_video_length: "Video Length (seconds)"</v>
      </c>
      <c r="P222" s="39" t="str">
        <f t="shared" si="14"/>
        <v xml:space="preserve">    def_settings_video_length: "If applicable, describes the camera setting that specifies the minimum video duration (in seconds) that the camera will record when triggered. Leave blank if not applicable."</v>
      </c>
      <c r="Q222" s="40" t="b">
        <v>1</v>
      </c>
      <c r="R222" s="74" t="b">
        <v>0</v>
      </c>
      <c r="S222" s="77" t="b">
        <v>1</v>
      </c>
      <c r="T222" s="77" t="b">
        <v>1</v>
      </c>
      <c r="U222" s="76" t="s">
        <v>895</v>
      </c>
      <c r="V222" t="s">
        <v>896</v>
      </c>
      <c r="W222" s="13" t="s">
        <v>1816</v>
      </c>
      <c r="X222" t="s">
        <v>4081</v>
      </c>
      <c r="Y222" t="str">
        <f t="shared" si="15"/>
        <v xml:space="preserve">    settings_video_length_ti: "&lt;a href=\"09_glossary.html#settings_video_length\" target=\"_blank\" data-bs-toggle=\"tooltip\" data-bs-title=\"Video Length (seconds): If applicable, describes the camera setting that specifies the minimum video duration (in seconds) that the camera will record when triggered. Leave blank if not applicable.\"&gt;&lt;button type=\"button\" class=\"btn btn-bd-tip-info-hidden btn-sm position-relative\"&gt;.&lt;span class=\"position-absolute top-0 start-100 translate-middle\"&gt;{{ icon_info }}&lt;/span&gt;&lt;/button&gt;&lt;/a&gt;"</v>
      </c>
    </row>
    <row r="223" spans="1:25">
      <c r="A223" s="30"/>
      <c r="B223" s="30">
        <v>186</v>
      </c>
      <c r="C223" s="30" t="s">
        <v>0</v>
      </c>
      <c r="D223" s="73" t="s">
        <v>984</v>
      </c>
      <c r="E223" s="40" t="s">
        <v>68</v>
      </c>
      <c r="F223" s="30"/>
      <c r="G223" s="30" t="s">
        <v>767</v>
      </c>
      <c r="H223" s="40" t="s">
        <v>542</v>
      </c>
      <c r="I223" s="40" t="s">
        <v>66</v>
      </c>
      <c r="J223" s="40" t="str">
        <f t="shared" si="12"/>
        <v>fov_viewshed</v>
      </c>
      <c r="K223" s="40" t="s">
        <v>68</v>
      </c>
      <c r="L223" s="34" t="str">
        <f>IF(VLOOKUP(J223,find_replace!H:H,1,"false")=J223,"TRUE","FALSE")</f>
        <v>TRUE</v>
      </c>
      <c r="M223" s="73" t="s">
        <v>67</v>
      </c>
      <c r="N223" s="73" t="s">
        <v>67</v>
      </c>
      <c r="O223" s="60" t="str">
        <f t="shared" si="13"/>
        <v xml:space="preserve">    term_fov_viewshed: "Viewshed"</v>
      </c>
      <c r="P223" s="39" t="str">
        <f t="shared" si="14"/>
        <v xml:space="preserve">    def_fov_viewshed: "The area visible to the camera as determined by its lens angle (in degrees) and trigger distance (Moeller et al., 2023)."</v>
      </c>
      <c r="Q223" s="40"/>
      <c r="R223" s="74" t="s">
        <v>51</v>
      </c>
      <c r="S223" s="75" t="b">
        <v>0</v>
      </c>
      <c r="T223" s="77" t="b">
        <v>1</v>
      </c>
      <c r="U223" s="76" t="s">
        <v>895</v>
      </c>
      <c r="V223" t="s">
        <v>896</v>
      </c>
      <c r="W223" s="13" t="s">
        <v>1816</v>
      </c>
      <c r="X223" t="s">
        <v>4081</v>
      </c>
      <c r="Y223" t="str">
        <f t="shared" si="15"/>
        <v xml:space="preserve">    fov_viewshed_ti: "&lt;a href=\"09_glossary.html#fov_viewshed\" target=\"_blank\" data-bs-toggle=\"tooltip\" data-bs-title=\"Viewshed: The area visible to the camera as determined by its lens angle (in degrees) and trigger distance (Moeller et al., 2023).\"&gt;&lt;button type=\"button\" class=\"btn btn-bd-tip-info-hidden btn-sm position-relative\"&gt;.&lt;span class=\"position-absolute top-0 start-100 translate-middle\"&gt;{{ icon_info }}&lt;/span&gt;&lt;/button&gt;&lt;/a&gt;"</v>
      </c>
    </row>
    <row r="224" spans="1:25">
      <c r="A224" s="30"/>
      <c r="B224" s="30">
        <v>187</v>
      </c>
      <c r="C224" s="30" t="s">
        <v>0</v>
      </c>
      <c r="D224" s="73" t="s">
        <v>984</v>
      </c>
      <c r="E224" s="34" t="s">
        <v>522</v>
      </c>
      <c r="F224" s="30"/>
      <c r="G224" s="30" t="s">
        <v>767</v>
      </c>
      <c r="H224" s="40" t="s">
        <v>542</v>
      </c>
      <c r="I224" s="40" t="s">
        <v>521</v>
      </c>
      <c r="J224" s="40" t="str">
        <f t="shared" si="12"/>
        <v>fov_viewshed_density_estimators</v>
      </c>
      <c r="K224" s="34" t="s">
        <v>522</v>
      </c>
      <c r="L224" s="34" t="str">
        <f>IF(VLOOKUP(J224,find_replace!H:H,1,"false")=J224,"TRUE","FALSE")</f>
        <v>TRUE</v>
      </c>
      <c r="M224" s="73" t="s">
        <v>827</v>
      </c>
      <c r="N224" s="73" t="s">
        <v>868</v>
      </c>
      <c r="O224" s="60" t="str">
        <f t="shared" si="13"/>
        <v xml:space="preserve">    term_fov_viewshed_density_estimators: "Viewshed density estimators"</v>
      </c>
      <c r="P224" s="39" t="str">
        <f t="shared" si="14"/>
        <v xml:space="preserve">    def_fov_viewshed_density_estimators: "Methods used to estimate the abundance of unmarked populations from observations of animals that relate animal observations to the space directly sampled by each camera’s viewshed (Moeller et al., 2023); they result in viewshed [density](#density) estimates that can be extrapolated to abundance within broader sampling frames (Gilbert et al., 2020; Moeller et al., 2023)."</v>
      </c>
      <c r="Q224" s="40"/>
      <c r="R224" s="74" t="s">
        <v>51</v>
      </c>
      <c r="S224" s="75" t="b">
        <v>0</v>
      </c>
      <c r="T224" s="77" t="b">
        <v>1</v>
      </c>
      <c r="U224" s="76" t="s">
        <v>895</v>
      </c>
      <c r="V224" t="s">
        <v>896</v>
      </c>
      <c r="W224" s="13" t="s">
        <v>1816</v>
      </c>
      <c r="X224" t="s">
        <v>4081</v>
      </c>
      <c r="Y224" t="str">
        <f t="shared" si="15"/>
        <v xml:space="preserve">    fov_viewshed_density_estimators_ti: "&lt;a href=\"09_glossary.html#fov_viewshed_density_estimators\" target=\"_blank\" data-bs-toggle=\"tooltip\" data-bs-title=\"Viewshed density estimators: Methods used to estimate the abundance of unmarked populations from observations of animals that relate animal observations to the space directly sampled by each camera’s viewshed (Moeller et al., 2023); they result in viewshed [density](#density) estimates that can be extrapolated to abundance within broader sampling frames (Gilbert et al., 2020; Moeller et al., 2023).\"&gt;&lt;button type=\"button\" class=\"btn btn-bd-tip-info-hidden btn-sm position-relative\"&gt;.&lt;span class=\"position-absolute top-0 start-100 translate-middle\"&gt;{{ icon_info }}&lt;/span&gt;&lt;/button&gt;&lt;/a&gt;"</v>
      </c>
    </row>
    <row r="225" spans="1:26">
      <c r="A225" s="30"/>
      <c r="B225" s="30">
        <v>188</v>
      </c>
      <c r="C225" s="30" t="s">
        <v>0</v>
      </c>
      <c r="D225" s="73" t="s">
        <v>984</v>
      </c>
      <c r="E225" s="34" t="s">
        <v>65</v>
      </c>
      <c r="F225" s="30"/>
      <c r="G225" s="30" t="s">
        <v>767</v>
      </c>
      <c r="H225" s="30" t="s">
        <v>541</v>
      </c>
      <c r="I225" s="40" t="s">
        <v>63</v>
      </c>
      <c r="J225" s="40" t="str">
        <f t="shared" si="12"/>
        <v>visit</v>
      </c>
      <c r="K225" s="34" t="s">
        <v>65</v>
      </c>
      <c r="L225" s="34" t="str">
        <f>IF(VLOOKUP(J225,find_replace!H:H,1,"false")=J225,"TRUE","FALSE")</f>
        <v>TRUE</v>
      </c>
      <c r="M225" s="73" t="s">
        <v>64</v>
      </c>
      <c r="N225" s="73" t="s">
        <v>64</v>
      </c>
      <c r="O225" s="60" t="str">
        <f t="shared" si="13"/>
        <v xml:space="preserve">    term_visit: "Visit"</v>
      </c>
      <c r="P225" s="39" t="str">
        <f t="shared" si="14"/>
        <v xml:space="preserve">    def_visit: "When a crew has gone to a location to deploy, service, or retrieve a remote camera."</v>
      </c>
      <c r="Q225" s="40"/>
      <c r="R225" s="74" t="s">
        <v>51</v>
      </c>
      <c r="S225" s="77" t="b">
        <v>1</v>
      </c>
      <c r="T225" s="77" t="b">
        <v>1</v>
      </c>
      <c r="U225" s="76" t="s">
        <v>895</v>
      </c>
      <c r="V225" t="s">
        <v>896</v>
      </c>
      <c r="W225" s="13" t="s">
        <v>1816</v>
      </c>
      <c r="X225" t="s">
        <v>4081</v>
      </c>
      <c r="Y225" t="str">
        <f t="shared" si="15"/>
        <v xml:space="preserve">    visit_ti: "&lt;a href=\"09_glossary.html#visit\" target=\"_blank\" data-bs-toggle=\"tooltip\" data-bs-title=\"Visit: When a crew has gone to a location to deploy, service, or retrieve a remote camera.\"&gt;&lt;button type=\"button\" class=\"btn btn-bd-tip-info-hidden btn-sm position-relative\"&gt;.&lt;span class=\"position-absolute top-0 start-100 translate-middle\"&gt;{{ icon_info }}&lt;/span&gt;&lt;/button&gt;&lt;/a&gt;"</v>
      </c>
    </row>
    <row r="226" spans="1:26">
      <c r="A226" s="30"/>
      <c r="B226" s="30">
        <v>189</v>
      </c>
      <c r="C226" s="30" t="s">
        <v>429</v>
      </c>
      <c r="D226" s="73" t="s">
        <v>984</v>
      </c>
      <c r="E226" s="40" t="s">
        <v>503</v>
      </c>
      <c r="F226" s="30" t="s">
        <v>897</v>
      </c>
      <c r="G226" s="30" t="s">
        <v>767</v>
      </c>
      <c r="H226" s="30" t="s">
        <v>543</v>
      </c>
      <c r="I226" s="40" t="s">
        <v>310</v>
      </c>
      <c r="J226" s="40" t="str">
        <f t="shared" si="12"/>
        <v>visit_comments</v>
      </c>
      <c r="K226" s="40" t="s">
        <v>762</v>
      </c>
      <c r="L226" s="34" t="str">
        <f>IF(VLOOKUP(J226,find_replace!H:H,1,"false")=J226,"TRUE","FALSE")</f>
        <v>TRUE</v>
      </c>
      <c r="M226" s="73" t="s">
        <v>427</v>
      </c>
      <c r="N226" s="73" t="s">
        <v>427</v>
      </c>
      <c r="O226" s="60" t="str">
        <f t="shared" si="13"/>
        <v xml:space="preserve">    term_visit_comments: "Visit Comments"</v>
      </c>
      <c r="P226" s="39" t="str">
        <f t="shared" si="14"/>
        <v xml:space="preserve">    def_visit_comments: "Comments describing additional details about the deployment and*/or Service*/Retrieval visits."</v>
      </c>
      <c r="Q226" s="40"/>
      <c r="R226" s="74" t="b">
        <v>0</v>
      </c>
      <c r="S226" s="77" t="b">
        <v>1</v>
      </c>
      <c r="T226" s="75" t="b">
        <v>0</v>
      </c>
      <c r="U226" s="76" t="s">
        <v>895</v>
      </c>
      <c r="V226" t="s">
        <v>896</v>
      </c>
      <c r="W226" s="13" t="s">
        <v>1816</v>
      </c>
      <c r="X226" t="s">
        <v>4081</v>
      </c>
      <c r="Y226" t="str">
        <f t="shared" si="15"/>
        <v xml:space="preserve">    visit_comments_ti: "&lt;a href=\"09_glossary.html#visit_comments\" target=\"_blank\" data-bs-toggle=\"tooltip\" data-bs-title=\"Visit Comments: Comments describing additional details about the deployment and*/or Service*/Retrieval visits.\"&gt;&lt;button type=\"button\" class=\"btn btn-bd-tip-info-hidden btn-sm position-relative\"&gt;.&lt;span class=\"position-absolute top-0 start-100 translate-middle\"&gt;{{ icon_info }}&lt;/span&gt;&lt;/button&gt;&lt;/a&gt;"</v>
      </c>
    </row>
    <row r="227" spans="1:26">
      <c r="A227" s="30"/>
      <c r="B227" s="30">
        <v>190</v>
      </c>
      <c r="C227" s="30" t="s">
        <v>0</v>
      </c>
      <c r="D227" s="73" t="s">
        <v>984</v>
      </c>
      <c r="E227" s="34" t="s">
        <v>62</v>
      </c>
      <c r="F227" s="30"/>
      <c r="G227" s="30" t="s">
        <v>767</v>
      </c>
      <c r="H227" s="30" t="s">
        <v>541</v>
      </c>
      <c r="I227" s="40" t="s">
        <v>60</v>
      </c>
      <c r="J227" s="40" t="str">
        <f t="shared" si="12"/>
        <v>visit_metadata</v>
      </c>
      <c r="K227" s="34" t="s">
        <v>62</v>
      </c>
      <c r="L227" s="34" t="str">
        <f>IF(VLOOKUP(J227,find_replace!H:H,1,"false")=J227,"TRUE","FALSE")</f>
        <v>TRUE</v>
      </c>
      <c r="M227" s="73" t="s">
        <v>61</v>
      </c>
      <c r="N227" s="73" t="s">
        <v>61</v>
      </c>
      <c r="O227" s="60" t="str">
        <f t="shared" si="13"/>
        <v xml:space="preserve">    term_visit_metadata: "Visit metadata"</v>
      </c>
      <c r="P227" s="39" t="str">
        <f t="shared" si="14"/>
        <v xml:space="preserve">    def_visit_metadata: "Metadata that should be collected each time a camera location is visited to deploy, Service*/Retrieval Field Datasheet."</v>
      </c>
      <c r="Q227" s="40"/>
      <c r="R227" s="74" t="s">
        <v>51</v>
      </c>
      <c r="S227" s="77" t="b">
        <v>1</v>
      </c>
      <c r="T227" s="77" t="b">
        <v>1</v>
      </c>
      <c r="U227" s="76" t="s">
        <v>895</v>
      </c>
      <c r="V227" t="s">
        <v>896</v>
      </c>
      <c r="W227" s="13" t="s">
        <v>1816</v>
      </c>
      <c r="X227" t="s">
        <v>4081</v>
      </c>
      <c r="Y227" t="str">
        <f t="shared" si="15"/>
        <v xml:space="preserve">    visit_metadata_ti: "&lt;a href=\"09_glossary.html#visit_metadata\" target=\"_blank\" data-bs-toggle=\"tooltip\" data-bs-title=\"Visit metadata: Metadata that should be collected each time a camera location is visited to deploy, Service*/Retrieval Field Datasheet.\"&gt;&lt;button type=\"button\" class=\"btn btn-bd-tip-info-hidden btn-sm position-relative\"&gt;.&lt;span class=\"position-absolute top-0 start-100 translate-middle\"&gt;{{ icon_info }}&lt;/span&gt;&lt;/button&gt;&lt;/a&gt;"</v>
      </c>
    </row>
    <row r="228" spans="1:26">
      <c r="A228" s="30"/>
      <c r="B228" s="30">
        <v>191</v>
      </c>
      <c r="C228" s="30" t="s">
        <v>0</v>
      </c>
      <c r="D228" s="73" t="s">
        <v>984</v>
      </c>
      <c r="E228" s="34" t="s">
        <v>59</v>
      </c>
      <c r="F228" s="30"/>
      <c r="G228" s="30" t="s">
        <v>767</v>
      </c>
      <c r="H228" s="30" t="s">
        <v>539</v>
      </c>
      <c r="I228" s="40" t="s">
        <v>58</v>
      </c>
      <c r="J228" s="40" t="str">
        <f t="shared" si="12"/>
        <v>baitlure_visual_lure</v>
      </c>
      <c r="K228" s="34" t="s">
        <v>59</v>
      </c>
      <c r="L228" s="34" t="str">
        <f>IF(VLOOKUP(J228,find_replace!H:H,1,"false")=J228,"TRUE","FALSE")</f>
        <v>TRUE</v>
      </c>
      <c r="M228" s="73" t="s">
        <v>994</v>
      </c>
      <c r="N228" s="73" t="s">
        <v>881</v>
      </c>
      <c r="O228" s="60" t="str">
        <f t="shared" si="13"/>
        <v xml:space="preserve">    term_baitlure_visual_lure: "Visual lure"</v>
      </c>
      <c r="P228" s="39" t="str">
        <f t="shared" si="14"/>
        <v xml:space="preserve">    def_baitlure_visual_lure: "Any material that draws animals closer via their sense of sight ({{ rtxt_schlexer_2008 }})."</v>
      </c>
      <c r="Q228" s="40"/>
      <c r="R228" s="74" t="s">
        <v>51</v>
      </c>
      <c r="S228" s="75" t="b">
        <v>0</v>
      </c>
      <c r="T228" s="77" t="b">
        <v>1</v>
      </c>
      <c r="U228" s="76" t="s">
        <v>895</v>
      </c>
      <c r="V228" t="s">
        <v>896</v>
      </c>
      <c r="W228" s="13" t="s">
        <v>1816</v>
      </c>
      <c r="X228" t="s">
        <v>4081</v>
      </c>
      <c r="Y228" t="str">
        <f t="shared" si="15"/>
        <v xml:space="preserve">    baitlure_visual_lure_ti: "&lt;a href=\"09_glossary.html#baitlure_visual_lure\" target=\"_blank\" data-bs-toggle=\"tooltip\" data-bs-title=\"Visual lure: Any material that draws animals closer via their sense of sight ({{ rtxt_schlexer_2008 }}).\"&gt;&lt;button type=\"button\" class=\"btn btn-bd-tip-info-hidden btn-sm position-relative\"&gt;.&lt;span class=\"position-absolute top-0 start-100 translate-middle\"&gt;{{ icon_info }}&lt;/span&gt;&lt;/button&gt;&lt;/a&gt;"</v>
      </c>
    </row>
    <row r="229" spans="1:26">
      <c r="A229" s="31"/>
      <c r="B229" s="31"/>
      <c r="C229" s="31" t="s">
        <v>0</v>
      </c>
      <c r="D229" s="73" t="s">
        <v>984</v>
      </c>
      <c r="E229" s="31" t="s">
        <v>41</v>
      </c>
      <c r="F229" s="30"/>
      <c r="G229" s="30" t="s">
        <v>813</v>
      </c>
      <c r="H229" s="31" t="s">
        <v>40</v>
      </c>
      <c r="I229" s="31" t="s">
        <v>42</v>
      </c>
      <c r="J229" s="40" t="str">
        <f t="shared" si="12"/>
        <v>obj_vital_rate</v>
      </c>
      <c r="K229" s="31" t="s">
        <v>894</v>
      </c>
      <c r="L229" s="34" t="str">
        <f>IF(VLOOKUP(J229,find_replace!H:H,1,"false")=J229,"TRUE","FALSE")</f>
        <v>TRUE</v>
      </c>
      <c r="M229" s="89" t="s">
        <v>993</v>
      </c>
      <c r="N229" s="89" t="s">
        <v>880</v>
      </c>
      <c r="O229" s="60" t="str">
        <f t="shared" si="13"/>
        <v xml:space="preserve">    term_obj_vital_rate: "Vital rate"</v>
      </c>
      <c r="P229" s="39" t="str">
        <f t="shared" si="14"/>
        <v xml:space="preserve">    def_obj_vital_rate: "The species-specific factors of a population that, together, play a large role in the population's trend. These include the birth rate, recruitment rate, and probability of survival and mortality.' ({{ rtxt_nbckc_2024a }})"</v>
      </c>
      <c r="Q229" s="31"/>
      <c r="R229" s="31"/>
      <c r="S229" s="31"/>
      <c r="T229" s="31"/>
      <c r="U229" s="76" t="s">
        <v>895</v>
      </c>
      <c r="V229" t="s">
        <v>896</v>
      </c>
      <c r="W229" s="13" t="s">
        <v>1816</v>
      </c>
      <c r="X229" t="s">
        <v>4081</v>
      </c>
      <c r="Y229" t="str">
        <f t="shared" si="15"/>
        <v xml:space="preserve">    obj_vital_rate_ti: "&lt;a href=\"09_glossary.html#obj_vital_rate\" target=\"_blank\" data-bs-toggle=\"tooltip\" data-bs-title=\"Vital rate: The species-specific factors of a population that, together, play a large role in the population's trend. These include the birth rate, recruitment rate, and probability of survival and mortality.' ({{ rtxt_nbckc_2024a }})\"&gt;&lt;button type=\"button\" class=\"btn btn-bd-tip-info-hidden btn-sm position-relative\"&gt;.&lt;span class=\"position-absolute top-0 start-100 translate-middle\"&gt;{{ icon_info }}&lt;/span&gt;&lt;/button&gt;&lt;/a&gt;"</v>
      </c>
    </row>
    <row r="230" spans="1:26">
      <c r="A230" s="30"/>
      <c r="B230" s="30">
        <v>192</v>
      </c>
      <c r="C230" s="30" t="s">
        <v>0</v>
      </c>
      <c r="D230" s="73" t="s">
        <v>984</v>
      </c>
      <c r="E230" s="34" t="s">
        <v>57</v>
      </c>
      <c r="F230" s="30"/>
      <c r="G230" s="30" t="s">
        <v>767</v>
      </c>
      <c r="H230" s="30" t="s">
        <v>548</v>
      </c>
      <c r="I230" s="40" t="s">
        <v>56</v>
      </c>
      <c r="J230" s="40" t="str">
        <f t="shared" si="12"/>
        <v>walktest</v>
      </c>
      <c r="K230" s="34" t="s">
        <v>57</v>
      </c>
      <c r="L230" s="34" t="str">
        <f>IF(VLOOKUP(J230,find_replace!H:H,1,"false")=J230,"TRUE","FALSE")</f>
        <v>TRUE</v>
      </c>
      <c r="M230" s="73" t="s">
        <v>425</v>
      </c>
      <c r="N230" s="73" t="s">
        <v>425</v>
      </c>
      <c r="O230" s="60" t="str">
        <f t="shared" si="13"/>
        <v xml:space="preserve">    term_walktest: "Walktest"</v>
      </c>
      <c r="P230" s="39" t="str">
        <f t="shared" si="14"/>
        <v xml:space="preserve">    def_walktest: "A test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v>
      </c>
      <c r="Q230" s="40"/>
      <c r="R230" s="74" t="s">
        <v>51</v>
      </c>
      <c r="S230" s="77" t="b">
        <v>1</v>
      </c>
      <c r="T230" s="77" t="b">
        <v>1</v>
      </c>
      <c r="U230" s="76" t="s">
        <v>895</v>
      </c>
      <c r="V230" t="s">
        <v>896</v>
      </c>
      <c r="W230" s="13" t="s">
        <v>1816</v>
      </c>
      <c r="X230" t="s">
        <v>4081</v>
      </c>
      <c r="Y230" t="str">
        <f t="shared" si="15"/>
        <v xml:space="preserve">    walktest_ti: "&lt;a href=\"09_glossary.html#walktest\" target=\"_blank\" data-bs-toggle=\"tooltip\" data-bs-title=\"Walktest: A test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flash).\"&gt;&lt;button type=\"button\" class=\"btn btn-bd-tip-info-hidden btn-sm position-relative\"&gt;.&lt;span class=\"position-absolute top-0 start-100 translate-middle\"&gt;{{ icon_info }}&lt;/span&gt;&lt;/button&gt;&lt;/a&gt;"</v>
      </c>
    </row>
    <row r="231" spans="1:26">
      <c r="A231" s="30"/>
      <c r="B231" s="30">
        <v>193</v>
      </c>
      <c r="C231" s="30" t="s">
        <v>429</v>
      </c>
      <c r="D231" s="73" t="s">
        <v>984</v>
      </c>
      <c r="E231" s="40" t="s">
        <v>504</v>
      </c>
      <c r="F231" s="30" t="s">
        <v>897</v>
      </c>
      <c r="G231" s="30" t="s">
        <v>767</v>
      </c>
      <c r="H231" s="30" t="s">
        <v>548</v>
      </c>
      <c r="I231" s="40" t="s">
        <v>309</v>
      </c>
      <c r="J231" s="40" t="str">
        <f t="shared" si="12"/>
        <v>walktest_complete</v>
      </c>
      <c r="K231" s="40" t="s">
        <v>763</v>
      </c>
      <c r="L231" s="34" t="str">
        <f>IF(VLOOKUP(J231,find_replace!H:H,1,"false")=J231,"TRUE","FALSE")</f>
        <v>TRUE</v>
      </c>
      <c r="M231" s="73" t="s">
        <v>426</v>
      </c>
      <c r="N231" s="73" t="s">
        <v>426</v>
      </c>
      <c r="O231" s="60" t="str">
        <f t="shared" si="13"/>
        <v xml:space="preserve">    term_walktest_complete: "Walktest Complete"</v>
      </c>
      <c r="P231" s="39" t="str">
        <f t="shared" si="14"/>
        <v xml:space="preserve">    def_walktest_complete: "Whether a walktest was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v>
      </c>
      <c r="Q231" s="40"/>
      <c r="R231" s="74" t="b">
        <v>0</v>
      </c>
      <c r="S231" s="77" t="b">
        <v>1</v>
      </c>
      <c r="T231" s="77" t="b">
        <v>1</v>
      </c>
      <c r="U231" s="76" t="s">
        <v>895</v>
      </c>
      <c r="V231" t="s">
        <v>896</v>
      </c>
      <c r="W231" s="13" t="s">
        <v>1816</v>
      </c>
      <c r="X231" t="s">
        <v>4081</v>
      </c>
      <c r="Y231" t="str">
        <f t="shared" si="15"/>
        <v xml:space="preserve">    walktest_complete_ti: "&lt;a href=\"09_glossary.html#walktest_complete\" target=\"_blank\" data-bs-toggle=\"tooltip\" data-bs-title=\"Walktest Complete: Whether a walktest was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flash).\"&gt;&lt;button type=\"button\" class=\"btn btn-bd-tip-info-hidden btn-sm position-relative\"&gt;.&lt;span class=\"position-absolute top-0 start-100 translate-middle\"&gt;{{ icon_info }}&lt;/span&gt;&lt;/button&gt;&lt;/a&gt;"</v>
      </c>
    </row>
    <row r="232" spans="1:26">
      <c r="A232" s="30"/>
      <c r="B232" s="30">
        <v>194</v>
      </c>
      <c r="C232" s="30" t="s">
        <v>429</v>
      </c>
      <c r="D232" s="73" t="s">
        <v>984</v>
      </c>
      <c r="E232" s="40" t="s">
        <v>1781</v>
      </c>
      <c r="F232" s="30" t="s">
        <v>897</v>
      </c>
      <c r="G232" s="30" t="s">
        <v>767</v>
      </c>
      <c r="H232" s="30" t="s">
        <v>548</v>
      </c>
      <c r="I232" s="40" t="s">
        <v>307</v>
      </c>
      <c r="J232" s="40" t="str">
        <f t="shared" si="12"/>
        <v>walktest_distance</v>
      </c>
      <c r="K232" s="40" t="s">
        <v>1373</v>
      </c>
      <c r="L232" s="34" t="str">
        <f>IF(VLOOKUP(J232,find_replace!H:H,1,"false")=J232,"TRUE","FALSE")</f>
        <v>TRUE</v>
      </c>
      <c r="M232" s="73" t="s">
        <v>308</v>
      </c>
      <c r="N232" s="73" t="s">
        <v>308</v>
      </c>
      <c r="O232" s="60" t="str">
        <f t="shared" si="13"/>
        <v xml:space="preserve">    term_walktest_distance: "Walktest Distance (m)"</v>
      </c>
      <c r="P232" s="39" t="str">
        <f t="shared" si="14"/>
        <v xml:space="preserve">    def_walktest_distance: "The horizontal distance from the camera at which the crew performs the walktest (metres; to the nearest 0.05 m). Leave blank if not applicable."</v>
      </c>
      <c r="Q232" s="40" t="b">
        <v>1</v>
      </c>
      <c r="R232" s="74" t="b">
        <v>0</v>
      </c>
      <c r="S232" s="77" t="b">
        <v>1</v>
      </c>
      <c r="T232" s="77" t="b">
        <v>1</v>
      </c>
      <c r="U232" s="76" t="s">
        <v>895</v>
      </c>
      <c r="V232" t="s">
        <v>896</v>
      </c>
      <c r="W232" s="13" t="s">
        <v>1816</v>
      </c>
      <c r="X232" t="s">
        <v>4081</v>
      </c>
      <c r="Y232" t="str">
        <f t="shared" si="15"/>
        <v xml:space="preserve">    walktest_distance_ti: "&lt;a href=\"09_glossary.html#walktest_distance\" target=\"_blank\" data-bs-toggle=\"tooltip\" data-bs-title=\"Walktest Distance (m): The horizontal distance from the camera at which the crew performs the walktest (metres; to the nearest 0.05 m). Leave blank if not applicable.\"&gt;&lt;button type=\"button\" class=\"btn btn-bd-tip-info-hidden btn-sm position-relative\"&gt;.&lt;span class=\"position-absolute top-0 start-100 translate-middle\"&gt;{{ icon_info }}&lt;/span&gt;&lt;/button&gt;&lt;/a&gt;"</v>
      </c>
    </row>
    <row r="233" spans="1:26">
      <c r="A233" s="30"/>
      <c r="B233" s="30">
        <v>195</v>
      </c>
      <c r="C233" s="30" t="s">
        <v>429</v>
      </c>
      <c r="D233" s="73" t="s">
        <v>984</v>
      </c>
      <c r="E233" s="40" t="s">
        <v>505</v>
      </c>
      <c r="F233" s="30" t="s">
        <v>897</v>
      </c>
      <c r="G233" s="30" t="s">
        <v>767</v>
      </c>
      <c r="H233" s="30" t="s">
        <v>548</v>
      </c>
      <c r="I233" s="40" t="s">
        <v>305</v>
      </c>
      <c r="J233" s="40" t="str">
        <f t="shared" si="12"/>
        <v>walktest_height</v>
      </c>
      <c r="K233" s="40" t="s">
        <v>764</v>
      </c>
      <c r="L233" s="34" t="str">
        <f>IF(VLOOKUP(J233,find_replace!H:H,1,"false")=J233,"TRUE","FALSE")</f>
        <v>TRUE</v>
      </c>
      <c r="M233" s="73" t="s">
        <v>306</v>
      </c>
      <c r="N233" s="73" t="s">
        <v>306</v>
      </c>
      <c r="O233" s="60" t="str">
        <f t="shared" si="13"/>
        <v xml:space="preserve">    term_walktest_height: "Walktest Height (m)"</v>
      </c>
      <c r="P233" s="39" t="str">
        <f t="shared" si="14"/>
        <v xml:space="preserve">    def_walktest_height: "The vertical distance from the camera at which the crew performs the walktest (metres; to the nearest 0.05 m). Leave blank if not applicable."</v>
      </c>
      <c r="Q233" s="40" t="b">
        <v>1</v>
      </c>
      <c r="R233" s="74" t="b">
        <v>0</v>
      </c>
      <c r="S233" s="77" t="b">
        <v>1</v>
      </c>
      <c r="T233" s="77" t="b">
        <v>1</v>
      </c>
      <c r="U233" s="76" t="s">
        <v>895</v>
      </c>
      <c r="V233" t="s">
        <v>896</v>
      </c>
      <c r="W233" s="13" t="s">
        <v>1816</v>
      </c>
      <c r="X233" t="s">
        <v>4081</v>
      </c>
      <c r="Y233" t="str">
        <f t="shared" si="15"/>
        <v xml:space="preserve">    walktest_height_ti: "&lt;a href=\"09_glossary.html#walktest_height\" target=\"_blank\" data-bs-toggle=\"tooltip\" data-bs-title=\"Walktest Height (m): The vertical distance from the camera at which the crew performs the walktest (metres; to the nearest 0.05 m). Leave blank if not applicable.\"&gt;&lt;button type=\"button\" class=\"btn btn-bd-tip-info-hidden btn-sm position-relative\"&gt;.&lt;span class=\"position-absolute top-0 start-100 translate-middle\"&gt;{{ icon_info }}&lt;/span&gt;&lt;/button&gt;&lt;/a&gt;"</v>
      </c>
    </row>
    <row r="234" spans="1:26" s="2" customFormat="1">
      <c r="A234" s="30"/>
      <c r="B234" s="30">
        <v>196</v>
      </c>
      <c r="C234" s="30" t="s">
        <v>0</v>
      </c>
      <c r="D234" s="73" t="s">
        <v>984</v>
      </c>
      <c r="E234" s="34" t="s">
        <v>55</v>
      </c>
      <c r="F234" s="30" t="s">
        <v>897</v>
      </c>
      <c r="G234" s="30" t="s">
        <v>767</v>
      </c>
      <c r="H234" s="30" t="s">
        <v>4</v>
      </c>
      <c r="I234" s="40" t="s">
        <v>447</v>
      </c>
      <c r="J234" s="40" t="str">
        <f t="shared" si="12"/>
        <v>mod_rai_zinb</v>
      </c>
      <c r="K234" s="34" t="s">
        <v>55</v>
      </c>
      <c r="L234" s="34" t="str">
        <f>IF(VLOOKUP(J234,find_replace!H:H,1,"false")=J234,"TRUE","FALSE")</f>
        <v>TRUE</v>
      </c>
      <c r="M234" s="73" t="s">
        <v>388</v>
      </c>
      <c r="N234" s="73" t="s">
        <v>388</v>
      </c>
      <c r="O234" s="60" t="str">
        <f t="shared" si="13"/>
        <v xml:space="preserve">    term_mod_rai_zinb: "Zero-inflated negative binomial (ZINB) regression (McCullagh &amp; Nelder, 1989)"</v>
      </c>
      <c r="P234" s="39" t="str">
        <f t="shared" si="14"/>
        <v xml:space="preserve">    def_mod_rai_zinb: "A regression model used in the setting of excess zeros (zero-inflation) and overdispersion. This approach is a two-part model, where the zero-inflation is modelled separately from the counts and assumes that the count (abundance) is 'conditional' on the zero-inflation model (occurrence) model. [relative abundance indices]"</v>
      </c>
      <c r="Q234" s="40"/>
      <c r="R234" s="74" t="s">
        <v>51</v>
      </c>
      <c r="S234" s="75" t="b">
        <v>0</v>
      </c>
      <c r="T234" s="77" t="b">
        <v>1</v>
      </c>
      <c r="U234" s="76" t="s">
        <v>895</v>
      </c>
      <c r="V234" t="s">
        <v>896</v>
      </c>
      <c r="W234" s="13" t="s">
        <v>1816</v>
      </c>
      <c r="X234" t="s">
        <v>4081</v>
      </c>
      <c r="Y234" t="str">
        <f t="shared" si="15"/>
        <v xml:space="preserve">    mod_rai_zinb_ti: "&lt;a href=\"09_glossary.html#mod_rai_zinb\" target=\"_blank\" data-bs-toggle=\"tooltip\" data-bs-title=\"Zero-inflated negative binomial (ZINB) regression (McCullagh &amp; Nelder, 1989): A regression model used in the setting of excess zeros (zero-inflation) and overdispersion. This approach is a two-part model, where the zero-inflation is modelled separately from the counts and assumes that the count (abundance) is 'conditional' on the zero-inflation model (occurrence) model. [relative abundance indices]\"&gt;&lt;button type=\"button\" class=\"btn btn-bd-tip-info-hidden btn-sm position-relative\"&gt;.&lt;span class=\"position-absolute top-0 start-100 translate-middle\"&gt;{{ icon_info }}&lt;/span&gt;&lt;/button&gt;&lt;/a&gt;"</v>
      </c>
      <c r="Z234"/>
    </row>
    <row r="235" spans="1:26">
      <c r="A235" s="30"/>
      <c r="B235" s="30">
        <v>197</v>
      </c>
      <c r="C235" s="30" t="s">
        <v>0</v>
      </c>
      <c r="D235" s="73" t="s">
        <v>984</v>
      </c>
      <c r="E235" s="34" t="s">
        <v>54</v>
      </c>
      <c r="F235" s="30" t="s">
        <v>897</v>
      </c>
      <c r="G235" s="30" t="s">
        <v>767</v>
      </c>
      <c r="H235" s="30" t="s">
        <v>4</v>
      </c>
      <c r="I235" s="40" t="s">
        <v>450</v>
      </c>
      <c r="J235" s="40" t="str">
        <f t="shared" si="12"/>
        <v>mod_rai_zip</v>
      </c>
      <c r="K235" s="34" t="s">
        <v>54</v>
      </c>
      <c r="L235" s="34" t="str">
        <f>IF(VLOOKUP(J235,find_replace!H:H,1,"false")=J235,"TRUE","FALSE")</f>
        <v>TRUE</v>
      </c>
      <c r="M235" s="73" t="s">
        <v>53</v>
      </c>
      <c r="N235" s="73" t="s">
        <v>53</v>
      </c>
      <c r="O235" s="60" t="str">
        <f t="shared" si="13"/>
        <v xml:space="preserve">    term_mod_rai_zip: "Zero-inflated Poisson (ZIP) regression (Lambert, 1992)"</v>
      </c>
      <c r="P235" s="39" t="str">
        <f t="shared" si="14"/>
        <v xml:space="preserve">    def_mod_rai_zip: "A regression model for count data that both follows the Poisson distribution and contains excess zeros (Lambert, 1992). ZIP models are only appropriate for data for which the overdispersion is not solely due to zero-inflation. [relative abundance indices]"</v>
      </c>
      <c r="Q235" s="40"/>
      <c r="R235" s="74" t="s">
        <v>51</v>
      </c>
      <c r="S235" s="75" t="b">
        <v>0</v>
      </c>
      <c r="T235" s="77" t="b">
        <v>1</v>
      </c>
      <c r="U235" s="76" t="s">
        <v>895</v>
      </c>
      <c r="V235" t="s">
        <v>896</v>
      </c>
      <c r="W235" s="13" t="s">
        <v>1816</v>
      </c>
      <c r="X235" t="s">
        <v>4081</v>
      </c>
      <c r="Y235" t="str">
        <f t="shared" si="15"/>
        <v xml:space="preserve">    mod_rai_zip_ti: "&lt;a href=\"09_glossary.html#mod_rai_zip\" target=\"_blank\" data-bs-toggle=\"tooltip\" data-bs-title=\"Zero-inflated Poisson (ZIP) regression (Lambert, 1992): A regression model for count data that both follows the Poisson distribution and contains excess zeros (Lambert, 1992). ZIP models are only appropriate for data for which the overdispersion is not solely due to zero-inflation. [relative abundance indices]\"&gt;&lt;button type=\"button\" class=\"btn btn-bd-tip-info-hidden btn-sm position-relative\"&gt;.&lt;span class=\"position-absolute top-0 start-100 translate-middle\"&gt;{{ icon_info }}&lt;/span&gt;&lt;/button&gt;&lt;/a&gt;"</v>
      </c>
    </row>
    <row r="236" spans="1:26">
      <c r="A236" s="30"/>
      <c r="B236" s="30">
        <v>198</v>
      </c>
      <c r="C236" s="30" t="s">
        <v>0</v>
      </c>
      <c r="D236" s="73" t="s">
        <v>984</v>
      </c>
      <c r="E236" s="40" t="s">
        <v>52</v>
      </c>
      <c r="F236" s="31"/>
      <c r="G236" s="30" t="s">
        <v>767</v>
      </c>
      <c r="H236" s="30" t="s">
        <v>4</v>
      </c>
      <c r="I236" s="40" t="s">
        <v>462</v>
      </c>
      <c r="J236" s="40" t="str">
        <f t="shared" si="12"/>
        <v>mod_zero_inflation</v>
      </c>
      <c r="K236" s="40" t="s">
        <v>52</v>
      </c>
      <c r="L236" s="34" t="str">
        <f>IF(VLOOKUP(J236,find_replace!H:H,1,"false")=J236,"TRUE","FALSE")</f>
        <v>TRUE</v>
      </c>
      <c r="M236" s="73" t="s">
        <v>387</v>
      </c>
      <c r="N236" s="73" t="s">
        <v>387</v>
      </c>
      <c r="O236" s="60" t="str">
        <f t="shared" si="13"/>
        <v xml:space="preserve">    term_mod_zero_inflation: "Zero-inflation"</v>
      </c>
      <c r="P236" s="39" t="str">
        <f t="shared" si="14"/>
        <v xml:space="preserve">    def_mod_zero_inflation: "An excess of zeros that is 'so large that those expected in standard distributions (e.g., normal, Poisson, binomial, negative binomial and beta)' (Heilbron, 1994) violate the assumptions of such distributions (Martin et al., 2005). Excess zeroes can be a result of ecological effects ('true' zeros) or due to sampling or observer error ('false zeros') (Martin et al., 2005). Excess zeroes contribute to overdispersion, but they don't necessarily account for all excess variability (Blasco-Moreno et al., 2019)."</v>
      </c>
      <c r="Q236" s="40"/>
      <c r="R236" s="74" t="s">
        <v>51</v>
      </c>
      <c r="S236" s="75" t="b">
        <v>0</v>
      </c>
      <c r="T236" s="77" t="b">
        <v>1</v>
      </c>
      <c r="U236" s="76" t="s">
        <v>895</v>
      </c>
      <c r="V236" t="s">
        <v>896</v>
      </c>
      <c r="W236" s="13" t="s">
        <v>1816</v>
      </c>
      <c r="X236" t="s">
        <v>4081</v>
      </c>
      <c r="Y236" t="str">
        <f t="shared" si="15"/>
        <v xml:space="preserve">    mod_zero_inflation_ti: "&lt;a href=\"09_glossary.html#mod_zero_inflation\" target=\"_blank\" data-bs-toggle=\"tooltip\" data-bs-title=\"Zero-inflation: An excess of zeros that is 'so large that those expected in standard distributions (e.g., normal, Poisson, binomial, negative binomial and beta)' (Heilbron, 1994) violate the assumptions of such distributions (Martin et al., 2005). Excess zeroes can be a result of ecological effects ('true' zeros) or due to sampling or observer error ('false zeros') (Martin et al., 2005). Excess zeroes contribute to overdispersion, but they don't necessarily account for all excess variability (Blasco-Moreno et al., 2019).\"&gt;&lt;button type=\"button\" class=\"btn btn-bd-tip-info-hidden btn-sm position-relative\"&gt;.&lt;span class=\"position-absolute top-0 start-100 translate-middle\"&gt;{{ icon_info }}&lt;/span&gt;&lt;/button&gt;&lt;/a&gt;"</v>
      </c>
    </row>
    <row r="237" spans="1:26">
      <c r="D237" s="73" t="s">
        <v>984</v>
      </c>
      <c r="U237" s="76" t="s">
        <v>895</v>
      </c>
    </row>
  </sheetData>
  <autoFilter ref="A1:Z233" xr:uid="{B9597082-29CB-45FC-A241-16B4E33864A2}">
    <sortState xmlns:xlrd2="http://schemas.microsoft.com/office/spreadsheetml/2017/richdata2" ref="A2:Z237">
      <sortCondition ref="K1:K233"/>
    </sortState>
  </autoFilter>
  <conditionalFormatting sqref="D2:D237">
    <cfRule type="containsText" dxfId="53" priority="2" operator="containsText" text="&quot;">
      <formula>NOT(ISERROR(SEARCH("""",D2)))</formula>
    </cfRule>
  </conditionalFormatting>
  <conditionalFormatting sqref="I1:I1048576">
    <cfRule type="duplicateValues" dxfId="52" priority="1"/>
  </conditionalFormatting>
  <conditionalFormatting sqref="J1:J1048576">
    <cfRule type="duplicateValues" dxfId="51" priority="8"/>
  </conditionalFormatting>
  <conditionalFormatting sqref="K1:L1 K2:K232">
    <cfRule type="duplicateValues" dxfId="50" priority="54"/>
  </conditionalFormatting>
  <conditionalFormatting sqref="M1:M5 M2:N6 M7:M233 M237:M1048576">
    <cfRule type="containsText" dxfId="49" priority="9" operator="containsText" text="&quot;">
      <formula>NOT(ISERROR(SEARCH("""",M1)))</formula>
    </cfRule>
  </conditionalFormatting>
  <conditionalFormatting sqref="M236">
    <cfRule type="containsText" dxfId="48" priority="3" operator="containsText" text="(english)">
      <formula>NOT(ISERROR(SEARCH("(english)",M236)))</formula>
    </cfRule>
    <cfRule type="containsText" dxfId="47" priority="4" operator="containsText" text="References">
      <formula>NOT(ISERROR(SEARCH("References",M236)))</formula>
    </cfRule>
  </conditionalFormatting>
  <conditionalFormatting sqref="N7">
    <cfRule type="containsText" dxfId="46" priority="5" operator="containsText" text="&quot;">
      <formula>NOT(ISERROR(SEARCH("""",N7)))</formula>
    </cfRule>
  </conditionalFormatting>
  <conditionalFormatting sqref="N31">
    <cfRule type="containsText" dxfId="45" priority="6" operator="containsText" text="&quot;">
      <formula>NOT(ISERROR(SEARCH("""",N31)))</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43FCA-913D-421E-AED4-4D9FF92CBE20}">
  <dimension ref="A1:K36"/>
  <sheetViews>
    <sheetView workbookViewId="0">
      <selection activeCell="H11" sqref="H11"/>
    </sheetView>
  </sheetViews>
  <sheetFormatPr defaultRowHeight="14.25"/>
  <cols>
    <col min="1" max="1" width="27.625" customWidth="1"/>
    <col min="3" max="3" width="42.5" customWidth="1"/>
  </cols>
  <sheetData>
    <row r="1" spans="1:11">
      <c r="A1" t="s">
        <v>5970</v>
      </c>
      <c r="B1" t="s">
        <v>5895</v>
      </c>
      <c r="K1" t="s">
        <v>5983</v>
      </c>
    </row>
    <row r="2" spans="1:11">
      <c r="A2" t="s">
        <v>4884</v>
      </c>
      <c r="B2" t="s">
        <v>5969</v>
      </c>
      <c r="C2" t="s">
        <v>5968</v>
      </c>
      <c r="K2" t="s">
        <v>5971</v>
      </c>
    </row>
    <row r="3" spans="1:11">
      <c r="A3" t="s">
        <v>40</v>
      </c>
      <c r="B3" t="s">
        <v>5651</v>
      </c>
      <c r="K3" t="s">
        <v>5972</v>
      </c>
    </row>
    <row r="4" spans="1:11">
      <c r="A4" t="s">
        <v>5653</v>
      </c>
      <c r="B4" t="s">
        <v>5652</v>
      </c>
      <c r="K4" t="s">
        <v>5973</v>
      </c>
    </row>
    <row r="5" spans="1:11">
      <c r="A5" t="s">
        <v>4890</v>
      </c>
      <c r="B5" t="s">
        <v>5967</v>
      </c>
      <c r="K5" t="s">
        <v>5974</v>
      </c>
    </row>
    <row r="6" spans="1:11">
      <c r="A6" t="s">
        <v>5045</v>
      </c>
      <c r="B6" t="s">
        <v>5966</v>
      </c>
      <c r="K6" t="s">
        <v>5975</v>
      </c>
    </row>
    <row r="7" spans="1:11">
      <c r="A7" t="s">
        <v>5039</v>
      </c>
      <c r="B7" t="s">
        <v>5965</v>
      </c>
      <c r="K7" t="s">
        <v>5976</v>
      </c>
    </row>
    <row r="8" spans="1:11">
      <c r="A8" t="s">
        <v>5023</v>
      </c>
      <c r="B8" t="s">
        <v>5654</v>
      </c>
      <c r="K8" t="s">
        <v>5977</v>
      </c>
    </row>
    <row r="9" spans="1:11">
      <c r="A9" t="s">
        <v>5772</v>
      </c>
      <c r="B9" t="s">
        <v>5964</v>
      </c>
      <c r="K9" t="s">
        <v>5978</v>
      </c>
    </row>
    <row r="10" spans="1:11">
      <c r="A10" t="s">
        <v>4984</v>
      </c>
      <c r="B10" t="s">
        <v>5649</v>
      </c>
      <c r="K10" t="s">
        <v>5979</v>
      </c>
    </row>
    <row r="11" spans="1:11">
      <c r="A11" t="s">
        <v>5776</v>
      </c>
      <c r="B11" t="s">
        <v>5963</v>
      </c>
      <c r="K11" t="s">
        <v>5980</v>
      </c>
    </row>
    <row r="12" spans="1:11">
      <c r="A12" t="s">
        <v>4995</v>
      </c>
      <c r="B12" t="s">
        <v>5650</v>
      </c>
      <c r="K12" t="s">
        <v>5981</v>
      </c>
    </row>
    <row r="13" spans="1:11">
      <c r="A13" t="s">
        <v>4943</v>
      </c>
      <c r="B13" t="s">
        <v>5645</v>
      </c>
      <c r="K13" t="s">
        <v>5982</v>
      </c>
    </row>
    <row r="14" spans="1:11">
      <c r="A14" t="s">
        <v>4896</v>
      </c>
      <c r="B14" t="s">
        <v>5641</v>
      </c>
    </row>
    <row r="15" spans="1:11">
      <c r="A15" t="s">
        <v>4957</v>
      </c>
      <c r="B15" t="s">
        <v>5962</v>
      </c>
    </row>
    <row r="16" spans="1:11">
      <c r="A16" t="s">
        <v>4936</v>
      </c>
      <c r="B16" t="s">
        <v>5644</v>
      </c>
    </row>
    <row r="17" spans="1:2">
      <c r="A17" t="s">
        <v>5647</v>
      </c>
      <c r="B17" t="s">
        <v>5646</v>
      </c>
    </row>
    <row r="18" spans="1:2">
      <c r="A18" t="s">
        <v>4909</v>
      </c>
      <c r="B18" t="s">
        <v>5961</v>
      </c>
    </row>
    <row r="19" spans="1:2">
      <c r="A19" t="s">
        <v>458</v>
      </c>
      <c r="B19" t="s">
        <v>5643</v>
      </c>
    </row>
    <row r="20" spans="1:2">
      <c r="A20" t="s">
        <v>4955</v>
      </c>
      <c r="B20" t="s">
        <v>5648</v>
      </c>
    </row>
    <row r="21" spans="1:2">
      <c r="A21" t="s">
        <v>4980</v>
      </c>
      <c r="B21" t="s">
        <v>5960</v>
      </c>
    </row>
    <row r="22" spans="1:2">
      <c r="A22" t="s">
        <v>5930</v>
      </c>
      <c r="B22" t="s">
        <v>5959</v>
      </c>
    </row>
    <row r="23" spans="1:2">
      <c r="A23" t="s">
        <v>5929</v>
      </c>
      <c r="B23" t="s">
        <v>5958</v>
      </c>
    </row>
    <row r="24" spans="1:2">
      <c r="A24" t="s">
        <v>5013</v>
      </c>
      <c r="B24" t="s">
        <v>5957</v>
      </c>
    </row>
    <row r="25" spans="1:2">
      <c r="A25" t="s">
        <v>4960</v>
      </c>
      <c r="B25" t="s">
        <v>5956</v>
      </c>
    </row>
    <row r="26" spans="1:2">
      <c r="A26" t="s">
        <v>5861</v>
      </c>
      <c r="B26" t="s">
        <v>5955</v>
      </c>
    </row>
    <row r="27" spans="1:2">
      <c r="A27" t="s">
        <v>5855</v>
      </c>
      <c r="B27" t="s">
        <v>5954</v>
      </c>
    </row>
    <row r="28" spans="1:2">
      <c r="A28" t="s">
        <v>5858</v>
      </c>
      <c r="B28" t="s">
        <v>5953</v>
      </c>
    </row>
    <row r="29" spans="1:2">
      <c r="A29" t="s">
        <v>5858</v>
      </c>
      <c r="B29" t="s">
        <v>5952</v>
      </c>
    </row>
    <row r="30" spans="1:2">
      <c r="A30" t="s">
        <v>5054</v>
      </c>
      <c r="B30" t="s">
        <v>5951</v>
      </c>
    </row>
    <row r="31" spans="1:2">
      <c r="A31" t="s">
        <v>5850</v>
      </c>
      <c r="B31" t="s">
        <v>5950</v>
      </c>
    </row>
    <row r="32" spans="1:2">
      <c r="A32" t="s">
        <v>5036</v>
      </c>
      <c r="B32" t="s">
        <v>5655</v>
      </c>
    </row>
    <row r="33" spans="1:2">
      <c r="A33" t="s">
        <v>4998</v>
      </c>
      <c r="B33" t="s">
        <v>5949</v>
      </c>
    </row>
    <row r="34" spans="1:2">
      <c r="A34" t="s">
        <v>5001</v>
      </c>
      <c r="B34" t="s">
        <v>5948</v>
      </c>
    </row>
    <row r="35" spans="1:2">
      <c r="A35" t="s">
        <v>5928</v>
      </c>
      <c r="B35" t="s">
        <v>5947</v>
      </c>
    </row>
    <row r="36" spans="1:2">
      <c r="A36" t="s">
        <v>5797</v>
      </c>
      <c r="B36" t="s">
        <v>5946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52AA1-3F9F-41F5-A695-F3783B3CA1E4}">
  <sheetPr codeName="Sheet7">
    <tabColor rgb="FFFFFF00"/>
  </sheetPr>
  <dimension ref="A1:G88"/>
  <sheetViews>
    <sheetView workbookViewId="0">
      <selection activeCell="D10" sqref="D10"/>
    </sheetView>
  </sheetViews>
  <sheetFormatPr defaultRowHeight="14.25"/>
  <cols>
    <col min="1" max="1" width="47.25" customWidth="1"/>
    <col min="4" max="5" width="31.625" customWidth="1"/>
    <col min="6" max="6" width="43.875" customWidth="1"/>
  </cols>
  <sheetData>
    <row r="1" spans="1:7">
      <c r="A1" t="s">
        <v>4686</v>
      </c>
      <c r="B1" t="s">
        <v>4687</v>
      </c>
      <c r="C1" t="s">
        <v>4688</v>
      </c>
      <c r="D1" t="s">
        <v>4686</v>
      </c>
      <c r="E1" t="s">
        <v>4686</v>
      </c>
    </row>
    <row r="2" spans="1:7">
      <c r="A2" t="s">
        <v>1840</v>
      </c>
      <c r="D2" t="s">
        <v>4692</v>
      </c>
      <c r="E2" t="s">
        <v>4813</v>
      </c>
      <c r="F2" t="s">
        <v>536</v>
      </c>
      <c r="G2" t="e">
        <v>#N/A</v>
      </c>
    </row>
    <row r="3" spans="1:7">
      <c r="A3" t="s">
        <v>1841</v>
      </c>
      <c r="D3" t="s">
        <v>4693</v>
      </c>
      <c r="E3" t="s">
        <v>4814</v>
      </c>
      <c r="F3" t="s">
        <v>30</v>
      </c>
      <c r="G3" t="e">
        <v>#N/A</v>
      </c>
    </row>
    <row r="4" spans="1:7">
      <c r="A4" t="s">
        <v>1842</v>
      </c>
      <c r="D4" t="s">
        <v>4694</v>
      </c>
      <c r="E4" t="s">
        <v>4815</v>
      </c>
      <c r="F4" t="s">
        <v>536</v>
      </c>
      <c r="G4" t="e">
        <v>#N/A</v>
      </c>
    </row>
    <row r="5" spans="1:7">
      <c r="A5" t="s">
        <v>1843</v>
      </c>
      <c r="D5" t="s">
        <v>4695</v>
      </c>
      <c r="E5" t="s">
        <v>4816</v>
      </c>
      <c r="F5" t="s">
        <v>533</v>
      </c>
      <c r="G5" t="e">
        <v>#N/A</v>
      </c>
    </row>
    <row r="6" spans="1:7">
      <c r="A6" t="s">
        <v>1844</v>
      </c>
      <c r="D6" t="s">
        <v>4696</v>
      </c>
      <c r="E6" t="s">
        <v>4817</v>
      </c>
      <c r="F6" t="s">
        <v>621</v>
      </c>
      <c r="G6" t="e">
        <v>#N/A</v>
      </c>
    </row>
    <row r="7" spans="1:7">
      <c r="A7" t="s">
        <v>1845</v>
      </c>
      <c r="D7" t="s">
        <v>4697</v>
      </c>
      <c r="E7" t="s">
        <v>4818</v>
      </c>
      <c r="F7" t="s">
        <v>620</v>
      </c>
      <c r="G7" t="e">
        <v>#N/A</v>
      </c>
    </row>
    <row r="8" spans="1:7">
      <c r="A8" t="s">
        <v>1846</v>
      </c>
      <c r="D8" t="s">
        <v>4698</v>
      </c>
      <c r="E8" t="s">
        <v>4819</v>
      </c>
      <c r="F8" t="s">
        <v>443</v>
      </c>
      <c r="G8" t="e">
        <v>#N/A</v>
      </c>
    </row>
    <row r="9" spans="1:7">
      <c r="A9" t="s">
        <v>1847</v>
      </c>
      <c r="D9" t="s">
        <v>4699</v>
      </c>
      <c r="E9" t="s">
        <v>4820</v>
      </c>
      <c r="F9" t="s">
        <v>619</v>
      </c>
      <c r="G9" t="e">
        <v>#N/A</v>
      </c>
    </row>
    <row r="10" spans="1:7">
      <c r="A10" t="s">
        <v>1848</v>
      </c>
      <c r="D10" t="s">
        <v>4700</v>
      </c>
      <c r="E10" t="s">
        <v>4821</v>
      </c>
      <c r="F10" t="s">
        <v>442</v>
      </c>
      <c r="G10" t="e">
        <v>#N/A</v>
      </c>
    </row>
    <row r="11" spans="1:7">
      <c r="A11" t="s">
        <v>1849</v>
      </c>
      <c r="D11" t="s">
        <v>4701</v>
      </c>
      <c r="E11" t="s">
        <v>4822</v>
      </c>
      <c r="F11" t="s">
        <v>532</v>
      </c>
      <c r="G11" t="e">
        <v>#N/A</v>
      </c>
    </row>
    <row r="12" spans="1:7">
      <c r="A12" t="s">
        <v>1850</v>
      </c>
      <c r="D12" t="s">
        <v>4702</v>
      </c>
      <c r="E12" t="s">
        <v>4823</v>
      </c>
      <c r="F12" t="s">
        <v>452</v>
      </c>
      <c r="G12" t="e">
        <v>#N/A</v>
      </c>
    </row>
    <row r="13" spans="1:7">
      <c r="A13" t="s">
        <v>1851</v>
      </c>
      <c r="D13" t="s">
        <v>4703</v>
      </c>
      <c r="E13" t="s">
        <v>4824</v>
      </c>
      <c r="F13" t="s">
        <v>532</v>
      </c>
      <c r="G13" t="e">
        <v>#N/A</v>
      </c>
    </row>
    <row r="14" spans="1:7">
      <c r="A14" t="s">
        <v>1852</v>
      </c>
      <c r="D14" t="s">
        <v>4704</v>
      </c>
      <c r="E14" t="s">
        <v>4825</v>
      </c>
      <c r="F14" t="s">
        <v>46</v>
      </c>
      <c r="G14" t="e">
        <v>#N/A</v>
      </c>
    </row>
    <row r="15" spans="1:7">
      <c r="A15" t="s">
        <v>1854</v>
      </c>
      <c r="D15" t="s">
        <v>4705</v>
      </c>
      <c r="E15" t="s">
        <v>4826</v>
      </c>
      <c r="F15" t="s">
        <v>44</v>
      </c>
      <c r="G15" t="e">
        <v>#N/A</v>
      </c>
    </row>
    <row r="16" spans="1:7">
      <c r="A16" t="s">
        <v>1855</v>
      </c>
      <c r="D16" t="s">
        <v>4706</v>
      </c>
      <c r="E16" t="s">
        <v>4827</v>
      </c>
      <c r="F16" t="s">
        <v>44</v>
      </c>
      <c r="G16" t="e">
        <v>#N/A</v>
      </c>
    </row>
    <row r="17" spans="1:7">
      <c r="A17" t="s">
        <v>1853</v>
      </c>
      <c r="D17" t="s">
        <v>4707</v>
      </c>
      <c r="E17" t="s">
        <v>4828</v>
      </c>
      <c r="F17" t="s">
        <v>44</v>
      </c>
      <c r="G17" t="e">
        <v>#N/A</v>
      </c>
    </row>
    <row r="18" spans="1:7">
      <c r="A18" t="s">
        <v>1856</v>
      </c>
      <c r="D18" t="s">
        <v>4708</v>
      </c>
      <c r="E18" t="s">
        <v>4829</v>
      </c>
      <c r="F18" t="s">
        <v>44</v>
      </c>
      <c r="G18" t="e">
        <v>#N/A</v>
      </c>
    </row>
    <row r="19" spans="1:7">
      <c r="A19" t="s">
        <v>1857</v>
      </c>
      <c r="D19" t="s">
        <v>4709</v>
      </c>
      <c r="E19" t="s">
        <v>4830</v>
      </c>
      <c r="F19" t="s">
        <v>44</v>
      </c>
      <c r="G19" t="e">
        <v>#N/A</v>
      </c>
    </row>
    <row r="20" spans="1:7">
      <c r="A20" t="s">
        <v>1858</v>
      </c>
      <c r="D20" t="s">
        <v>4710</v>
      </c>
      <c r="E20" t="s">
        <v>4831</v>
      </c>
      <c r="F20" t="s">
        <v>532</v>
      </c>
      <c r="G20" t="e">
        <v>#N/A</v>
      </c>
    </row>
    <row r="21" spans="1:7">
      <c r="A21" t="s">
        <v>1859</v>
      </c>
      <c r="D21" t="s">
        <v>4711</v>
      </c>
      <c r="E21" t="s">
        <v>4832</v>
      </c>
      <c r="F21" t="s">
        <v>532</v>
      </c>
      <c r="G21" t="e">
        <v>#N/A</v>
      </c>
    </row>
    <row r="22" spans="1:7">
      <c r="A22" t="s">
        <v>1860</v>
      </c>
      <c r="D22" t="s">
        <v>4712</v>
      </c>
      <c r="E22" t="s">
        <v>4833</v>
      </c>
      <c r="F22" t="s">
        <v>532</v>
      </c>
      <c r="G22" t="e">
        <v>#N/A</v>
      </c>
    </row>
    <row r="23" spans="1:7">
      <c r="A23" t="s">
        <v>1861</v>
      </c>
      <c r="D23" t="s">
        <v>4713</v>
      </c>
      <c r="E23" t="s">
        <v>4834</v>
      </c>
      <c r="F23" t="s">
        <v>534</v>
      </c>
      <c r="G23" t="e">
        <v>#N/A</v>
      </c>
    </row>
    <row r="24" spans="1:7">
      <c r="A24" t="s">
        <v>1862</v>
      </c>
      <c r="D24" t="s">
        <v>4714</v>
      </c>
      <c r="E24" t="s">
        <v>4835</v>
      </c>
      <c r="F24" t="s">
        <v>535</v>
      </c>
      <c r="G24" t="e">
        <v>#N/A</v>
      </c>
    </row>
    <row r="25" spans="1:7">
      <c r="A25" t="s">
        <v>1863</v>
      </c>
      <c r="D25" t="s">
        <v>4715</v>
      </c>
      <c r="E25" t="s">
        <v>4836</v>
      </c>
      <c r="F25" t="s">
        <v>532</v>
      </c>
      <c r="G25" t="e">
        <v>#N/A</v>
      </c>
    </row>
    <row r="26" spans="1:7">
      <c r="A26" t="s">
        <v>1864</v>
      </c>
      <c r="D26" t="s">
        <v>4716</v>
      </c>
      <c r="E26" t="s">
        <v>4837</v>
      </c>
      <c r="F26" t="s">
        <v>532</v>
      </c>
      <c r="G26" t="e">
        <v>#N/A</v>
      </c>
    </row>
    <row r="27" spans="1:7">
      <c r="A27" t="s">
        <v>1865</v>
      </c>
      <c r="D27" t="s">
        <v>4717</v>
      </c>
      <c r="E27" t="s">
        <v>4838</v>
      </c>
      <c r="F27" t="s">
        <v>532</v>
      </c>
      <c r="G27" t="e">
        <v>#N/A</v>
      </c>
    </row>
    <row r="28" spans="1:7">
      <c r="A28" t="s">
        <v>1866</v>
      </c>
      <c r="D28" t="s">
        <v>4718</v>
      </c>
      <c r="E28" t="s">
        <v>21</v>
      </c>
      <c r="F28" t="s">
        <v>4779</v>
      </c>
      <c r="G28" t="s">
        <v>4839</v>
      </c>
    </row>
    <row r="29" spans="1:7">
      <c r="A29" t="s">
        <v>1867</v>
      </c>
      <c r="D29" t="s">
        <v>4719</v>
      </c>
      <c r="E29" t="s">
        <v>31</v>
      </c>
      <c r="F29" t="s">
        <v>30</v>
      </c>
      <c r="G29" t="s">
        <v>4840</v>
      </c>
    </row>
    <row r="30" spans="1:7">
      <c r="A30" t="s">
        <v>1868</v>
      </c>
      <c r="D30" t="s">
        <v>4720</v>
      </c>
      <c r="E30" t="s">
        <v>22</v>
      </c>
      <c r="F30" t="s">
        <v>4780</v>
      </c>
      <c r="G30" t="s">
        <v>4841</v>
      </c>
    </row>
    <row r="31" spans="1:7">
      <c r="A31" t="s">
        <v>1869</v>
      </c>
      <c r="D31" t="s">
        <v>4721</v>
      </c>
      <c r="E31" t="s">
        <v>29</v>
      </c>
      <c r="F31" t="s">
        <v>438</v>
      </c>
      <c r="G31" t="s">
        <v>4842</v>
      </c>
    </row>
    <row r="32" spans="1:7">
      <c r="A32" t="s">
        <v>1870</v>
      </c>
      <c r="D32" t="s">
        <v>4722</v>
      </c>
      <c r="E32" t="s">
        <v>36</v>
      </c>
      <c r="F32" t="s">
        <v>35</v>
      </c>
      <c r="G32" t="s">
        <v>4843</v>
      </c>
    </row>
    <row r="33" spans="1:7">
      <c r="A33" t="s">
        <v>1871</v>
      </c>
      <c r="D33" t="s">
        <v>4723</v>
      </c>
      <c r="E33" t="s">
        <v>10</v>
      </c>
      <c r="F33" t="s">
        <v>9</v>
      </c>
      <c r="G33" t="s">
        <v>4844</v>
      </c>
    </row>
    <row r="34" spans="1:7">
      <c r="A34" t="s">
        <v>1872</v>
      </c>
      <c r="D34" t="s">
        <v>4724</v>
      </c>
      <c r="E34" t="s">
        <v>38</v>
      </c>
      <c r="F34" t="s">
        <v>37</v>
      </c>
      <c r="G34" t="s">
        <v>4845</v>
      </c>
    </row>
    <row r="35" spans="1:7">
      <c r="A35" t="s">
        <v>1873</v>
      </c>
      <c r="D35" t="s">
        <v>4725</v>
      </c>
      <c r="E35" t="s">
        <v>3</v>
      </c>
      <c r="F35" t="s">
        <v>2</v>
      </c>
      <c r="G35" t="s">
        <v>4846</v>
      </c>
    </row>
    <row r="36" spans="1:7">
      <c r="A36" t="s">
        <v>1874</v>
      </c>
      <c r="D36" t="s">
        <v>4726</v>
      </c>
      <c r="E36" t="s">
        <v>34</v>
      </c>
      <c r="F36" t="s">
        <v>46</v>
      </c>
      <c r="G36" t="s">
        <v>4847</v>
      </c>
    </row>
    <row r="37" spans="1:7">
      <c r="A37" t="s">
        <v>1876</v>
      </c>
      <c r="D37" t="s">
        <v>4727</v>
      </c>
      <c r="E37" t="s">
        <v>446</v>
      </c>
      <c r="F37" t="s">
        <v>445</v>
      </c>
      <c r="G37" t="s">
        <v>4848</v>
      </c>
    </row>
    <row r="38" spans="1:7">
      <c r="A38" t="s">
        <v>1877</v>
      </c>
      <c r="D38" t="s">
        <v>4728</v>
      </c>
      <c r="E38" t="s">
        <v>449</v>
      </c>
      <c r="F38" t="s">
        <v>448</v>
      </c>
      <c r="G38" t="s">
        <v>4849</v>
      </c>
    </row>
    <row r="39" spans="1:7">
      <c r="A39" t="s">
        <v>1875</v>
      </c>
      <c r="D39" t="s">
        <v>4729</v>
      </c>
      <c r="E39" t="s">
        <v>33</v>
      </c>
      <c r="F39" t="s">
        <v>32</v>
      </c>
      <c r="G39" t="s">
        <v>4850</v>
      </c>
    </row>
    <row r="40" spans="1:7">
      <c r="A40" t="s">
        <v>1878</v>
      </c>
      <c r="D40" t="s">
        <v>4730</v>
      </c>
      <c r="E40" t="s">
        <v>447</v>
      </c>
      <c r="F40" t="s">
        <v>551</v>
      </c>
      <c r="G40" t="s">
        <v>4851</v>
      </c>
    </row>
    <row r="41" spans="1:7">
      <c r="A41" t="s">
        <v>1879</v>
      </c>
      <c r="D41" t="s">
        <v>4731</v>
      </c>
      <c r="E41" t="s">
        <v>450</v>
      </c>
      <c r="F41" t="s">
        <v>552</v>
      </c>
      <c r="G41" t="s">
        <v>4852</v>
      </c>
    </row>
    <row r="42" spans="1:7">
      <c r="A42" t="s">
        <v>1880</v>
      </c>
      <c r="D42" t="s">
        <v>4732</v>
      </c>
      <c r="E42" t="s">
        <v>16</v>
      </c>
      <c r="F42" t="s">
        <v>15</v>
      </c>
      <c r="G42" t="s">
        <v>4853</v>
      </c>
    </row>
    <row r="43" spans="1:7">
      <c r="A43" t="s">
        <v>1881</v>
      </c>
      <c r="D43" t="s">
        <v>4733</v>
      </c>
      <c r="E43" t="s">
        <v>14</v>
      </c>
      <c r="F43" t="s">
        <v>13</v>
      </c>
      <c r="G43" t="s">
        <v>4854</v>
      </c>
    </row>
    <row r="44" spans="1:7">
      <c r="A44" t="s">
        <v>1882</v>
      </c>
      <c r="D44" t="s">
        <v>4734</v>
      </c>
      <c r="E44" t="s">
        <v>23</v>
      </c>
      <c r="F44" t="s">
        <v>440</v>
      </c>
      <c r="G44" t="s">
        <v>4855</v>
      </c>
    </row>
    <row r="45" spans="1:7">
      <c r="A45" t="s">
        <v>1883</v>
      </c>
      <c r="D45" t="s">
        <v>4735</v>
      </c>
      <c r="E45" t="s">
        <v>28</v>
      </c>
      <c r="F45" t="s">
        <v>439</v>
      </c>
      <c r="G45" t="s">
        <v>4856</v>
      </c>
    </row>
    <row r="46" spans="1:7">
      <c r="A46" t="s">
        <v>1884</v>
      </c>
      <c r="D46" t="s">
        <v>4736</v>
      </c>
      <c r="E46" t="s">
        <v>25</v>
      </c>
      <c r="F46" t="s">
        <v>24</v>
      </c>
      <c r="G46" t="s">
        <v>4857</v>
      </c>
    </row>
    <row r="47" spans="1:7">
      <c r="A47" t="s">
        <v>1885</v>
      </c>
      <c r="D47" t="s">
        <v>4737</v>
      </c>
      <c r="E47" t="s">
        <v>6</v>
      </c>
      <c r="F47" t="s">
        <v>5</v>
      </c>
      <c r="G47" t="s">
        <v>4858</v>
      </c>
    </row>
    <row r="48" spans="1:7">
      <c r="A48" t="s">
        <v>1886</v>
      </c>
      <c r="D48" t="s">
        <v>4738</v>
      </c>
      <c r="E48" t="s">
        <v>12</v>
      </c>
      <c r="F48" t="s">
        <v>11</v>
      </c>
      <c r="G48" t="s">
        <v>4859</v>
      </c>
    </row>
    <row r="49" spans="1:7">
      <c r="A49" t="s">
        <v>1887</v>
      </c>
      <c r="D49" t="s">
        <v>4739</v>
      </c>
      <c r="E49" t="s">
        <v>8</v>
      </c>
      <c r="F49" t="s">
        <v>7</v>
      </c>
      <c r="G49" t="s">
        <v>4860</v>
      </c>
    </row>
    <row r="50" spans="1:7">
      <c r="A50" t="s">
        <v>1888</v>
      </c>
      <c r="D50" t="s">
        <v>4740</v>
      </c>
      <c r="E50" t="s">
        <v>43</v>
      </c>
      <c r="F50" t="s">
        <v>564</v>
      </c>
      <c r="G50" t="e">
        <v>#N/A</v>
      </c>
    </row>
    <row r="51" spans="1:7">
      <c r="A51" t="s">
        <v>1889</v>
      </c>
      <c r="D51" t="s">
        <v>4741</v>
      </c>
      <c r="E51" t="s">
        <v>39</v>
      </c>
      <c r="F51" t="s">
        <v>30</v>
      </c>
      <c r="G51" t="e">
        <v>#N/A</v>
      </c>
    </row>
    <row r="52" spans="1:7">
      <c r="A52" t="s">
        <v>1890</v>
      </c>
      <c r="D52" t="s">
        <v>4742</v>
      </c>
      <c r="E52" t="s">
        <v>537</v>
      </c>
      <c r="F52" t="s">
        <v>527</v>
      </c>
      <c r="G52" t="e">
        <v>#N/A</v>
      </c>
    </row>
    <row r="53" spans="1:7">
      <c r="A53" t="s">
        <v>1891</v>
      </c>
      <c r="D53" t="s">
        <v>4743</v>
      </c>
      <c r="E53" t="s">
        <v>48</v>
      </c>
      <c r="F53" t="s">
        <v>35</v>
      </c>
      <c r="G53" t="e">
        <v>#N/A</v>
      </c>
    </row>
    <row r="54" spans="1:7">
      <c r="A54" t="s">
        <v>1892</v>
      </c>
      <c r="D54" t="s">
        <v>4744</v>
      </c>
      <c r="E54" t="s">
        <v>49</v>
      </c>
      <c r="F54" t="s">
        <v>37</v>
      </c>
      <c r="G54" t="e">
        <v>#N/A</v>
      </c>
    </row>
    <row r="55" spans="1:7">
      <c r="A55" t="s">
        <v>1893</v>
      </c>
      <c r="D55" t="s">
        <v>4745</v>
      </c>
      <c r="E55" t="s">
        <v>47</v>
      </c>
      <c r="F55" t="s">
        <v>46</v>
      </c>
      <c r="G55" t="e">
        <v>#N/A</v>
      </c>
    </row>
    <row r="56" spans="1:7">
      <c r="A56" t="s">
        <v>1894</v>
      </c>
      <c r="D56" t="s">
        <v>4746</v>
      </c>
      <c r="E56" t="s">
        <v>45</v>
      </c>
      <c r="F56" t="s">
        <v>44</v>
      </c>
      <c r="G56" t="e">
        <v>#N/A</v>
      </c>
    </row>
    <row r="57" spans="1:7">
      <c r="A57" t="s">
        <v>1895</v>
      </c>
      <c r="D57" t="s">
        <v>4747</v>
      </c>
      <c r="E57" t="s">
        <v>42</v>
      </c>
      <c r="F57" t="s">
        <v>41</v>
      </c>
      <c r="G57" t="e">
        <v>#N/A</v>
      </c>
    </row>
    <row r="58" spans="1:7">
      <c r="A58" t="s">
        <v>4083</v>
      </c>
      <c r="D58" t="s">
        <v>4748</v>
      </c>
      <c r="E58" t="s">
        <v>21</v>
      </c>
      <c r="F58" t="s">
        <v>4779</v>
      </c>
      <c r="G58" t="s">
        <v>4839</v>
      </c>
    </row>
    <row r="59" spans="1:7">
      <c r="A59" s="61" t="s">
        <v>4084</v>
      </c>
      <c r="D59" s="61" t="s">
        <v>4749</v>
      </c>
      <c r="E59" s="61" t="s">
        <v>31</v>
      </c>
      <c r="F59" t="s">
        <v>30</v>
      </c>
      <c r="G59" t="s">
        <v>4840</v>
      </c>
    </row>
    <row r="60" spans="1:7">
      <c r="A60" s="61" t="s">
        <v>4085</v>
      </c>
      <c r="D60" s="61" t="s">
        <v>4750</v>
      </c>
      <c r="E60" s="61" t="s">
        <v>22</v>
      </c>
      <c r="F60" t="s">
        <v>4780</v>
      </c>
      <c r="G60" t="s">
        <v>4841</v>
      </c>
    </row>
    <row r="61" spans="1:7">
      <c r="A61" t="s">
        <v>4086</v>
      </c>
      <c r="D61" t="s">
        <v>4751</v>
      </c>
      <c r="E61" t="s">
        <v>29</v>
      </c>
      <c r="F61" t="s">
        <v>438</v>
      </c>
      <c r="G61" t="s">
        <v>4842</v>
      </c>
    </row>
    <row r="62" spans="1:7">
      <c r="A62" t="s">
        <v>4087</v>
      </c>
      <c r="D62" t="s">
        <v>4752</v>
      </c>
      <c r="E62" t="s">
        <v>36</v>
      </c>
      <c r="F62" t="s">
        <v>35</v>
      </c>
      <c r="G62" t="s">
        <v>4843</v>
      </c>
    </row>
    <row r="63" spans="1:7">
      <c r="A63" t="s">
        <v>4088</v>
      </c>
      <c r="D63" t="s">
        <v>4753</v>
      </c>
      <c r="E63" t="s">
        <v>10</v>
      </c>
      <c r="F63" t="s">
        <v>9</v>
      </c>
      <c r="G63" t="s">
        <v>4844</v>
      </c>
    </row>
    <row r="64" spans="1:7">
      <c r="A64" t="s">
        <v>4089</v>
      </c>
      <c r="D64" t="s">
        <v>4754</v>
      </c>
      <c r="E64" t="s">
        <v>38</v>
      </c>
      <c r="F64" t="s">
        <v>37</v>
      </c>
      <c r="G64" t="s">
        <v>4845</v>
      </c>
    </row>
    <row r="65" spans="1:7">
      <c r="A65" t="s">
        <v>4090</v>
      </c>
      <c r="D65" t="s">
        <v>4755</v>
      </c>
      <c r="E65" t="s">
        <v>3</v>
      </c>
      <c r="F65" t="s">
        <v>2</v>
      </c>
      <c r="G65" t="s">
        <v>4846</v>
      </c>
    </row>
    <row r="66" spans="1:7">
      <c r="A66" t="s">
        <v>4091</v>
      </c>
      <c r="D66" t="s">
        <v>4756</v>
      </c>
      <c r="E66" t="s">
        <v>34</v>
      </c>
      <c r="F66" t="s">
        <v>4781</v>
      </c>
      <c r="G66" t="s">
        <v>4847</v>
      </c>
    </row>
    <row r="67" spans="1:7">
      <c r="A67" t="s">
        <v>4092</v>
      </c>
      <c r="D67" t="s">
        <v>4757</v>
      </c>
      <c r="E67" t="s">
        <v>33</v>
      </c>
      <c r="F67" t="s">
        <v>32</v>
      </c>
      <c r="G67" t="s">
        <v>4850</v>
      </c>
    </row>
    <row r="68" spans="1:7">
      <c r="A68" t="s">
        <v>4093</v>
      </c>
      <c r="D68" t="s">
        <v>4758</v>
      </c>
      <c r="E68" t="s">
        <v>446</v>
      </c>
      <c r="F68" t="s">
        <v>4782</v>
      </c>
      <c r="G68" t="s">
        <v>4848</v>
      </c>
    </row>
    <row r="69" spans="1:7">
      <c r="A69" t="s">
        <v>4094</v>
      </c>
      <c r="D69" t="s">
        <v>4759</v>
      </c>
      <c r="E69" t="s">
        <v>449</v>
      </c>
      <c r="F69" t="s">
        <v>4783</v>
      </c>
      <c r="G69" t="s">
        <v>4849</v>
      </c>
    </row>
    <row r="70" spans="1:7">
      <c r="A70" t="s">
        <v>4095</v>
      </c>
      <c r="D70" t="s">
        <v>4760</v>
      </c>
      <c r="E70" t="s">
        <v>432</v>
      </c>
      <c r="F70" t="s">
        <v>4784</v>
      </c>
      <c r="G70" t="s">
        <v>4861</v>
      </c>
    </row>
    <row r="71" spans="1:7">
      <c r="A71" t="s">
        <v>4096</v>
      </c>
      <c r="D71" t="s">
        <v>4761</v>
      </c>
      <c r="E71" t="s">
        <v>447</v>
      </c>
      <c r="F71" t="s">
        <v>4785</v>
      </c>
      <c r="G71" t="s">
        <v>4851</v>
      </c>
    </row>
    <row r="72" spans="1:7">
      <c r="A72" t="s">
        <v>4097</v>
      </c>
      <c r="D72" t="s">
        <v>4762</v>
      </c>
      <c r="E72" t="s">
        <v>450</v>
      </c>
      <c r="F72" t="s">
        <v>4786</v>
      </c>
      <c r="G72" t="s">
        <v>4852</v>
      </c>
    </row>
    <row r="73" spans="1:7">
      <c r="A73" t="s">
        <v>4098</v>
      </c>
      <c r="D73" t="s">
        <v>4763</v>
      </c>
      <c r="E73" t="s">
        <v>16</v>
      </c>
      <c r="F73" t="s">
        <v>15</v>
      </c>
      <c r="G73" t="s">
        <v>4853</v>
      </c>
    </row>
    <row r="74" spans="1:7">
      <c r="A74" t="s">
        <v>4099</v>
      </c>
      <c r="D74" t="s">
        <v>4764</v>
      </c>
      <c r="E74" t="s">
        <v>14</v>
      </c>
      <c r="F74" t="s">
        <v>13</v>
      </c>
      <c r="G74" t="s">
        <v>4854</v>
      </c>
    </row>
    <row r="75" spans="1:7">
      <c r="A75" t="s">
        <v>4100</v>
      </c>
      <c r="D75" t="s">
        <v>4765</v>
      </c>
      <c r="E75" t="s">
        <v>23</v>
      </c>
      <c r="F75" t="s">
        <v>440</v>
      </c>
      <c r="G75" t="s">
        <v>4855</v>
      </c>
    </row>
    <row r="76" spans="1:7">
      <c r="A76" t="s">
        <v>4101</v>
      </c>
      <c r="D76" t="s">
        <v>4766</v>
      </c>
      <c r="E76" t="s">
        <v>28</v>
      </c>
      <c r="F76" t="s">
        <v>439</v>
      </c>
      <c r="G76" t="s">
        <v>4856</v>
      </c>
    </row>
    <row r="77" spans="1:7">
      <c r="A77" t="s">
        <v>4102</v>
      </c>
      <c r="D77" t="s">
        <v>4767</v>
      </c>
      <c r="E77" t="s">
        <v>25</v>
      </c>
      <c r="F77" t="s">
        <v>24</v>
      </c>
      <c r="G77" t="s">
        <v>4857</v>
      </c>
    </row>
    <row r="78" spans="1:7">
      <c r="A78" t="s">
        <v>4103</v>
      </c>
      <c r="D78" t="s">
        <v>4768</v>
      </c>
      <c r="E78" t="s">
        <v>6</v>
      </c>
      <c r="F78" t="s">
        <v>5</v>
      </c>
      <c r="G78" t="s">
        <v>4858</v>
      </c>
    </row>
    <row r="79" spans="1:7">
      <c r="A79" t="s">
        <v>4104</v>
      </c>
      <c r="D79" t="s">
        <v>4769</v>
      </c>
      <c r="E79" t="s">
        <v>12</v>
      </c>
      <c r="F79" t="s">
        <v>11</v>
      </c>
      <c r="G79" t="s">
        <v>4859</v>
      </c>
    </row>
    <row r="80" spans="1:7">
      <c r="A80" t="s">
        <v>4105</v>
      </c>
      <c r="D80" t="s">
        <v>4770</v>
      </c>
      <c r="E80" t="s">
        <v>8</v>
      </c>
      <c r="F80" t="s">
        <v>7</v>
      </c>
      <c r="G80" t="s">
        <v>4860</v>
      </c>
    </row>
    <row r="81" spans="1:7">
      <c r="A81" t="s">
        <v>4164</v>
      </c>
      <c r="D81" t="s">
        <v>4771</v>
      </c>
      <c r="E81" t="s">
        <v>4805</v>
      </c>
      <c r="F81" t="s">
        <v>4787</v>
      </c>
      <c r="G81" t="e">
        <v>#N/A</v>
      </c>
    </row>
    <row r="82" spans="1:7">
      <c r="A82" t="s">
        <v>4165</v>
      </c>
      <c r="D82" t="s">
        <v>4772</v>
      </c>
      <c r="E82" t="s">
        <v>4806</v>
      </c>
      <c r="F82" t="s">
        <v>4788</v>
      </c>
      <c r="G82" t="e">
        <v>#N/A</v>
      </c>
    </row>
    <row r="83" spans="1:7">
      <c r="A83" t="s">
        <v>4166</v>
      </c>
      <c r="D83" t="s">
        <v>4773</v>
      </c>
      <c r="E83" t="s">
        <v>4807</v>
      </c>
      <c r="F83" t="s">
        <v>4789</v>
      </c>
      <c r="G83" t="e">
        <v>#N/A</v>
      </c>
    </row>
    <row r="84" spans="1:7">
      <c r="A84" t="s">
        <v>4167</v>
      </c>
      <c r="D84" t="s">
        <v>4774</v>
      </c>
      <c r="E84" t="s">
        <v>4808</v>
      </c>
      <c r="F84" t="s">
        <v>4790</v>
      </c>
      <c r="G84" t="e">
        <v>#N/A</v>
      </c>
    </row>
    <row r="85" spans="1:7">
      <c r="A85" t="s">
        <v>4168</v>
      </c>
      <c r="D85" t="s">
        <v>4775</v>
      </c>
      <c r="E85" t="s">
        <v>4809</v>
      </c>
      <c r="F85" t="s">
        <v>4791</v>
      </c>
      <c r="G85" t="e">
        <v>#N/A</v>
      </c>
    </row>
    <row r="86" spans="1:7">
      <c r="A86" t="s">
        <v>4169</v>
      </c>
      <c r="D86" t="s">
        <v>4776</v>
      </c>
      <c r="E86" t="s">
        <v>4810</v>
      </c>
      <c r="F86" t="s">
        <v>4792</v>
      </c>
      <c r="G86" t="e">
        <v>#N/A</v>
      </c>
    </row>
    <row r="87" spans="1:7">
      <c r="A87" t="s">
        <v>4170</v>
      </c>
      <c r="D87" t="s">
        <v>4777</v>
      </c>
      <c r="E87" t="s">
        <v>4811</v>
      </c>
      <c r="F87" t="s">
        <v>4793</v>
      </c>
      <c r="G87" t="e">
        <v>#N/A</v>
      </c>
    </row>
    <row r="88" spans="1:7">
      <c r="A88" t="s">
        <v>4171</v>
      </c>
      <c r="D88" t="s">
        <v>4778</v>
      </c>
      <c r="E88" t="s">
        <v>4812</v>
      </c>
      <c r="F88" t="s">
        <v>4794</v>
      </c>
      <c r="G88" t="e">
        <v>#N/A</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4E7BA-A248-4D1D-8ED8-AF75589DF172}">
  <sheetPr>
    <tabColor rgb="FFFFFF00"/>
  </sheetPr>
  <dimension ref="A1:Z1000"/>
  <sheetViews>
    <sheetView topLeftCell="G1" workbookViewId="0">
      <pane ySplit="1" topLeftCell="A2" activePane="bottomLeft" state="frozen"/>
      <selection pane="bottomLeft" activeCell="H30" sqref="H30"/>
    </sheetView>
  </sheetViews>
  <sheetFormatPr defaultColWidth="12.625" defaultRowHeight="15" customHeight="1"/>
  <cols>
    <col min="1" max="1" width="11.75" style="99" customWidth="1"/>
    <col min="2" max="2" width="17.625" style="99" customWidth="1"/>
    <col min="3" max="3" width="16.375" style="99" customWidth="1"/>
    <col min="4" max="4" width="27.125" style="99" customWidth="1"/>
    <col min="5" max="5" width="22.375" style="99" customWidth="1"/>
    <col min="6" max="6" width="64.25" style="99" customWidth="1"/>
    <col min="7" max="7" width="51" style="99" customWidth="1"/>
    <col min="8" max="8" width="35.375" style="99" customWidth="1"/>
    <col min="9" max="10" width="14.625" style="99" customWidth="1"/>
    <col min="11" max="26" width="8.625" style="99" customWidth="1"/>
    <col min="27" max="16384" width="12.625" style="99"/>
  </cols>
  <sheetData>
    <row r="1" spans="1:26" ht="14.25" customHeight="1">
      <c r="A1" s="116" t="s">
        <v>5765</v>
      </c>
      <c r="B1" s="116" t="s">
        <v>1210</v>
      </c>
      <c r="C1" s="116" t="s">
        <v>1143</v>
      </c>
      <c r="D1" s="116" t="s">
        <v>50</v>
      </c>
      <c r="E1" s="116" t="s">
        <v>5764</v>
      </c>
      <c r="F1" s="116" t="s">
        <v>1393</v>
      </c>
      <c r="G1" s="116" t="s">
        <v>3930</v>
      </c>
      <c r="H1" s="116" t="s">
        <v>5763</v>
      </c>
      <c r="I1" s="117" t="s">
        <v>5762</v>
      </c>
      <c r="J1" s="116" t="s">
        <v>5761</v>
      </c>
    </row>
    <row r="2" spans="1:26" ht="14.25" customHeight="1">
      <c r="A2" s="99" t="s">
        <v>5679</v>
      </c>
      <c r="B2" s="101"/>
      <c r="C2" s="101"/>
      <c r="D2" s="101"/>
      <c r="E2" s="101"/>
      <c r="F2" s="109" t="s">
        <v>5760</v>
      </c>
      <c r="G2" s="109" t="s">
        <v>5759</v>
      </c>
      <c r="H2" s="101"/>
      <c r="J2" s="115"/>
    </row>
    <row r="3" spans="1:26" ht="14.25" customHeight="1">
      <c r="A3" s="99" t="s">
        <v>5679</v>
      </c>
      <c r="B3" s="113"/>
      <c r="C3" s="113"/>
      <c r="D3" s="113"/>
      <c r="E3" s="113"/>
      <c r="F3" s="114" t="s">
        <v>5758</v>
      </c>
      <c r="G3" s="114" t="s">
        <v>5757</v>
      </c>
      <c r="H3" s="113"/>
      <c r="I3" s="106"/>
      <c r="J3" s="113"/>
      <c r="K3" s="106"/>
      <c r="L3" s="106"/>
      <c r="M3" s="106"/>
      <c r="N3" s="106"/>
      <c r="O3" s="106"/>
      <c r="P3" s="106"/>
      <c r="Q3" s="106"/>
      <c r="R3" s="106"/>
      <c r="S3" s="106"/>
      <c r="T3" s="106"/>
      <c r="U3" s="106"/>
      <c r="V3" s="106"/>
      <c r="W3" s="106"/>
      <c r="X3" s="106"/>
      <c r="Y3" s="106"/>
      <c r="Z3" s="106"/>
    </row>
    <row r="4" spans="1:26" ht="14.25" customHeight="1">
      <c r="A4" s="99" t="s">
        <v>5679</v>
      </c>
      <c r="B4" s="113"/>
      <c r="C4" s="113"/>
      <c r="D4" s="113"/>
      <c r="E4" s="113"/>
      <c r="F4" s="114" t="s">
        <v>5756</v>
      </c>
      <c r="G4" s="114" t="s">
        <v>5755</v>
      </c>
      <c r="H4" s="113"/>
      <c r="I4" s="106"/>
      <c r="J4" s="113"/>
      <c r="K4" s="106"/>
      <c r="L4" s="106"/>
      <c r="M4" s="106"/>
      <c r="N4" s="106"/>
      <c r="O4" s="106"/>
      <c r="P4" s="106"/>
      <c r="Q4" s="106"/>
      <c r="R4" s="106"/>
      <c r="S4" s="106"/>
      <c r="T4" s="106"/>
      <c r="U4" s="106"/>
      <c r="V4" s="106"/>
      <c r="W4" s="106"/>
      <c r="X4" s="106"/>
      <c r="Y4" s="106"/>
      <c r="Z4" s="106"/>
    </row>
    <row r="5" spans="1:26" ht="14.25" customHeight="1">
      <c r="A5" s="99" t="s">
        <v>5679</v>
      </c>
      <c r="B5" s="99" t="s">
        <v>5734</v>
      </c>
      <c r="D5" s="99" t="s">
        <v>5754</v>
      </c>
      <c r="F5" s="99" t="s">
        <v>5753</v>
      </c>
      <c r="G5" s="99" t="s">
        <v>2512</v>
      </c>
      <c r="H5" s="99" t="s">
        <v>5750</v>
      </c>
      <c r="I5" s="99" t="s">
        <v>984</v>
      </c>
      <c r="J5" s="99" t="str">
        <f t="shared" ref="J5:J27" si="0">"    "&amp;D5&amp;": "&amp;""""&amp;H5&amp;""""</f>
        <v xml:space="preserve">    link_ab_metadata: "&lt;a href=\"https://ab-rcsc.github.io/RCSC-WildCAM_Remote-Camera-Survey-Guidelines-and-Metadata-Standards/2_metadata-standards/2_0.1_Citation-and-Info.html\" target=\"_blank\"&gt;Remote Camera Metadata Standards for Alberta (RCSC, 2024)&lt;/a&gt;"</v>
      </c>
    </row>
    <row r="6" spans="1:26" ht="14.25" customHeight="1">
      <c r="A6" s="99" t="s">
        <v>5679</v>
      </c>
      <c r="B6" s="106" t="s">
        <v>5734</v>
      </c>
      <c r="C6" s="106"/>
      <c r="D6" s="106" t="s">
        <v>5752</v>
      </c>
      <c r="E6" s="106"/>
      <c r="F6" s="106" t="s">
        <v>5751</v>
      </c>
      <c r="G6" s="106" t="s">
        <v>2512</v>
      </c>
      <c r="H6" s="106" t="s">
        <v>5750</v>
      </c>
      <c r="I6" s="106" t="s">
        <v>984</v>
      </c>
      <c r="J6" s="106" t="str">
        <f t="shared" si="0"/>
        <v xml:space="preserve">    link_ab_metadata_abrv: "&lt;a href=\"https://ab-rcsc.github.io/RCSC-WildCAM_Remote-Camera-Survey-Guidelines-and-Metadata-Standards/2_metadata-standards/2_0.1_Citation-and-Info.html\" target=\"_blank\"&gt;Remote Camera Metadata Standards for Alberta (RCSC, 2024)&lt;/a&gt;"</v>
      </c>
      <c r="K6" s="106"/>
      <c r="L6" s="106"/>
      <c r="M6" s="106"/>
      <c r="N6" s="106"/>
      <c r="O6" s="106"/>
      <c r="P6" s="106"/>
      <c r="Q6" s="106"/>
      <c r="R6" s="106"/>
      <c r="S6" s="106"/>
      <c r="T6" s="106"/>
      <c r="U6" s="106"/>
      <c r="V6" s="106"/>
      <c r="W6" s="106"/>
      <c r="X6" s="106"/>
      <c r="Y6" s="106"/>
      <c r="Z6" s="106"/>
    </row>
    <row r="7" spans="1:26" ht="14.25" customHeight="1">
      <c r="A7" s="99" t="s">
        <v>5679</v>
      </c>
      <c r="B7" s="103" t="s">
        <v>5734</v>
      </c>
      <c r="D7" s="99" t="s">
        <v>5749</v>
      </c>
      <c r="F7" s="99" t="s">
        <v>5748</v>
      </c>
      <c r="G7" s="99" t="s">
        <v>5747</v>
      </c>
      <c r="H7" s="99" t="s">
        <v>5746</v>
      </c>
      <c r="I7" s="99" t="s">
        <v>984</v>
      </c>
      <c r="J7" s="99" t="str">
        <f t="shared" si="0"/>
        <v xml:space="preserve">    link_surv_guide: "&lt;a href=\"https://ab-rcsc.github.io/RCSC-WildCAM_Remote-Camera-Survey-Guidelines-and-Metadata-Standards/1_survey-guidelines/1_0.1_Citation-and-Info.html\" target=\"_blank\"&gt;Remote Camera Survey Guidelines (RCSC et al., 2024)&lt;/a&gt;"</v>
      </c>
    </row>
    <row r="8" spans="1:26" ht="14.25" customHeight="1">
      <c r="A8" s="99" t="s">
        <v>5679</v>
      </c>
      <c r="B8" s="103" t="s">
        <v>5734</v>
      </c>
      <c r="D8" s="99" t="s">
        <v>5745</v>
      </c>
      <c r="F8" s="99" t="s">
        <v>5744</v>
      </c>
      <c r="G8" s="99" t="s">
        <v>5743</v>
      </c>
      <c r="H8" s="99" t="s">
        <v>5742</v>
      </c>
      <c r="I8" s="99" t="s">
        <v>984</v>
      </c>
      <c r="J8" s="99" t="str">
        <f t="shared" si="0"/>
        <v xml:space="preserve">    link_surv_guide_fielddatasheets: "&lt;a href=\"https://ab-rcsc.github.io/RCSC-WildCAM_Remote-Camera-Survey-Guidelines-and-Metadata-Standards/1_survey-guidelines/1_10.2_AppendixA-Field-Datasheets.html\" target=\"_blank\"&gt;deployment and service/retrieval fieldsheets&lt;/a&gt;"</v>
      </c>
    </row>
    <row r="9" spans="1:26" ht="14.25" customHeight="1">
      <c r="A9" s="99" t="s">
        <v>5679</v>
      </c>
      <c r="B9" s="103" t="s">
        <v>5734</v>
      </c>
      <c r="D9" s="99" t="s">
        <v>5741</v>
      </c>
      <c r="F9" s="99" t="s">
        <v>5740</v>
      </c>
      <c r="G9" s="99" t="s">
        <v>5739</v>
      </c>
      <c r="H9" s="99" t="s">
        <v>5738</v>
      </c>
      <c r="I9" s="99" t="s">
        <v>984</v>
      </c>
      <c r="J9" s="99" t="str">
        <f t="shared" si="0"/>
        <v xml:space="preserve">    link_epicollect_template: "&lt;a href=\"https://five.epicollect.net/project/rcsc-and-wildcam-remote-camera-survey-guidelines\" target=\"_blank\"&gt;EpiCollect Template&lt;/a&gt;"</v>
      </c>
    </row>
    <row r="10" spans="1:26" ht="14.25" customHeight="1">
      <c r="A10" s="99" t="s">
        <v>5679</v>
      </c>
      <c r="B10" s="103" t="s">
        <v>5734</v>
      </c>
      <c r="D10" s="99" t="s">
        <v>5737</v>
      </c>
      <c r="F10" s="99" t="s">
        <v>5736</v>
      </c>
      <c r="G10" s="99" t="s">
        <v>5736</v>
      </c>
      <c r="H10" s="99" t="s">
        <v>5735</v>
      </c>
      <c r="I10" s="99" t="s">
        <v>984</v>
      </c>
      <c r="J10" s="99" t="str">
        <f t="shared" si="0"/>
        <v xml:space="preserve">    link_fwmis: "&lt;a href=\"https://www.alberta.ca/wildlife-loadforms.aspx\" target=\"_blank\"&gt;https://www.alberta.ca/wildlife-loadforms.aspx&lt;/a&gt;"</v>
      </c>
    </row>
    <row r="11" spans="1:26" ht="14.25" customHeight="1">
      <c r="A11" s="99" t="s">
        <v>5679</v>
      </c>
      <c r="B11" s="103" t="s">
        <v>5734</v>
      </c>
      <c r="D11" s="99" t="s">
        <v>5733</v>
      </c>
      <c r="G11" s="99" t="s">
        <v>5732</v>
      </c>
      <c r="H11" s="112" t="s">
        <v>5732</v>
      </c>
      <c r="I11" s="99" t="s">
        <v>984</v>
      </c>
      <c r="J11" s="99" t="str">
        <f t="shared" si="0"/>
        <v xml:space="preserve">    link_launchtool: "http://www.rc-decision-support-tool.ca/voila/render/objective.ipynb?"</v>
      </c>
    </row>
    <row r="12" spans="1:26" ht="14.25" customHeight="1">
      <c r="A12" s="99" t="s">
        <v>5679</v>
      </c>
      <c r="B12" s="103" t="s">
        <v>5678</v>
      </c>
      <c r="D12" s="99" t="s">
        <v>5677</v>
      </c>
      <c r="E12" s="99" t="s">
        <v>4984</v>
      </c>
      <c r="F12" s="107" t="s">
        <v>5676</v>
      </c>
      <c r="G12" s="99" t="s">
        <v>5649</v>
      </c>
      <c r="H12" s="107" t="s">
        <v>5675</v>
      </c>
      <c r="I12" s="99" t="s">
        <v>5731</v>
      </c>
      <c r="J12" s="99" t="str">
        <f t="shared" si="0"/>
        <v xml:space="preserve">    link_bdg_sp_asymptote: "{bdg-link-primary-line}`Species-accumulation curves&lt;https://ab-rcsc.github.io/rc-decision-support-tool_concept-library/02_dialog-boxes/01_10_sp_asymptote.html&gt;`"</v>
      </c>
    </row>
    <row r="13" spans="1:26" ht="14.25" customHeight="1">
      <c r="A13" s="99" t="s">
        <v>5679</v>
      </c>
      <c r="B13" s="103" t="s">
        <v>5678</v>
      </c>
      <c r="D13" s="99" t="s">
        <v>5730</v>
      </c>
      <c r="E13" s="99" t="s">
        <v>29</v>
      </c>
      <c r="F13" s="111" t="s">
        <v>438</v>
      </c>
      <c r="G13" s="99" t="s">
        <v>5729</v>
      </c>
      <c r="H13" s="111" t="s">
        <v>5728</v>
      </c>
      <c r="I13" s="99" t="s">
        <v>5727</v>
      </c>
      <c r="J13" s="99" t="str">
        <f t="shared" si="0"/>
        <v xml:space="preserve">    link_bdg_mod_cr_cmr: "{bdg-link-primary-line}`Capture-recapture (CR) / Capture-mark-recapture (CMR)&lt;https://ab-rcsc.github.io/rc-decision-support-tool_concept-library/02_dialog-boxes/03_10_mod_cr_cmr.html&gt;`"</v>
      </c>
    </row>
    <row r="14" spans="1:26" ht="14.25" customHeight="1">
      <c r="A14" s="99" t="s">
        <v>5679</v>
      </c>
      <c r="B14" s="103" t="s">
        <v>5678</v>
      </c>
      <c r="D14" s="99" t="s">
        <v>5726</v>
      </c>
      <c r="E14" s="99" t="s">
        <v>28</v>
      </c>
      <c r="F14" s="99" t="s">
        <v>439</v>
      </c>
      <c r="G14" s="99" t="s">
        <v>5725</v>
      </c>
      <c r="H14" s="99" t="s">
        <v>5724</v>
      </c>
      <c r="I14" s="99" t="s">
        <v>5723</v>
      </c>
      <c r="J14" s="99" t="str">
        <f t="shared" si="0"/>
        <v xml:space="preserve">    link_bdg_mod_scr_secr: "{bdg-link-primary-line}`Spatial capture-recapture (SCR) / Spatially explicit capture recapture (SECR)&lt;https://ab-rcsc.github.io/rc-decision-support-tool_concept-library/02_dialog-boxes/03_11_mod_scr_secr.html&gt;`"</v>
      </c>
    </row>
    <row r="15" spans="1:26" ht="14.25" customHeight="1">
      <c r="A15" s="99" t="s">
        <v>5679</v>
      </c>
      <c r="B15" s="103" t="s">
        <v>5678</v>
      </c>
      <c r="D15" s="99" t="s">
        <v>5722</v>
      </c>
      <c r="E15" s="99" t="s">
        <v>23</v>
      </c>
      <c r="F15" s="99" t="s">
        <v>5721</v>
      </c>
      <c r="G15" s="99" t="s">
        <v>5720</v>
      </c>
      <c r="H15" s="99" t="s">
        <v>5719</v>
      </c>
      <c r="I15" s="99" t="s">
        <v>5718</v>
      </c>
      <c r="J15" s="99" t="str">
        <f t="shared" si="0"/>
        <v xml:space="preserve">    link_bdg_mod_sc: "{bdg-link-primary-line}`Spatial count&lt;https://ab-rcsc.github.io/rc-decision-support-tool_concept-library/02_dialog-boxes/03_14_mod_sc.html&gt;`"</v>
      </c>
    </row>
    <row r="16" spans="1:26" ht="14.25" customHeight="1">
      <c r="A16" s="99" t="s">
        <v>5679</v>
      </c>
      <c r="B16" s="103" t="s">
        <v>5678</v>
      </c>
      <c r="D16" s="99" t="s">
        <v>5717</v>
      </c>
      <c r="E16" s="99" t="s">
        <v>10</v>
      </c>
      <c r="F16" s="110" t="s">
        <v>654</v>
      </c>
      <c r="G16" s="99" t="s">
        <v>5716</v>
      </c>
      <c r="H16" s="110" t="s">
        <v>5715</v>
      </c>
      <c r="I16" s="99" t="s">
        <v>5714</v>
      </c>
      <c r="J16" s="99" t="str">
        <f t="shared" si="0"/>
        <v xml:space="preserve">    link_bdg_mod_ds: "{bdg-link-primary-line}`Distance sampling&lt;https://ab-rcsc.github.io/rc-decision-support-tool_concept-library/02_dialog-boxes/03_20_mod_ds.html&gt;`"</v>
      </c>
    </row>
    <row r="17" spans="1:10" ht="14.25" customHeight="1">
      <c r="A17" s="99" t="s">
        <v>5679</v>
      </c>
      <c r="B17" s="103" t="s">
        <v>5678</v>
      </c>
      <c r="D17" s="99" t="s">
        <v>5713</v>
      </c>
      <c r="E17" s="99" t="s">
        <v>16</v>
      </c>
      <c r="F17" s="99" t="s">
        <v>5712</v>
      </c>
      <c r="G17" s="99" t="s">
        <v>5711</v>
      </c>
      <c r="H17" s="99" t="s">
        <v>5710</v>
      </c>
      <c r="I17" s="99" t="s">
        <v>5709</v>
      </c>
      <c r="J17" s="99" t="str">
        <f t="shared" si="0"/>
        <v xml:space="preserve">    link_bdg_mod_rem: "{bdg-link-primary-line}`Random encounter model [REM]&lt;https://ab-rcsc.github.io/rc-decision-support-tool_concept-library/02_dialog-boxes/03_17_mod_rem.html&gt;`"</v>
      </c>
    </row>
    <row r="18" spans="1:10" ht="14.25" customHeight="1">
      <c r="A18" s="99" t="s">
        <v>5679</v>
      </c>
      <c r="B18" s="103" t="s">
        <v>5678</v>
      </c>
      <c r="D18" s="99" t="s">
        <v>5708</v>
      </c>
      <c r="E18" s="99" t="s">
        <v>14</v>
      </c>
      <c r="F18" s="99" t="s">
        <v>5707</v>
      </c>
      <c r="G18" s="99" t="s">
        <v>5706</v>
      </c>
      <c r="H18" s="99" t="s">
        <v>5705</v>
      </c>
      <c r="I18" s="111" t="s">
        <v>5704</v>
      </c>
      <c r="J18" s="99" t="str">
        <f t="shared" si="0"/>
        <v xml:space="preserve">    link_bdg_mod_rest: "{bdg-link-primary-line}`Random encounter and staying time [REST]&lt;https://ab-rcsc.github.io/rc-decision-support-tool_concept-library/02_dialog-boxes/03_18_mod_rest.html&gt;`"</v>
      </c>
    </row>
    <row r="19" spans="1:10" ht="14.25" customHeight="1">
      <c r="A19" s="99" t="s">
        <v>5679</v>
      </c>
      <c r="B19" s="103" t="s">
        <v>5678</v>
      </c>
      <c r="D19" s="99" t="s">
        <v>5703</v>
      </c>
      <c r="E19" s="99" t="s">
        <v>8</v>
      </c>
      <c r="F19" s="110" t="s">
        <v>5702</v>
      </c>
      <c r="G19" s="99" t="s">
        <v>5701</v>
      </c>
      <c r="H19" s="110" t="s">
        <v>5700</v>
      </c>
      <c r="I19" s="111" t="s">
        <v>5699</v>
      </c>
      <c r="J19" s="99" t="str">
        <f t="shared" si="0"/>
        <v xml:space="preserve">    link_bdg_mod_tte: "{bdg-link-primary-line}`Time-to-event&lt;https://ab-rcsc.github.io/rc-decision-support-tool_concept-library/02_dialog-boxes/03_20_mod_tte.html&gt;`"</v>
      </c>
    </row>
    <row r="20" spans="1:10" ht="14.25" customHeight="1">
      <c r="A20" s="99" t="s">
        <v>5679</v>
      </c>
      <c r="B20" s="103" t="s">
        <v>5678</v>
      </c>
      <c r="D20" s="99" t="s">
        <v>5698</v>
      </c>
      <c r="E20" s="99" t="s">
        <v>25</v>
      </c>
      <c r="F20" s="99" t="s">
        <v>5697</v>
      </c>
      <c r="G20" s="99" t="s">
        <v>5696</v>
      </c>
      <c r="H20" s="99" t="s">
        <v>5695</v>
      </c>
      <c r="I20" s="111" t="s">
        <v>5694</v>
      </c>
      <c r="J20" s="99" t="str">
        <f t="shared" si="0"/>
        <v xml:space="preserve">    link_bdg_mod_smr: "{bdg-link-primary-line}`Spatial mark-resight&lt;https://ab-rcsc.github.io/rc-decision-support-tool_concept-library/02_dialog-boxes/03_13_mod_smr.html&gt;`"</v>
      </c>
    </row>
    <row r="21" spans="1:10" ht="14.25" customHeight="1">
      <c r="A21" s="99" t="s">
        <v>5679</v>
      </c>
      <c r="B21" s="103" t="s">
        <v>5678</v>
      </c>
      <c r="D21" s="99" t="s">
        <v>5693</v>
      </c>
      <c r="E21" s="99" t="s">
        <v>21</v>
      </c>
      <c r="F21" s="110" t="s">
        <v>4779</v>
      </c>
      <c r="G21" s="99" t="s">
        <v>5692</v>
      </c>
      <c r="H21" s="110" t="s">
        <v>5691</v>
      </c>
      <c r="I21" s="111"/>
      <c r="J21" s="99" t="str">
        <f t="shared" si="0"/>
        <v xml:space="preserve">    link_bdg_mod_2flankspim: "{bdg-link-primary-line}`Spatial Partial Identity Model (2-flank SPIM)&lt;https://ab-rcsc.github.io/rc-decision-support-tool_concept-library/02_dialog-boxes/03_16_mod_2flankspim.html&gt;`"</v>
      </c>
    </row>
    <row r="22" spans="1:10" ht="14.25" customHeight="1">
      <c r="A22" s="99" t="s">
        <v>5679</v>
      </c>
      <c r="B22" s="103" t="s">
        <v>5678</v>
      </c>
      <c r="D22" s="99" t="s">
        <v>5688</v>
      </c>
      <c r="E22" s="99" t="s">
        <v>6</v>
      </c>
      <c r="F22" s="110" t="s">
        <v>4780</v>
      </c>
      <c r="G22" s="99" t="s">
        <v>5690</v>
      </c>
      <c r="H22" s="110" t="s">
        <v>5689</v>
      </c>
      <c r="J22" s="99" t="str">
        <f t="shared" si="0"/>
        <v xml:space="preserve">    link_bdg_mod_ste: "{bdg-link-primary-line}`Spatial Partial Identity Model (Categorical SPIM; catSPIM)&lt;https://ab-rcsc.github.io/rc-decision-support-tool_concept-library/02_dialog-boxes/03_15_mod_catspim.html&gt;`"</v>
      </c>
    </row>
    <row r="23" spans="1:10" ht="14.25" customHeight="1">
      <c r="A23" s="99" t="s">
        <v>5679</v>
      </c>
      <c r="B23" s="103" t="s">
        <v>5678</v>
      </c>
      <c r="D23" s="99" t="s">
        <v>5688</v>
      </c>
      <c r="E23" s="99" t="s">
        <v>6</v>
      </c>
      <c r="F23" s="110" t="s">
        <v>5</v>
      </c>
      <c r="G23" s="99" t="s">
        <v>5687</v>
      </c>
      <c r="H23" s="110" t="s">
        <v>5686</v>
      </c>
      <c r="J23" s="99" t="str">
        <f t="shared" si="0"/>
        <v xml:space="preserve">    link_bdg_mod_ste: "{bdg-link-primary-line}`Space-to-event (STE)&lt;https://ab-rcsc.github.io/rc-decision-support-tool_concept-library/02_dialog-boxes/03_22_mod_ste.html&gt;`"</v>
      </c>
    </row>
    <row r="24" spans="1:10" ht="14.25" customHeight="1">
      <c r="A24" s="99" t="s">
        <v>5679</v>
      </c>
      <c r="B24" s="103" t="s">
        <v>5678</v>
      </c>
      <c r="D24" s="109" t="s">
        <v>5685</v>
      </c>
      <c r="E24" s="109" t="s">
        <v>5684</v>
      </c>
      <c r="F24" s="110" t="s">
        <v>522</v>
      </c>
      <c r="G24" s="99" t="s">
        <v>5683</v>
      </c>
      <c r="H24" s="110" t="s">
        <v>5682</v>
      </c>
      <c r="J24" s="99" t="str">
        <f t="shared" si="0"/>
        <v xml:space="preserve">    link_bdg_viewshed_dens_est: "{bdg-link-primary-line}`Viewshed density estimators&lt;https://ab-rcsc.github.io/rc-decision-support-tool_concept-library/02_dialog-boxes/09_viewshed_dens_est.html&gt;`"</v>
      </c>
    </row>
    <row r="25" spans="1:10" ht="14.25" customHeight="1">
      <c r="A25" s="99" t="s">
        <v>5679</v>
      </c>
      <c r="B25" s="103" t="s">
        <v>5678</v>
      </c>
      <c r="D25" s="109" t="s">
        <v>5681</v>
      </c>
      <c r="E25" s="107" t="s">
        <v>458</v>
      </c>
      <c r="F25" s="107" t="s">
        <v>666</v>
      </c>
      <c r="G25" s="107" t="s">
        <v>5643</v>
      </c>
      <c r="H25" s="107" t="s">
        <v>5680</v>
      </c>
      <c r="J25" s="99" t="str">
        <f t="shared" si="0"/>
        <v xml:space="preserve">    link_bdg_sp_rarity: "{bdg-link-primary-line}`Species rarity&lt;https://ab-rcsc.github.io/rc-decision-support-tool_concept-library/02_dialog-boxes/01_19_sp_rarity.html&gt;`"</v>
      </c>
    </row>
    <row r="26" spans="1:10" ht="14.25" customHeight="1">
      <c r="A26" s="99" t="s">
        <v>5679</v>
      </c>
      <c r="B26" s="103" t="s">
        <v>5678</v>
      </c>
      <c r="D26" s="109" t="s">
        <v>5677</v>
      </c>
      <c r="E26" s="109" t="s">
        <v>4984</v>
      </c>
      <c r="F26" s="107" t="s">
        <v>5676</v>
      </c>
      <c r="G26" s="108" t="s">
        <v>5649</v>
      </c>
      <c r="H26" s="107" t="s">
        <v>5675</v>
      </c>
      <c r="J26" s="99" t="str">
        <f t="shared" si="0"/>
        <v xml:space="preserve">    link_bdg_sp_asymptote: "{bdg-link-primary-line}`Species-accumulation curves&lt;https://ab-rcsc.github.io/rc-decision-support-tool_concept-library/02_dialog-boxes/01_10_sp_asymptote.html&gt;`"</v>
      </c>
    </row>
    <row r="27" spans="1:10" ht="14.25" customHeight="1">
      <c r="A27" s="99" t="s">
        <v>5610</v>
      </c>
      <c r="B27" s="103" t="s">
        <v>5609</v>
      </c>
      <c r="C27" s="103" t="s">
        <v>4</v>
      </c>
      <c r="D27" s="103" t="s">
        <v>984</v>
      </c>
      <c r="E27" s="103" t="s">
        <v>38</v>
      </c>
      <c r="F27" s="103" t="s">
        <v>5657</v>
      </c>
      <c r="G27" s="103" t="s">
        <v>5674</v>
      </c>
      <c r="H27" s="99" t="s">
        <v>984</v>
      </c>
      <c r="I27" s="99" t="s">
        <v>984</v>
      </c>
      <c r="J27" s="99" t="str">
        <f t="shared" si="0"/>
        <v xml:space="preserve">    -: "-"</v>
      </c>
    </row>
    <row r="28" spans="1:10" ht="14.25" customHeight="1">
      <c r="A28" s="99" t="s">
        <v>5610</v>
      </c>
      <c r="B28" s="103" t="s">
        <v>5609</v>
      </c>
      <c r="C28" s="103" t="s">
        <v>4</v>
      </c>
      <c r="D28" s="103" t="s">
        <v>984</v>
      </c>
      <c r="E28" s="103" t="s">
        <v>36</v>
      </c>
      <c r="F28" s="103" t="s">
        <v>5657</v>
      </c>
      <c r="G28" s="103" t="s">
        <v>5673</v>
      </c>
      <c r="H28" s="99" t="s">
        <v>984</v>
      </c>
      <c r="I28" s="99" t="s">
        <v>984</v>
      </c>
      <c r="J28" s="99" t="s">
        <v>984</v>
      </c>
    </row>
    <row r="29" spans="1:10" ht="14.25" customHeight="1">
      <c r="A29" s="99" t="s">
        <v>5610</v>
      </c>
      <c r="B29" s="103" t="s">
        <v>5609</v>
      </c>
      <c r="C29" s="103" t="s">
        <v>4</v>
      </c>
      <c r="D29" s="103" t="s">
        <v>984</v>
      </c>
      <c r="E29" s="103" t="s">
        <v>34</v>
      </c>
      <c r="F29" s="103" t="s">
        <v>5657</v>
      </c>
      <c r="G29" s="103" t="s">
        <v>5672</v>
      </c>
      <c r="H29" s="99" t="s">
        <v>984</v>
      </c>
      <c r="I29" s="99" t="s">
        <v>984</v>
      </c>
      <c r="J29" s="99" t="s">
        <v>984</v>
      </c>
    </row>
    <row r="30" spans="1:10" ht="14.25" customHeight="1">
      <c r="A30" s="99" t="s">
        <v>5610</v>
      </c>
      <c r="B30" s="99" t="s">
        <v>5609</v>
      </c>
      <c r="C30" s="103" t="s">
        <v>4</v>
      </c>
      <c r="D30" s="103" t="s">
        <v>984</v>
      </c>
      <c r="E30" s="103" t="s">
        <v>33</v>
      </c>
      <c r="F30" s="103" t="s">
        <v>5657</v>
      </c>
      <c r="G30" s="103" t="s">
        <v>5671</v>
      </c>
      <c r="H30" s="99" t="s">
        <v>984</v>
      </c>
      <c r="I30" s="99" t="s">
        <v>984</v>
      </c>
      <c r="J30" s="99" t="s">
        <v>984</v>
      </c>
    </row>
    <row r="31" spans="1:10" ht="14.25" customHeight="1">
      <c r="A31" s="99" t="s">
        <v>5610</v>
      </c>
      <c r="B31" s="99" t="s">
        <v>5609</v>
      </c>
      <c r="C31" s="103" t="s">
        <v>4</v>
      </c>
      <c r="D31" s="103" t="s">
        <v>984</v>
      </c>
      <c r="E31" s="103" t="s">
        <v>29</v>
      </c>
      <c r="F31" s="103" t="s">
        <v>5657</v>
      </c>
      <c r="G31" s="103" t="s">
        <v>5670</v>
      </c>
      <c r="H31" s="99" t="s">
        <v>984</v>
      </c>
      <c r="I31" s="99" t="s">
        <v>984</v>
      </c>
      <c r="J31" s="99" t="s">
        <v>984</v>
      </c>
    </row>
    <row r="32" spans="1:10" ht="14.25" customHeight="1">
      <c r="A32" s="99" t="s">
        <v>5610</v>
      </c>
      <c r="B32" s="99" t="s">
        <v>5609</v>
      </c>
      <c r="C32" s="103" t="s">
        <v>4</v>
      </c>
      <c r="D32" s="103" t="s">
        <v>984</v>
      </c>
      <c r="E32" s="103" t="s">
        <v>28</v>
      </c>
      <c r="F32" s="103" t="s">
        <v>5657</v>
      </c>
      <c r="G32" s="103" t="s">
        <v>5669</v>
      </c>
      <c r="H32" s="99" t="s">
        <v>984</v>
      </c>
      <c r="I32" s="99" t="s">
        <v>984</v>
      </c>
      <c r="J32" s="99" t="s">
        <v>984</v>
      </c>
    </row>
    <row r="33" spans="1:10" ht="14.25" customHeight="1">
      <c r="A33" s="99" t="s">
        <v>5610</v>
      </c>
      <c r="B33" s="99" t="s">
        <v>5609</v>
      </c>
      <c r="C33" s="103" t="s">
        <v>4</v>
      </c>
      <c r="D33" s="103" t="s">
        <v>984</v>
      </c>
      <c r="E33" s="103" t="s">
        <v>25</v>
      </c>
      <c r="F33" s="103" t="s">
        <v>5657</v>
      </c>
      <c r="G33" s="103" t="s">
        <v>5668</v>
      </c>
      <c r="H33" s="99" t="s">
        <v>984</v>
      </c>
      <c r="I33" s="99" t="s">
        <v>984</v>
      </c>
      <c r="J33" s="99" t="s">
        <v>984</v>
      </c>
    </row>
    <row r="34" spans="1:10" ht="14.25" customHeight="1">
      <c r="A34" s="99" t="s">
        <v>5610</v>
      </c>
      <c r="B34" s="99" t="s">
        <v>5609</v>
      </c>
      <c r="C34" s="103" t="s">
        <v>4</v>
      </c>
      <c r="D34" s="103" t="s">
        <v>984</v>
      </c>
      <c r="E34" s="103" t="s">
        <v>23</v>
      </c>
      <c r="F34" s="103" t="s">
        <v>5657</v>
      </c>
      <c r="G34" s="103" t="s">
        <v>5667</v>
      </c>
      <c r="H34" s="99" t="s">
        <v>984</v>
      </c>
      <c r="I34" s="99" t="s">
        <v>984</v>
      </c>
      <c r="J34" s="99" t="s">
        <v>984</v>
      </c>
    </row>
    <row r="35" spans="1:10" ht="14.25" customHeight="1">
      <c r="A35" s="99" t="s">
        <v>5610</v>
      </c>
      <c r="B35" s="99" t="s">
        <v>5609</v>
      </c>
      <c r="C35" s="103" t="s">
        <v>4</v>
      </c>
      <c r="D35" s="103" t="s">
        <v>984</v>
      </c>
      <c r="E35" s="103" t="s">
        <v>22</v>
      </c>
      <c r="F35" s="103" t="s">
        <v>5657</v>
      </c>
      <c r="G35" s="103" t="s">
        <v>5666</v>
      </c>
      <c r="H35" s="99" t="s">
        <v>984</v>
      </c>
      <c r="I35" s="99" t="s">
        <v>984</v>
      </c>
      <c r="J35" s="99" t="s">
        <v>984</v>
      </c>
    </row>
    <row r="36" spans="1:10" ht="14.25" customHeight="1">
      <c r="A36" s="99" t="s">
        <v>5610</v>
      </c>
      <c r="B36" s="99" t="s">
        <v>5609</v>
      </c>
      <c r="C36" s="103" t="s">
        <v>4</v>
      </c>
      <c r="D36" s="103" t="s">
        <v>984</v>
      </c>
      <c r="E36" s="103" t="s">
        <v>21</v>
      </c>
      <c r="F36" s="103" t="s">
        <v>5657</v>
      </c>
      <c r="G36" s="103" t="s">
        <v>5665</v>
      </c>
      <c r="H36" s="99" t="s">
        <v>984</v>
      </c>
      <c r="I36" s="99" t="s">
        <v>984</v>
      </c>
      <c r="J36" s="99" t="s">
        <v>984</v>
      </c>
    </row>
    <row r="37" spans="1:10" ht="14.25" customHeight="1">
      <c r="A37" s="99" t="s">
        <v>5610</v>
      </c>
      <c r="B37" s="99" t="s">
        <v>5609</v>
      </c>
      <c r="C37" s="103" t="s">
        <v>4</v>
      </c>
      <c r="D37" s="103" t="s">
        <v>984</v>
      </c>
      <c r="E37" s="103" t="s">
        <v>16</v>
      </c>
      <c r="F37" s="103" t="s">
        <v>5657</v>
      </c>
      <c r="G37" s="103" t="s">
        <v>5664</v>
      </c>
      <c r="H37" s="99" t="s">
        <v>984</v>
      </c>
      <c r="I37" s="99" t="s">
        <v>984</v>
      </c>
      <c r="J37" s="99" t="s">
        <v>984</v>
      </c>
    </row>
    <row r="38" spans="1:10" ht="14.25" customHeight="1">
      <c r="A38" s="99" t="s">
        <v>5610</v>
      </c>
      <c r="B38" s="99" t="s">
        <v>5609</v>
      </c>
      <c r="C38" s="103" t="s">
        <v>4</v>
      </c>
      <c r="D38" s="103" t="s">
        <v>984</v>
      </c>
      <c r="E38" s="103" t="s">
        <v>14</v>
      </c>
      <c r="F38" s="103" t="s">
        <v>5657</v>
      </c>
      <c r="G38" s="103" t="s">
        <v>5663</v>
      </c>
      <c r="H38" s="99" t="s">
        <v>984</v>
      </c>
      <c r="I38" s="99" t="s">
        <v>984</v>
      </c>
      <c r="J38" s="99" t="s">
        <v>984</v>
      </c>
    </row>
    <row r="39" spans="1:10" ht="14.25" customHeight="1">
      <c r="A39" s="99" t="s">
        <v>5610</v>
      </c>
      <c r="B39" s="99" t="s">
        <v>5609</v>
      </c>
      <c r="C39" s="103" t="s">
        <v>4</v>
      </c>
      <c r="D39" s="103" t="s">
        <v>984</v>
      </c>
      <c r="E39" s="103" t="s">
        <v>12</v>
      </c>
      <c r="F39" s="103" t="s">
        <v>5657</v>
      </c>
      <c r="G39" s="103" t="s">
        <v>5662</v>
      </c>
      <c r="H39" s="99" t="s">
        <v>984</v>
      </c>
      <c r="I39" s="99" t="s">
        <v>984</v>
      </c>
      <c r="J39" s="99" t="s">
        <v>984</v>
      </c>
    </row>
    <row r="40" spans="1:10" ht="14.25" customHeight="1">
      <c r="A40" s="99" t="s">
        <v>5610</v>
      </c>
      <c r="B40" s="99" t="s">
        <v>5609</v>
      </c>
      <c r="C40" s="103" t="s">
        <v>4</v>
      </c>
      <c r="D40" s="103" t="s">
        <v>984</v>
      </c>
      <c r="E40" s="103" t="s">
        <v>10</v>
      </c>
      <c r="F40" s="103" t="s">
        <v>5657</v>
      </c>
      <c r="G40" s="103" t="s">
        <v>5661</v>
      </c>
      <c r="H40" s="99" t="s">
        <v>984</v>
      </c>
      <c r="I40" s="99" t="s">
        <v>984</v>
      </c>
      <c r="J40" s="99" t="s">
        <v>984</v>
      </c>
    </row>
    <row r="41" spans="1:10" ht="14.25" customHeight="1">
      <c r="A41" s="99" t="s">
        <v>5610</v>
      </c>
      <c r="B41" s="99" t="s">
        <v>5609</v>
      </c>
      <c r="C41" s="103" t="s">
        <v>4</v>
      </c>
      <c r="D41" s="103" t="s">
        <v>984</v>
      </c>
      <c r="E41" s="103" t="s">
        <v>8</v>
      </c>
      <c r="F41" s="103" t="s">
        <v>5657</v>
      </c>
      <c r="G41" s="103" t="s">
        <v>5660</v>
      </c>
      <c r="H41" s="99" t="s">
        <v>984</v>
      </c>
      <c r="I41" s="99" t="s">
        <v>984</v>
      </c>
      <c r="J41" s="99" t="s">
        <v>984</v>
      </c>
    </row>
    <row r="42" spans="1:10" ht="14.25" customHeight="1">
      <c r="A42" s="99" t="s">
        <v>5610</v>
      </c>
      <c r="B42" s="99" t="s">
        <v>5609</v>
      </c>
      <c r="C42" s="103" t="s">
        <v>4</v>
      </c>
      <c r="D42" s="103" t="s">
        <v>984</v>
      </c>
      <c r="E42" s="103" t="s">
        <v>6</v>
      </c>
      <c r="F42" s="103" t="s">
        <v>5657</v>
      </c>
      <c r="G42" s="103" t="s">
        <v>5659</v>
      </c>
      <c r="H42" s="99" t="s">
        <v>984</v>
      </c>
      <c r="I42" s="99" t="s">
        <v>984</v>
      </c>
      <c r="J42" s="99" t="s">
        <v>984</v>
      </c>
    </row>
    <row r="43" spans="1:10" ht="14.25" customHeight="1">
      <c r="A43" s="99" t="s">
        <v>5610</v>
      </c>
      <c r="B43" s="99" t="s">
        <v>5609</v>
      </c>
      <c r="C43" s="103" t="s">
        <v>4</v>
      </c>
      <c r="D43" s="103" t="s">
        <v>984</v>
      </c>
      <c r="E43" s="103" t="s">
        <v>3</v>
      </c>
      <c r="F43" s="103" t="s">
        <v>5657</v>
      </c>
      <c r="G43" s="103" t="s">
        <v>5658</v>
      </c>
      <c r="H43" s="99" t="s">
        <v>984</v>
      </c>
      <c r="I43" s="99" t="s">
        <v>984</v>
      </c>
      <c r="J43" s="99" t="s">
        <v>984</v>
      </c>
    </row>
    <row r="44" spans="1:10" ht="14.25" customHeight="1">
      <c r="A44" s="99" t="s">
        <v>5610</v>
      </c>
      <c r="B44" s="99" t="s">
        <v>5609</v>
      </c>
      <c r="C44" s="103" t="s">
        <v>4</v>
      </c>
      <c r="D44" s="103" t="s">
        <v>984</v>
      </c>
      <c r="E44" s="103" t="s">
        <v>31</v>
      </c>
      <c r="F44" s="103" t="s">
        <v>5657</v>
      </c>
      <c r="G44" s="103" t="s">
        <v>5656</v>
      </c>
      <c r="H44" s="99" t="s">
        <v>984</v>
      </c>
      <c r="I44" s="99" t="s">
        <v>984</v>
      </c>
      <c r="J44" s="99" t="s">
        <v>984</v>
      </c>
    </row>
    <row r="45" spans="1:10" ht="14.25" customHeight="1">
      <c r="A45" s="99" t="s">
        <v>5610</v>
      </c>
      <c r="B45" s="99" t="s">
        <v>5640</v>
      </c>
      <c r="C45" s="103" t="s">
        <v>5639</v>
      </c>
      <c r="D45" s="103" t="s">
        <v>984</v>
      </c>
      <c r="E45" s="103" t="s">
        <v>5036</v>
      </c>
      <c r="F45" s="103"/>
      <c r="G45" s="103" t="s">
        <v>5655</v>
      </c>
      <c r="H45" s="99" t="s">
        <v>984</v>
      </c>
      <c r="I45" s="99" t="s">
        <v>984</v>
      </c>
      <c r="J45" s="99" t="s">
        <v>984</v>
      </c>
    </row>
    <row r="46" spans="1:10" ht="14.25" customHeight="1">
      <c r="A46" s="99" t="s">
        <v>5610</v>
      </c>
      <c r="B46" s="99" t="s">
        <v>5640</v>
      </c>
      <c r="C46" s="103" t="s">
        <v>5639</v>
      </c>
      <c r="D46" s="103" t="s">
        <v>984</v>
      </c>
      <c r="E46" s="103" t="s">
        <v>5023</v>
      </c>
      <c r="F46" s="103"/>
      <c r="G46" s="103" t="s">
        <v>5654</v>
      </c>
      <c r="H46" s="99" t="s">
        <v>984</v>
      </c>
      <c r="I46" s="99" t="s">
        <v>984</v>
      </c>
      <c r="J46" s="99" t="s">
        <v>984</v>
      </c>
    </row>
    <row r="47" spans="1:10" ht="14.25" customHeight="1">
      <c r="A47" s="99" t="s">
        <v>5610</v>
      </c>
      <c r="B47" s="99" t="s">
        <v>5640</v>
      </c>
      <c r="C47" s="103" t="s">
        <v>5639</v>
      </c>
      <c r="D47" s="103" t="s">
        <v>984</v>
      </c>
      <c r="E47" s="103" t="s">
        <v>5653</v>
      </c>
      <c r="F47" s="103"/>
      <c r="G47" s="103" t="s">
        <v>5652</v>
      </c>
      <c r="H47" s="99" t="s">
        <v>984</v>
      </c>
      <c r="I47" s="99" t="s">
        <v>984</v>
      </c>
      <c r="J47" s="99" t="s">
        <v>984</v>
      </c>
    </row>
    <row r="48" spans="1:10" ht="14.25" customHeight="1">
      <c r="A48" s="99" t="s">
        <v>5610</v>
      </c>
      <c r="B48" s="99" t="s">
        <v>5640</v>
      </c>
      <c r="C48" s="103" t="s">
        <v>5639</v>
      </c>
      <c r="D48" s="103" t="s">
        <v>984</v>
      </c>
      <c r="E48" s="103" t="s">
        <v>40</v>
      </c>
      <c r="F48" s="103"/>
      <c r="G48" s="99" t="s">
        <v>5651</v>
      </c>
      <c r="H48" s="99" t="s">
        <v>984</v>
      </c>
      <c r="I48" s="99" t="s">
        <v>984</v>
      </c>
      <c r="J48" s="99" t="s">
        <v>984</v>
      </c>
    </row>
    <row r="49" spans="1:10" ht="14.25" customHeight="1">
      <c r="A49" s="99" t="s">
        <v>5610</v>
      </c>
      <c r="B49" s="99" t="s">
        <v>5640</v>
      </c>
      <c r="C49" s="104" t="s">
        <v>5639</v>
      </c>
      <c r="D49" s="103" t="s">
        <v>984</v>
      </c>
      <c r="E49" s="103" t="s">
        <v>4995</v>
      </c>
      <c r="F49" s="103"/>
      <c r="G49" s="103" t="s">
        <v>5650</v>
      </c>
      <c r="H49" s="99" t="s">
        <v>984</v>
      </c>
      <c r="I49" s="99" t="s">
        <v>984</v>
      </c>
      <c r="J49" s="99" t="s">
        <v>984</v>
      </c>
    </row>
    <row r="50" spans="1:10" ht="14.25" customHeight="1">
      <c r="A50" s="99" t="s">
        <v>5610</v>
      </c>
      <c r="B50" s="99" t="s">
        <v>5640</v>
      </c>
      <c r="C50" s="104" t="s">
        <v>5639</v>
      </c>
      <c r="D50" s="103" t="s">
        <v>984</v>
      </c>
      <c r="E50" s="103" t="s">
        <v>4984</v>
      </c>
      <c r="F50" s="103"/>
      <c r="G50" s="103" t="s">
        <v>5649</v>
      </c>
      <c r="H50" s="99" t="s">
        <v>984</v>
      </c>
      <c r="I50" s="99" t="s">
        <v>984</v>
      </c>
      <c r="J50" s="99" t="s">
        <v>984</v>
      </c>
    </row>
    <row r="51" spans="1:10" ht="14.25" customHeight="1">
      <c r="A51" s="99" t="s">
        <v>5610</v>
      </c>
      <c r="B51" s="99" t="s">
        <v>5640</v>
      </c>
      <c r="C51" s="104" t="s">
        <v>5639</v>
      </c>
      <c r="D51" s="103" t="s">
        <v>984</v>
      </c>
      <c r="E51" s="103" t="s">
        <v>4955</v>
      </c>
      <c r="F51" s="103"/>
      <c r="G51" s="103" t="s">
        <v>5648</v>
      </c>
      <c r="H51" s="99" t="s">
        <v>984</v>
      </c>
      <c r="I51" s="99" t="s">
        <v>984</v>
      </c>
      <c r="J51" s="99" t="s">
        <v>984</v>
      </c>
    </row>
    <row r="52" spans="1:10" ht="14.25" customHeight="1">
      <c r="A52" s="99" t="s">
        <v>5610</v>
      </c>
      <c r="B52" s="99" t="s">
        <v>5640</v>
      </c>
      <c r="C52" s="104" t="s">
        <v>5639</v>
      </c>
      <c r="D52" s="103" t="s">
        <v>984</v>
      </c>
      <c r="E52" s="103" t="s">
        <v>5647</v>
      </c>
      <c r="F52" s="103"/>
      <c r="G52" s="103" t="s">
        <v>5646</v>
      </c>
      <c r="H52" s="99" t="s">
        <v>984</v>
      </c>
      <c r="I52" s="99" t="s">
        <v>984</v>
      </c>
      <c r="J52" s="99" t="s">
        <v>984</v>
      </c>
    </row>
    <row r="53" spans="1:10" ht="14.25" customHeight="1">
      <c r="A53" s="99" t="s">
        <v>5610</v>
      </c>
      <c r="B53" s="99" t="s">
        <v>5640</v>
      </c>
      <c r="C53" s="104" t="s">
        <v>5639</v>
      </c>
      <c r="D53" s="103" t="s">
        <v>984</v>
      </c>
      <c r="E53" s="103" t="s">
        <v>4943</v>
      </c>
      <c r="F53" s="103"/>
      <c r="G53" s="103" t="s">
        <v>5645</v>
      </c>
      <c r="H53" s="99" t="s">
        <v>984</v>
      </c>
      <c r="I53" s="99" t="s">
        <v>984</v>
      </c>
      <c r="J53" s="99" t="s">
        <v>984</v>
      </c>
    </row>
    <row r="54" spans="1:10" ht="14.25" customHeight="1">
      <c r="A54" s="99" t="s">
        <v>5610</v>
      </c>
      <c r="B54" s="99" t="s">
        <v>5640</v>
      </c>
      <c r="C54" s="104" t="s">
        <v>5639</v>
      </c>
      <c r="D54" s="103" t="s">
        <v>984</v>
      </c>
      <c r="E54" s="103" t="s">
        <v>4936</v>
      </c>
      <c r="F54" s="103"/>
      <c r="G54" s="103" t="s">
        <v>5644</v>
      </c>
      <c r="H54" s="99" t="s">
        <v>984</v>
      </c>
      <c r="I54" s="99" t="s">
        <v>984</v>
      </c>
      <c r="J54" s="99" t="s">
        <v>984</v>
      </c>
    </row>
    <row r="55" spans="1:10" ht="14.25" customHeight="1">
      <c r="A55" s="99" t="s">
        <v>5610</v>
      </c>
      <c r="B55" s="99" t="s">
        <v>5640</v>
      </c>
      <c r="C55" s="104" t="s">
        <v>5639</v>
      </c>
      <c r="D55" s="103" t="s">
        <v>984</v>
      </c>
      <c r="E55" s="103" t="s">
        <v>458</v>
      </c>
      <c r="F55" s="103"/>
      <c r="G55" s="103" t="s">
        <v>5643</v>
      </c>
      <c r="H55" s="99" t="s">
        <v>984</v>
      </c>
      <c r="I55" s="99" t="s">
        <v>984</v>
      </c>
      <c r="J55" s="99" t="s">
        <v>984</v>
      </c>
    </row>
    <row r="56" spans="1:10" ht="14.25" customHeight="1">
      <c r="A56" s="99" t="s">
        <v>5610</v>
      </c>
      <c r="B56" s="99" t="s">
        <v>5640</v>
      </c>
      <c r="C56" s="104" t="s">
        <v>5639</v>
      </c>
      <c r="D56" s="103" t="s">
        <v>984</v>
      </c>
      <c r="E56" s="103" t="s">
        <v>4909</v>
      </c>
      <c r="F56" s="103"/>
      <c r="G56" s="103" t="s">
        <v>5642</v>
      </c>
      <c r="H56" s="99" t="s">
        <v>984</v>
      </c>
      <c r="I56" s="99" t="s">
        <v>984</v>
      </c>
      <c r="J56" s="99" t="s">
        <v>984</v>
      </c>
    </row>
    <row r="57" spans="1:10" ht="14.25" customHeight="1">
      <c r="A57" s="99" t="s">
        <v>5610</v>
      </c>
      <c r="B57" s="99" t="s">
        <v>5640</v>
      </c>
      <c r="C57" s="104" t="s">
        <v>5639</v>
      </c>
      <c r="D57" s="103" t="s">
        <v>984</v>
      </c>
      <c r="E57" s="103" t="s">
        <v>4896</v>
      </c>
      <c r="F57" s="103"/>
      <c r="G57" s="103" t="s">
        <v>5641</v>
      </c>
      <c r="H57" s="99" t="s">
        <v>984</v>
      </c>
      <c r="I57" s="99" t="s">
        <v>984</v>
      </c>
      <c r="J57" s="99" t="s">
        <v>984</v>
      </c>
    </row>
    <row r="58" spans="1:10" ht="14.25" customHeight="1">
      <c r="A58" s="99" t="s">
        <v>5610</v>
      </c>
      <c r="B58" s="99" t="s">
        <v>5640</v>
      </c>
      <c r="C58" s="104" t="s">
        <v>5639</v>
      </c>
      <c r="D58" s="103" t="s">
        <v>984</v>
      </c>
      <c r="E58" s="103" t="s">
        <v>5638</v>
      </c>
      <c r="F58" s="103"/>
      <c r="G58" s="103" t="s">
        <v>5637</v>
      </c>
      <c r="H58" s="99" t="s">
        <v>984</v>
      </c>
      <c r="I58" s="99" t="s">
        <v>984</v>
      </c>
      <c r="J58" s="99" t="s">
        <v>984</v>
      </c>
    </row>
    <row r="59" spans="1:10" ht="14.25" customHeight="1">
      <c r="A59" s="99" t="s">
        <v>5610</v>
      </c>
      <c r="B59" s="99" t="s">
        <v>5609</v>
      </c>
      <c r="C59" s="104" t="s">
        <v>5608</v>
      </c>
      <c r="D59" s="103" t="s">
        <v>984</v>
      </c>
      <c r="E59" s="103" t="s">
        <v>5636</v>
      </c>
      <c r="F59" s="106" t="s">
        <v>5635</v>
      </c>
      <c r="G59" s="103" t="s">
        <v>5634</v>
      </c>
      <c r="H59" s="99" t="s">
        <v>984</v>
      </c>
      <c r="I59" s="99" t="s">
        <v>984</v>
      </c>
      <c r="J59" s="99" t="s">
        <v>984</v>
      </c>
    </row>
    <row r="60" spans="1:10" ht="14.25" customHeight="1">
      <c r="A60" s="99" t="s">
        <v>5610</v>
      </c>
      <c r="B60" s="99" t="s">
        <v>5609</v>
      </c>
      <c r="C60" s="104" t="s">
        <v>5608</v>
      </c>
      <c r="D60" s="103" t="s">
        <v>984</v>
      </c>
      <c r="E60" s="103" t="s">
        <v>5633</v>
      </c>
      <c r="F60" s="103" t="s">
        <v>5631</v>
      </c>
      <c r="G60" s="103" t="s">
        <v>5632</v>
      </c>
      <c r="H60" s="99" t="s">
        <v>984</v>
      </c>
      <c r="I60" s="99" t="s">
        <v>984</v>
      </c>
      <c r="J60" s="99" t="s">
        <v>984</v>
      </c>
    </row>
    <row r="61" spans="1:10" ht="14.25" customHeight="1">
      <c r="A61" s="99" t="s">
        <v>5610</v>
      </c>
      <c r="B61" s="99" t="s">
        <v>5609</v>
      </c>
      <c r="C61" s="104" t="s">
        <v>5608</v>
      </c>
      <c r="D61" s="103" t="s">
        <v>984</v>
      </c>
      <c r="E61" s="103"/>
      <c r="F61" s="103" t="s">
        <v>5631</v>
      </c>
      <c r="G61" s="105" t="s">
        <v>5630</v>
      </c>
      <c r="H61" s="99" t="s">
        <v>984</v>
      </c>
      <c r="I61" s="99" t="s">
        <v>984</v>
      </c>
      <c r="J61" s="99" t="s">
        <v>984</v>
      </c>
    </row>
    <row r="62" spans="1:10" ht="14.25" customHeight="1">
      <c r="A62" s="99" t="s">
        <v>5610</v>
      </c>
      <c r="B62" s="99" t="s">
        <v>5609</v>
      </c>
      <c r="C62" s="104" t="s">
        <v>5608</v>
      </c>
      <c r="D62" s="103" t="s">
        <v>984</v>
      </c>
      <c r="E62" s="103"/>
      <c r="F62" s="103" t="s">
        <v>5629</v>
      </c>
      <c r="G62" s="105" t="s">
        <v>5628</v>
      </c>
      <c r="H62" s="99" t="s">
        <v>984</v>
      </c>
      <c r="I62" s="99" t="s">
        <v>984</v>
      </c>
      <c r="J62" s="99" t="s">
        <v>984</v>
      </c>
    </row>
    <row r="63" spans="1:10" ht="14.25" customHeight="1">
      <c r="A63" s="99" t="s">
        <v>5610</v>
      </c>
      <c r="B63" s="99" t="s">
        <v>5609</v>
      </c>
      <c r="C63" s="104" t="s">
        <v>5608</v>
      </c>
      <c r="D63" s="103" t="s">
        <v>984</v>
      </c>
      <c r="E63" s="103"/>
      <c r="F63" s="103" t="s">
        <v>5627</v>
      </c>
      <c r="G63" s="105" t="s">
        <v>5626</v>
      </c>
      <c r="H63" s="99" t="s">
        <v>984</v>
      </c>
      <c r="I63" s="99" t="s">
        <v>984</v>
      </c>
      <c r="J63" s="99" t="s">
        <v>984</v>
      </c>
    </row>
    <row r="64" spans="1:10" ht="14.25" customHeight="1">
      <c r="A64" s="99" t="s">
        <v>5610</v>
      </c>
      <c r="B64" s="99" t="s">
        <v>5609</v>
      </c>
      <c r="C64" s="104" t="s">
        <v>5615</v>
      </c>
      <c r="D64" s="103" t="s">
        <v>984</v>
      </c>
      <c r="E64" s="103" t="s">
        <v>5625</v>
      </c>
      <c r="F64" s="103" t="s">
        <v>5592</v>
      </c>
      <c r="G64" s="103" t="s">
        <v>5624</v>
      </c>
      <c r="H64" s="99" t="s">
        <v>984</v>
      </c>
      <c r="I64" s="99" t="s">
        <v>984</v>
      </c>
      <c r="J64" s="99" t="s">
        <v>984</v>
      </c>
    </row>
    <row r="65" spans="1:10" ht="14.25" customHeight="1">
      <c r="A65" s="99" t="s">
        <v>5610</v>
      </c>
      <c r="B65" s="99" t="s">
        <v>5609</v>
      </c>
      <c r="C65" s="104" t="s">
        <v>5615</v>
      </c>
      <c r="D65" s="103" t="s">
        <v>984</v>
      </c>
      <c r="E65" s="103" t="s">
        <v>5623</v>
      </c>
      <c r="F65" s="103" t="s">
        <v>5587</v>
      </c>
      <c r="G65" s="103" t="s">
        <v>5622</v>
      </c>
      <c r="H65" s="99" t="s">
        <v>984</v>
      </c>
      <c r="I65" s="99" t="s">
        <v>984</v>
      </c>
      <c r="J65" s="99" t="s">
        <v>984</v>
      </c>
    </row>
    <row r="66" spans="1:10" ht="14.25" customHeight="1">
      <c r="A66" s="99" t="s">
        <v>5610</v>
      </c>
      <c r="B66" s="99" t="s">
        <v>5609</v>
      </c>
      <c r="C66" s="104" t="s">
        <v>5615</v>
      </c>
      <c r="D66" s="103" t="s">
        <v>984</v>
      </c>
      <c r="E66" s="103" t="s">
        <v>5621</v>
      </c>
      <c r="F66" s="103" t="s">
        <v>5598</v>
      </c>
      <c r="G66" s="103" t="s">
        <v>5620</v>
      </c>
      <c r="H66" s="99" t="s">
        <v>984</v>
      </c>
      <c r="I66" s="99" t="s">
        <v>984</v>
      </c>
      <c r="J66" s="99" t="s">
        <v>984</v>
      </c>
    </row>
    <row r="67" spans="1:10" ht="14.25" customHeight="1">
      <c r="A67" s="99" t="s">
        <v>5610</v>
      </c>
      <c r="B67" s="99" t="s">
        <v>5609</v>
      </c>
      <c r="C67" s="103" t="s">
        <v>5615</v>
      </c>
      <c r="D67" s="103" t="s">
        <v>984</v>
      </c>
      <c r="E67" s="103" t="s">
        <v>5619</v>
      </c>
      <c r="F67" s="103" t="s">
        <v>5574</v>
      </c>
      <c r="G67" s="103" t="s">
        <v>5618</v>
      </c>
      <c r="H67" s="99" t="s">
        <v>984</v>
      </c>
      <c r="I67" s="99" t="s">
        <v>984</v>
      </c>
      <c r="J67" s="99" t="s">
        <v>984</v>
      </c>
    </row>
    <row r="68" spans="1:10" ht="14.25" customHeight="1">
      <c r="A68" s="99" t="s">
        <v>5610</v>
      </c>
      <c r="B68" s="99" t="s">
        <v>5609</v>
      </c>
      <c r="C68" s="103" t="s">
        <v>5615</v>
      </c>
      <c r="D68" s="103" t="s">
        <v>984</v>
      </c>
      <c r="E68" s="103" t="s">
        <v>5617</v>
      </c>
      <c r="F68" s="103" t="s">
        <v>5595</v>
      </c>
      <c r="G68" s="103" t="s">
        <v>5616</v>
      </c>
      <c r="H68" s="99" t="s">
        <v>984</v>
      </c>
      <c r="I68" s="99" t="s">
        <v>984</v>
      </c>
      <c r="J68" s="99" t="s">
        <v>984</v>
      </c>
    </row>
    <row r="69" spans="1:10" ht="14.25" customHeight="1">
      <c r="A69" s="99" t="s">
        <v>5610</v>
      </c>
      <c r="B69" s="99" t="s">
        <v>5609</v>
      </c>
      <c r="C69" s="103" t="s">
        <v>5615</v>
      </c>
      <c r="D69" s="103" t="s">
        <v>984</v>
      </c>
      <c r="E69" s="103" t="s">
        <v>5614</v>
      </c>
      <c r="F69" s="103" t="s">
        <v>5601</v>
      </c>
      <c r="G69" s="103" t="s">
        <v>5613</v>
      </c>
      <c r="H69" s="99" t="s">
        <v>984</v>
      </c>
      <c r="I69" s="99" t="s">
        <v>984</v>
      </c>
      <c r="J69" s="99" t="s">
        <v>984</v>
      </c>
    </row>
    <row r="70" spans="1:10" ht="14.25" customHeight="1">
      <c r="A70" s="99" t="s">
        <v>5610</v>
      </c>
      <c r="B70" s="99" t="s">
        <v>5609</v>
      </c>
      <c r="C70" s="104" t="s">
        <v>5608</v>
      </c>
      <c r="D70" s="103" t="s">
        <v>984</v>
      </c>
      <c r="E70" s="103"/>
      <c r="F70" s="103" t="s">
        <v>5612</v>
      </c>
      <c r="G70" s="103" t="s">
        <v>5611</v>
      </c>
      <c r="H70" s="99" t="s">
        <v>984</v>
      </c>
      <c r="I70" s="99" t="s">
        <v>984</v>
      </c>
      <c r="J70" s="99" t="s">
        <v>984</v>
      </c>
    </row>
    <row r="71" spans="1:10" ht="14.25" customHeight="1">
      <c r="A71" s="99" t="s">
        <v>5610</v>
      </c>
      <c r="B71" s="99" t="s">
        <v>5609</v>
      </c>
      <c r="C71" s="104" t="s">
        <v>5608</v>
      </c>
      <c r="D71" s="103" t="s">
        <v>984</v>
      </c>
      <c r="E71" s="103"/>
      <c r="F71" s="103" t="s">
        <v>5607</v>
      </c>
      <c r="G71" s="103"/>
      <c r="H71" s="99" t="s">
        <v>984</v>
      </c>
      <c r="J71" s="99" t="s">
        <v>984</v>
      </c>
    </row>
    <row r="72" spans="1:10" ht="14.25" customHeight="1"/>
    <row r="73" spans="1:10" ht="14.25" customHeight="1"/>
    <row r="74" spans="1:10" ht="14.25" customHeight="1"/>
    <row r="75" spans="1:10" ht="14.25" customHeight="1"/>
    <row r="76" spans="1:10" ht="14.25" customHeight="1"/>
    <row r="77" spans="1:10" ht="14.25" customHeight="1"/>
    <row r="78" spans="1:10" ht="14.25" customHeight="1"/>
    <row r="79" spans="1:10" ht="14.25" customHeight="1"/>
    <row r="80" spans="1:1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conditionalFormatting sqref="C49:E66">
    <cfRule type="cellIs" dxfId="5" priority="1" operator="equal">
      <formula>"-"</formula>
    </cfRule>
    <cfRule type="cellIs" dxfId="4" priority="2" operator="equal">
      <formula>"TRUE"</formula>
    </cfRule>
  </conditionalFormatting>
  <conditionalFormatting sqref="C70:E71">
    <cfRule type="cellIs" dxfId="3" priority="3" operator="equal">
      <formula>"-"</formula>
    </cfRule>
    <cfRule type="cellIs" dxfId="2" priority="4" operator="equal">
      <formula>"TRUE"</formula>
    </cfRule>
  </conditionalFormatting>
  <pageMargins left="0.7" right="0.7" top="0.75" bottom="0.75" header="0" footer="0"/>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2C36C-AEF4-4690-B216-D74A6519B0AD}">
  <sheetPr filterMode="1"/>
  <dimension ref="A1:O982"/>
  <sheetViews>
    <sheetView topLeftCell="E1" workbookViewId="0">
      <pane ySplit="1" topLeftCell="A22" activePane="bottomLeft" state="frozen"/>
      <selection pane="bottomLeft" activeCell="G13" sqref="A1:O982"/>
    </sheetView>
  </sheetViews>
  <sheetFormatPr defaultColWidth="12.625" defaultRowHeight="15" customHeight="1"/>
  <cols>
    <col min="1" max="1" width="8.625" style="99" customWidth="1"/>
    <col min="2" max="2" width="17.625" style="99" customWidth="1"/>
    <col min="3" max="3" width="13.375" style="99" customWidth="1"/>
    <col min="4" max="4" width="15.375" style="99" customWidth="1"/>
    <col min="5" max="5" width="15.25" style="99" customWidth="1"/>
    <col min="6" max="6" width="42.875" style="99" customWidth="1"/>
    <col min="7" max="7" width="28.75" style="99" customWidth="1"/>
    <col min="8" max="8" width="9.75" style="99" bestFit="1" customWidth="1"/>
    <col min="9" max="9" width="9.75" style="99" customWidth="1"/>
    <col min="10" max="10" width="38.25" style="99" customWidth="1"/>
    <col min="11" max="11" width="25.875" style="99" customWidth="1"/>
    <col min="12" max="12" width="36.625" style="99" customWidth="1"/>
    <col min="13" max="15" width="8.625" style="99" customWidth="1"/>
    <col min="16" max="16384" width="12.625" style="99"/>
  </cols>
  <sheetData>
    <row r="1" spans="1:15" ht="14.25" customHeight="1">
      <c r="A1" s="101" t="s">
        <v>5902</v>
      </c>
      <c r="B1" s="133" t="s">
        <v>5894</v>
      </c>
      <c r="C1" s="132" t="s">
        <v>5893</v>
      </c>
      <c r="D1" s="136" t="s">
        <v>1210</v>
      </c>
      <c r="E1" s="115" t="s">
        <v>5901</v>
      </c>
      <c r="F1" s="133" t="s">
        <v>5900</v>
      </c>
      <c r="G1" s="135" t="s">
        <v>5936</v>
      </c>
      <c r="H1" s="133" t="s">
        <v>5937</v>
      </c>
      <c r="I1" s="133" t="s">
        <v>5942</v>
      </c>
      <c r="J1" s="115" t="s">
        <v>5943</v>
      </c>
      <c r="K1" s="115" t="s">
        <v>5896</v>
      </c>
      <c r="L1" s="134" t="s">
        <v>5895</v>
      </c>
      <c r="M1" s="101"/>
      <c r="N1" s="101"/>
      <c r="O1" s="101"/>
    </row>
    <row r="2" spans="1:15" ht="14.25" hidden="1" customHeight="1">
      <c r="A2" s="99" t="s">
        <v>984</v>
      </c>
      <c r="B2" s="99">
        <v>2</v>
      </c>
      <c r="C2" s="99">
        <v>77</v>
      </c>
      <c r="D2" s="103" t="s">
        <v>984</v>
      </c>
      <c r="E2" s="99" t="s">
        <v>5590</v>
      </c>
      <c r="F2" s="99" t="s">
        <v>5881</v>
      </c>
      <c r="G2" s="106" t="s">
        <v>5880</v>
      </c>
      <c r="H2" s="99" t="s">
        <v>984</v>
      </c>
      <c r="J2" s="106" t="s">
        <v>5612</v>
      </c>
      <c r="K2" s="99" t="str">
        <f t="shared" ref="K2:K33" si="0">IF(H2=TRUE,("    title_i_"&amp;G2&amp;": "&amp;""""&amp;J2&amp;""""),"-")</f>
        <v>-</v>
      </c>
      <c r="L2" s="99" t="str">
        <f t="shared" ref="L2:L33" si="1">IF(H2=TRUE,("https://ab-rcsc.github.io/rc-decision-support-tool_concept-library/02_dialog-boxes/"&amp;F2&amp;".html"),"-")</f>
        <v>-</v>
      </c>
    </row>
    <row r="3" spans="1:15" ht="14.25" hidden="1" customHeight="1">
      <c r="A3" s="99" t="s">
        <v>984</v>
      </c>
      <c r="B3" s="99">
        <v>2</v>
      </c>
      <c r="C3" s="99">
        <v>78</v>
      </c>
      <c r="D3" s="103" t="s">
        <v>984</v>
      </c>
      <c r="E3" s="99" t="s">
        <v>984</v>
      </c>
      <c r="F3" s="99" t="s">
        <v>5890</v>
      </c>
      <c r="G3" s="106" t="s">
        <v>5889</v>
      </c>
      <c r="H3" s="99" t="s">
        <v>984</v>
      </c>
      <c r="J3" s="106" t="s">
        <v>5627</v>
      </c>
      <c r="K3" s="99" t="str">
        <f t="shared" si="0"/>
        <v>-</v>
      </c>
      <c r="L3" s="99" t="str">
        <f t="shared" si="1"/>
        <v>-</v>
      </c>
    </row>
    <row r="4" spans="1:15" ht="14.25" customHeight="1">
      <c r="A4" s="99">
        <v>1</v>
      </c>
      <c r="B4" s="99">
        <v>3</v>
      </c>
      <c r="C4" s="99">
        <v>2</v>
      </c>
      <c r="D4" s="119" t="s">
        <v>5767</v>
      </c>
      <c r="E4" s="99" t="s">
        <v>5593</v>
      </c>
      <c r="F4" s="99" t="s">
        <v>5771</v>
      </c>
      <c r="G4" s="99" t="s">
        <v>4884</v>
      </c>
      <c r="H4" s="99" t="b">
        <v>1</v>
      </c>
      <c r="I4" s="99" t="b">
        <v>0</v>
      </c>
      <c r="J4" s="99" t="s">
        <v>5770</v>
      </c>
      <c r="K4" s="99" t="str">
        <f t="shared" si="0"/>
        <v xml:space="preserve">    title_i_user_entry: "User entry (Study design or data already collected)"</v>
      </c>
      <c r="L4" s="99" t="str">
        <f t="shared" si="1"/>
        <v>https://ab-rcsc.github.io/rc-decision-support-tool_concept-library/02_dialog-boxes/01_01_user_entry.html</v>
      </c>
    </row>
    <row r="5" spans="1:15" ht="14.25" customHeight="1">
      <c r="B5" s="99">
        <v>4</v>
      </c>
      <c r="C5" s="99">
        <v>2.1</v>
      </c>
      <c r="D5" s="99" t="s">
        <v>5816</v>
      </c>
      <c r="E5" s="99" t="s">
        <v>5590</v>
      </c>
      <c r="F5" s="99" t="s">
        <v>5839</v>
      </c>
      <c r="G5" s="99" t="s">
        <v>5838</v>
      </c>
      <c r="H5" s="99" t="b">
        <v>1</v>
      </c>
      <c r="I5" s="99" t="b">
        <v>0</v>
      </c>
      <c r="J5" s="126" t="s">
        <v>456</v>
      </c>
      <c r="K5" s="99" t="str">
        <f t="shared" si="0"/>
        <v xml:space="preserve">    title_i_design_cam_arrange_random: "Random (or 'simple random') design"</v>
      </c>
      <c r="L5" s="99" t="str">
        <f t="shared" si="1"/>
        <v>https://ab-rcsc.github.io/rc-decision-support-tool_concept-library/02_dialog-boxes/02_02_01_design_cam_arrange_random.html</v>
      </c>
    </row>
    <row r="6" spans="1:15" ht="14.25" customHeight="1">
      <c r="B6" s="99">
        <v>4</v>
      </c>
      <c r="C6" s="99">
        <v>2.2000000000000002</v>
      </c>
      <c r="D6" s="99" t="s">
        <v>5816</v>
      </c>
      <c r="E6" s="99" t="s">
        <v>5590</v>
      </c>
      <c r="F6" s="99" t="s">
        <v>5833</v>
      </c>
      <c r="G6" s="99" t="s">
        <v>5832</v>
      </c>
      <c r="H6" s="99" t="b">
        <v>1</v>
      </c>
      <c r="I6" s="99" t="b">
        <v>0</v>
      </c>
      <c r="J6" s="126" t="s">
        <v>93</v>
      </c>
      <c r="K6" s="99" t="str">
        <f t="shared" si="0"/>
        <v xml:space="preserve">    title_i_design_cam_arrange_systematic: "Systematic design"</v>
      </c>
      <c r="L6" s="99" t="str">
        <f t="shared" si="1"/>
        <v>https://ab-rcsc.github.io/rc-decision-support-tool_concept-library/02_dialog-boxes/02_02_02_design_cam_arrange_systematic.html</v>
      </c>
    </row>
    <row r="7" spans="1:15" ht="14.25" customHeight="1">
      <c r="B7" s="99">
        <v>4</v>
      </c>
      <c r="C7" s="99">
        <v>2.2999999999999998</v>
      </c>
      <c r="D7" s="99" t="s">
        <v>5816</v>
      </c>
      <c r="E7" s="99" t="s">
        <v>5590</v>
      </c>
      <c r="F7" s="99" t="s">
        <v>5831</v>
      </c>
      <c r="G7" s="99" t="s">
        <v>5830</v>
      </c>
      <c r="H7" s="99" t="b">
        <v>1</v>
      </c>
      <c r="I7" s="99" t="b">
        <v>0</v>
      </c>
      <c r="J7" s="126" t="s">
        <v>90</v>
      </c>
      <c r="K7" s="99" t="str">
        <f t="shared" si="0"/>
        <v xml:space="preserve">    title_i_design_cam_arrange_systematic_random: "Systematic random design"</v>
      </c>
      <c r="L7" s="99" t="str">
        <f t="shared" si="1"/>
        <v>https://ab-rcsc.github.io/rc-decision-support-tool_concept-library/02_dialog-boxes/02_02_03_design_cam_arrange_systematic_random.html</v>
      </c>
    </row>
    <row r="8" spans="1:15" ht="14.25" customHeight="1">
      <c r="B8" s="99">
        <v>4</v>
      </c>
      <c r="C8" s="99">
        <v>2.4</v>
      </c>
      <c r="D8" s="99" t="s">
        <v>5816</v>
      </c>
      <c r="E8" s="99" t="s">
        <v>5590</v>
      </c>
      <c r="F8" s="99" t="s">
        <v>5837</v>
      </c>
      <c r="G8" s="99" t="s">
        <v>5836</v>
      </c>
      <c r="H8" s="99" t="b">
        <v>1</v>
      </c>
      <c r="I8" s="99" t="b">
        <v>0</v>
      </c>
      <c r="J8" s="126" t="s">
        <v>101</v>
      </c>
      <c r="K8" s="99" t="str">
        <f t="shared" si="0"/>
        <v xml:space="preserve">    title_i_design_cam_arrange_stratified: "Stratified design"</v>
      </c>
      <c r="L8" s="99" t="str">
        <f t="shared" si="1"/>
        <v>https://ab-rcsc.github.io/rc-decision-support-tool_concept-library/02_dialog-boxes/02_02_04_design_cam_arrange_stratified.html</v>
      </c>
    </row>
    <row r="9" spans="1:15" ht="14.25" customHeight="1">
      <c r="B9" s="99">
        <v>4</v>
      </c>
      <c r="C9" s="99">
        <v>2.5</v>
      </c>
      <c r="D9" s="99" t="s">
        <v>5816</v>
      </c>
      <c r="E9" s="99" t="s">
        <v>5590</v>
      </c>
      <c r="F9" s="99" t="s">
        <v>5835</v>
      </c>
      <c r="G9" s="99" t="s">
        <v>5834</v>
      </c>
      <c r="H9" s="99" t="b">
        <v>1</v>
      </c>
      <c r="I9" s="99" t="b">
        <v>0</v>
      </c>
      <c r="J9" s="126" t="s">
        <v>98</v>
      </c>
      <c r="K9" s="99" t="str">
        <f t="shared" si="0"/>
        <v xml:space="preserve">    title_i_design_cam_arrange_stratified_random: "Stratified random design "</v>
      </c>
      <c r="L9" s="99" t="str">
        <f t="shared" si="1"/>
        <v>https://ab-rcsc.github.io/rc-decision-support-tool_concept-library/02_dialog-boxes/02_02_05_design_cam_arrange_stratified_random.html</v>
      </c>
    </row>
    <row r="10" spans="1:15" ht="14.25" customHeight="1">
      <c r="B10" s="99">
        <v>4</v>
      </c>
      <c r="C10" s="99">
        <v>2.6</v>
      </c>
      <c r="D10" s="104" t="s">
        <v>5816</v>
      </c>
      <c r="E10" s="99" t="s">
        <v>5590</v>
      </c>
      <c r="F10" s="99" t="s">
        <v>5844</v>
      </c>
      <c r="G10" s="127" t="s">
        <v>5845</v>
      </c>
      <c r="H10" s="99" t="b">
        <v>1</v>
      </c>
      <c r="I10" s="99" t="b">
        <v>0</v>
      </c>
      <c r="J10" s="129" t="s">
        <v>225</v>
      </c>
      <c r="K10" s="99" t="str">
        <f t="shared" si="0"/>
        <v xml:space="preserve">    title_i_design_cam_arrange_clustered: "Clustered design"</v>
      </c>
      <c r="L10" s="99" t="str">
        <f t="shared" si="1"/>
        <v>https://ab-rcsc.github.io/rc-decision-support-tool_concept-library/02_dialog-boxes/02_02_06_design_clustered.html</v>
      </c>
    </row>
    <row r="11" spans="1:15" ht="14.25" customHeight="1">
      <c r="B11" s="99">
        <v>4</v>
      </c>
      <c r="C11" s="99">
        <v>2.7</v>
      </c>
      <c r="D11" s="128" t="s">
        <v>5816</v>
      </c>
      <c r="E11" s="99" t="s">
        <v>5590</v>
      </c>
      <c r="F11" s="99" t="s">
        <v>5841</v>
      </c>
      <c r="G11" s="99" t="s">
        <v>5840</v>
      </c>
      <c r="H11" s="99" t="b">
        <v>1</v>
      </c>
      <c r="I11" s="99" t="b">
        <v>0</v>
      </c>
      <c r="J11" s="126" t="s">
        <v>145</v>
      </c>
      <c r="K11" s="99" t="str">
        <f t="shared" si="0"/>
        <v xml:space="preserve">    title_i_design_cam_arrange_paired: "Paired design"</v>
      </c>
      <c r="L11" s="99" t="str">
        <f t="shared" si="1"/>
        <v>https://ab-rcsc.github.io/rc-decision-support-tool_concept-library/02_dialog-boxes/02_02_07_design_cam_arrange_paired.html</v>
      </c>
    </row>
    <row r="12" spans="1:15" ht="14.25" customHeight="1">
      <c r="B12" s="99">
        <v>4</v>
      </c>
      <c r="C12" s="99">
        <v>2.8</v>
      </c>
      <c r="D12" s="104" t="s">
        <v>5816</v>
      </c>
      <c r="E12" s="99" t="s">
        <v>5590</v>
      </c>
      <c r="F12" s="99" t="s">
        <v>5829</v>
      </c>
      <c r="G12" s="99" t="s">
        <v>5828</v>
      </c>
      <c r="H12" s="99" t="b">
        <v>1</v>
      </c>
      <c r="I12" s="99" t="b">
        <v>0</v>
      </c>
      <c r="J12" s="126" t="s">
        <v>87</v>
      </c>
      <c r="K12" s="99" t="str">
        <f t="shared" si="0"/>
        <v xml:space="preserve">    title_i_design_cam_arrange_targeted: "Targeted design"</v>
      </c>
      <c r="L12" s="99" t="str">
        <f t="shared" si="1"/>
        <v>https://ab-rcsc.github.io/rc-decision-support-tool_concept-library/02_dialog-boxes/02_02_08_design_cam_arrange_targeted.html</v>
      </c>
    </row>
    <row r="13" spans="1:15" ht="14.25" customHeight="1">
      <c r="B13" s="99">
        <v>4</v>
      </c>
      <c r="C13" s="99">
        <v>2.9</v>
      </c>
      <c r="D13" s="128" t="s">
        <v>5816</v>
      </c>
      <c r="E13" s="99" t="s">
        <v>5590</v>
      </c>
      <c r="F13" s="99" t="s">
        <v>5843</v>
      </c>
      <c r="G13" s="99" t="s">
        <v>5842</v>
      </c>
      <c r="H13" s="99" t="b">
        <v>1</v>
      </c>
      <c r="I13" s="99" t="b">
        <v>0</v>
      </c>
      <c r="J13" s="126" t="s">
        <v>223</v>
      </c>
      <c r="K13" s="99" t="str">
        <f t="shared" si="0"/>
        <v xml:space="preserve">    title_i_design_cam_arrange_convenience: "Convenience design"</v>
      </c>
      <c r="L13" s="99" t="str">
        <f t="shared" si="1"/>
        <v>https://ab-rcsc.github.io/rc-decision-support-tool_concept-library/02_dialog-boxes/02_02_09_design_cam_arrange_convenience.html</v>
      </c>
    </row>
    <row r="14" spans="1:15" ht="14.25" customHeight="1">
      <c r="A14" s="99">
        <v>61</v>
      </c>
      <c r="B14" s="99">
        <v>4</v>
      </c>
      <c r="C14" s="99" t="e">
        <v>#N/A</v>
      </c>
      <c r="D14" s="104" t="s">
        <v>4</v>
      </c>
      <c r="E14" s="99" t="s">
        <v>5590</v>
      </c>
      <c r="F14" s="99" t="s">
        <v>4861</v>
      </c>
      <c r="G14" s="99" t="s">
        <v>432</v>
      </c>
      <c r="H14" s="99" t="b">
        <v>1</v>
      </c>
      <c r="I14" s="99" t="b">
        <v>0</v>
      </c>
      <c r="J14" s="99" t="s">
        <v>4784</v>
      </c>
      <c r="K14" s="99" t="str">
        <f t="shared" si="0"/>
        <v xml:space="preserve">    title_i_mod_rai_poisson: "Relative abundance indices - Poisson"</v>
      </c>
      <c r="L14" s="99" t="str">
        <f t="shared" si="1"/>
        <v>https://ab-rcsc.github.io/rc-decision-support-tool_concept-library/02_dialog-boxes/03_05_mod_rai_poisson.html</v>
      </c>
    </row>
    <row r="15" spans="1:15" ht="14.25" customHeight="1">
      <c r="A15" s="99">
        <v>62</v>
      </c>
      <c r="B15" s="99">
        <v>4</v>
      </c>
      <c r="C15" s="99" t="e">
        <v>#N/A</v>
      </c>
      <c r="D15" s="104" t="s">
        <v>4</v>
      </c>
      <c r="E15" s="99" t="s">
        <v>5590</v>
      </c>
      <c r="F15" s="99" t="s">
        <v>4852</v>
      </c>
      <c r="G15" s="99" t="s">
        <v>450</v>
      </c>
      <c r="H15" s="99" t="b">
        <v>1</v>
      </c>
      <c r="I15" s="99" t="b">
        <v>0</v>
      </c>
      <c r="J15" s="99" t="s">
        <v>4786</v>
      </c>
      <c r="K15" s="99" t="str">
        <f t="shared" si="0"/>
        <v xml:space="preserve">    title_i_mod_rai_zip: "Relative abundance indices - Zero-inflated poisson (ZIP)"</v>
      </c>
      <c r="L15" s="99" t="str">
        <f t="shared" si="1"/>
        <v>https://ab-rcsc.github.io/rc-decision-support-tool_concept-library/02_dialog-boxes/03_06_mod_rai_zip.html</v>
      </c>
    </row>
    <row r="16" spans="1:15" ht="14.25" customHeight="1">
      <c r="A16" s="99">
        <v>63</v>
      </c>
      <c r="B16" s="99">
        <v>4</v>
      </c>
      <c r="C16" s="99" t="e">
        <v>#N/A</v>
      </c>
      <c r="D16" s="104" t="s">
        <v>4</v>
      </c>
      <c r="E16" s="99" t="s">
        <v>5590</v>
      </c>
      <c r="F16" s="99" t="s">
        <v>4849</v>
      </c>
      <c r="G16" s="99" t="s">
        <v>449</v>
      </c>
      <c r="H16" s="99" t="b">
        <v>1</v>
      </c>
      <c r="I16" s="99" t="b">
        <v>0</v>
      </c>
      <c r="J16" s="99" t="s">
        <v>4783</v>
      </c>
      <c r="K16" s="99" t="str">
        <f t="shared" si="0"/>
        <v xml:space="preserve">    title_i_mod_rai_nb: "Relative abundance indices - Negative binomial (NB)"</v>
      </c>
      <c r="L16" s="99" t="str">
        <f t="shared" si="1"/>
        <v>https://ab-rcsc.github.io/rc-decision-support-tool_concept-library/02_dialog-boxes/03_07_mod_rai_nb.html</v>
      </c>
    </row>
    <row r="17" spans="1:15" ht="14.25" customHeight="1">
      <c r="A17" s="99">
        <v>64</v>
      </c>
      <c r="B17" s="99">
        <v>4</v>
      </c>
      <c r="C17" s="99" t="e">
        <v>#N/A</v>
      </c>
      <c r="D17" s="104" t="s">
        <v>4</v>
      </c>
      <c r="E17" s="99" t="s">
        <v>5590</v>
      </c>
      <c r="F17" s="99" t="s">
        <v>4851</v>
      </c>
      <c r="G17" s="99" t="s">
        <v>447</v>
      </c>
      <c r="H17" s="99" t="b">
        <v>1</v>
      </c>
      <c r="I17" s="99" t="b">
        <v>0</v>
      </c>
      <c r="J17" s="99" t="s">
        <v>4785</v>
      </c>
      <c r="K17" s="99" t="str">
        <f t="shared" si="0"/>
        <v xml:space="preserve">    title_i_mod_rai_zinb: "Relative abundance indices - Zero-inflated negative binomial (ZINB)"</v>
      </c>
      <c r="L17" s="99" t="str">
        <f t="shared" si="1"/>
        <v>https://ab-rcsc.github.io/rc-decision-support-tool_concept-library/02_dialog-boxes/03_08_mod_rai_zinb.html</v>
      </c>
      <c r="M17" s="130"/>
      <c r="N17" s="130"/>
      <c r="O17" s="130"/>
    </row>
    <row r="18" spans="1:15" ht="14.25" customHeight="1">
      <c r="A18" s="99">
        <v>65</v>
      </c>
      <c r="B18" s="99">
        <v>4</v>
      </c>
      <c r="C18" s="99" t="e">
        <v>#N/A</v>
      </c>
      <c r="D18" s="104" t="s">
        <v>4</v>
      </c>
      <c r="E18" s="99" t="s">
        <v>5590</v>
      </c>
      <c r="F18" s="99" t="s">
        <v>4848</v>
      </c>
      <c r="G18" s="99" t="s">
        <v>446</v>
      </c>
      <c r="H18" s="99" t="b">
        <v>1</v>
      </c>
      <c r="I18" s="99" t="b">
        <v>0</v>
      </c>
      <c r="J18" s="99" t="s">
        <v>4782</v>
      </c>
      <c r="K18" s="99" t="str">
        <f t="shared" si="0"/>
        <v xml:space="preserve">    title_i_mod_rai_hurdle: "Relative abundance indices - Hurdle"</v>
      </c>
      <c r="L18" s="99" t="str">
        <f t="shared" si="1"/>
        <v>https://ab-rcsc.github.io/rc-decision-support-tool_concept-library/02_dialog-boxes/03_09_mod_rai_hurdle.html</v>
      </c>
    </row>
    <row r="19" spans="1:15" ht="14.25" customHeight="1">
      <c r="A19" s="99">
        <v>2</v>
      </c>
      <c r="B19" s="99">
        <v>3</v>
      </c>
      <c r="C19" s="99">
        <v>3</v>
      </c>
      <c r="D19" s="122" t="s">
        <v>5767</v>
      </c>
      <c r="E19" s="99" t="s">
        <v>5593</v>
      </c>
      <c r="F19" s="99" t="s">
        <v>5800</v>
      </c>
      <c r="G19" s="99" t="s">
        <v>40</v>
      </c>
      <c r="H19" s="99" t="b">
        <v>1</v>
      </c>
      <c r="J19" s="123" t="s">
        <v>5799</v>
      </c>
      <c r="K19" s="99" t="str">
        <f t="shared" si="0"/>
        <v xml:space="preserve">    title_i_objective: "Variable of interest"</v>
      </c>
      <c r="L19" s="99" t="str">
        <f t="shared" si="1"/>
        <v>https://ab-rcsc.github.io/rc-decision-support-tool_concept-library/02_dialog-boxes/01_02_objective.html</v>
      </c>
    </row>
    <row r="20" spans="1:15" ht="14.25" customHeight="1">
      <c r="A20" s="99">
        <v>3</v>
      </c>
      <c r="B20" s="99">
        <v>3</v>
      </c>
      <c r="C20" s="99">
        <v>4</v>
      </c>
      <c r="D20" s="122" t="s">
        <v>5767</v>
      </c>
      <c r="E20" s="99" t="s">
        <v>5593</v>
      </c>
      <c r="F20" s="99" t="s">
        <v>5806</v>
      </c>
      <c r="G20" s="99" t="s">
        <v>5653</v>
      </c>
      <c r="H20" s="99" t="b">
        <v>1</v>
      </c>
      <c r="J20" s="99" t="s">
        <v>5805</v>
      </c>
      <c r="K20" s="99" t="str">
        <f t="shared" si="0"/>
        <v xml:space="preserve">    title_i_num_cams: "Number of cameras available"</v>
      </c>
      <c r="L20" s="99" t="str">
        <f t="shared" si="1"/>
        <v>https://ab-rcsc.github.io/rc-decision-support-tool_concept-library/02_dialog-boxes/01_03_num_cams.html</v>
      </c>
    </row>
    <row r="21" spans="1:15" ht="14.25" customHeight="1">
      <c r="A21" s="99">
        <v>4</v>
      </c>
      <c r="B21" s="99">
        <v>3</v>
      </c>
      <c r="C21" s="99">
        <v>6</v>
      </c>
      <c r="D21" s="122" t="s">
        <v>5767</v>
      </c>
      <c r="E21" s="106" t="s">
        <v>5588</v>
      </c>
      <c r="F21" s="106" t="s">
        <v>5818</v>
      </c>
      <c r="G21" s="106" t="s">
        <v>5817</v>
      </c>
      <c r="H21" s="99" t="b">
        <v>1</v>
      </c>
      <c r="J21" s="121" t="s">
        <v>95</v>
      </c>
      <c r="K21" s="99" t="str">
        <f t="shared" si="0"/>
        <v xml:space="preserve">    title_i_design_study_area: "Study area"</v>
      </c>
      <c r="L21" s="99" t="str">
        <f t="shared" si="1"/>
        <v>https://ab-rcsc.github.io/rc-decision-support-tool_concept-library/02_dialog-boxes/02_01_design_study_area.html</v>
      </c>
    </row>
    <row r="22" spans="1:15" ht="14.25" customHeight="1">
      <c r="A22" s="99">
        <v>5</v>
      </c>
      <c r="B22" s="99">
        <v>3</v>
      </c>
      <c r="C22" s="99">
        <v>7</v>
      </c>
      <c r="D22" s="122" t="s">
        <v>5767</v>
      </c>
      <c r="E22" s="106" t="s">
        <v>5588</v>
      </c>
      <c r="F22" s="106" t="s">
        <v>5870</v>
      </c>
      <c r="G22" s="106" t="s">
        <v>5045</v>
      </c>
      <c r="H22" s="99" t="b">
        <v>1</v>
      </c>
      <c r="J22" s="99" t="s">
        <v>5869</v>
      </c>
      <c r="K22" s="99" t="str">
        <f t="shared" si="0"/>
        <v xml:space="preserve">    title_i_cam_dens_gradient: "Known density gradient"</v>
      </c>
      <c r="L22" s="99" t="str">
        <f t="shared" si="1"/>
        <v>https://ab-rcsc.github.io/rc-decision-support-tool_concept-library/02_dialog-boxes/01_05_cam_dens_gradient.html</v>
      </c>
    </row>
    <row r="23" spans="1:15" ht="14.25" customHeight="1">
      <c r="A23" s="99">
        <v>6</v>
      </c>
      <c r="B23" s="99">
        <v>3</v>
      </c>
      <c r="C23" s="99">
        <v>8</v>
      </c>
      <c r="D23" s="122" t="s">
        <v>5767</v>
      </c>
      <c r="E23" s="106" t="s">
        <v>5588</v>
      </c>
      <c r="F23" s="106" t="s">
        <v>5853</v>
      </c>
      <c r="G23" s="106" t="s">
        <v>5023</v>
      </c>
      <c r="H23" s="99" t="b">
        <v>1</v>
      </c>
      <c r="J23" s="99" t="s">
        <v>5852</v>
      </c>
      <c r="K23" s="99" t="str">
        <f t="shared" si="0"/>
        <v xml:space="preserve">    title_i_cam_strat_covar: "Stratified by covariates"</v>
      </c>
      <c r="L23" s="99" t="str">
        <f t="shared" si="1"/>
        <v>https://ab-rcsc.github.io/rc-decision-support-tool_concept-library/02_dialog-boxes/01_06_cam_strat_covar.html</v>
      </c>
    </row>
    <row r="24" spans="1:15" ht="14.25" customHeight="1">
      <c r="A24" s="99">
        <v>7</v>
      </c>
      <c r="B24" s="99">
        <v>3</v>
      </c>
      <c r="C24" s="99">
        <v>9</v>
      </c>
      <c r="D24" s="122" t="s">
        <v>5767</v>
      </c>
      <c r="E24" s="106" t="s">
        <v>5588</v>
      </c>
      <c r="F24" s="106" t="s">
        <v>5866</v>
      </c>
      <c r="G24" s="106" t="s">
        <v>5039</v>
      </c>
      <c r="H24" s="99" t="b">
        <v>1</v>
      </c>
      <c r="J24" s="99" t="s">
        <v>5865</v>
      </c>
      <c r="K24" s="99" t="str">
        <f t="shared" si="0"/>
        <v xml:space="preserve">    title_i_cam_high_dens: "Camera density"</v>
      </c>
      <c r="L24" s="99" t="str">
        <f t="shared" si="1"/>
        <v>https://ab-rcsc.github.io/rc-decision-support-tool_concept-library/02_dialog-boxes/01_07_cam_high_dens.html</v>
      </c>
    </row>
    <row r="25" spans="1:15" ht="14.25" customHeight="1">
      <c r="A25" s="99">
        <v>8</v>
      </c>
      <c r="B25" s="99">
        <v>3</v>
      </c>
      <c r="C25" s="99">
        <v>11</v>
      </c>
      <c r="D25" s="122" t="s">
        <v>5767</v>
      </c>
      <c r="E25" s="120" t="s">
        <v>5599</v>
      </c>
      <c r="F25" s="120" t="s">
        <v>5773</v>
      </c>
      <c r="G25" s="120" t="s">
        <v>5772</v>
      </c>
      <c r="H25" s="99" t="b">
        <v>1</v>
      </c>
      <c r="J25" s="99" t="s">
        <v>5774</v>
      </c>
      <c r="K25" s="99" t="str">
        <f t="shared" si="0"/>
        <v xml:space="preserve">    title_i_surv_dur: "Survey duration"</v>
      </c>
      <c r="L25" s="99" t="str">
        <f t="shared" si="1"/>
        <v>https://ab-rcsc.github.io/rc-decision-support-tool_concept-library/02_dialog-boxes/01_08_surv_dur.html</v>
      </c>
    </row>
    <row r="26" spans="1:15" ht="14.25" customHeight="1">
      <c r="A26" s="99">
        <v>10</v>
      </c>
      <c r="B26" s="99">
        <v>3</v>
      </c>
      <c r="C26" s="99">
        <v>12</v>
      </c>
      <c r="D26" s="122" t="s">
        <v>5767</v>
      </c>
      <c r="E26" s="120" t="s">
        <v>5599</v>
      </c>
      <c r="F26" s="120" t="s">
        <v>5795</v>
      </c>
      <c r="G26" s="120" t="s">
        <v>4984</v>
      </c>
      <c r="H26" s="99" t="b">
        <v>1</v>
      </c>
      <c r="J26" s="99" t="s">
        <v>1356</v>
      </c>
      <c r="K26" s="99" t="str">
        <f t="shared" si="0"/>
        <v xml:space="preserve">    title_i_sp_asymptote: "Species-accumulation asymptote"</v>
      </c>
      <c r="L26" s="99" t="str">
        <f t="shared" si="1"/>
        <v>https://ab-rcsc.github.io/rc-decision-support-tool_concept-library/02_dialog-boxes/01_10_sp_asymptote.html</v>
      </c>
    </row>
    <row r="27" spans="1:15" ht="14.25" customHeight="1">
      <c r="A27" s="99">
        <v>11</v>
      </c>
      <c r="B27" s="99">
        <v>3</v>
      </c>
      <c r="C27" s="99">
        <v>13</v>
      </c>
      <c r="D27" s="122" t="s">
        <v>5767</v>
      </c>
      <c r="E27" s="120" t="s">
        <v>5599</v>
      </c>
      <c r="F27" s="120" t="s">
        <v>5777</v>
      </c>
      <c r="G27" s="120" t="s">
        <v>5776</v>
      </c>
      <c r="H27" s="99" t="b">
        <v>1</v>
      </c>
      <c r="J27" s="99" t="s">
        <v>5775</v>
      </c>
      <c r="K27" s="99" t="str">
        <f t="shared" si="0"/>
        <v xml:space="preserve">    title_i_study_season_num: "Season(s)"</v>
      </c>
      <c r="L27" s="99" t="str">
        <f t="shared" si="1"/>
        <v>https://ab-rcsc.github.io/rc-decision-support-tool_concept-library/02_dialog-boxes/01_11_study_season_num.html</v>
      </c>
    </row>
    <row r="28" spans="1:15" ht="14.25" customHeight="1">
      <c r="A28" s="99">
        <v>12</v>
      </c>
      <c r="B28" s="99">
        <v>3</v>
      </c>
      <c r="C28" s="99">
        <v>16</v>
      </c>
      <c r="D28" s="122" t="s">
        <v>5767</v>
      </c>
      <c r="E28" s="99" t="s">
        <v>5586</v>
      </c>
      <c r="F28" s="99" t="s">
        <v>5801</v>
      </c>
      <c r="G28" s="99" t="s">
        <v>4995</v>
      </c>
      <c r="H28" s="99" t="b">
        <v>1</v>
      </c>
      <c r="J28" s="99" t="s">
        <v>5941</v>
      </c>
      <c r="K28" s="99" t="str">
        <f t="shared" si="0"/>
        <v xml:space="preserve">    title_i_obj_targ_sp: "Number of Target Species"</v>
      </c>
      <c r="L28" s="99" t="str">
        <f t="shared" si="1"/>
        <v>https://ab-rcsc.github.io/rc-decision-support-tool_concept-library/02_dialog-boxes/01_12_obj_targ_sp.html</v>
      </c>
    </row>
    <row r="29" spans="1:15" ht="14.25" customHeight="1">
      <c r="A29" s="99">
        <v>13</v>
      </c>
      <c r="B29" s="99">
        <v>3</v>
      </c>
      <c r="C29" s="99">
        <v>17</v>
      </c>
      <c r="D29" s="122" t="s">
        <v>5767</v>
      </c>
      <c r="E29" s="99" t="s">
        <v>5586</v>
      </c>
      <c r="F29" s="99" t="s">
        <v>5786</v>
      </c>
      <c r="G29" s="99" t="s">
        <v>4943</v>
      </c>
      <c r="H29" s="99" t="b">
        <v>1</v>
      </c>
      <c r="J29" s="99" t="s">
        <v>5785</v>
      </c>
      <c r="K29" s="99" t="str">
        <f t="shared" si="0"/>
        <v xml:space="preserve">    title_i_sp_info: "Ecology of species (well known *vs.* poorly known)"</v>
      </c>
      <c r="L29" s="99" t="str">
        <f t="shared" si="1"/>
        <v>https://ab-rcsc.github.io/rc-decision-support-tool_concept-library/02_dialog-boxes/01_13_sp_info.html</v>
      </c>
    </row>
    <row r="30" spans="1:15" ht="14.25" customHeight="1">
      <c r="A30" s="99">
        <v>14</v>
      </c>
      <c r="B30" s="99">
        <v>3</v>
      </c>
      <c r="C30" s="99">
        <v>18</v>
      </c>
      <c r="D30" s="122" t="s">
        <v>5767</v>
      </c>
      <c r="E30" s="99" t="s">
        <v>5586</v>
      </c>
      <c r="F30" s="99" t="s">
        <v>5779</v>
      </c>
      <c r="G30" s="99" t="s">
        <v>4896</v>
      </c>
      <c r="H30" s="99" t="b">
        <v>1</v>
      </c>
      <c r="J30" s="99" t="s">
        <v>5778</v>
      </c>
      <c r="K30" s="99" t="str">
        <f t="shared" si="0"/>
        <v xml:space="preserve">    title_i_sp_type: "Carnivore / ungulate"</v>
      </c>
      <c r="L30" s="99" t="str">
        <f t="shared" si="1"/>
        <v>https://ab-rcsc.github.io/rc-decision-support-tool_concept-library/02_dialog-boxes/01_14_sp_type.html</v>
      </c>
    </row>
    <row r="31" spans="1:15" ht="14.25" customHeight="1">
      <c r="A31" s="112">
        <v>15</v>
      </c>
      <c r="B31" s="99">
        <v>3</v>
      </c>
      <c r="C31" s="99">
        <v>19</v>
      </c>
      <c r="D31" s="149" t="s">
        <v>5767</v>
      </c>
      <c r="E31" s="112" t="s">
        <v>5586</v>
      </c>
      <c r="F31" s="112" t="s">
        <v>5791</v>
      </c>
      <c r="G31" s="112" t="s">
        <v>4957</v>
      </c>
      <c r="H31" s="99" t="b">
        <v>1</v>
      </c>
      <c r="J31" s="112" t="s">
        <v>5790</v>
      </c>
      <c r="K31" s="99" t="str">
        <f t="shared" si="0"/>
        <v xml:space="preserve">    title_i_sp_dens_low: "Low density species"</v>
      </c>
      <c r="L31" s="99" t="str">
        <f t="shared" si="1"/>
        <v>https://ab-rcsc.github.io/rc-decision-support-tool_concept-library/02_dialog-boxes/01_15_sp_dens_low.html</v>
      </c>
    </row>
    <row r="32" spans="1:15" ht="14.25" customHeight="1">
      <c r="A32" s="99">
        <v>16</v>
      </c>
      <c r="B32" s="99">
        <v>3</v>
      </c>
      <c r="C32" s="99">
        <v>20</v>
      </c>
      <c r="D32" s="122" t="s">
        <v>5767</v>
      </c>
      <c r="E32" s="99" t="s">
        <v>5586</v>
      </c>
      <c r="F32" s="99" t="s">
        <v>5784</v>
      </c>
      <c r="G32" s="99" t="s">
        <v>4936</v>
      </c>
      <c r="H32" s="99" t="b">
        <v>1</v>
      </c>
      <c r="J32" s="99" t="s">
        <v>5783</v>
      </c>
      <c r="K32" s="99" t="str">
        <f t="shared" si="0"/>
        <v xml:space="preserve">    title_i_sp_occ_restr: "Occurrence restricted"</v>
      </c>
      <c r="L32" s="99" t="str">
        <f t="shared" si="1"/>
        <v>https://ab-rcsc.github.io/rc-decision-support-tool_concept-library/02_dialog-boxes/01_16_sp_occ_restr.html</v>
      </c>
    </row>
    <row r="33" spans="1:12" ht="14.25" customHeight="1">
      <c r="A33" s="99">
        <v>17</v>
      </c>
      <c r="B33" s="99">
        <v>3</v>
      </c>
      <c r="C33" s="99">
        <v>21</v>
      </c>
      <c r="D33" s="122" t="s">
        <v>5767</v>
      </c>
      <c r="E33" s="99" t="s">
        <v>5586</v>
      </c>
      <c r="F33" s="106" t="s">
        <v>5787</v>
      </c>
      <c r="G33" s="106" t="s">
        <v>5647</v>
      </c>
      <c r="H33" s="99" t="b">
        <v>1</v>
      </c>
      <c r="J33" s="99" t="s">
        <v>3974</v>
      </c>
      <c r="K33" s="99" t="str">
        <f t="shared" si="0"/>
        <v xml:space="preserve">    title_i_sp_hr_size: "Home range size"</v>
      </c>
      <c r="L33" s="99" t="str">
        <f t="shared" si="1"/>
        <v>https://ab-rcsc.github.io/rc-decision-support-tool_concept-library/02_dialog-boxes/01_17_sp_hr_size.html</v>
      </c>
    </row>
    <row r="34" spans="1:12" ht="14.25" customHeight="1">
      <c r="A34" s="99">
        <v>18</v>
      </c>
      <c r="B34" s="99">
        <v>3</v>
      </c>
      <c r="C34" s="99">
        <v>22</v>
      </c>
      <c r="D34" s="122" t="s">
        <v>5767</v>
      </c>
      <c r="E34" s="99" t="s">
        <v>5586</v>
      </c>
      <c r="F34" s="106" t="s">
        <v>5781</v>
      </c>
      <c r="G34" s="106" t="s">
        <v>4909</v>
      </c>
      <c r="H34" s="99" t="b">
        <v>1</v>
      </c>
      <c r="J34" s="99" t="s">
        <v>5780</v>
      </c>
      <c r="K34" s="99" t="str">
        <f t="shared" ref="K34:K65" si="2">IF(H34=TRUE,("    title_i_"&amp;G34&amp;": "&amp;""""&amp;J34&amp;""""),"-")</f>
        <v xml:space="preserve">    title_i_sp_size: "Species body size"</v>
      </c>
      <c r="L34" s="99" t="str">
        <f t="shared" ref="L34:L65" si="3">IF(H34=TRUE,("https://ab-rcsc.github.io/rc-decision-support-tool_concept-library/02_dialog-boxes/"&amp;F34&amp;".html"),"-")</f>
        <v>https://ab-rcsc.github.io/rc-decision-support-tool_concept-library/02_dialog-boxes/01_18_sp_size.html</v>
      </c>
    </row>
    <row r="35" spans="1:12" ht="14.25" customHeight="1">
      <c r="A35" s="99">
        <v>19</v>
      </c>
      <c r="B35" s="99">
        <v>3</v>
      </c>
      <c r="C35" s="99">
        <v>23</v>
      </c>
      <c r="D35" s="122" t="s">
        <v>5767</v>
      </c>
      <c r="E35" s="99" t="s">
        <v>5586</v>
      </c>
      <c r="F35" s="106" t="s">
        <v>5782</v>
      </c>
      <c r="G35" s="106" t="s">
        <v>458</v>
      </c>
      <c r="H35" s="99" t="b">
        <v>1</v>
      </c>
      <c r="J35" s="99" t="s">
        <v>666</v>
      </c>
      <c r="K35" s="99" t="str">
        <f t="shared" si="2"/>
        <v xml:space="preserve">    title_i_sp_rarity: "Species rarity"</v>
      </c>
      <c r="L35" s="99" t="str">
        <f t="shared" si="3"/>
        <v>https://ab-rcsc.github.io/rc-decision-support-tool_concept-library/02_dialog-boxes/01_19_sp_rarity.html</v>
      </c>
    </row>
    <row r="36" spans="1:12" ht="14.25" customHeight="1">
      <c r="A36" s="112">
        <v>20</v>
      </c>
      <c r="B36" s="99">
        <v>3</v>
      </c>
      <c r="C36" s="99">
        <v>24</v>
      </c>
      <c r="D36" s="149" t="s">
        <v>5767</v>
      </c>
      <c r="E36" s="112" t="s">
        <v>5586</v>
      </c>
      <c r="F36" s="112" t="s">
        <v>5789</v>
      </c>
      <c r="G36" s="112" t="s">
        <v>4955</v>
      </c>
      <c r="H36" s="99" t="b">
        <v>1</v>
      </c>
      <c r="J36" s="99" t="s">
        <v>5788</v>
      </c>
      <c r="K36" s="99" t="str">
        <f t="shared" si="2"/>
        <v xml:space="preserve">    title_i_sp_detprob_cat: "Species detection probability"</v>
      </c>
      <c r="L36" s="99" t="str">
        <f t="shared" si="3"/>
        <v>https://ab-rcsc.github.io/rc-decision-support-tool_concept-library/02_dialog-boxes/01_20_sp_detprob_cat.html</v>
      </c>
    </row>
    <row r="37" spans="1:12" ht="14.25" customHeight="1">
      <c r="A37" s="112">
        <v>21</v>
      </c>
      <c r="B37" s="99">
        <v>3</v>
      </c>
      <c r="C37" s="99">
        <v>25</v>
      </c>
      <c r="D37" s="149" t="s">
        <v>5767</v>
      </c>
      <c r="E37" s="112" t="s">
        <v>5586</v>
      </c>
      <c r="F37" s="112" t="s">
        <v>5794</v>
      </c>
      <c r="G37" s="112" t="s">
        <v>4980</v>
      </c>
      <c r="H37" s="99" t="b">
        <v>1</v>
      </c>
      <c r="J37" s="112" t="s">
        <v>5934</v>
      </c>
      <c r="K37" s="99" t="str">
        <f t="shared" si="2"/>
        <v xml:space="preserve">    title_i_sp_behav: "Behaviour (Investigative / Multiple species / Seasonal)"</v>
      </c>
      <c r="L37" s="99" t="str">
        <f t="shared" si="3"/>
        <v>https://ab-rcsc.github.io/rc-decision-support-tool_concept-library/02_dialog-boxes/01_21_sp_behav.html</v>
      </c>
    </row>
    <row r="38" spans="1:12" ht="14.25" customHeight="1">
      <c r="A38" s="99">
        <v>24</v>
      </c>
      <c r="B38" s="99">
        <v>3</v>
      </c>
      <c r="C38" s="99">
        <v>28</v>
      </c>
      <c r="D38" s="122" t="s">
        <v>5767</v>
      </c>
      <c r="E38" s="99" t="s">
        <v>5586</v>
      </c>
      <c r="F38" s="99" t="s">
        <v>5940</v>
      </c>
      <c r="G38" s="99" t="s">
        <v>5930</v>
      </c>
      <c r="H38" s="99" t="b">
        <v>1</v>
      </c>
      <c r="J38" s="99" t="s">
        <v>5932</v>
      </c>
      <c r="K38" s="99" t="str">
        <f t="shared" si="2"/>
        <v xml:space="preserve">    title_i_markings: "Markings (Marked, unmarked, partially marked) / (Categorical identifiers)"</v>
      </c>
      <c r="L38" s="99" t="str">
        <f t="shared" si="3"/>
        <v>https://ab-rcsc.github.io/rc-decision-support-tool_concept-library/02_dialog-boxes/01_23_markings.html</v>
      </c>
    </row>
    <row r="39" spans="1:12" ht="14.25" customHeight="1">
      <c r="A39" s="99">
        <v>26</v>
      </c>
      <c r="B39" s="99">
        <v>3</v>
      </c>
      <c r="C39" s="99">
        <v>30</v>
      </c>
      <c r="D39" s="122" t="s">
        <v>5767</v>
      </c>
      <c r="E39" s="99" t="s">
        <v>5586</v>
      </c>
      <c r="F39" s="99" t="s">
        <v>5931</v>
      </c>
      <c r="G39" s="99" t="s">
        <v>5929</v>
      </c>
      <c r="H39" s="99" t="b">
        <v>1</v>
      </c>
      <c r="J39" s="99" t="s">
        <v>5873</v>
      </c>
      <c r="K39" s="99" t="str">
        <f t="shared" si="2"/>
        <v xml:space="preserve">    title_i_auxillary_info_count: "Additional information that may be collected to support modelling density"</v>
      </c>
      <c r="L39" s="99" t="str">
        <f t="shared" si="3"/>
        <v>https://ab-rcsc.github.io/rc-decision-support-tool_concept-library/02_dialog-boxes/01_26_auxillary_info_count.html</v>
      </c>
    </row>
    <row r="40" spans="1:12" ht="14.25" customHeight="1">
      <c r="A40" s="99">
        <v>28</v>
      </c>
      <c r="B40" s="99">
        <v>3</v>
      </c>
      <c r="C40" s="99">
        <v>32</v>
      </c>
      <c r="D40" s="122" t="s">
        <v>5767</v>
      </c>
      <c r="E40" s="99" t="s">
        <v>5586</v>
      </c>
      <c r="F40" s="99" t="s">
        <v>5812</v>
      </c>
      <c r="G40" s="99" t="s">
        <v>5013</v>
      </c>
      <c r="H40" s="99" t="b">
        <v>1</v>
      </c>
      <c r="J40" s="99" t="s">
        <v>5811</v>
      </c>
      <c r="K40" s="99" t="str">
        <f t="shared" si="2"/>
        <v xml:space="preserve">    title_i_focalarea_calc: "Focal area measured or detections binned by distance"</v>
      </c>
      <c r="L40" s="99" t="str">
        <f t="shared" si="3"/>
        <v>https://ab-rcsc.github.io/rc-decision-support-tool_concept-library/02_dialog-boxes/01_28_focalarea_calc.html</v>
      </c>
    </row>
    <row r="41" spans="1:12" ht="14.25" customHeight="1">
      <c r="A41" s="112">
        <v>29</v>
      </c>
      <c r="B41" s="99">
        <v>3</v>
      </c>
      <c r="C41" s="99">
        <v>34</v>
      </c>
      <c r="D41" s="149" t="s">
        <v>5767</v>
      </c>
      <c r="E41" s="112" t="s">
        <v>5586</v>
      </c>
      <c r="F41" s="112" t="s">
        <v>5793</v>
      </c>
      <c r="G41" s="112" t="s">
        <v>4960</v>
      </c>
      <c r="H41" s="99" t="b">
        <v>1</v>
      </c>
      <c r="J41" s="112" t="s">
        <v>5792</v>
      </c>
      <c r="K41" s="99" t="str">
        <f t="shared" si="2"/>
        <v xml:space="preserve">    title_i_sp_common_pop_lg: "Study population size"</v>
      </c>
      <c r="L41" s="99" t="str">
        <f t="shared" si="3"/>
        <v>https://ab-rcsc.github.io/rc-decision-support-tool_concept-library/02_dialog-boxes/01_30_sp_common_pop_lg.html</v>
      </c>
    </row>
    <row r="42" spans="1:12" ht="14.25" customHeight="1">
      <c r="A42" s="99">
        <v>38</v>
      </c>
      <c r="B42" s="99">
        <v>3</v>
      </c>
      <c r="C42" s="99">
        <v>41</v>
      </c>
      <c r="D42" s="122" t="s">
        <v>5767</v>
      </c>
      <c r="E42" s="99" t="s">
        <v>5596</v>
      </c>
      <c r="F42" s="99" t="s">
        <v>5862</v>
      </c>
      <c r="G42" s="99" t="s">
        <v>5861</v>
      </c>
      <c r="H42" s="99" t="b">
        <v>1</v>
      </c>
      <c r="J42" s="99" t="s">
        <v>5860</v>
      </c>
      <c r="K42" s="99" t="str">
        <f t="shared" si="2"/>
        <v xml:space="preserve">    title_i_cam_equipment: "Camera equipment"</v>
      </c>
      <c r="L42" s="99" t="str">
        <f t="shared" si="3"/>
        <v>https://ab-rcsc.github.io/rc-decision-support-tool_concept-library/02_dialog-boxes/01_39_cam_equipment.html</v>
      </c>
    </row>
    <row r="43" spans="1:12" ht="14.25" customHeight="1">
      <c r="A43" s="99">
        <v>39</v>
      </c>
      <c r="B43" s="99">
        <v>3</v>
      </c>
      <c r="C43" s="99">
        <v>42</v>
      </c>
      <c r="D43" s="131" t="s">
        <v>5767</v>
      </c>
      <c r="E43" s="99" t="s">
        <v>5596</v>
      </c>
      <c r="F43" s="99" t="s">
        <v>5856</v>
      </c>
      <c r="G43" s="99" t="s">
        <v>5855</v>
      </c>
      <c r="H43" s="99" t="b">
        <v>1</v>
      </c>
      <c r="J43" s="99" t="s">
        <v>5854</v>
      </c>
      <c r="K43" s="99" t="str">
        <f t="shared" si="2"/>
        <v xml:space="preserve">    title_i_cam_settings: "Camera settings"</v>
      </c>
      <c r="L43" s="99" t="str">
        <f t="shared" si="3"/>
        <v>https://ab-rcsc.github.io/rc-decision-support-tool_concept-library/02_dialog-boxes/01_40_cam_settings.html</v>
      </c>
    </row>
    <row r="44" spans="1:12" ht="14.25" customHeight="1">
      <c r="A44" s="99">
        <v>40</v>
      </c>
      <c r="B44" s="99">
        <v>3</v>
      </c>
      <c r="C44" s="99">
        <v>43</v>
      </c>
      <c r="D44" s="122" t="s">
        <v>5767</v>
      </c>
      <c r="E44" s="99" t="s">
        <v>5596</v>
      </c>
      <c r="F44" s="99" t="s">
        <v>5859</v>
      </c>
      <c r="G44" s="99" t="s">
        <v>5858</v>
      </c>
      <c r="H44" s="99" t="b">
        <v>1</v>
      </c>
      <c r="J44" s="99" t="s">
        <v>5857</v>
      </c>
      <c r="K44" s="99" t="str">
        <f t="shared" si="2"/>
        <v xml:space="preserve">    title_i_cam_placement: "Camera height, angle, direction"</v>
      </c>
      <c r="L44" s="99" t="str">
        <f t="shared" si="3"/>
        <v>https://ab-rcsc.github.io/rc-decision-support-tool_concept-library/02_dialog-boxes/01_41_cam_placement.html</v>
      </c>
    </row>
    <row r="45" spans="1:12" ht="14.25" customHeight="1">
      <c r="A45" s="99">
        <v>41</v>
      </c>
      <c r="B45" s="99">
        <v>3</v>
      </c>
      <c r="C45" s="99">
        <v>43</v>
      </c>
      <c r="D45" s="122" t="s">
        <v>5767</v>
      </c>
      <c r="E45" s="99" t="s">
        <v>5596</v>
      </c>
      <c r="F45" s="99" t="s">
        <v>5868</v>
      </c>
      <c r="G45" s="99" t="s">
        <v>5042</v>
      </c>
      <c r="H45" s="99" t="b">
        <v>1</v>
      </c>
      <c r="J45" s="99" t="s">
        <v>5867</v>
      </c>
      <c r="K45" s="99" t="str">
        <f t="shared" si="2"/>
        <v xml:space="preserve">    title_i_cam_direction_ds: "Camera direction consistent or random"</v>
      </c>
      <c r="L45" s="99" t="str">
        <f t="shared" si="3"/>
        <v>https://ab-rcsc.github.io/rc-decision-support-tool_concept-library/02_dialog-boxes/01_42_cam_direction_ds.html</v>
      </c>
    </row>
    <row r="46" spans="1:12" ht="14.25" customHeight="1">
      <c r="A46" s="99">
        <v>42</v>
      </c>
      <c r="B46" s="99">
        <v>3</v>
      </c>
      <c r="C46" s="99">
        <v>44</v>
      </c>
      <c r="D46" s="122" t="s">
        <v>5767</v>
      </c>
      <c r="E46" s="99" t="s">
        <v>5596</v>
      </c>
      <c r="F46" s="99" t="s">
        <v>5871</v>
      </c>
      <c r="G46" s="99" t="s">
        <v>5054</v>
      </c>
      <c r="H46" s="99" t="b">
        <v>1</v>
      </c>
      <c r="J46" s="99" t="s">
        <v>5872</v>
      </c>
      <c r="K46" s="99" t="str">
        <f t="shared" si="2"/>
        <v xml:space="preserve">    title_i_bait_lure: "Bait/lure (Types, Placement at all vs. a subset of cameras)"</v>
      </c>
      <c r="L46" s="99" t="str">
        <f t="shared" si="3"/>
        <v>https://ab-rcsc.github.io/rc-decision-support-tool_concept-library/02_dialog-boxes/01_43_bait_lure.html</v>
      </c>
    </row>
    <row r="47" spans="1:12" ht="14.25" customHeight="1">
      <c r="A47" s="99">
        <v>44</v>
      </c>
      <c r="B47" s="99">
        <v>3</v>
      </c>
      <c r="C47" s="99">
        <v>45</v>
      </c>
      <c r="D47" s="122" t="s">
        <v>5767</v>
      </c>
      <c r="E47" s="99" t="s">
        <v>5596</v>
      </c>
      <c r="F47" s="99" t="s">
        <v>5851</v>
      </c>
      <c r="G47" s="99" t="s">
        <v>5850</v>
      </c>
      <c r="H47" s="99" t="b">
        <v>1</v>
      </c>
      <c r="J47" s="99" t="s">
        <v>5849</v>
      </c>
      <c r="K47" s="99" t="str">
        <f t="shared" si="2"/>
        <v xml:space="preserve">    title_i_targ_feature: "Target features"</v>
      </c>
      <c r="L47" s="99" t="str">
        <f t="shared" si="3"/>
        <v>https://ab-rcsc.github.io/rc-decision-support-tool_concept-library/02_dialog-boxes/01_45_targ_feature.html</v>
      </c>
    </row>
    <row r="48" spans="1:12" ht="14.25" customHeight="1">
      <c r="A48" s="99">
        <v>46</v>
      </c>
      <c r="B48" s="99">
        <v>3</v>
      </c>
      <c r="C48" s="99">
        <v>47</v>
      </c>
      <c r="D48" s="122" t="s">
        <v>5767</v>
      </c>
      <c r="E48" s="99" t="s">
        <v>5602</v>
      </c>
      <c r="F48" s="99" t="s">
        <v>5864</v>
      </c>
      <c r="G48" s="99" t="s">
        <v>5036</v>
      </c>
      <c r="H48" s="99" t="b">
        <v>1</v>
      </c>
      <c r="J48" s="99" t="s">
        <v>5863</v>
      </c>
      <c r="K48" s="99" t="str">
        <f t="shared" si="2"/>
        <v xml:space="preserve">    title_i_cam_independent: "Camera location independence"</v>
      </c>
      <c r="L48" s="99" t="str">
        <f t="shared" si="3"/>
        <v>https://ab-rcsc.github.io/rc-decision-support-tool_concept-library/02_dialog-boxes/01_47_cam_independent.html</v>
      </c>
    </row>
    <row r="49" spans="1:12" ht="14.25" customHeight="1">
      <c r="A49" s="99">
        <v>47</v>
      </c>
      <c r="B49" s="99">
        <v>3</v>
      </c>
      <c r="C49" s="99">
        <v>48</v>
      </c>
      <c r="D49" s="122" t="s">
        <v>5767</v>
      </c>
      <c r="E49" s="99" t="s">
        <v>5602</v>
      </c>
      <c r="F49" s="99" t="s">
        <v>5808</v>
      </c>
      <c r="G49" s="99" t="s">
        <v>4998</v>
      </c>
      <c r="H49" s="99" t="b">
        <v>1</v>
      </c>
      <c r="J49" s="99" t="s">
        <v>5807</v>
      </c>
      <c r="K49" s="99" t="str">
        <f t="shared" si="2"/>
        <v xml:space="preserve">    title_i_multisamp_per_loc: "Repeat sampling"</v>
      </c>
      <c r="L49" s="99" t="str">
        <f t="shared" si="3"/>
        <v>https://ab-rcsc.github.io/rc-decision-support-tool_concept-library/02_dialog-boxes/01_48_multisamp_per_loc.html</v>
      </c>
    </row>
    <row r="50" spans="1:12" ht="14.25" customHeight="1">
      <c r="A50" s="99">
        <v>48</v>
      </c>
      <c r="B50" s="99">
        <v>3</v>
      </c>
      <c r="C50" s="99">
        <v>49</v>
      </c>
      <c r="D50" s="122" t="s">
        <v>5767</v>
      </c>
      <c r="E50" s="99" t="s">
        <v>5602</v>
      </c>
      <c r="F50" s="99" t="s">
        <v>5810</v>
      </c>
      <c r="G50" s="99" t="s">
        <v>5001</v>
      </c>
      <c r="H50" s="99" t="b">
        <v>1</v>
      </c>
      <c r="J50" s="99" t="s">
        <v>5809</v>
      </c>
      <c r="K50" s="99" t="str">
        <f t="shared" si="2"/>
        <v xml:space="preserve">    title_i_modmixed: "Mixed models"</v>
      </c>
      <c r="L50" s="99" t="str">
        <f t="shared" si="3"/>
        <v>https://ab-rcsc.github.io/rc-decision-support-tool_concept-library/02_dialog-boxes/01_49_modmixed.html</v>
      </c>
    </row>
    <row r="51" spans="1:12" ht="14.25" customHeight="1">
      <c r="A51" s="99">
        <v>49</v>
      </c>
      <c r="B51" s="99">
        <v>3</v>
      </c>
      <c r="C51" s="99">
        <v>50</v>
      </c>
      <c r="D51" s="122" t="s">
        <v>5767</v>
      </c>
      <c r="E51" s="99" t="s">
        <v>5602</v>
      </c>
      <c r="F51" s="99" t="s">
        <v>5927</v>
      </c>
      <c r="G51" s="99" t="s">
        <v>5928</v>
      </c>
      <c r="H51" s="99" t="b">
        <v>1</v>
      </c>
      <c r="J51" s="99" t="s">
        <v>5933</v>
      </c>
      <c r="K51" s="99" t="str">
        <f t="shared" si="2"/>
        <v xml:space="preserve">    title_i_num_det_individ_recaptures: "Number of detections, individuals, recaptures"</v>
      </c>
      <c r="L51" s="99" t="str">
        <f t="shared" si="3"/>
        <v>https://ab-rcsc.github.io/rc-decision-support-tool_concept-library/02_dialog-boxes/01_50_num_det_individ_recaptures.html</v>
      </c>
    </row>
    <row r="52" spans="1:12" ht="14.25" customHeight="1">
      <c r="A52" s="99">
        <v>52</v>
      </c>
      <c r="B52" s="99">
        <v>3</v>
      </c>
      <c r="C52" s="99">
        <v>53</v>
      </c>
      <c r="D52" s="122" t="s">
        <v>5767</v>
      </c>
      <c r="E52" s="99" t="s">
        <v>5602</v>
      </c>
      <c r="F52" s="118" t="s">
        <v>5798</v>
      </c>
      <c r="G52" s="118" t="s">
        <v>5797</v>
      </c>
      <c r="H52" s="99" t="b">
        <v>1</v>
      </c>
      <c r="J52" s="99" t="s">
        <v>5796</v>
      </c>
      <c r="K52" s="99" t="str">
        <f t="shared" si="2"/>
        <v xml:space="preserve">    title_i_overdispersion_zeroinflation: "Overdispersion &amp; Zero-inflation"</v>
      </c>
      <c r="L52" s="99" t="str">
        <f t="shared" si="3"/>
        <v>https://ab-rcsc.github.io/rc-decision-support-tool_concept-library/02_dialog-boxes/01_53_overdispersion_zeroinflation.html</v>
      </c>
    </row>
    <row r="53" spans="1:12" ht="14.25" customHeight="1">
      <c r="A53" s="99">
        <v>54</v>
      </c>
      <c r="B53" s="99">
        <v>3</v>
      </c>
      <c r="C53" s="99" t="e">
        <v>#N/A</v>
      </c>
      <c r="D53" s="122" t="s">
        <v>5767</v>
      </c>
      <c r="E53" s="99" t="s">
        <v>5602</v>
      </c>
      <c r="F53" s="118" t="s">
        <v>5798</v>
      </c>
      <c r="G53" s="118" t="s">
        <v>4876</v>
      </c>
      <c r="H53" s="99" t="b">
        <v>1</v>
      </c>
      <c r="J53" s="99" t="s">
        <v>5769</v>
      </c>
      <c r="K53" s="99" t="str">
        <f t="shared" si="2"/>
        <v xml:space="preserve">    title_i_zi_overdispersed: "Accounting for overdispersion due to zero-inflation"</v>
      </c>
      <c r="L53" s="99" t="str">
        <f t="shared" si="3"/>
        <v>https://ab-rcsc.github.io/rc-decision-support-tool_concept-library/02_dialog-boxes/01_53_overdispersion_zeroinflation.html</v>
      </c>
    </row>
    <row r="54" spans="1:12" ht="14.25" customHeight="1">
      <c r="A54" s="99">
        <v>55</v>
      </c>
      <c r="B54" s="99">
        <v>3</v>
      </c>
      <c r="C54" s="99" t="e">
        <v>#N/A</v>
      </c>
      <c r="D54" s="122" t="s">
        <v>5767</v>
      </c>
      <c r="E54" s="99" t="s">
        <v>5602</v>
      </c>
      <c r="F54" s="118" t="s">
        <v>5798</v>
      </c>
      <c r="G54" s="118" t="s">
        <v>4868</v>
      </c>
      <c r="H54" s="99" t="b">
        <v>1</v>
      </c>
      <c r="J54" s="99" t="s">
        <v>5766</v>
      </c>
      <c r="K54" s="99" t="str">
        <f t="shared" si="2"/>
        <v xml:space="preserve">    title_i_zi_re_overdispersed: "Accounting for zero-inflation with site random effect"</v>
      </c>
      <c r="L54" s="99" t="str">
        <f t="shared" si="3"/>
        <v>https://ab-rcsc.github.io/rc-decision-support-tool_concept-library/02_dialog-boxes/01_53_overdispersion_zeroinflation.html</v>
      </c>
    </row>
    <row r="55" spans="1:12" ht="14.25" customHeight="1">
      <c r="A55" s="99">
        <v>56</v>
      </c>
      <c r="B55" s="99">
        <v>3</v>
      </c>
      <c r="C55" s="99" t="e">
        <v>#N/A</v>
      </c>
      <c r="D55" s="122" t="s">
        <v>5767</v>
      </c>
      <c r="E55" s="99" t="s">
        <v>5602</v>
      </c>
      <c r="F55" s="118" t="s">
        <v>5798</v>
      </c>
      <c r="G55" s="118" t="s">
        <v>4873</v>
      </c>
      <c r="H55" s="99" t="b">
        <v>1</v>
      </c>
      <c r="J55" s="99" t="s">
        <v>5768</v>
      </c>
      <c r="K55" s="99" t="str">
        <f t="shared" si="2"/>
        <v xml:space="preserve">    title_i_zi_process: "Zero-inflation due to separate process"</v>
      </c>
      <c r="L55" s="99" t="str">
        <f t="shared" si="3"/>
        <v>https://ab-rcsc.github.io/rc-decision-support-tool_concept-library/02_dialog-boxes/01_53_overdispersion_zeroinflation.html</v>
      </c>
    </row>
    <row r="56" spans="1:12" ht="14.25" customHeight="1">
      <c r="B56" s="99">
        <v>4</v>
      </c>
      <c r="C56" s="99" t="e">
        <v>#N/A</v>
      </c>
      <c r="D56" s="104" t="s">
        <v>5816</v>
      </c>
      <c r="E56" s="99" t="s">
        <v>5590</v>
      </c>
      <c r="F56" s="99" t="s">
        <v>5818</v>
      </c>
      <c r="G56" s="99" t="s">
        <v>5817</v>
      </c>
      <c r="H56" s="99" t="b">
        <v>1</v>
      </c>
      <c r="J56" s="99" t="s">
        <v>95</v>
      </c>
      <c r="K56" s="99" t="str">
        <f t="shared" si="2"/>
        <v xml:space="preserve">    title_i_design_study_area: "Study area"</v>
      </c>
      <c r="L56" s="99" t="str">
        <f t="shared" si="3"/>
        <v>https://ab-rcsc.github.io/rc-decision-support-tool_concept-library/02_dialog-boxes/02_01_design_study_area.html</v>
      </c>
    </row>
    <row r="57" spans="1:12" ht="14.25" customHeight="1">
      <c r="B57" s="99">
        <v>4</v>
      </c>
      <c r="C57" s="99">
        <v>2</v>
      </c>
      <c r="D57" s="128" t="s">
        <v>5816</v>
      </c>
      <c r="E57" s="99" t="s">
        <v>5590</v>
      </c>
      <c r="F57" s="99" t="s">
        <v>5848</v>
      </c>
      <c r="G57" s="99" t="s">
        <v>5847</v>
      </c>
      <c r="H57" s="99" t="b">
        <v>1</v>
      </c>
      <c r="J57" s="125" t="s">
        <v>5846</v>
      </c>
      <c r="K57" s="99" t="str">
        <f t="shared" si="2"/>
        <v xml:space="preserve">    title_i_design_cam_arrange: "Camera arrangement"</v>
      </c>
      <c r="L57" s="99" t="str">
        <f t="shared" si="3"/>
        <v>https://ab-rcsc.github.io/rc-decision-support-tool_concept-library/02_dialog-boxes/02_02_00_design_cam_arrange.html</v>
      </c>
    </row>
    <row r="58" spans="1:12" ht="14.25" customHeight="1">
      <c r="B58" s="99">
        <v>4</v>
      </c>
      <c r="C58" s="99">
        <v>3</v>
      </c>
      <c r="D58" s="104" t="s">
        <v>5816</v>
      </c>
      <c r="E58" s="99" t="s">
        <v>5590</v>
      </c>
      <c r="F58" s="99" t="s">
        <v>5825</v>
      </c>
      <c r="G58" s="99" t="s">
        <v>5824</v>
      </c>
      <c r="H58" s="99" t="b">
        <v>1</v>
      </c>
      <c r="J58" s="125" t="s">
        <v>228</v>
      </c>
      <c r="K58" s="99" t="str">
        <f t="shared" si="2"/>
        <v xml:space="preserve">    title_i_design_cam_spacing: "Camera spacing"</v>
      </c>
      <c r="L58" s="99" t="str">
        <f t="shared" si="3"/>
        <v>https://ab-rcsc.github.io/rc-decision-support-tool_concept-library/02_dialog-boxes/02_03_design_cam_spacing.html</v>
      </c>
    </row>
    <row r="59" spans="1:12" ht="14.25" customHeight="1">
      <c r="B59" s="99">
        <v>4</v>
      </c>
      <c r="C59" s="99">
        <v>4</v>
      </c>
      <c r="D59" s="104" t="s">
        <v>5816</v>
      </c>
      <c r="E59" s="99" t="s">
        <v>5590</v>
      </c>
      <c r="F59" s="99" t="s">
        <v>5821</v>
      </c>
      <c r="G59" s="99" t="s">
        <v>5820</v>
      </c>
      <c r="H59" s="99" t="b">
        <v>1</v>
      </c>
      <c r="J59" s="124" t="s">
        <v>5819</v>
      </c>
      <c r="K59" s="99" t="str">
        <f t="shared" si="2"/>
        <v xml:space="preserve">    title_i_design_num_cams: "Number of cameras"</v>
      </c>
      <c r="L59" s="99" t="str">
        <f t="shared" si="3"/>
        <v>https://ab-rcsc.github.io/rc-decision-support-tool_concept-library/02_dialog-boxes/02_04_design_num_cams.html</v>
      </c>
    </row>
    <row r="60" spans="1:12" ht="14.25" customHeight="1">
      <c r="B60" s="99">
        <v>4</v>
      </c>
      <c r="C60" s="99">
        <v>5</v>
      </c>
      <c r="D60" s="104" t="s">
        <v>5816</v>
      </c>
      <c r="E60" s="99" t="s">
        <v>5590</v>
      </c>
      <c r="F60" s="99" t="s">
        <v>5823</v>
      </c>
      <c r="G60" s="99" t="s">
        <v>5822</v>
      </c>
      <c r="H60" s="99" t="b">
        <v>1</v>
      </c>
      <c r="J60" s="124" t="s">
        <v>231</v>
      </c>
      <c r="K60" s="99" t="str">
        <f t="shared" si="2"/>
        <v xml:space="preserve">    title_i_design_camdays_per_loc: "Camera days per camera location"</v>
      </c>
      <c r="L60" s="99" t="str">
        <f t="shared" si="3"/>
        <v>https://ab-rcsc.github.io/rc-decision-support-tool_concept-library/02_dialog-boxes/02_05_design_camdays_per_loc.html</v>
      </c>
    </row>
    <row r="61" spans="1:12" ht="14.25" customHeight="1">
      <c r="B61" s="99">
        <v>4</v>
      </c>
      <c r="C61" s="99">
        <v>6</v>
      </c>
      <c r="D61" s="104" t="s">
        <v>5816</v>
      </c>
      <c r="E61" s="99" t="s">
        <v>5590</v>
      </c>
      <c r="F61" s="99" t="s">
        <v>5827</v>
      </c>
      <c r="G61" s="99" t="s">
        <v>5826</v>
      </c>
      <c r="H61" s="99" t="b">
        <v>1</v>
      </c>
      <c r="J61" s="124" t="s">
        <v>77</v>
      </c>
      <c r="K61" s="99" t="str">
        <f t="shared" si="2"/>
        <v xml:space="preserve">    title_i_design_cam_days_ttl: "Total number of camera days"</v>
      </c>
      <c r="L61" s="99" t="str">
        <f t="shared" si="3"/>
        <v>https://ab-rcsc.github.io/rc-decision-support-tool_concept-library/02_dialog-boxes/02_06_design_cam_days_ttl.html</v>
      </c>
    </row>
    <row r="62" spans="1:12" ht="14.25" customHeight="1">
      <c r="B62" s="99">
        <v>4</v>
      </c>
      <c r="C62" s="99">
        <v>7</v>
      </c>
      <c r="D62" s="104" t="s">
        <v>5816</v>
      </c>
      <c r="E62" s="99" t="s">
        <v>5590</v>
      </c>
      <c r="F62" s="99" t="s">
        <v>5814</v>
      </c>
      <c r="G62" s="99" t="s">
        <v>5813</v>
      </c>
      <c r="H62" s="99" t="b">
        <v>1</v>
      </c>
      <c r="J62" s="124" t="s">
        <v>5774</v>
      </c>
      <c r="K62" s="99" t="str">
        <f t="shared" si="2"/>
        <v xml:space="preserve">    title_i_design_survey_duration: "Survey duration"</v>
      </c>
      <c r="L62" s="99" t="str">
        <f t="shared" si="3"/>
        <v>https://ab-rcsc.github.io/rc-decision-support-tool_concept-library/02_dialog-boxes/02_07_design_survey_duration.html</v>
      </c>
    </row>
    <row r="63" spans="1:12" ht="14.25" customHeight="1">
      <c r="A63" s="99">
        <v>57</v>
      </c>
      <c r="B63" s="99">
        <v>3</v>
      </c>
      <c r="C63" s="99">
        <v>57</v>
      </c>
      <c r="D63" s="104" t="s">
        <v>4</v>
      </c>
      <c r="E63" s="99" t="s">
        <v>5590</v>
      </c>
      <c r="F63" s="99" t="s">
        <v>4845</v>
      </c>
      <c r="G63" s="99" t="s">
        <v>38</v>
      </c>
      <c r="H63" s="99" t="b">
        <v>1</v>
      </c>
      <c r="J63" s="99" t="s">
        <v>37</v>
      </c>
      <c r="K63" s="99" t="str">
        <f t="shared" si="2"/>
        <v xml:space="preserve">    title_i_mod_inventory: "Species inventory"</v>
      </c>
      <c r="L63" s="99" t="str">
        <f t="shared" si="3"/>
        <v>https://ab-rcsc.github.io/rc-decision-support-tool_concept-library/02_dialog-boxes/03_01_mod_inventory.html</v>
      </c>
    </row>
    <row r="64" spans="1:12" ht="14.25" customHeight="1">
      <c r="A64" s="99">
        <v>58</v>
      </c>
      <c r="B64" s="99">
        <v>3</v>
      </c>
      <c r="C64" s="99">
        <v>58</v>
      </c>
      <c r="D64" s="104" t="s">
        <v>4</v>
      </c>
      <c r="E64" s="99" t="s">
        <v>5590</v>
      </c>
      <c r="F64" s="99" t="s">
        <v>4843</v>
      </c>
      <c r="G64" s="99" t="s">
        <v>36</v>
      </c>
      <c r="H64" s="99" t="b">
        <v>1</v>
      </c>
      <c r="J64" s="99" t="s">
        <v>35</v>
      </c>
      <c r="K64" s="99" t="str">
        <f t="shared" si="2"/>
        <v xml:space="preserve">    title_i_mod_divers_rich: "Species diversity &amp; richness"</v>
      </c>
      <c r="L64" s="99" t="str">
        <f t="shared" si="3"/>
        <v>https://ab-rcsc.github.io/rc-decision-support-tool_concept-library/02_dialog-boxes/03_02_mod_divers_rich.html</v>
      </c>
    </row>
    <row r="65" spans="1:12" ht="14.25" customHeight="1">
      <c r="A65" s="99">
        <v>59</v>
      </c>
      <c r="B65" s="99">
        <v>3</v>
      </c>
      <c r="C65" s="99">
        <v>59</v>
      </c>
      <c r="D65" s="104" t="s">
        <v>4</v>
      </c>
      <c r="E65" s="99" t="s">
        <v>5590</v>
      </c>
      <c r="F65" s="99" t="s">
        <v>4847</v>
      </c>
      <c r="G65" s="99" t="s">
        <v>34</v>
      </c>
      <c r="H65" s="99" t="b">
        <v>1</v>
      </c>
      <c r="J65" s="99" t="s">
        <v>4781</v>
      </c>
      <c r="K65" s="99" t="str">
        <f t="shared" si="2"/>
        <v xml:space="preserve">    title_i_mod_occupancy: "Occupancy models"</v>
      </c>
      <c r="L65" s="99" t="str">
        <f t="shared" si="3"/>
        <v>https://ab-rcsc.github.io/rc-decision-support-tool_concept-library/02_dialog-boxes/03_03_mod_occupancy.html</v>
      </c>
    </row>
    <row r="66" spans="1:12" ht="14.25" customHeight="1">
      <c r="A66" s="99">
        <v>60</v>
      </c>
      <c r="B66" s="99">
        <v>3</v>
      </c>
      <c r="C66" s="99">
        <v>60</v>
      </c>
      <c r="D66" s="104" t="s">
        <v>4</v>
      </c>
      <c r="E66" s="99" t="s">
        <v>5590</v>
      </c>
      <c r="F66" s="99" t="s">
        <v>4850</v>
      </c>
      <c r="G66" s="99" t="s">
        <v>33</v>
      </c>
      <c r="H66" s="99" t="b">
        <v>1</v>
      </c>
      <c r="J66" s="99" t="s">
        <v>32</v>
      </c>
      <c r="K66" s="99" t="str">
        <f t="shared" ref="K66:K80" si="4">IF(H66=TRUE,("    title_i_"&amp;G66&amp;": "&amp;""""&amp;J66&amp;""""),"-")</f>
        <v xml:space="preserve">    title_i_mod_rai: "Relative abundance indices"</v>
      </c>
      <c r="L66" s="99" t="str">
        <f t="shared" ref="L66:L80" si="5">IF(H66=TRUE,("https://ab-rcsc.github.io/rc-decision-support-tool_concept-library/02_dialog-boxes/"&amp;F66&amp;".html"),"-")</f>
        <v>https://ab-rcsc.github.io/rc-decision-support-tool_concept-library/02_dialog-boxes/03_04_mod_rai.html</v>
      </c>
    </row>
    <row r="67" spans="1:12" ht="14.25" customHeight="1">
      <c r="A67" s="99">
        <v>66</v>
      </c>
      <c r="B67" s="99">
        <v>3</v>
      </c>
      <c r="C67" s="99">
        <v>61</v>
      </c>
      <c r="D67" s="104" t="s">
        <v>4</v>
      </c>
      <c r="E67" s="99" t="s">
        <v>5590</v>
      </c>
      <c r="F67" s="99" t="s">
        <v>4842</v>
      </c>
      <c r="G67" s="99" t="s">
        <v>29</v>
      </c>
      <c r="H67" s="99" t="b">
        <v>1</v>
      </c>
      <c r="J67" s="99" t="s">
        <v>438</v>
      </c>
      <c r="K67" s="99" t="str">
        <f t="shared" si="4"/>
        <v xml:space="preserve">    title_i_mod_cr_cmr: "Capture-recapture (CR) / Capture-mark-recapture (CMR)"</v>
      </c>
      <c r="L67" s="99" t="str">
        <f t="shared" si="5"/>
        <v>https://ab-rcsc.github.io/rc-decision-support-tool_concept-library/02_dialog-boxes/03_10_mod_cr_cmr.html</v>
      </c>
    </row>
    <row r="68" spans="1:12" ht="14.25" customHeight="1">
      <c r="A68" s="99">
        <v>67</v>
      </c>
      <c r="B68" s="99">
        <v>3</v>
      </c>
      <c r="C68" s="99">
        <v>62</v>
      </c>
      <c r="D68" s="104" t="s">
        <v>4</v>
      </c>
      <c r="E68" s="99" t="s">
        <v>5590</v>
      </c>
      <c r="F68" s="99" t="s">
        <v>4856</v>
      </c>
      <c r="G68" s="99" t="s">
        <v>28</v>
      </c>
      <c r="H68" s="99" t="b">
        <v>1</v>
      </c>
      <c r="J68" s="99" t="s">
        <v>439</v>
      </c>
      <c r="K68" s="99" t="str">
        <f t="shared" si="4"/>
        <v xml:space="preserve">    title_i_mod_scr_secr: "Spatial capture-recapture (SCR) / Spatially explicit capture recapture (SECR)"</v>
      </c>
      <c r="L68" s="99" t="str">
        <f t="shared" si="5"/>
        <v>https://ab-rcsc.github.io/rc-decision-support-tool_concept-library/02_dialog-boxes/03_11_mod_scr_secr.html</v>
      </c>
    </row>
    <row r="69" spans="1:12" ht="14.25" customHeight="1">
      <c r="A69" s="99">
        <v>69</v>
      </c>
      <c r="B69" s="99">
        <v>3</v>
      </c>
      <c r="C69" s="99">
        <v>63</v>
      </c>
      <c r="D69" s="103" t="s">
        <v>4</v>
      </c>
      <c r="E69" s="99" t="s">
        <v>5590</v>
      </c>
      <c r="F69" s="99" t="s">
        <v>4857</v>
      </c>
      <c r="G69" s="99" t="s">
        <v>25</v>
      </c>
      <c r="H69" s="99" t="b">
        <v>1</v>
      </c>
      <c r="J69" s="99" t="s">
        <v>24</v>
      </c>
      <c r="K69" s="99" t="str">
        <f t="shared" si="4"/>
        <v xml:space="preserve">    title_i_mod_smr: "Spatial mark-resight "</v>
      </c>
      <c r="L69" s="99" t="str">
        <f t="shared" si="5"/>
        <v>https://ab-rcsc.github.io/rc-decision-support-tool_concept-library/02_dialog-boxes/03_13_mod_smr.html</v>
      </c>
    </row>
    <row r="70" spans="1:12" ht="14.25" customHeight="1">
      <c r="A70" s="99">
        <v>70</v>
      </c>
      <c r="B70" s="99">
        <v>3</v>
      </c>
      <c r="C70" s="99">
        <v>64</v>
      </c>
      <c r="D70" s="103" t="s">
        <v>4</v>
      </c>
      <c r="E70" s="99" t="s">
        <v>5590</v>
      </c>
      <c r="F70" s="99" t="s">
        <v>4855</v>
      </c>
      <c r="G70" s="99" t="s">
        <v>23</v>
      </c>
      <c r="H70" s="99" t="b">
        <v>1</v>
      </c>
      <c r="J70" s="99" t="s">
        <v>440</v>
      </c>
      <c r="K70" s="99" t="str">
        <f t="shared" si="4"/>
        <v xml:space="preserve">    title_i_mod_sc: "Spatial count (SC) model / Unmarked spatial capture-recapture"</v>
      </c>
      <c r="L70" s="99" t="str">
        <f t="shared" si="5"/>
        <v>https://ab-rcsc.github.io/rc-decision-support-tool_concept-library/02_dialog-boxes/03_14_mod_sc.html</v>
      </c>
    </row>
    <row r="71" spans="1:12" ht="14.25" customHeight="1">
      <c r="A71" s="99">
        <v>71</v>
      </c>
      <c r="B71" s="99">
        <v>3</v>
      </c>
      <c r="C71" s="99">
        <v>65</v>
      </c>
      <c r="D71" s="150" t="s">
        <v>4</v>
      </c>
      <c r="E71" s="99" t="s">
        <v>5590</v>
      </c>
      <c r="F71" s="99" t="s">
        <v>4841</v>
      </c>
      <c r="G71" s="99" t="s">
        <v>22</v>
      </c>
      <c r="H71" s="99" t="b">
        <v>1</v>
      </c>
      <c r="J71" s="99" t="s">
        <v>4780</v>
      </c>
      <c r="K71" s="99" t="str">
        <f t="shared" si="4"/>
        <v xml:space="preserve">    title_i_mod_catspim: "Spatial Partial Identity Model (Categorical SPIM; catSPIM)"</v>
      </c>
      <c r="L71" s="99" t="str">
        <f t="shared" si="5"/>
        <v>https://ab-rcsc.github.io/rc-decision-support-tool_concept-library/02_dialog-boxes/03_15_mod_catspim.html</v>
      </c>
    </row>
    <row r="72" spans="1:12" ht="14.25" customHeight="1">
      <c r="A72" s="99">
        <v>72</v>
      </c>
      <c r="B72" s="99">
        <v>3</v>
      </c>
      <c r="C72" s="99">
        <v>66</v>
      </c>
      <c r="D72" s="150" t="s">
        <v>4</v>
      </c>
      <c r="E72" s="99" t="s">
        <v>5590</v>
      </c>
      <c r="F72" s="99" t="s">
        <v>4839</v>
      </c>
      <c r="G72" s="99" t="s">
        <v>21</v>
      </c>
      <c r="H72" s="99" t="b">
        <v>1</v>
      </c>
      <c r="J72" s="99" t="s">
        <v>4779</v>
      </c>
      <c r="K72" s="99" t="str">
        <f t="shared" si="4"/>
        <v xml:space="preserve">    title_i_mod_2flankspim: "Spatial Partial Identity Model (2-flank SPIM)"</v>
      </c>
      <c r="L72" s="99" t="str">
        <f t="shared" si="5"/>
        <v>https://ab-rcsc.github.io/rc-decision-support-tool_concept-library/02_dialog-boxes/03_16_mod_2flankspim.html</v>
      </c>
    </row>
    <row r="73" spans="1:12" ht="14.25" customHeight="1">
      <c r="A73" s="99">
        <v>73</v>
      </c>
      <c r="B73" s="99">
        <v>3</v>
      </c>
      <c r="C73" s="99">
        <v>67</v>
      </c>
      <c r="D73" s="150" t="s">
        <v>4</v>
      </c>
      <c r="E73" s="99" t="s">
        <v>5590</v>
      </c>
      <c r="F73" s="99" t="s">
        <v>4853</v>
      </c>
      <c r="G73" s="99" t="s">
        <v>16</v>
      </c>
      <c r="H73" s="99" t="b">
        <v>1</v>
      </c>
      <c r="J73" s="99" t="s">
        <v>15</v>
      </c>
      <c r="K73" s="99" t="str">
        <f t="shared" si="4"/>
        <v xml:space="preserve">    title_i_mod_rem: "Random encounter model (REM)"</v>
      </c>
      <c r="L73" s="99" t="str">
        <f t="shared" si="5"/>
        <v>https://ab-rcsc.github.io/rc-decision-support-tool_concept-library/02_dialog-boxes/03_17_mod_rem.html</v>
      </c>
    </row>
    <row r="74" spans="1:12" ht="14.25" customHeight="1">
      <c r="A74" s="99">
        <v>74</v>
      </c>
      <c r="B74" s="99">
        <v>3</v>
      </c>
      <c r="C74" s="99">
        <v>68</v>
      </c>
      <c r="D74" s="150" t="s">
        <v>4</v>
      </c>
      <c r="E74" s="99" t="s">
        <v>5590</v>
      </c>
      <c r="F74" s="99" t="s">
        <v>4854</v>
      </c>
      <c r="G74" s="99" t="s">
        <v>14</v>
      </c>
      <c r="H74" s="99" t="b">
        <v>1</v>
      </c>
      <c r="J74" s="99" t="s">
        <v>13</v>
      </c>
      <c r="K74" s="99" t="str">
        <f t="shared" si="4"/>
        <v xml:space="preserve">    title_i_mod_rest: "Random encounter and staying time (REST)"</v>
      </c>
      <c r="L74" s="99" t="str">
        <f t="shared" si="5"/>
        <v>https://ab-rcsc.github.io/rc-decision-support-tool_concept-library/02_dialog-boxes/03_18_mod_rest.html</v>
      </c>
    </row>
    <row r="75" spans="1:12" ht="14.25" customHeight="1">
      <c r="A75" s="99">
        <v>75</v>
      </c>
      <c r="B75" s="99">
        <v>3</v>
      </c>
      <c r="C75" s="99">
        <v>69</v>
      </c>
      <c r="D75" s="150" t="s">
        <v>4</v>
      </c>
      <c r="E75" s="99" t="s">
        <v>5590</v>
      </c>
      <c r="F75" s="99" t="s">
        <v>4859</v>
      </c>
      <c r="G75" s="99" t="s">
        <v>12</v>
      </c>
      <c r="H75" s="99" t="b">
        <v>1</v>
      </c>
      <c r="J75" s="99" t="s">
        <v>11</v>
      </c>
      <c r="K75" s="99" t="str">
        <f t="shared" si="4"/>
        <v xml:space="preserve">    title_i_mod_tifc: "Time in front of the camera (TIFC)"</v>
      </c>
      <c r="L75" s="99" t="str">
        <f t="shared" si="5"/>
        <v>https://ab-rcsc.github.io/rc-decision-support-tool_concept-library/02_dialog-boxes/03_19_mod_tifc.html</v>
      </c>
    </row>
    <row r="76" spans="1:12" ht="14.25" customHeight="1">
      <c r="A76" s="99">
        <v>76</v>
      </c>
      <c r="B76" s="99">
        <v>3</v>
      </c>
      <c r="C76" s="99">
        <v>70</v>
      </c>
      <c r="D76" s="150" t="s">
        <v>4</v>
      </c>
      <c r="E76" s="99" t="s">
        <v>5590</v>
      </c>
      <c r="F76" s="99" t="s">
        <v>4844</v>
      </c>
      <c r="G76" s="99" t="s">
        <v>10</v>
      </c>
      <c r="H76" s="99" t="b">
        <v>1</v>
      </c>
      <c r="J76" s="99" t="s">
        <v>9</v>
      </c>
      <c r="K76" s="99" t="str">
        <f t="shared" si="4"/>
        <v xml:space="preserve">    title_i_mod_ds: "Distance sampling (DS)"</v>
      </c>
      <c r="L76" s="99" t="str">
        <f t="shared" si="5"/>
        <v>https://ab-rcsc.github.io/rc-decision-support-tool_concept-library/02_dialog-boxes/03_20_mod_ds.html</v>
      </c>
    </row>
    <row r="77" spans="1:12" ht="14.25" customHeight="1">
      <c r="A77" s="99">
        <v>77</v>
      </c>
      <c r="B77" s="99">
        <v>3</v>
      </c>
      <c r="C77" s="99">
        <v>71</v>
      </c>
      <c r="D77" s="103" t="s">
        <v>4</v>
      </c>
      <c r="E77" s="99" t="s">
        <v>5590</v>
      </c>
      <c r="F77" s="99" t="s">
        <v>4860</v>
      </c>
      <c r="G77" s="99" t="s">
        <v>8</v>
      </c>
      <c r="H77" s="99" t="b">
        <v>1</v>
      </c>
      <c r="J77" s="99" t="s">
        <v>7</v>
      </c>
      <c r="K77" s="99" t="str">
        <f t="shared" si="4"/>
        <v xml:space="preserve">    title_i_mod_tte: "Time-to-event (TTE)"</v>
      </c>
      <c r="L77" s="99" t="str">
        <f t="shared" si="5"/>
        <v>https://ab-rcsc.github.io/rc-decision-support-tool_concept-library/02_dialog-boxes/03_21_mod_tte.html</v>
      </c>
    </row>
    <row r="78" spans="1:12" ht="14.25" customHeight="1">
      <c r="A78" s="99">
        <v>78</v>
      </c>
      <c r="B78" s="99">
        <v>3</v>
      </c>
      <c r="C78" s="99">
        <v>72</v>
      </c>
      <c r="D78" s="103" t="s">
        <v>4</v>
      </c>
      <c r="E78" s="99" t="s">
        <v>5590</v>
      </c>
      <c r="F78" s="99" t="s">
        <v>4858</v>
      </c>
      <c r="G78" s="99" t="s">
        <v>6</v>
      </c>
      <c r="H78" s="99" t="b">
        <v>1</v>
      </c>
      <c r="J78" s="99" t="s">
        <v>5</v>
      </c>
      <c r="K78" s="99" t="str">
        <f t="shared" si="4"/>
        <v xml:space="preserve">    title_i_mod_ste: "Space-to-event (STE)"</v>
      </c>
      <c r="L78" s="99" t="str">
        <f t="shared" si="5"/>
        <v>https://ab-rcsc.github.io/rc-decision-support-tool_concept-library/02_dialog-boxes/03_22_mod_ste.html</v>
      </c>
    </row>
    <row r="79" spans="1:12" ht="14.25" customHeight="1">
      <c r="A79" s="99">
        <v>79</v>
      </c>
      <c r="B79" s="99">
        <v>3</v>
      </c>
      <c r="C79" s="99">
        <v>73</v>
      </c>
      <c r="D79" s="103" t="s">
        <v>4</v>
      </c>
      <c r="E79" s="99" t="s">
        <v>5590</v>
      </c>
      <c r="F79" s="99" t="s">
        <v>4846</v>
      </c>
      <c r="G79" s="99" t="s">
        <v>3</v>
      </c>
      <c r="H79" s="99" t="b">
        <v>1</v>
      </c>
      <c r="J79" s="99" t="s">
        <v>2</v>
      </c>
      <c r="K79" s="99" t="str">
        <f t="shared" si="4"/>
        <v xml:space="preserve">    title_i_mod_is: "Instantaneous sampling (IS)"</v>
      </c>
      <c r="L79" s="99" t="str">
        <f t="shared" si="5"/>
        <v>https://ab-rcsc.github.io/rc-decision-support-tool_concept-library/02_dialog-boxes/03_23_mod_is.html</v>
      </c>
    </row>
    <row r="80" spans="1:12" ht="14.25" customHeight="1">
      <c r="A80" s="99">
        <v>80</v>
      </c>
      <c r="B80" s="99">
        <v>3</v>
      </c>
      <c r="C80" s="99">
        <v>74</v>
      </c>
      <c r="D80" s="103" t="s">
        <v>4</v>
      </c>
      <c r="E80" s="99" t="s">
        <v>5590</v>
      </c>
      <c r="F80" s="99" t="s">
        <v>4840</v>
      </c>
      <c r="G80" s="99" t="s">
        <v>31</v>
      </c>
      <c r="H80" s="99" t="b">
        <v>1</v>
      </c>
      <c r="J80" s="99" t="s">
        <v>30</v>
      </c>
      <c r="K80" s="99" t="str">
        <f t="shared" si="4"/>
        <v xml:space="preserve">    title_i_mod_behaviour: "Behaviour"</v>
      </c>
      <c r="L80" s="99" t="str">
        <f t="shared" si="5"/>
        <v>https://ab-rcsc.github.io/rc-decision-support-tool_concept-library/02_dialog-boxes/03_24_mod_behaviour.html</v>
      </c>
    </row>
    <row r="81" spans="1:12" ht="14.25" customHeight="1">
      <c r="A81"/>
      <c r="B81"/>
      <c r="C81"/>
      <c r="D81"/>
      <c r="E81"/>
      <c r="F81"/>
      <c r="G81"/>
      <c r="H81"/>
      <c r="I81"/>
      <c r="J81"/>
      <c r="K81"/>
      <c r="L81"/>
    </row>
    <row r="82" spans="1:12" ht="14.25" customHeight="1">
      <c r="A82"/>
      <c r="B82"/>
      <c r="C82"/>
      <c r="D82"/>
      <c r="E82"/>
      <c r="F82"/>
      <c r="G82"/>
      <c r="H82"/>
      <c r="I82"/>
      <c r="J82"/>
      <c r="K82"/>
      <c r="L82"/>
    </row>
    <row r="83" spans="1:12" ht="14.25" customHeight="1">
      <c r="A83"/>
      <c r="B83"/>
      <c r="C83"/>
      <c r="D83"/>
      <c r="E83"/>
      <c r="F83"/>
      <c r="G83"/>
      <c r="H83"/>
      <c r="I83"/>
      <c r="J83"/>
      <c r="K83"/>
      <c r="L83"/>
    </row>
    <row r="84" spans="1:12" ht="14.25" customHeight="1">
      <c r="A84"/>
      <c r="B84"/>
      <c r="C84"/>
      <c r="D84"/>
      <c r="E84"/>
      <c r="F84"/>
      <c r="G84"/>
      <c r="H84"/>
      <c r="I84"/>
      <c r="J84"/>
      <c r="K84"/>
      <c r="L84"/>
    </row>
    <row r="85" spans="1:12" ht="14.25" customHeight="1">
      <c r="A85"/>
      <c r="B85"/>
      <c r="C85"/>
      <c r="D85"/>
      <c r="E85"/>
      <c r="F85"/>
      <c r="G85"/>
      <c r="H85"/>
      <c r="I85"/>
      <c r="J85"/>
      <c r="K85"/>
      <c r="L85"/>
    </row>
    <row r="86" spans="1:12" ht="14.25" customHeight="1">
      <c r="A86"/>
      <c r="B86"/>
      <c r="C86"/>
      <c r="D86"/>
      <c r="E86"/>
      <c r="F86"/>
      <c r="G86"/>
      <c r="H86"/>
      <c r="I86"/>
      <c r="J86"/>
      <c r="K86"/>
      <c r="L86"/>
    </row>
    <row r="87" spans="1:12" ht="14.25" customHeight="1">
      <c r="A87"/>
      <c r="B87"/>
      <c r="C87"/>
      <c r="D87"/>
      <c r="E87"/>
      <c r="F87"/>
      <c r="G87"/>
      <c r="H87"/>
      <c r="I87"/>
      <c r="J87"/>
      <c r="K87"/>
      <c r="L87"/>
    </row>
    <row r="88" spans="1:12" ht="14.25" customHeight="1">
      <c r="A88"/>
      <c r="B88"/>
      <c r="C88"/>
      <c r="D88"/>
      <c r="E88"/>
      <c r="F88"/>
      <c r="G88"/>
      <c r="H88"/>
      <c r="I88"/>
      <c r="J88"/>
      <c r="K88"/>
      <c r="L88"/>
    </row>
    <row r="89" spans="1:12" ht="14.25" customHeight="1">
      <c r="A89"/>
      <c r="B89"/>
      <c r="C89"/>
      <c r="D89"/>
      <c r="E89"/>
      <c r="F89"/>
      <c r="G89"/>
      <c r="H89"/>
      <c r="I89"/>
      <c r="J89"/>
      <c r="K89"/>
      <c r="L89"/>
    </row>
    <row r="90" spans="1:12" ht="14.25" customHeight="1">
      <c r="A90"/>
      <c r="B90"/>
      <c r="C90"/>
      <c r="D90"/>
      <c r="E90"/>
      <c r="F90"/>
      <c r="G90"/>
      <c r="H90"/>
      <c r="I90"/>
      <c r="J90"/>
      <c r="K90"/>
      <c r="L90"/>
    </row>
    <row r="91" spans="1:12" ht="14.25" customHeight="1">
      <c r="A91"/>
      <c r="B91"/>
      <c r="C91"/>
      <c r="D91"/>
      <c r="E91"/>
      <c r="F91"/>
      <c r="G91"/>
      <c r="H91"/>
      <c r="I91"/>
      <c r="J91"/>
      <c r="K91"/>
      <c r="L91"/>
    </row>
    <row r="92" spans="1:12" ht="14.25" customHeight="1">
      <c r="A92"/>
      <c r="B92"/>
      <c r="C92"/>
      <c r="D92"/>
      <c r="E92"/>
      <c r="F92"/>
      <c r="G92"/>
      <c r="H92"/>
      <c r="I92"/>
      <c r="J92"/>
      <c r="K92"/>
      <c r="L92"/>
    </row>
    <row r="93" spans="1:12" ht="14.25" customHeight="1">
      <c r="F93"/>
    </row>
    <row r="94" spans="1:12" ht="14.25" customHeight="1">
      <c r="F94"/>
    </row>
    <row r="95" spans="1:12" ht="14.25" customHeight="1">
      <c r="F95"/>
    </row>
    <row r="96" spans="1:12" ht="14.25" customHeight="1">
      <c r="F96"/>
    </row>
    <row r="97" spans="6:6" ht="14.25" customHeight="1">
      <c r="F97"/>
    </row>
    <row r="98" spans="6:6" ht="14.25" customHeight="1">
      <c r="F98"/>
    </row>
    <row r="99" spans="6:6" ht="14.25" customHeight="1">
      <c r="F99"/>
    </row>
    <row r="100" spans="6:6" ht="14.25" customHeight="1">
      <c r="F100"/>
    </row>
    <row r="101" spans="6:6" ht="14.25" customHeight="1">
      <c r="F101"/>
    </row>
    <row r="102" spans="6:6" ht="14.25" customHeight="1">
      <c r="F102"/>
    </row>
    <row r="103" spans="6:6" ht="14.25" customHeight="1">
      <c r="F103"/>
    </row>
    <row r="104" spans="6:6" ht="14.25" customHeight="1"/>
    <row r="105" spans="6:6" ht="14.25" customHeight="1"/>
    <row r="106" spans="6:6" ht="14.25" customHeight="1"/>
    <row r="107" spans="6:6" ht="14.25" customHeight="1"/>
    <row r="108" spans="6:6" ht="14.25" customHeight="1"/>
    <row r="109" spans="6:6" ht="14.25" customHeight="1"/>
    <row r="110" spans="6:6" ht="14.25" customHeight="1"/>
    <row r="111" spans="6:6" ht="14.25" customHeight="1"/>
    <row r="112" spans="6:6"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sheetData>
  <autoFilter ref="A1:L80" xr:uid="{B1F2C36C-AEF4-4690-B216-D74A6519B0AD}">
    <filterColumn colId="7">
      <filters>
        <filter val="TRUE"/>
      </filters>
    </filterColumn>
    <sortState xmlns:xlrd2="http://schemas.microsoft.com/office/spreadsheetml/2017/richdata2" ref="A4:L80">
      <sortCondition ref="I1:I80"/>
    </sortState>
  </autoFilter>
  <conditionalFormatting sqref="G1">
    <cfRule type="duplicateValues" dxfId="44" priority="11"/>
  </conditionalFormatting>
  <conditionalFormatting sqref="G17">
    <cfRule type="duplicateValues" dxfId="43" priority="10"/>
  </conditionalFormatting>
  <conditionalFormatting sqref="G19">
    <cfRule type="duplicateValues" dxfId="42" priority="9"/>
  </conditionalFormatting>
  <conditionalFormatting sqref="G47">
    <cfRule type="duplicateValues" dxfId="41" priority="6"/>
  </conditionalFormatting>
  <conditionalFormatting sqref="G48">
    <cfRule type="duplicateValues" dxfId="40" priority="5"/>
  </conditionalFormatting>
  <conditionalFormatting sqref="G51">
    <cfRule type="duplicateValues" dxfId="39" priority="8"/>
  </conditionalFormatting>
  <conditionalFormatting sqref="G53:G57">
    <cfRule type="duplicateValues" dxfId="38" priority="55"/>
  </conditionalFormatting>
  <conditionalFormatting sqref="G72">
    <cfRule type="duplicateValues" dxfId="37" priority="2"/>
  </conditionalFormatting>
  <conditionalFormatting sqref="G77:G80">
    <cfRule type="duplicateValues" dxfId="36" priority="1"/>
  </conditionalFormatting>
  <pageMargins left="0.7" right="0.7" top="0.75" bottom="0.75" header="0" footer="0"/>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EC35-45E4-41C1-AB81-66692467611D}">
  <dimension ref="A1:H115"/>
  <sheetViews>
    <sheetView workbookViewId="0">
      <pane ySplit="1" topLeftCell="A14" activePane="bottomLeft" state="frozen"/>
      <selection pane="bottomLeft" activeCell="E23" sqref="E23"/>
    </sheetView>
  </sheetViews>
  <sheetFormatPr defaultRowHeight="14.25"/>
  <cols>
    <col min="1" max="1" width="20.625" customWidth="1"/>
    <col min="2" max="2" width="20.125" bestFit="1" customWidth="1"/>
    <col min="3" max="3" width="18.125" bestFit="1" customWidth="1"/>
    <col min="4" max="4" width="18.375" customWidth="1"/>
    <col min="5" max="5" width="39.625" customWidth="1"/>
    <col min="6" max="6" width="43" customWidth="1"/>
    <col min="7" max="7" width="43.75" customWidth="1"/>
  </cols>
  <sheetData>
    <row r="1" spans="1:8" ht="15">
      <c r="A1" s="36" t="s">
        <v>5086</v>
      </c>
      <c r="B1" s="36" t="s">
        <v>5085</v>
      </c>
      <c r="C1" s="36" t="s">
        <v>5084</v>
      </c>
      <c r="D1" s="36" t="s">
        <v>5083</v>
      </c>
      <c r="E1" s="1" t="s">
        <v>5082</v>
      </c>
      <c r="F1" s="36" t="s">
        <v>350</v>
      </c>
      <c r="G1" s="36" t="s">
        <v>1063</v>
      </c>
      <c r="H1" s="36" t="s">
        <v>529</v>
      </c>
    </row>
    <row r="2" spans="1:8">
      <c r="A2" t="s">
        <v>4897</v>
      </c>
      <c r="B2" t="s">
        <v>4955</v>
      </c>
      <c r="C2" t="s">
        <v>4951</v>
      </c>
      <c r="D2" t="s">
        <v>4950</v>
      </c>
      <c r="E2" t="s">
        <v>4949</v>
      </c>
      <c r="F2" t="s">
        <v>6009</v>
      </c>
      <c r="G2" t="s">
        <v>5990</v>
      </c>
    </row>
    <row r="3" spans="1:8">
      <c r="A3" t="s">
        <v>4897</v>
      </c>
      <c r="B3" t="s">
        <v>40</v>
      </c>
      <c r="C3" t="s">
        <v>48</v>
      </c>
      <c r="D3" t="s">
        <v>35</v>
      </c>
      <c r="E3" t="s">
        <v>48</v>
      </c>
      <c r="F3" t="s">
        <v>4082</v>
      </c>
      <c r="G3" t="s">
        <v>1749</v>
      </c>
    </row>
    <row r="4" spans="1:8">
      <c r="A4" t="s">
        <v>4897</v>
      </c>
      <c r="B4" t="s">
        <v>4955</v>
      </c>
      <c r="C4" t="s">
        <v>4915</v>
      </c>
      <c r="D4" t="s">
        <v>4914</v>
      </c>
      <c r="E4" t="s">
        <v>4948</v>
      </c>
      <c r="F4" t="s">
        <v>6025</v>
      </c>
      <c r="G4" t="s">
        <v>5989</v>
      </c>
    </row>
    <row r="5" spans="1:8">
      <c r="A5" t="s">
        <v>4897</v>
      </c>
      <c r="B5" t="s">
        <v>4955</v>
      </c>
      <c r="C5" t="s">
        <v>4954</v>
      </c>
      <c r="D5" t="s">
        <v>4953</v>
      </c>
      <c r="E5" t="s">
        <v>4952</v>
      </c>
      <c r="F5" t="s">
        <v>6010</v>
      </c>
      <c r="G5" t="s">
        <v>5988</v>
      </c>
    </row>
    <row r="6" spans="1:8">
      <c r="A6" t="s">
        <v>4869</v>
      </c>
      <c r="B6" t="s">
        <v>4980</v>
      </c>
      <c r="C6" t="s">
        <v>4978</v>
      </c>
      <c r="D6" t="s">
        <v>4982</v>
      </c>
      <c r="E6" t="s">
        <v>4975</v>
      </c>
      <c r="F6" t="s">
        <v>6011</v>
      </c>
      <c r="G6" t="s">
        <v>6011</v>
      </c>
    </row>
    <row r="7" spans="1:8">
      <c r="A7" t="s">
        <v>4869</v>
      </c>
      <c r="B7" t="s">
        <v>4966</v>
      </c>
      <c r="C7" t="s">
        <v>4978</v>
      </c>
      <c r="D7" t="s">
        <v>4977</v>
      </c>
      <c r="E7" t="s">
        <v>4976</v>
      </c>
      <c r="F7" t="s">
        <v>6052</v>
      </c>
      <c r="G7" t="s">
        <v>6052</v>
      </c>
    </row>
    <row r="8" spans="1:8">
      <c r="A8" t="s">
        <v>4869</v>
      </c>
      <c r="B8" t="s">
        <v>4980</v>
      </c>
      <c r="C8" t="s">
        <v>4974</v>
      </c>
      <c r="D8" t="s">
        <v>4981</v>
      </c>
      <c r="E8" t="s">
        <v>4971</v>
      </c>
      <c r="F8" t="s">
        <v>6012</v>
      </c>
      <c r="G8" t="s">
        <v>6012</v>
      </c>
    </row>
    <row r="9" spans="1:8">
      <c r="A9" t="s">
        <v>4869</v>
      </c>
      <c r="B9" t="s">
        <v>4966</v>
      </c>
      <c r="C9" t="s">
        <v>4974</v>
      </c>
      <c r="D9" t="s">
        <v>4973</v>
      </c>
      <c r="E9" t="s">
        <v>4972</v>
      </c>
      <c r="F9" t="s">
        <v>6050</v>
      </c>
      <c r="G9" t="s">
        <v>6050</v>
      </c>
    </row>
    <row r="10" spans="1:8">
      <c r="A10" t="s">
        <v>4869</v>
      </c>
      <c r="B10" t="s">
        <v>4966</v>
      </c>
      <c r="C10" t="s">
        <v>4970</v>
      </c>
      <c r="D10" t="s">
        <v>4969</v>
      </c>
      <c r="E10" t="s">
        <v>4968</v>
      </c>
      <c r="F10" t="s">
        <v>6051</v>
      </c>
      <c r="G10" t="s">
        <v>6051</v>
      </c>
    </row>
    <row r="11" spans="1:8">
      <c r="A11" t="s">
        <v>4869</v>
      </c>
      <c r="B11" t="s">
        <v>4980</v>
      </c>
      <c r="C11" t="s">
        <v>4970</v>
      </c>
      <c r="D11" t="s">
        <v>4979</v>
      </c>
      <c r="E11" t="s">
        <v>4967</v>
      </c>
      <c r="F11" t="s">
        <v>6022</v>
      </c>
      <c r="G11" t="s">
        <v>6022</v>
      </c>
    </row>
    <row r="12" spans="1:8">
      <c r="A12" t="s">
        <v>4897</v>
      </c>
      <c r="B12" t="s">
        <v>4896</v>
      </c>
      <c r="C12" t="s">
        <v>4904</v>
      </c>
      <c r="D12" t="s">
        <v>4903</v>
      </c>
      <c r="E12" t="s">
        <v>4902</v>
      </c>
      <c r="F12" t="s">
        <v>4901</v>
      </c>
      <c r="G12" t="s">
        <v>4901</v>
      </c>
    </row>
    <row r="13" spans="1:8">
      <c r="A13" t="s">
        <v>4897</v>
      </c>
      <c r="B13" t="s">
        <v>4896</v>
      </c>
      <c r="C13" t="s">
        <v>768</v>
      </c>
      <c r="D13" t="s">
        <v>4900</v>
      </c>
      <c r="E13" t="s">
        <v>4899</v>
      </c>
      <c r="F13" t="s">
        <v>4898</v>
      </c>
      <c r="G13" t="s">
        <v>4898</v>
      </c>
    </row>
    <row r="14" spans="1:8">
      <c r="A14" t="s">
        <v>4897</v>
      </c>
      <c r="B14" t="s">
        <v>4909</v>
      </c>
      <c r="C14" t="s">
        <v>4918</v>
      </c>
      <c r="D14" t="s">
        <v>4917</v>
      </c>
      <c r="E14" t="s">
        <v>4916</v>
      </c>
      <c r="F14" t="s">
        <v>5087</v>
      </c>
      <c r="G14" t="s">
        <v>5087</v>
      </c>
    </row>
    <row r="15" spans="1:8">
      <c r="A15" t="s">
        <v>4897</v>
      </c>
      <c r="B15" t="s">
        <v>40</v>
      </c>
      <c r="C15" t="s">
        <v>39</v>
      </c>
      <c r="D15" t="s">
        <v>30</v>
      </c>
      <c r="E15" t="s">
        <v>39</v>
      </c>
      <c r="F15" t="s">
        <v>4990</v>
      </c>
      <c r="G15" t="s">
        <v>5938</v>
      </c>
    </row>
    <row r="16" spans="1:8">
      <c r="A16" t="s">
        <v>4897</v>
      </c>
      <c r="B16" t="s">
        <v>4896</v>
      </c>
      <c r="C16" t="s">
        <v>4895</v>
      </c>
      <c r="D16" t="s">
        <v>4894</v>
      </c>
      <c r="E16" t="s">
        <v>4893</v>
      </c>
      <c r="F16" t="s">
        <v>4892</v>
      </c>
      <c r="G16" t="s">
        <v>4892</v>
      </c>
    </row>
    <row r="17" spans="1:7">
      <c r="A17" t="s">
        <v>4869</v>
      </c>
      <c r="B17" t="s">
        <v>5079</v>
      </c>
      <c r="C17" t="b">
        <v>0</v>
      </c>
      <c r="D17" t="s">
        <v>4871</v>
      </c>
      <c r="E17" t="s">
        <v>5081</v>
      </c>
      <c r="F17" t="s">
        <v>51</v>
      </c>
      <c r="G17" t="s">
        <v>51</v>
      </c>
    </row>
    <row r="18" spans="1:7">
      <c r="A18" t="s">
        <v>4869</v>
      </c>
      <c r="B18" t="s">
        <v>5079</v>
      </c>
      <c r="C18" t="b">
        <v>1</v>
      </c>
      <c r="D18" t="s">
        <v>4867</v>
      </c>
      <c r="E18" t="s">
        <v>5080</v>
      </c>
      <c r="F18" t="s">
        <v>51</v>
      </c>
      <c r="G18" t="s">
        <v>51</v>
      </c>
    </row>
    <row r="19" spans="1:7">
      <c r="A19" t="s">
        <v>4869</v>
      </c>
      <c r="B19" t="s">
        <v>5078</v>
      </c>
      <c r="C19" t="b">
        <v>0</v>
      </c>
      <c r="D19" t="s">
        <v>4871</v>
      </c>
      <c r="E19" t="s">
        <v>6003</v>
      </c>
      <c r="F19" t="s">
        <v>51</v>
      </c>
      <c r="G19" t="s">
        <v>51</v>
      </c>
    </row>
    <row r="20" spans="1:7">
      <c r="A20" t="s">
        <v>4869</v>
      </c>
      <c r="B20" t="s">
        <v>5078</v>
      </c>
      <c r="C20" t="b">
        <v>1</v>
      </c>
      <c r="D20" t="s">
        <v>4867</v>
      </c>
      <c r="E20" t="s">
        <v>6002</v>
      </c>
      <c r="F20" t="s">
        <v>51</v>
      </c>
      <c r="G20" t="s">
        <v>51</v>
      </c>
    </row>
    <row r="21" spans="1:7">
      <c r="A21" t="s">
        <v>4869</v>
      </c>
      <c r="B21" t="s">
        <v>5062</v>
      </c>
      <c r="C21" t="s">
        <v>5074</v>
      </c>
      <c r="D21" t="s">
        <v>5073</v>
      </c>
      <c r="E21" t="s">
        <v>5072</v>
      </c>
      <c r="F21" t="s">
        <v>51</v>
      </c>
      <c r="G21" t="s">
        <v>51</v>
      </c>
    </row>
    <row r="22" spans="1:7">
      <c r="A22" t="s">
        <v>4869</v>
      </c>
      <c r="B22" t="s">
        <v>5062</v>
      </c>
      <c r="C22" t="s">
        <v>5068</v>
      </c>
      <c r="D22" t="s">
        <v>5067</v>
      </c>
      <c r="E22" t="s">
        <v>5066</v>
      </c>
      <c r="F22" t="s">
        <v>51</v>
      </c>
      <c r="G22" t="s">
        <v>51</v>
      </c>
    </row>
    <row r="23" spans="1:7">
      <c r="A23" t="s">
        <v>4869</v>
      </c>
      <c r="B23" t="s">
        <v>5062</v>
      </c>
      <c r="C23" t="s">
        <v>5077</v>
      </c>
      <c r="D23" t="s">
        <v>5076</v>
      </c>
      <c r="E23" t="s">
        <v>5075</v>
      </c>
      <c r="F23" t="s">
        <v>51</v>
      </c>
      <c r="G23" t="s">
        <v>51</v>
      </c>
    </row>
    <row r="24" spans="1:7">
      <c r="A24" t="s">
        <v>4869</v>
      </c>
      <c r="B24" t="s">
        <v>5062</v>
      </c>
      <c r="C24" t="s">
        <v>5059</v>
      </c>
      <c r="D24" t="s">
        <v>5061</v>
      </c>
      <c r="E24" t="s">
        <v>5060</v>
      </c>
      <c r="F24" t="s">
        <v>51</v>
      </c>
      <c r="G24" t="s">
        <v>51</v>
      </c>
    </row>
    <row r="25" spans="1:7">
      <c r="A25" t="s">
        <v>4869</v>
      </c>
      <c r="B25" t="s">
        <v>5062</v>
      </c>
      <c r="C25" t="s">
        <v>5065</v>
      </c>
      <c r="D25" t="s">
        <v>5064</v>
      </c>
      <c r="E25" t="s">
        <v>5063</v>
      </c>
      <c r="F25" t="s">
        <v>51</v>
      </c>
      <c r="G25" t="s">
        <v>51</v>
      </c>
    </row>
    <row r="26" spans="1:7">
      <c r="A26" t="s">
        <v>4869</v>
      </c>
      <c r="B26" t="s">
        <v>5062</v>
      </c>
      <c r="C26" t="s">
        <v>5071</v>
      </c>
      <c r="D26" t="s">
        <v>5070</v>
      </c>
      <c r="E26" t="s">
        <v>5069</v>
      </c>
      <c r="F26" t="s">
        <v>51</v>
      </c>
      <c r="G26" t="s">
        <v>51</v>
      </c>
    </row>
    <row r="27" spans="1:7">
      <c r="A27" t="s">
        <v>4869</v>
      </c>
      <c r="B27" t="s">
        <v>5054</v>
      </c>
      <c r="C27" t="s">
        <v>5056</v>
      </c>
      <c r="D27" t="s">
        <v>5055</v>
      </c>
      <c r="E27" t="s">
        <v>5056</v>
      </c>
      <c r="F27" t="s">
        <v>51</v>
      </c>
      <c r="G27" t="s">
        <v>51</v>
      </c>
    </row>
    <row r="28" spans="1:7">
      <c r="A28" t="s">
        <v>4869</v>
      </c>
      <c r="B28" t="s">
        <v>5054</v>
      </c>
      <c r="C28" t="s">
        <v>5053</v>
      </c>
      <c r="D28" t="s">
        <v>5052</v>
      </c>
      <c r="E28" t="s">
        <v>5053</v>
      </c>
      <c r="F28" t="s">
        <v>51</v>
      </c>
      <c r="G28" t="s">
        <v>51</v>
      </c>
    </row>
    <row r="29" spans="1:7">
      <c r="A29" t="s">
        <v>4869</v>
      </c>
      <c r="B29" t="s">
        <v>5049</v>
      </c>
      <c r="C29" t="s">
        <v>5048</v>
      </c>
      <c r="D29" t="s">
        <v>5047</v>
      </c>
      <c r="E29" t="s">
        <v>5048</v>
      </c>
      <c r="F29" t="s">
        <v>51</v>
      </c>
      <c r="G29" t="s">
        <v>51</v>
      </c>
    </row>
    <row r="30" spans="1:7" s="52" customFormat="1">
      <c r="A30" t="s">
        <v>4869</v>
      </c>
      <c r="B30" t="s">
        <v>5049</v>
      </c>
      <c r="C30" t="s">
        <v>5051</v>
      </c>
      <c r="D30" t="s">
        <v>5050</v>
      </c>
      <c r="E30" t="s">
        <v>5051</v>
      </c>
      <c r="F30" t="s">
        <v>51</v>
      </c>
      <c r="G30" t="s">
        <v>51</v>
      </c>
    </row>
    <row r="31" spans="1:7" s="52" customFormat="1">
      <c r="A31" t="s">
        <v>4869</v>
      </c>
      <c r="B31" t="s">
        <v>5054</v>
      </c>
      <c r="C31" t="s">
        <v>5059</v>
      </c>
      <c r="D31" t="s">
        <v>5058</v>
      </c>
      <c r="E31" t="s">
        <v>5057</v>
      </c>
      <c r="F31" t="s">
        <v>51</v>
      </c>
      <c r="G31" t="s">
        <v>51</v>
      </c>
    </row>
    <row r="32" spans="1:7" s="52" customFormat="1">
      <c r="A32" t="s">
        <v>4869</v>
      </c>
      <c r="B32" t="s">
        <v>5045</v>
      </c>
      <c r="C32" t="b">
        <v>0</v>
      </c>
      <c r="D32" t="s">
        <v>4871</v>
      </c>
      <c r="E32" t="s">
        <v>5046</v>
      </c>
      <c r="F32" t="s">
        <v>51</v>
      </c>
      <c r="G32" t="s">
        <v>51</v>
      </c>
    </row>
    <row r="33" spans="1:7">
      <c r="A33" t="s">
        <v>4869</v>
      </c>
      <c r="B33" t="s">
        <v>5045</v>
      </c>
      <c r="C33" t="b">
        <v>1</v>
      </c>
      <c r="D33" t="s">
        <v>4867</v>
      </c>
      <c r="E33" t="s">
        <v>5044</v>
      </c>
      <c r="F33" t="s">
        <v>51</v>
      </c>
      <c r="G33" t="s">
        <v>51</v>
      </c>
    </row>
    <row r="34" spans="1:7">
      <c r="A34" t="s">
        <v>4869</v>
      </c>
      <c r="B34" t="s">
        <v>5042</v>
      </c>
      <c r="C34" t="b">
        <v>0</v>
      </c>
      <c r="D34" t="s">
        <v>4871</v>
      </c>
      <c r="E34" t="s">
        <v>5043</v>
      </c>
      <c r="F34" t="s">
        <v>51</v>
      </c>
      <c r="G34" t="s">
        <v>51</v>
      </c>
    </row>
    <row r="35" spans="1:7">
      <c r="A35" t="s">
        <v>4869</v>
      </c>
      <c r="B35" t="s">
        <v>5042</v>
      </c>
      <c r="C35" t="b">
        <v>1</v>
      </c>
      <c r="D35" t="s">
        <v>4867</v>
      </c>
      <c r="E35" t="s">
        <v>5041</v>
      </c>
      <c r="F35" t="s">
        <v>51</v>
      </c>
      <c r="G35" t="s">
        <v>51</v>
      </c>
    </row>
    <row r="36" spans="1:7">
      <c r="A36" t="s">
        <v>4869</v>
      </c>
      <c r="B36" t="s">
        <v>5039</v>
      </c>
      <c r="C36" t="b">
        <v>0</v>
      </c>
      <c r="D36" t="s">
        <v>4871</v>
      </c>
      <c r="E36" t="s">
        <v>5040</v>
      </c>
      <c r="F36" t="s">
        <v>51</v>
      </c>
      <c r="G36" t="s">
        <v>51</v>
      </c>
    </row>
    <row r="37" spans="1:7">
      <c r="A37" t="s">
        <v>4869</v>
      </c>
      <c r="B37" t="s">
        <v>5039</v>
      </c>
      <c r="C37" t="b">
        <v>1</v>
      </c>
      <c r="D37" t="s">
        <v>4867</v>
      </c>
      <c r="E37" t="s">
        <v>5038</v>
      </c>
      <c r="F37" t="s">
        <v>51</v>
      </c>
      <c r="G37" t="s">
        <v>51</v>
      </c>
    </row>
    <row r="38" spans="1:7">
      <c r="A38" t="s">
        <v>4869</v>
      </c>
      <c r="B38" t="s">
        <v>5036</v>
      </c>
      <c r="C38" t="b">
        <v>0</v>
      </c>
      <c r="D38" t="s">
        <v>4871</v>
      </c>
      <c r="E38" t="s">
        <v>5037</v>
      </c>
      <c r="F38" t="s">
        <v>51</v>
      </c>
      <c r="G38" t="s">
        <v>51</v>
      </c>
    </row>
    <row r="39" spans="1:7">
      <c r="A39" t="s">
        <v>4869</v>
      </c>
      <c r="B39" t="s">
        <v>5036</v>
      </c>
      <c r="C39" t="b">
        <v>1</v>
      </c>
      <c r="D39" t="s">
        <v>4867</v>
      </c>
      <c r="E39" t="s">
        <v>5035</v>
      </c>
      <c r="F39" t="s">
        <v>51</v>
      </c>
      <c r="G39" t="s">
        <v>51</v>
      </c>
    </row>
    <row r="40" spans="1:7">
      <c r="A40" t="s">
        <v>4869</v>
      </c>
      <c r="B40" t="s">
        <v>5033</v>
      </c>
      <c r="C40" t="b">
        <v>0</v>
      </c>
      <c r="D40" t="s">
        <v>4871</v>
      </c>
      <c r="E40" t="s">
        <v>5034</v>
      </c>
      <c r="F40" t="s">
        <v>51</v>
      </c>
      <c r="G40" t="s">
        <v>51</v>
      </c>
    </row>
    <row r="41" spans="1:7">
      <c r="A41" t="s">
        <v>4869</v>
      </c>
      <c r="B41" t="s">
        <v>5033</v>
      </c>
      <c r="C41" t="b">
        <v>1</v>
      </c>
      <c r="D41" t="s">
        <v>4867</v>
      </c>
      <c r="E41" t="s">
        <v>5032</v>
      </c>
      <c r="F41" t="s">
        <v>51</v>
      </c>
      <c r="G41" t="s">
        <v>51</v>
      </c>
    </row>
    <row r="42" spans="1:7">
      <c r="A42" t="s">
        <v>4869</v>
      </c>
      <c r="B42" t="s">
        <v>5029</v>
      </c>
      <c r="C42" t="s">
        <v>5031</v>
      </c>
      <c r="D42" t="s">
        <v>5031</v>
      </c>
      <c r="E42" t="s">
        <v>5030</v>
      </c>
      <c r="F42" t="s">
        <v>51</v>
      </c>
      <c r="G42" t="s">
        <v>51</v>
      </c>
    </row>
    <row r="43" spans="1:7">
      <c r="A43" t="s">
        <v>4869</v>
      </c>
      <c r="B43" t="s">
        <v>5029</v>
      </c>
      <c r="C43" t="s">
        <v>4964</v>
      </c>
      <c r="D43" t="s">
        <v>4964</v>
      </c>
      <c r="E43" t="s">
        <v>5028</v>
      </c>
      <c r="F43" t="s">
        <v>51</v>
      </c>
      <c r="G43" t="s">
        <v>51</v>
      </c>
    </row>
    <row r="44" spans="1:7">
      <c r="A44" t="s">
        <v>4869</v>
      </c>
      <c r="B44" t="s">
        <v>5026</v>
      </c>
      <c r="C44" t="b">
        <v>0</v>
      </c>
      <c r="D44" t="s">
        <v>4871</v>
      </c>
      <c r="E44" t="s">
        <v>5027</v>
      </c>
      <c r="F44" t="s">
        <v>51</v>
      </c>
      <c r="G44" t="s">
        <v>51</v>
      </c>
    </row>
    <row r="45" spans="1:7">
      <c r="A45" t="s">
        <v>4869</v>
      </c>
      <c r="B45" t="s">
        <v>5026</v>
      </c>
      <c r="C45" t="b">
        <v>1</v>
      </c>
      <c r="D45" t="s">
        <v>4867</v>
      </c>
      <c r="E45" t="s">
        <v>5025</v>
      </c>
      <c r="F45" t="s">
        <v>51</v>
      </c>
      <c r="G45" t="s">
        <v>51</v>
      </c>
    </row>
    <row r="46" spans="1:7">
      <c r="A46" t="s">
        <v>4897</v>
      </c>
      <c r="B46" t="s">
        <v>5023</v>
      </c>
      <c r="C46" t="b">
        <v>0</v>
      </c>
      <c r="D46" t="s">
        <v>4871</v>
      </c>
      <c r="E46" t="s">
        <v>5024</v>
      </c>
      <c r="F46" t="s">
        <v>51</v>
      </c>
      <c r="G46" t="s">
        <v>51</v>
      </c>
    </row>
    <row r="47" spans="1:7">
      <c r="A47" t="s">
        <v>4897</v>
      </c>
      <c r="B47" t="s">
        <v>5023</v>
      </c>
      <c r="C47" t="b">
        <v>1</v>
      </c>
      <c r="D47" t="s">
        <v>4867</v>
      </c>
      <c r="E47" t="s">
        <v>5022</v>
      </c>
      <c r="F47" t="s">
        <v>51</v>
      </c>
      <c r="G47" t="s">
        <v>51</v>
      </c>
    </row>
    <row r="48" spans="1:7">
      <c r="A48" t="s">
        <v>4869</v>
      </c>
      <c r="B48" t="s">
        <v>5020</v>
      </c>
      <c r="C48" t="b">
        <v>0</v>
      </c>
      <c r="D48" t="s">
        <v>4871</v>
      </c>
      <c r="E48" t="s">
        <v>5021</v>
      </c>
      <c r="F48" t="s">
        <v>51</v>
      </c>
      <c r="G48" t="s">
        <v>51</v>
      </c>
    </row>
    <row r="49" spans="1:7">
      <c r="A49" t="s">
        <v>4869</v>
      </c>
      <c r="B49" t="s">
        <v>5017</v>
      </c>
      <c r="C49" t="b">
        <v>0</v>
      </c>
      <c r="D49" t="s">
        <v>4871</v>
      </c>
      <c r="E49" t="s">
        <v>5018</v>
      </c>
      <c r="F49" t="s">
        <v>51</v>
      </c>
      <c r="G49" t="s">
        <v>51</v>
      </c>
    </row>
    <row r="50" spans="1:7">
      <c r="A50" t="s">
        <v>4869</v>
      </c>
      <c r="B50" t="s">
        <v>5017</v>
      </c>
      <c r="C50" t="b">
        <v>1</v>
      </c>
      <c r="D50" t="s">
        <v>4867</v>
      </c>
      <c r="E50" t="s">
        <v>5016</v>
      </c>
      <c r="F50" t="s">
        <v>51</v>
      </c>
      <c r="G50" t="s">
        <v>51</v>
      </c>
    </row>
    <row r="51" spans="1:7">
      <c r="A51" t="s">
        <v>4869</v>
      </c>
      <c r="B51" t="s">
        <v>5020</v>
      </c>
      <c r="C51" t="b">
        <v>1</v>
      </c>
      <c r="D51" t="s">
        <v>4867</v>
      </c>
      <c r="E51" t="s">
        <v>5019</v>
      </c>
      <c r="F51" t="s">
        <v>51</v>
      </c>
      <c r="G51" t="s">
        <v>51</v>
      </c>
    </row>
    <row r="52" spans="1:7">
      <c r="A52" t="s">
        <v>4869</v>
      </c>
      <c r="B52" t="s">
        <v>5013</v>
      </c>
      <c r="C52" t="s">
        <v>5015</v>
      </c>
      <c r="D52" t="s">
        <v>5015</v>
      </c>
      <c r="E52" t="s">
        <v>5014</v>
      </c>
      <c r="F52" t="s">
        <v>51</v>
      </c>
      <c r="G52" t="s">
        <v>51</v>
      </c>
    </row>
    <row r="53" spans="1:7">
      <c r="A53" t="s">
        <v>4869</v>
      </c>
      <c r="B53" t="s">
        <v>5013</v>
      </c>
      <c r="C53" t="s">
        <v>5012</v>
      </c>
      <c r="D53" t="s">
        <v>5012</v>
      </c>
      <c r="E53" t="s">
        <v>5011</v>
      </c>
      <c r="F53" t="s">
        <v>51</v>
      </c>
      <c r="G53" t="s">
        <v>51</v>
      </c>
    </row>
    <row r="54" spans="1:7">
      <c r="A54" t="s">
        <v>4869</v>
      </c>
      <c r="B54" t="s">
        <v>5008</v>
      </c>
      <c r="C54" t="s">
        <v>5010</v>
      </c>
      <c r="D54" t="s">
        <v>5010</v>
      </c>
      <c r="E54" t="s">
        <v>5009</v>
      </c>
      <c r="F54" t="s">
        <v>51</v>
      </c>
      <c r="G54" t="s">
        <v>51</v>
      </c>
    </row>
    <row r="55" spans="1:7">
      <c r="A55" t="s">
        <v>4869</v>
      </c>
      <c r="B55" t="s">
        <v>5008</v>
      </c>
      <c r="C55" t="s">
        <v>5007</v>
      </c>
      <c r="D55" t="s">
        <v>5007</v>
      </c>
      <c r="E55" t="s">
        <v>5006</v>
      </c>
      <c r="F55" t="s">
        <v>51</v>
      </c>
      <c r="G55" t="s">
        <v>51</v>
      </c>
    </row>
    <row r="56" spans="1:7">
      <c r="A56" t="s">
        <v>4869</v>
      </c>
      <c r="B56" t="s">
        <v>5004</v>
      </c>
      <c r="C56" t="s">
        <v>1432</v>
      </c>
      <c r="D56" t="s">
        <v>1432</v>
      </c>
      <c r="E56" t="s">
        <v>5005</v>
      </c>
      <c r="F56" t="s">
        <v>51</v>
      </c>
      <c r="G56" t="s">
        <v>51</v>
      </c>
    </row>
    <row r="57" spans="1:7">
      <c r="A57" t="s">
        <v>4869</v>
      </c>
      <c r="B57" t="s">
        <v>5004</v>
      </c>
      <c r="C57" t="s">
        <v>1424</v>
      </c>
      <c r="D57" t="s">
        <v>1424</v>
      </c>
      <c r="E57" t="s">
        <v>6026</v>
      </c>
      <c r="F57" t="s">
        <v>51</v>
      </c>
      <c r="G57" t="s">
        <v>51</v>
      </c>
    </row>
    <row r="58" spans="1:7">
      <c r="A58" t="s">
        <v>4869</v>
      </c>
      <c r="B58" t="s">
        <v>5004</v>
      </c>
      <c r="C58" t="s">
        <v>1416</v>
      </c>
      <c r="D58" t="s">
        <v>1416</v>
      </c>
      <c r="E58" t="s">
        <v>5003</v>
      </c>
      <c r="F58" t="s">
        <v>51</v>
      </c>
      <c r="G58" t="s">
        <v>51</v>
      </c>
    </row>
    <row r="59" spans="1:7">
      <c r="A59" t="s">
        <v>4869</v>
      </c>
      <c r="B59" t="s">
        <v>5001</v>
      </c>
      <c r="C59" t="b">
        <v>0</v>
      </c>
      <c r="D59" t="s">
        <v>4871</v>
      </c>
      <c r="E59" t="s">
        <v>5002</v>
      </c>
      <c r="F59" t="s">
        <v>51</v>
      </c>
      <c r="G59" t="s">
        <v>51</v>
      </c>
    </row>
    <row r="60" spans="1:7">
      <c r="A60" t="s">
        <v>4869</v>
      </c>
      <c r="B60" t="s">
        <v>5001</v>
      </c>
      <c r="C60" t="b">
        <v>1</v>
      </c>
      <c r="D60" t="s">
        <v>4867</v>
      </c>
      <c r="E60" t="s">
        <v>5000</v>
      </c>
      <c r="F60" t="s">
        <v>51</v>
      </c>
      <c r="G60" t="s">
        <v>51</v>
      </c>
    </row>
    <row r="61" spans="1:7">
      <c r="A61" t="s">
        <v>4869</v>
      </c>
      <c r="B61" t="s">
        <v>4998</v>
      </c>
      <c r="C61" t="b">
        <v>0</v>
      </c>
      <c r="D61" t="s">
        <v>4871</v>
      </c>
      <c r="E61" t="s">
        <v>4999</v>
      </c>
      <c r="F61" t="s">
        <v>51</v>
      </c>
      <c r="G61" t="s">
        <v>51</v>
      </c>
    </row>
    <row r="62" spans="1:7">
      <c r="A62" t="s">
        <v>4869</v>
      </c>
      <c r="B62" t="s">
        <v>4998</v>
      </c>
      <c r="C62" t="b">
        <v>1</v>
      </c>
      <c r="D62" t="s">
        <v>4867</v>
      </c>
      <c r="E62" t="s">
        <v>4997</v>
      </c>
      <c r="F62" t="s">
        <v>51</v>
      </c>
      <c r="G62" t="s">
        <v>51</v>
      </c>
    </row>
    <row r="63" spans="1:7">
      <c r="A63" t="s">
        <v>4869</v>
      </c>
      <c r="B63" t="s">
        <v>464</v>
      </c>
      <c r="C63" t="b">
        <v>0</v>
      </c>
      <c r="D63" t="s">
        <v>4871</v>
      </c>
      <c r="E63" t="s">
        <v>4987</v>
      </c>
      <c r="F63" t="s">
        <v>51</v>
      </c>
      <c r="G63" t="s">
        <v>51</v>
      </c>
    </row>
    <row r="64" spans="1:7">
      <c r="A64" t="s">
        <v>4869</v>
      </c>
      <c r="B64" t="s">
        <v>464</v>
      </c>
      <c r="C64" t="b">
        <v>1</v>
      </c>
      <c r="D64" t="s">
        <v>4867</v>
      </c>
      <c r="E64" t="s">
        <v>4986</v>
      </c>
      <c r="F64" t="s">
        <v>51</v>
      </c>
      <c r="G64" t="s">
        <v>51</v>
      </c>
    </row>
    <row r="65" spans="1:7">
      <c r="A65" t="s">
        <v>4897</v>
      </c>
      <c r="B65" t="s">
        <v>4984</v>
      </c>
      <c r="C65" t="s">
        <v>4938</v>
      </c>
      <c r="D65" t="s">
        <v>4871</v>
      </c>
      <c r="E65" t="s">
        <v>4985</v>
      </c>
      <c r="F65" t="s">
        <v>51</v>
      </c>
      <c r="G65" t="s">
        <v>51</v>
      </c>
    </row>
    <row r="66" spans="1:7">
      <c r="A66" t="s">
        <v>4897</v>
      </c>
      <c r="B66" t="s">
        <v>4984</v>
      </c>
      <c r="C66" t="s">
        <v>4935</v>
      </c>
      <c r="D66" t="s">
        <v>4867</v>
      </c>
      <c r="E66" t="s">
        <v>4983</v>
      </c>
      <c r="F66" t="s">
        <v>51</v>
      </c>
      <c r="G66" t="s">
        <v>51</v>
      </c>
    </row>
    <row r="67" spans="1:7">
      <c r="A67" t="s">
        <v>4897</v>
      </c>
      <c r="B67" t="s">
        <v>4984</v>
      </c>
      <c r="C67" t="s">
        <v>4923</v>
      </c>
      <c r="D67" t="s">
        <v>4939</v>
      </c>
      <c r="E67" t="s">
        <v>6017</v>
      </c>
      <c r="F67" t="s">
        <v>51</v>
      </c>
      <c r="G67" t="s">
        <v>51</v>
      </c>
    </row>
    <row r="68" spans="1:7">
      <c r="A68" t="s">
        <v>4869</v>
      </c>
      <c r="B68" t="s">
        <v>4960</v>
      </c>
      <c r="C68" t="b">
        <v>0</v>
      </c>
      <c r="D68" t="s">
        <v>4871</v>
      </c>
      <c r="E68" t="s">
        <v>4961</v>
      </c>
      <c r="F68" t="s">
        <v>51</v>
      </c>
      <c r="G68" t="s">
        <v>51</v>
      </c>
    </row>
    <row r="69" spans="1:7">
      <c r="A69" t="s">
        <v>4869</v>
      </c>
      <c r="B69" t="s">
        <v>4960</v>
      </c>
      <c r="C69" t="b">
        <v>1</v>
      </c>
      <c r="D69" t="s">
        <v>4867</v>
      </c>
      <c r="E69" t="s">
        <v>4959</v>
      </c>
      <c r="F69" t="s">
        <v>51</v>
      </c>
      <c r="G69" t="s">
        <v>51</v>
      </c>
    </row>
    <row r="70" spans="1:7">
      <c r="A70" t="s">
        <v>4869</v>
      </c>
      <c r="B70" t="s">
        <v>4957</v>
      </c>
      <c r="C70" t="s">
        <v>4923</v>
      </c>
      <c r="D70" t="s">
        <v>4939</v>
      </c>
      <c r="E70" t="s">
        <v>6015</v>
      </c>
      <c r="F70" t="s">
        <v>51</v>
      </c>
      <c r="G70" t="s">
        <v>51</v>
      </c>
    </row>
    <row r="71" spans="1:7">
      <c r="A71" t="s">
        <v>4897</v>
      </c>
      <c r="B71" t="s">
        <v>4943</v>
      </c>
      <c r="C71" t="s">
        <v>4923</v>
      </c>
      <c r="D71" t="s">
        <v>4939</v>
      </c>
      <c r="E71" t="s">
        <v>6019</v>
      </c>
      <c r="F71" t="s">
        <v>51</v>
      </c>
      <c r="G71" t="s">
        <v>51</v>
      </c>
    </row>
    <row r="72" spans="1:7">
      <c r="A72" t="s">
        <v>4869</v>
      </c>
      <c r="B72" t="s">
        <v>4936</v>
      </c>
      <c r="C72" t="s">
        <v>4923</v>
      </c>
      <c r="D72" t="s">
        <v>4939</v>
      </c>
      <c r="E72" t="s">
        <v>6016</v>
      </c>
      <c r="F72" t="s">
        <v>51</v>
      </c>
      <c r="G72" t="s">
        <v>51</v>
      </c>
    </row>
    <row r="73" spans="1:7">
      <c r="A73" t="s">
        <v>4869</v>
      </c>
      <c r="B73" t="s">
        <v>4890</v>
      </c>
      <c r="C73" t="b">
        <v>0</v>
      </c>
      <c r="D73" t="s">
        <v>4871</v>
      </c>
      <c r="E73" t="s">
        <v>4891</v>
      </c>
      <c r="F73" t="s">
        <v>51</v>
      </c>
      <c r="G73" t="s">
        <v>51</v>
      </c>
    </row>
    <row r="74" spans="1:7">
      <c r="A74" t="s">
        <v>4869</v>
      </c>
      <c r="B74" t="s">
        <v>4890</v>
      </c>
      <c r="C74" t="b">
        <v>1</v>
      </c>
      <c r="D74" t="s">
        <v>4867</v>
      </c>
      <c r="E74" t="s">
        <v>4889</v>
      </c>
      <c r="F74" t="s">
        <v>51</v>
      </c>
      <c r="G74" t="s">
        <v>51</v>
      </c>
    </row>
    <row r="75" spans="1:7">
      <c r="A75" t="s">
        <v>4885</v>
      </c>
      <c r="B75" t="s">
        <v>4884</v>
      </c>
      <c r="C75" t="s">
        <v>4888</v>
      </c>
      <c r="D75" t="s">
        <v>4887</v>
      </c>
      <c r="E75" t="s">
        <v>4886</v>
      </c>
      <c r="F75" t="s">
        <v>51</v>
      </c>
      <c r="G75" t="s">
        <v>51</v>
      </c>
    </row>
    <row r="76" spans="1:7">
      <c r="A76" t="s">
        <v>4885</v>
      </c>
      <c r="B76" t="s">
        <v>4884</v>
      </c>
      <c r="C76" t="s">
        <v>4883</v>
      </c>
      <c r="D76" t="s">
        <v>4882</v>
      </c>
      <c r="E76" t="s">
        <v>4881</v>
      </c>
      <c r="F76" t="s">
        <v>51</v>
      </c>
      <c r="G76" t="s">
        <v>51</v>
      </c>
    </row>
    <row r="77" spans="1:7">
      <c r="A77" t="s">
        <v>4869</v>
      </c>
      <c r="B77" t="s">
        <v>4879</v>
      </c>
      <c r="C77" t="b">
        <v>0</v>
      </c>
      <c r="D77" t="s">
        <v>4871</v>
      </c>
      <c r="E77" t="s">
        <v>4880</v>
      </c>
      <c r="F77" t="s">
        <v>51</v>
      </c>
      <c r="G77" t="s">
        <v>51</v>
      </c>
    </row>
    <row r="78" spans="1:7">
      <c r="A78" t="s">
        <v>4869</v>
      </c>
      <c r="B78" t="s">
        <v>4879</v>
      </c>
      <c r="C78" t="b">
        <v>1</v>
      </c>
      <c r="D78" t="s">
        <v>4867</v>
      </c>
      <c r="E78" t="s">
        <v>4878</v>
      </c>
      <c r="F78" t="s">
        <v>51</v>
      </c>
      <c r="G78" t="s">
        <v>51</v>
      </c>
    </row>
    <row r="79" spans="1:7">
      <c r="A79" t="s">
        <v>4869</v>
      </c>
      <c r="B79" t="s">
        <v>4876</v>
      </c>
      <c r="C79" t="b">
        <v>0</v>
      </c>
      <c r="D79" t="s">
        <v>4871</v>
      </c>
      <c r="E79" t="s">
        <v>4877</v>
      </c>
      <c r="F79" t="s">
        <v>51</v>
      </c>
      <c r="G79" t="s">
        <v>51</v>
      </c>
    </row>
    <row r="80" spans="1:7">
      <c r="A80" t="s">
        <v>4869</v>
      </c>
      <c r="B80" t="s">
        <v>4876</v>
      </c>
      <c r="C80" t="b">
        <v>1</v>
      </c>
      <c r="D80" t="s">
        <v>4867</v>
      </c>
      <c r="E80" t="s">
        <v>4875</v>
      </c>
      <c r="F80" t="s">
        <v>51</v>
      </c>
      <c r="G80" t="s">
        <v>51</v>
      </c>
    </row>
    <row r="81" spans="1:7">
      <c r="A81" t="s">
        <v>4869</v>
      </c>
      <c r="B81" t="s">
        <v>4873</v>
      </c>
      <c r="C81" t="b">
        <v>0</v>
      </c>
      <c r="D81" t="s">
        <v>4871</v>
      </c>
      <c r="E81" t="s">
        <v>4874</v>
      </c>
      <c r="F81" t="s">
        <v>51</v>
      </c>
      <c r="G81" t="s">
        <v>51</v>
      </c>
    </row>
    <row r="82" spans="1:7">
      <c r="A82" t="s">
        <v>4869</v>
      </c>
      <c r="B82" t="s">
        <v>4873</v>
      </c>
      <c r="C82" t="b">
        <v>1</v>
      </c>
      <c r="D82" t="s">
        <v>4867</v>
      </c>
      <c r="E82" t="s">
        <v>4872</v>
      </c>
      <c r="F82" t="s">
        <v>51</v>
      </c>
      <c r="G82" t="s">
        <v>51</v>
      </c>
    </row>
    <row r="83" spans="1:7">
      <c r="A83" t="s">
        <v>4869</v>
      </c>
      <c r="B83" t="s">
        <v>4868</v>
      </c>
      <c r="C83" t="b">
        <v>0</v>
      </c>
      <c r="D83" t="s">
        <v>4871</v>
      </c>
      <c r="E83" t="s">
        <v>4870</v>
      </c>
      <c r="F83" t="s">
        <v>51</v>
      </c>
      <c r="G83" t="s">
        <v>51</v>
      </c>
    </row>
    <row r="84" spans="1:7">
      <c r="A84" t="s">
        <v>4869</v>
      </c>
      <c r="B84" t="s">
        <v>4868</v>
      </c>
      <c r="C84" t="b">
        <v>1</v>
      </c>
      <c r="D84" t="s">
        <v>4867</v>
      </c>
      <c r="E84" t="s">
        <v>4866</v>
      </c>
      <c r="F84" t="s">
        <v>51</v>
      </c>
      <c r="G84" t="s">
        <v>51</v>
      </c>
    </row>
    <row r="85" spans="1:7">
      <c r="A85" t="s">
        <v>4897</v>
      </c>
      <c r="B85" t="s">
        <v>458</v>
      </c>
      <c r="C85" t="s">
        <v>4927</v>
      </c>
      <c r="D85" t="s">
        <v>4926</v>
      </c>
      <c r="E85" t="s">
        <v>4932</v>
      </c>
      <c r="F85" t="s">
        <v>5984</v>
      </c>
      <c r="G85" t="s">
        <v>5984</v>
      </c>
    </row>
    <row r="86" spans="1:7">
      <c r="A86" t="s">
        <v>4897</v>
      </c>
      <c r="B86" t="s">
        <v>458</v>
      </c>
      <c r="C86" t="s">
        <v>4920</v>
      </c>
      <c r="D86" t="s">
        <v>4919</v>
      </c>
      <c r="E86" t="s">
        <v>5995</v>
      </c>
      <c r="F86" t="s">
        <v>5985</v>
      </c>
      <c r="G86" t="s">
        <v>6021</v>
      </c>
    </row>
    <row r="87" spans="1:7">
      <c r="A87" t="s">
        <v>4897</v>
      </c>
      <c r="B87" t="s">
        <v>458</v>
      </c>
      <c r="C87" t="s">
        <v>4925</v>
      </c>
      <c r="D87" t="s">
        <v>4924</v>
      </c>
      <c r="E87" t="s">
        <v>4930</v>
      </c>
      <c r="F87" t="s">
        <v>5986</v>
      </c>
      <c r="G87" t="s">
        <v>6000</v>
      </c>
    </row>
    <row r="88" spans="1:7">
      <c r="A88" t="s">
        <v>4897</v>
      </c>
      <c r="B88" t="s">
        <v>458</v>
      </c>
      <c r="C88" t="s">
        <v>4929</v>
      </c>
      <c r="D88" t="s">
        <v>4928</v>
      </c>
      <c r="E88" t="s">
        <v>4933</v>
      </c>
      <c r="F88" t="s">
        <v>5987</v>
      </c>
      <c r="G88" t="s">
        <v>6004</v>
      </c>
    </row>
    <row r="89" spans="1:7">
      <c r="A89" t="s">
        <v>4897</v>
      </c>
      <c r="B89" t="s">
        <v>40</v>
      </c>
      <c r="C89" t="s">
        <v>49</v>
      </c>
      <c r="D89" t="s">
        <v>37</v>
      </c>
      <c r="E89" t="s">
        <v>49</v>
      </c>
      <c r="F89" t="s">
        <v>4989</v>
      </c>
      <c r="G89" t="s">
        <v>871</v>
      </c>
    </row>
    <row r="90" spans="1:7">
      <c r="A90" t="s">
        <v>4897</v>
      </c>
      <c r="B90" t="s">
        <v>4909</v>
      </c>
      <c r="C90" t="s">
        <v>4908</v>
      </c>
      <c r="D90" t="s">
        <v>4907</v>
      </c>
      <c r="E90" t="s">
        <v>4906</v>
      </c>
      <c r="F90" t="s">
        <v>4905</v>
      </c>
      <c r="G90" t="s">
        <v>4905</v>
      </c>
    </row>
    <row r="91" spans="1:7">
      <c r="A91" t="s">
        <v>4869</v>
      </c>
      <c r="B91" t="s">
        <v>4962</v>
      </c>
      <c r="C91" t="s">
        <v>4935</v>
      </c>
      <c r="D91" t="s">
        <v>4867</v>
      </c>
      <c r="E91" t="s">
        <v>6028</v>
      </c>
      <c r="F91" t="s">
        <v>6030</v>
      </c>
      <c r="G91" t="s">
        <v>6030</v>
      </c>
    </row>
    <row r="92" spans="1:7">
      <c r="A92" t="s">
        <v>4869</v>
      </c>
      <c r="B92" t="s">
        <v>4962</v>
      </c>
      <c r="C92" t="s">
        <v>4938</v>
      </c>
      <c r="D92" t="s">
        <v>4871</v>
      </c>
      <c r="E92" t="s">
        <v>6027</v>
      </c>
      <c r="F92" t="s">
        <v>6029</v>
      </c>
      <c r="G92" t="s">
        <v>6029</v>
      </c>
    </row>
    <row r="93" spans="1:7">
      <c r="A93" t="s">
        <v>4897</v>
      </c>
      <c r="B93" t="s">
        <v>40</v>
      </c>
      <c r="C93" t="s">
        <v>4988</v>
      </c>
      <c r="D93" t="s">
        <v>4922</v>
      </c>
      <c r="E93" t="s">
        <v>4988</v>
      </c>
      <c r="F93" t="s">
        <v>4921</v>
      </c>
      <c r="G93" t="s">
        <v>4921</v>
      </c>
    </row>
    <row r="94" spans="1:7">
      <c r="A94" t="s">
        <v>4897</v>
      </c>
      <c r="B94" t="s">
        <v>4955</v>
      </c>
      <c r="C94" t="s">
        <v>4923</v>
      </c>
      <c r="D94" t="s">
        <v>4922</v>
      </c>
      <c r="E94" t="s">
        <v>6018</v>
      </c>
      <c r="F94" t="s">
        <v>6007</v>
      </c>
      <c r="G94" t="s">
        <v>6008</v>
      </c>
    </row>
    <row r="95" spans="1:7">
      <c r="A95" t="s">
        <v>4869</v>
      </c>
      <c r="B95" t="s">
        <v>4980</v>
      </c>
      <c r="C95" t="s">
        <v>4923</v>
      </c>
      <c r="D95" t="s">
        <v>4939</v>
      </c>
      <c r="E95" t="s">
        <v>6013</v>
      </c>
      <c r="F95" t="s">
        <v>6023</v>
      </c>
      <c r="G95" t="s">
        <v>6023</v>
      </c>
    </row>
    <row r="96" spans="1:7">
      <c r="A96" t="s">
        <v>4897</v>
      </c>
      <c r="B96" t="s">
        <v>458</v>
      </c>
      <c r="C96" t="s">
        <v>4923</v>
      </c>
      <c r="D96" t="s">
        <v>4922</v>
      </c>
      <c r="E96" t="s">
        <v>6020</v>
      </c>
      <c r="F96" t="s">
        <v>5994</v>
      </c>
      <c r="G96" t="s">
        <v>5993</v>
      </c>
    </row>
    <row r="97" spans="1:8">
      <c r="A97" t="s">
        <v>4869</v>
      </c>
      <c r="B97" t="s">
        <v>4962</v>
      </c>
      <c r="C97" t="s">
        <v>4923</v>
      </c>
      <c r="D97" t="s">
        <v>4939</v>
      </c>
      <c r="E97" t="s">
        <v>6014</v>
      </c>
      <c r="F97" t="s">
        <v>6024</v>
      </c>
      <c r="G97" t="s">
        <v>6024</v>
      </c>
    </row>
    <row r="98" spans="1:8">
      <c r="A98" s="52" t="s">
        <v>4897</v>
      </c>
      <c r="B98" s="52" t="s">
        <v>4955</v>
      </c>
      <c r="C98" s="52" t="s">
        <v>4912</v>
      </c>
      <c r="D98" s="52" t="s">
        <v>4911</v>
      </c>
      <c r="E98" s="52" t="s">
        <v>4947</v>
      </c>
      <c r="F98" t="s">
        <v>6005</v>
      </c>
      <c r="G98" t="s">
        <v>6006</v>
      </c>
    </row>
    <row r="99" spans="1:8">
      <c r="A99" s="52" t="s">
        <v>4897</v>
      </c>
      <c r="B99" s="52" t="s">
        <v>4909</v>
      </c>
      <c r="C99" s="52" t="s">
        <v>4912</v>
      </c>
      <c r="D99" s="52" t="s">
        <v>4911</v>
      </c>
      <c r="E99" s="52" t="s">
        <v>6001</v>
      </c>
      <c r="F99" t="s">
        <v>5997</v>
      </c>
      <c r="G99" t="s">
        <v>5996</v>
      </c>
    </row>
    <row r="100" spans="1:8">
      <c r="A100" s="52" t="s">
        <v>4897</v>
      </c>
      <c r="B100" s="52" t="s">
        <v>458</v>
      </c>
      <c r="C100" s="52" t="s">
        <v>4912</v>
      </c>
      <c r="D100" s="52" t="s">
        <v>4911</v>
      </c>
      <c r="E100" s="52" t="s">
        <v>4931</v>
      </c>
      <c r="F100" t="s">
        <v>5992</v>
      </c>
      <c r="G100" t="s">
        <v>5991</v>
      </c>
    </row>
    <row r="101" spans="1:8">
      <c r="A101" t="s">
        <v>4897</v>
      </c>
      <c r="B101" t="s">
        <v>4909</v>
      </c>
      <c r="C101" t="s">
        <v>4915</v>
      </c>
      <c r="D101" t="s">
        <v>4914</v>
      </c>
      <c r="E101" t="s">
        <v>5088</v>
      </c>
      <c r="F101" t="s">
        <v>4913</v>
      </c>
      <c r="G101" t="s">
        <v>5998</v>
      </c>
    </row>
    <row r="102" spans="1:8">
      <c r="A102" t="s">
        <v>4897</v>
      </c>
      <c r="B102" t="s">
        <v>40</v>
      </c>
      <c r="C102" t="s">
        <v>45</v>
      </c>
      <c r="D102" t="s">
        <v>44</v>
      </c>
      <c r="E102" t="s">
        <v>45</v>
      </c>
      <c r="F102" t="s">
        <v>816</v>
      </c>
      <c r="G102" t="s">
        <v>816</v>
      </c>
    </row>
    <row r="103" spans="1:8">
      <c r="A103" t="s">
        <v>4897</v>
      </c>
      <c r="B103" t="s">
        <v>40</v>
      </c>
      <c r="C103" t="s">
        <v>43</v>
      </c>
      <c r="D103" t="s">
        <v>564</v>
      </c>
      <c r="E103" t="s">
        <v>43</v>
      </c>
      <c r="F103" t="s">
        <v>1008</v>
      </c>
      <c r="G103" t="s">
        <v>842</v>
      </c>
    </row>
    <row r="104" spans="1:8">
      <c r="A104" t="s">
        <v>4897</v>
      </c>
      <c r="B104" t="s">
        <v>40</v>
      </c>
      <c r="C104" t="s">
        <v>537</v>
      </c>
      <c r="D104" t="s">
        <v>527</v>
      </c>
      <c r="E104" t="s">
        <v>537</v>
      </c>
      <c r="F104" t="s">
        <v>1003</v>
      </c>
      <c r="G104" t="s">
        <v>846</v>
      </c>
    </row>
    <row r="105" spans="1:8">
      <c r="A105" t="s">
        <v>4897</v>
      </c>
      <c r="B105" t="s">
        <v>40</v>
      </c>
      <c r="C105" t="s">
        <v>47</v>
      </c>
      <c r="D105" t="s">
        <v>46</v>
      </c>
      <c r="E105" t="s">
        <v>47</v>
      </c>
      <c r="F105" t="s">
        <v>875</v>
      </c>
      <c r="G105" t="s">
        <v>875</v>
      </c>
    </row>
    <row r="106" spans="1:8">
      <c r="A106" t="s">
        <v>4897</v>
      </c>
      <c r="B106" t="s">
        <v>40</v>
      </c>
      <c r="C106" t="s">
        <v>42</v>
      </c>
      <c r="D106" t="s">
        <v>41</v>
      </c>
      <c r="E106" t="s">
        <v>42</v>
      </c>
      <c r="F106" t="s">
        <v>880</v>
      </c>
      <c r="G106" t="s">
        <v>880</v>
      </c>
    </row>
    <row r="107" spans="1:8">
      <c r="A107" t="s">
        <v>4897</v>
      </c>
      <c r="B107" t="s">
        <v>4995</v>
      </c>
      <c r="C107" t="s">
        <v>4994</v>
      </c>
      <c r="D107" t="s">
        <v>4993</v>
      </c>
      <c r="E107" t="s">
        <v>4992</v>
      </c>
      <c r="F107" t="s">
        <v>4991</v>
      </c>
      <c r="G107" t="s">
        <v>4991</v>
      </c>
    </row>
    <row r="108" spans="1:8">
      <c r="A108" t="s">
        <v>4897</v>
      </c>
      <c r="B108" t="s">
        <v>4995</v>
      </c>
      <c r="C108" t="s">
        <v>4912</v>
      </c>
      <c r="D108" t="s">
        <v>4911</v>
      </c>
      <c r="E108" t="s">
        <v>5999</v>
      </c>
      <c r="F108" t="s">
        <v>4910</v>
      </c>
      <c r="G108" t="s">
        <v>4910</v>
      </c>
    </row>
    <row r="109" spans="1:8">
      <c r="A109" t="s">
        <v>4869</v>
      </c>
      <c r="B109" t="s">
        <v>4966</v>
      </c>
      <c r="C109" t="s">
        <v>4965</v>
      </c>
      <c r="D109" t="s">
        <v>4964</v>
      </c>
      <c r="E109" t="s">
        <v>4963</v>
      </c>
      <c r="F109" t="s">
        <v>51</v>
      </c>
      <c r="G109" t="s">
        <v>51</v>
      </c>
      <c r="H109" s="2" t="s">
        <v>6053</v>
      </c>
    </row>
    <row r="110" spans="1:8">
      <c r="A110" t="s">
        <v>4869</v>
      </c>
      <c r="B110" t="s">
        <v>4957</v>
      </c>
      <c r="C110" t="s">
        <v>4938</v>
      </c>
      <c r="D110" t="s">
        <v>4871</v>
      </c>
      <c r="E110" t="s">
        <v>4958</v>
      </c>
      <c r="F110" t="s">
        <v>51</v>
      </c>
      <c r="G110" t="s">
        <v>51</v>
      </c>
    </row>
    <row r="111" spans="1:8">
      <c r="A111" t="s">
        <v>4869</v>
      </c>
      <c r="B111" t="s">
        <v>4957</v>
      </c>
      <c r="C111" t="s">
        <v>4935</v>
      </c>
      <c r="D111" t="s">
        <v>4867</v>
      </c>
      <c r="E111" t="s">
        <v>4956</v>
      </c>
      <c r="F111" t="s">
        <v>51</v>
      </c>
      <c r="G111" t="s">
        <v>51</v>
      </c>
    </row>
    <row r="112" spans="1:8">
      <c r="A112" t="s">
        <v>4897</v>
      </c>
      <c r="B112" t="s">
        <v>4943</v>
      </c>
      <c r="C112" t="s">
        <v>4946</v>
      </c>
      <c r="D112" t="s">
        <v>4945</v>
      </c>
      <c r="E112" t="s">
        <v>4944</v>
      </c>
      <c r="F112" t="s">
        <v>51</v>
      </c>
      <c r="G112" t="s">
        <v>51</v>
      </c>
    </row>
    <row r="113" spans="1:7">
      <c r="A113" t="s">
        <v>4897</v>
      </c>
      <c r="B113" t="s">
        <v>4943</v>
      </c>
      <c r="C113" t="s">
        <v>4942</v>
      </c>
      <c r="D113" t="s">
        <v>4941</v>
      </c>
      <c r="E113" t="s">
        <v>4940</v>
      </c>
      <c r="F113" t="s">
        <v>51</v>
      </c>
      <c r="G113" t="s">
        <v>51</v>
      </c>
    </row>
    <row r="114" spans="1:7">
      <c r="A114" t="s">
        <v>4869</v>
      </c>
      <c r="B114" t="s">
        <v>4936</v>
      </c>
      <c r="C114" t="s">
        <v>4938</v>
      </c>
      <c r="D114" t="s">
        <v>4871</v>
      </c>
      <c r="E114" t="s">
        <v>4937</v>
      </c>
      <c r="F114" t="s">
        <v>51</v>
      </c>
      <c r="G114" t="s">
        <v>51</v>
      </c>
    </row>
    <row r="115" spans="1:7">
      <c r="A115" t="s">
        <v>4869</v>
      </c>
      <c r="B115" t="s">
        <v>4936</v>
      </c>
      <c r="C115" t="s">
        <v>4935</v>
      </c>
      <c r="D115" t="s">
        <v>4867</v>
      </c>
      <c r="E115" t="s">
        <v>4934</v>
      </c>
      <c r="F115" t="s">
        <v>51</v>
      </c>
      <c r="G115" t="s">
        <v>51</v>
      </c>
    </row>
  </sheetData>
  <autoFilter ref="A1:H115" xr:uid="{E12AEC35-45E4-41C1-AB81-66692467611D}"/>
  <conditionalFormatting sqref="E43:E47">
    <cfRule type="duplicateValues" dxfId="35" priority="8"/>
  </conditionalFormatting>
  <conditionalFormatting sqref="E48:E49">
    <cfRule type="duplicateValues" dxfId="34" priority="61"/>
  </conditionalFormatting>
  <conditionalFormatting sqref="E53:E61">
    <cfRule type="duplicateValues" dxfId="33" priority="6"/>
  </conditionalFormatting>
  <conditionalFormatting sqref="F68:F71 E1:E1048576">
    <cfRule type="duplicateValues" dxfId="32" priority="5"/>
  </conditionalFormatting>
  <conditionalFormatting sqref="F116:F1048576 F109:G115 F1:F108 H109">
    <cfRule type="duplicateValues" dxfId="31" priority="4"/>
  </conditionalFormatting>
  <conditionalFormatting sqref="G7">
    <cfRule type="duplicateValues" dxfId="30" priority="1"/>
  </conditionalFormatting>
  <conditionalFormatting sqref="G9">
    <cfRule type="duplicateValues" dxfId="29" priority="3"/>
  </conditionalFormatting>
  <conditionalFormatting sqref="G10">
    <cfRule type="duplicateValues" dxfId="28" priority="2"/>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0D40C-5D0B-430F-839C-D21931F81CE6}">
  <sheetPr codeName="Sheet6">
    <tabColor theme="6" tint="0.79998168889431442"/>
  </sheetPr>
  <dimension ref="A1:I147"/>
  <sheetViews>
    <sheetView workbookViewId="0">
      <selection activeCell="E2" sqref="E2"/>
    </sheetView>
  </sheetViews>
  <sheetFormatPr defaultRowHeight="14.25"/>
  <cols>
    <col min="1" max="1" width="15.875" style="4" bestFit="1" customWidth="1"/>
    <col min="2" max="3" width="20.875" style="4" customWidth="1"/>
    <col min="4" max="4" width="29.125" style="4" customWidth="1"/>
    <col min="5" max="5" width="48.75" style="4" customWidth="1"/>
    <col min="6" max="6" width="13.125" customWidth="1"/>
    <col min="7" max="7" width="34.125" style="11" customWidth="1"/>
    <col min="8" max="8" width="65" style="4" hidden="1" customWidth="1"/>
    <col min="9" max="9" width="47.375" style="4" customWidth="1"/>
  </cols>
  <sheetData>
    <row r="1" spans="1:9" ht="15">
      <c r="A1" s="5" t="s">
        <v>436</v>
      </c>
      <c r="B1" s="1" t="s">
        <v>428</v>
      </c>
      <c r="C1" s="5" t="s">
        <v>428</v>
      </c>
      <c r="D1" s="5" t="s">
        <v>347</v>
      </c>
      <c r="E1" s="5" t="s">
        <v>431</v>
      </c>
      <c r="F1" t="s">
        <v>977</v>
      </c>
      <c r="G1" s="9" t="s">
        <v>625</v>
      </c>
      <c r="H1" s="5" t="s">
        <v>454</v>
      </c>
      <c r="I1" s="20" t="s">
        <v>976</v>
      </c>
    </row>
    <row r="2" spans="1:9" ht="15">
      <c r="A2" s="5"/>
      <c r="B2" s="1" t="s">
        <v>768</v>
      </c>
      <c r="C2" s="5"/>
      <c r="D2" s="5"/>
      <c r="E2" s="5" t="s">
        <v>1248</v>
      </c>
      <c r="G2" s="9"/>
      <c r="H2" s="5"/>
      <c r="I2" s="20"/>
    </row>
    <row r="3" spans="1:9" ht="15">
      <c r="A3" s="5"/>
      <c r="B3" s="1" t="s">
        <v>768</v>
      </c>
      <c r="C3" s="5"/>
      <c r="D3" s="5"/>
      <c r="E3" s="5"/>
      <c r="G3" s="9"/>
      <c r="H3" s="5"/>
      <c r="I3" s="20"/>
    </row>
    <row r="4" spans="1:9">
      <c r="A4" s="4" t="s">
        <v>767</v>
      </c>
      <c r="B4" t="s">
        <v>4</v>
      </c>
      <c r="C4" t="s">
        <v>1</v>
      </c>
      <c r="D4" t="s">
        <v>21</v>
      </c>
      <c r="E4" t="s">
        <v>898</v>
      </c>
      <c r="F4" t="s">
        <v>897</v>
      </c>
      <c r="G4" s="10" t="s">
        <v>565</v>
      </c>
      <c r="I4" s="4" t="str">
        <f t="shared" ref="I4:I56" si="0">"    "&amp;C4&amp;"_"&amp;D4&amp;": """&amp;E4&amp;""""</f>
        <v xml:space="preserve">    name_mod_2flankspim: "Spatial partial identity model (2-flank SPIM)"</v>
      </c>
    </row>
    <row r="5" spans="1:9">
      <c r="A5" s="4" t="s">
        <v>767</v>
      </c>
      <c r="B5" t="s">
        <v>4</v>
      </c>
      <c r="C5" t="s">
        <v>1</v>
      </c>
      <c r="D5" t="s">
        <v>31</v>
      </c>
      <c r="E5" t="s">
        <v>30</v>
      </c>
      <c r="G5" s="10" t="s">
        <v>566</v>
      </c>
      <c r="I5" s="4" t="str">
        <f t="shared" si="0"/>
        <v xml:space="preserve">    name_mod_behaviour: "Behaviour"</v>
      </c>
    </row>
    <row r="6" spans="1:9">
      <c r="A6" s="4" t="s">
        <v>767</v>
      </c>
      <c r="B6" t="s">
        <v>4</v>
      </c>
      <c r="C6" t="s">
        <v>1</v>
      </c>
      <c r="D6" t="s">
        <v>22</v>
      </c>
      <c r="E6" t="s">
        <v>979</v>
      </c>
      <c r="F6" t="s">
        <v>897</v>
      </c>
      <c r="G6" s="10" t="s">
        <v>567</v>
      </c>
      <c r="I6" s="4" t="str">
        <f t="shared" si="0"/>
        <v xml:space="preserve">    name_mod_catspim: "Categorical partial identity model (Categorical SPIM; catSPIM)"</v>
      </c>
    </row>
    <row r="7" spans="1:9">
      <c r="A7" s="4" t="s">
        <v>767</v>
      </c>
      <c r="B7" t="s">
        <v>4</v>
      </c>
      <c r="C7" t="s">
        <v>1</v>
      </c>
      <c r="D7" t="s">
        <v>29</v>
      </c>
      <c r="E7" t="s">
        <v>438</v>
      </c>
      <c r="F7" t="s">
        <v>897</v>
      </c>
      <c r="G7" s="10" t="s">
        <v>568</v>
      </c>
      <c r="I7" s="4" t="str">
        <f t="shared" si="0"/>
        <v xml:space="preserve">    name_mod_cr_cmr: "Capture-recapture (CR) / Capture-mark-recapture (CMR)"</v>
      </c>
    </row>
    <row r="8" spans="1:9">
      <c r="A8" s="4" t="s">
        <v>767</v>
      </c>
      <c r="B8" t="s">
        <v>4</v>
      </c>
      <c r="C8" t="s">
        <v>1</v>
      </c>
      <c r="D8" t="s">
        <v>36</v>
      </c>
      <c r="E8" t="s">
        <v>35</v>
      </c>
      <c r="G8" s="10" t="s">
        <v>587</v>
      </c>
      <c r="I8" s="4" t="str">
        <f t="shared" si="0"/>
        <v xml:space="preserve">    name_mod_divers_rich: "Species diversity &amp; richness"</v>
      </c>
    </row>
    <row r="9" spans="1:9">
      <c r="A9" s="4" t="s">
        <v>767</v>
      </c>
      <c r="B9" t="s">
        <v>4</v>
      </c>
      <c r="C9" t="s">
        <v>1</v>
      </c>
      <c r="D9" t="s">
        <v>10</v>
      </c>
      <c r="E9" t="s">
        <v>9</v>
      </c>
      <c r="F9" t="s">
        <v>897</v>
      </c>
      <c r="G9" s="10" t="s">
        <v>569</v>
      </c>
      <c r="I9" s="4" t="str">
        <f t="shared" si="0"/>
        <v xml:space="preserve">    name_mod_ds: "Distance sampling (DS)"</v>
      </c>
    </row>
    <row r="10" spans="1:9">
      <c r="A10" s="4" t="s">
        <v>767</v>
      </c>
      <c r="B10" t="s">
        <v>4</v>
      </c>
      <c r="C10" t="s">
        <v>1</v>
      </c>
      <c r="D10" t="s">
        <v>38</v>
      </c>
      <c r="E10" t="s">
        <v>37</v>
      </c>
      <c r="G10" s="10" t="s">
        <v>570</v>
      </c>
      <c r="I10" s="4" t="str">
        <f t="shared" si="0"/>
        <v xml:space="preserve">    name_mod_inventory: "Species inventory"</v>
      </c>
    </row>
    <row r="11" spans="1:9">
      <c r="A11" s="4" t="s">
        <v>767</v>
      </c>
      <c r="B11" t="s">
        <v>4</v>
      </c>
      <c r="C11" t="s">
        <v>1</v>
      </c>
      <c r="D11" t="s">
        <v>3</v>
      </c>
      <c r="E11" t="s">
        <v>2</v>
      </c>
      <c r="F11" t="s">
        <v>897</v>
      </c>
      <c r="G11" s="10" t="s">
        <v>571</v>
      </c>
      <c r="I11" s="4" t="str">
        <f t="shared" si="0"/>
        <v xml:space="preserve">    name_mod_is: "Instantaneous sampling (IS)"</v>
      </c>
    </row>
    <row r="12" spans="1:9">
      <c r="A12" s="4" t="s">
        <v>767</v>
      </c>
      <c r="B12" t="s">
        <v>4</v>
      </c>
      <c r="C12" t="s">
        <v>1</v>
      </c>
      <c r="D12" t="s">
        <v>27</v>
      </c>
      <c r="E12" t="s">
        <v>26</v>
      </c>
      <c r="F12" t="s">
        <v>897</v>
      </c>
      <c r="G12" s="10" t="s">
        <v>588</v>
      </c>
      <c r="I12" s="4" t="str">
        <f t="shared" si="0"/>
        <v xml:space="preserve">    name_mod_mr: "Mark-resight (MR)"</v>
      </c>
    </row>
    <row r="13" spans="1:9">
      <c r="A13" s="4" t="s">
        <v>767</v>
      </c>
      <c r="B13" t="s">
        <v>4</v>
      </c>
      <c r="C13" t="s">
        <v>1</v>
      </c>
      <c r="D13" t="s">
        <v>18</v>
      </c>
      <c r="E13" t="s">
        <v>17</v>
      </c>
      <c r="G13" s="10" t="s">
        <v>589</v>
      </c>
      <c r="I13" s="4" t="str">
        <f t="shared" si="0"/>
        <v xml:space="preserve">    name_mod_nmixture: "N-mixture"</v>
      </c>
    </row>
    <row r="14" spans="1:9">
      <c r="A14" s="4" t="s">
        <v>767</v>
      </c>
      <c r="B14" t="s">
        <v>4</v>
      </c>
      <c r="C14" t="s">
        <v>1</v>
      </c>
      <c r="D14" t="s">
        <v>34</v>
      </c>
      <c r="E14" t="s">
        <v>821</v>
      </c>
      <c r="G14" s="10" t="s">
        <v>572</v>
      </c>
      <c r="I14" s="4" t="str">
        <f t="shared" si="0"/>
        <v xml:space="preserve">    name_mod_occupancy: "Occupancy model"</v>
      </c>
    </row>
    <row r="15" spans="1:9">
      <c r="A15" s="4" t="s">
        <v>767</v>
      </c>
      <c r="B15" t="s">
        <v>4</v>
      </c>
      <c r="C15" t="s">
        <v>1</v>
      </c>
      <c r="D15" t="s">
        <v>33</v>
      </c>
      <c r="E15" t="s">
        <v>32</v>
      </c>
      <c r="G15" s="10" t="s">
        <v>573</v>
      </c>
      <c r="I15" s="4" t="str">
        <f t="shared" si="0"/>
        <v xml:space="preserve">    name_mod_rai: "Relative abundance indices"</v>
      </c>
    </row>
    <row r="16" spans="1:9">
      <c r="A16" s="4" t="s">
        <v>767</v>
      </c>
      <c r="B16" s="4" t="s">
        <v>4</v>
      </c>
      <c r="C16" t="s">
        <v>1</v>
      </c>
      <c r="D16" s="6" t="s">
        <v>446</v>
      </c>
      <c r="E16" s="7" t="s">
        <v>445</v>
      </c>
      <c r="F16" t="s">
        <v>897</v>
      </c>
      <c r="G16" s="10" t="s">
        <v>574</v>
      </c>
      <c r="H16" s="7" t="str">
        <f>"(#"&amp;D16&amp;")=@{{ "&amp;C16&amp;"_"&amp;D16&amp;" }}@@: {{ "&amp;C16&amp;"_def_"&amp;D16&amp;" }}@@"</f>
        <v>(#mod_rai_hurdle)=@{{ name_mod_rai_hurdle }}@@: {{ name_def_mod_rai_hurdle }}@@</v>
      </c>
      <c r="I16" s="4" t="str">
        <f t="shared" si="0"/>
        <v xml:space="preserve">    name_mod_rai_hurdle: "Hurdle"</v>
      </c>
    </row>
    <row r="17" spans="1:9">
      <c r="A17" s="4" t="s">
        <v>767</v>
      </c>
      <c r="B17" s="4" t="s">
        <v>4</v>
      </c>
      <c r="C17" t="s">
        <v>1</v>
      </c>
      <c r="D17" s="6" t="s">
        <v>449</v>
      </c>
      <c r="E17" s="7" t="s">
        <v>448</v>
      </c>
      <c r="F17" t="s">
        <v>897</v>
      </c>
      <c r="G17" s="10" t="s">
        <v>575</v>
      </c>
      <c r="H17" s="7" t="str">
        <f>"(#"&amp;D17&amp;")=@{{ "&amp;C17&amp;"_"&amp;D17&amp;" }}@@: {{ "&amp;C17&amp;"_def_"&amp;D17&amp;" }}@@"</f>
        <v>(#mod_rai_nb)=@{{ name_mod_rai_nb }}@@: {{ name_def_mod_rai_nb }}@@</v>
      </c>
      <c r="I17" s="4" t="str">
        <f t="shared" si="0"/>
        <v xml:space="preserve">    name_mod_rai_nb: "Negative binomial (NB)"</v>
      </c>
    </row>
    <row r="18" spans="1:9">
      <c r="A18" s="4" t="s">
        <v>767</v>
      </c>
      <c r="B18" s="4" t="s">
        <v>4</v>
      </c>
      <c r="C18" t="s">
        <v>1</v>
      </c>
      <c r="D18" s="6" t="s">
        <v>432</v>
      </c>
      <c r="E18" s="7" t="s">
        <v>444</v>
      </c>
      <c r="G18" s="10" t="s">
        <v>576</v>
      </c>
      <c r="H18" s="7" t="str">
        <f>"(#"&amp;D18&amp;")=@{{ "&amp;C18&amp;"_"&amp;D18&amp;" }}@@: {{ "&amp;C18&amp;"_def_"&amp;D18&amp;" }}@@"</f>
        <v>(#mod_rai_poisson)=@{{ name_mod_rai_poisson }}@@: {{ name_def_mod_rai_poisson }}@@</v>
      </c>
      <c r="I18" s="4" t="str">
        <f t="shared" si="0"/>
        <v xml:space="preserve">    name_mod_rai_poisson: "Poisson"</v>
      </c>
    </row>
    <row r="19" spans="1:9">
      <c r="A19" s="4" t="s">
        <v>767</v>
      </c>
      <c r="B19" s="4" t="s">
        <v>4</v>
      </c>
      <c r="C19" t="s">
        <v>1</v>
      </c>
      <c r="D19" s="6" t="s">
        <v>447</v>
      </c>
      <c r="E19" s="7" t="s">
        <v>551</v>
      </c>
      <c r="F19" t="s">
        <v>897</v>
      </c>
      <c r="G19" s="10" t="s">
        <v>577</v>
      </c>
      <c r="H19" s="7" t="str">
        <f>"(#"&amp;D19&amp;")=@{{ "&amp;C19&amp;"_"&amp;D19&amp;" }}@@: {{ "&amp;C19&amp;"_def_"&amp;D19&amp;" }}@@"</f>
        <v>(#mod_rai_zinb)=@{{ name_mod_rai_zinb }}@@: {{ name_def_mod_rai_zinb }}@@</v>
      </c>
      <c r="I19" s="4" t="str">
        <f t="shared" si="0"/>
        <v xml:space="preserve">    name_mod_rai_zinb: "Zero-inflated negative binomial (ZINB) "</v>
      </c>
    </row>
    <row r="20" spans="1:9">
      <c r="A20" s="4" t="s">
        <v>767</v>
      </c>
      <c r="B20" s="4" t="s">
        <v>4</v>
      </c>
      <c r="C20" t="s">
        <v>1</v>
      </c>
      <c r="D20" s="6" t="s">
        <v>450</v>
      </c>
      <c r="E20" s="7" t="s">
        <v>552</v>
      </c>
      <c r="F20" t="s">
        <v>897</v>
      </c>
      <c r="G20" s="10" t="s">
        <v>578</v>
      </c>
      <c r="H20" s="7" t="str">
        <f>"(#"&amp;D20&amp;")=@{{ "&amp;C20&amp;"_"&amp;D20&amp;" }}@@: {{ "&amp;C20&amp;"_def_"&amp;D20&amp;" }}@@"</f>
        <v>(#mod_rai_zip)=@{{ name_mod_rai_zip }}@@: {{ name_def_mod_rai_zip }}@@</v>
      </c>
      <c r="I20" s="4" t="str">
        <f t="shared" si="0"/>
        <v xml:space="preserve">    name_mod_rai_zip: "Zero-inflated Poisson (ZIP)"</v>
      </c>
    </row>
    <row r="21" spans="1:9">
      <c r="A21" s="4" t="s">
        <v>767</v>
      </c>
      <c r="B21" t="s">
        <v>4</v>
      </c>
      <c r="C21" t="s">
        <v>1</v>
      </c>
      <c r="D21" t="s">
        <v>16</v>
      </c>
      <c r="E21" t="s">
        <v>15</v>
      </c>
      <c r="F21" t="s">
        <v>897</v>
      </c>
      <c r="G21" s="10" t="s">
        <v>579</v>
      </c>
      <c r="I21" s="4" t="str">
        <f t="shared" si="0"/>
        <v xml:space="preserve">    name_mod_rem: "Random encounter model (REM)"</v>
      </c>
    </row>
    <row r="22" spans="1:9">
      <c r="A22" s="4" t="s">
        <v>767</v>
      </c>
      <c r="B22" t="s">
        <v>4</v>
      </c>
      <c r="C22" t="s">
        <v>1</v>
      </c>
      <c r="D22" t="s">
        <v>14</v>
      </c>
      <c r="E22" t="s">
        <v>13</v>
      </c>
      <c r="F22" t="s">
        <v>897</v>
      </c>
      <c r="G22" s="10" t="s">
        <v>580</v>
      </c>
      <c r="I22" s="4" t="str">
        <f t="shared" si="0"/>
        <v xml:space="preserve">    name_mod_rest: "Random encounter and staying time (REST)"</v>
      </c>
    </row>
    <row r="23" spans="1:9">
      <c r="A23" s="4" t="s">
        <v>767</v>
      </c>
      <c r="B23" t="s">
        <v>4</v>
      </c>
      <c r="C23" t="s">
        <v>1</v>
      </c>
      <c r="D23" t="s">
        <v>20</v>
      </c>
      <c r="E23" t="s">
        <v>19</v>
      </c>
      <c r="F23" t="s">
        <v>897</v>
      </c>
      <c r="G23" s="10" t="s">
        <v>590</v>
      </c>
      <c r="I23" s="4" t="str">
        <f t="shared" si="0"/>
        <v xml:space="preserve">    name_mod_roylenichols: "Royle-Nichols"</v>
      </c>
    </row>
    <row r="24" spans="1:9">
      <c r="A24" s="4" t="s">
        <v>767</v>
      </c>
      <c r="B24" t="s">
        <v>4</v>
      </c>
      <c r="C24" t="s">
        <v>1</v>
      </c>
      <c r="D24" t="s">
        <v>23</v>
      </c>
      <c r="E24" t="s">
        <v>440</v>
      </c>
      <c r="F24" t="s">
        <v>897</v>
      </c>
      <c r="G24" s="10" t="s">
        <v>581</v>
      </c>
      <c r="I24" s="4" t="str">
        <f t="shared" si="0"/>
        <v xml:space="preserve">    name_mod_sc: "Spatial count (SC) model / Unmarked spatial capture-recapture"</v>
      </c>
    </row>
    <row r="25" spans="1:9">
      <c r="A25" s="4" t="s">
        <v>767</v>
      </c>
      <c r="B25" t="s">
        <v>4</v>
      </c>
      <c r="C25" t="s">
        <v>1</v>
      </c>
      <c r="D25" t="s">
        <v>28</v>
      </c>
      <c r="E25" t="s">
        <v>439</v>
      </c>
      <c r="F25" t="s">
        <v>897</v>
      </c>
      <c r="G25" s="10" t="s">
        <v>582</v>
      </c>
      <c r="I25" s="4" t="str">
        <f t="shared" si="0"/>
        <v xml:space="preserve">    name_mod_scr_secr: "Spatial capture-recapture (SCR) / Spatially explicit capture recapture (SECR)"</v>
      </c>
    </row>
    <row r="26" spans="1:9">
      <c r="A26" s="4" t="s">
        <v>767</v>
      </c>
      <c r="B26" t="s">
        <v>4</v>
      </c>
      <c r="C26" t="s">
        <v>1</v>
      </c>
      <c r="D26" t="s">
        <v>25</v>
      </c>
      <c r="E26" t="s">
        <v>24</v>
      </c>
      <c r="F26" t="s">
        <v>897</v>
      </c>
      <c r="G26" s="10" t="s">
        <v>583</v>
      </c>
      <c r="I26" s="4" t="str">
        <f t="shared" si="0"/>
        <v xml:space="preserve">    name_mod_smr: "Spatial mark-resight "</v>
      </c>
    </row>
    <row r="27" spans="1:9">
      <c r="A27" s="4" t="s">
        <v>767</v>
      </c>
      <c r="B27" t="s">
        <v>4</v>
      </c>
      <c r="C27" t="s">
        <v>1</v>
      </c>
      <c r="D27" t="s">
        <v>6</v>
      </c>
      <c r="E27" t="s">
        <v>5</v>
      </c>
      <c r="F27" t="s">
        <v>897</v>
      </c>
      <c r="G27" s="10" t="s">
        <v>584</v>
      </c>
      <c r="I27" s="4" t="str">
        <f t="shared" si="0"/>
        <v xml:space="preserve">    name_mod_ste: "Space-to-event (STE)"</v>
      </c>
    </row>
    <row r="28" spans="1:9">
      <c r="A28" s="4" t="s">
        <v>767</v>
      </c>
      <c r="B28" t="s">
        <v>4</v>
      </c>
      <c r="C28" t="s">
        <v>1</v>
      </c>
      <c r="D28" t="s">
        <v>12</v>
      </c>
      <c r="E28" t="s">
        <v>11</v>
      </c>
      <c r="F28" t="s">
        <v>897</v>
      </c>
      <c r="G28" s="10" t="s">
        <v>585</v>
      </c>
      <c r="I28" s="4" t="str">
        <f t="shared" si="0"/>
        <v xml:space="preserve">    name_mod_tifc: "Time in front of the camera (TIFC)"</v>
      </c>
    </row>
    <row r="29" spans="1:9">
      <c r="A29" s="4" t="s">
        <v>767</v>
      </c>
      <c r="B29" t="s">
        <v>4</v>
      </c>
      <c r="C29" t="s">
        <v>1</v>
      </c>
      <c r="D29" t="s">
        <v>8</v>
      </c>
      <c r="E29" t="s">
        <v>7</v>
      </c>
      <c r="F29" t="s">
        <v>897</v>
      </c>
      <c r="G29" s="10" t="s">
        <v>586</v>
      </c>
      <c r="I29" s="4" t="str">
        <f t="shared" si="0"/>
        <v xml:space="preserve">    name_mod_tte: "Time-to-event (TTE)"</v>
      </c>
    </row>
    <row r="30" spans="1:9">
      <c r="A30" s="4" t="s">
        <v>767</v>
      </c>
      <c r="B30" t="s">
        <v>4</v>
      </c>
      <c r="C30" t="s">
        <v>553</v>
      </c>
      <c r="D30" t="s">
        <v>21</v>
      </c>
      <c r="E30" s="4" t="s">
        <v>536</v>
      </c>
      <c r="I30" s="4" t="str">
        <f t="shared" si="0"/>
        <v xml:space="preserve">    mod_appl_mod_2flankspim: "Density / population size; Partially Marked"</v>
      </c>
    </row>
    <row r="31" spans="1:9">
      <c r="A31" s="4" t="s">
        <v>767</v>
      </c>
      <c r="B31" t="s">
        <v>4</v>
      </c>
      <c r="C31" t="s">
        <v>553</v>
      </c>
      <c r="D31" t="s">
        <v>31</v>
      </c>
      <c r="E31" s="4" t="s">
        <v>30</v>
      </c>
      <c r="I31" s="4" t="str">
        <f t="shared" si="0"/>
        <v xml:space="preserve">    mod_appl_mod_behaviour: "Behaviour"</v>
      </c>
    </row>
    <row r="32" spans="1:9">
      <c r="A32" s="4" t="s">
        <v>767</v>
      </c>
      <c r="B32" t="s">
        <v>4</v>
      </c>
      <c r="C32" t="s">
        <v>553</v>
      </c>
      <c r="D32" t="s">
        <v>22</v>
      </c>
      <c r="E32" s="4" t="s">
        <v>536</v>
      </c>
      <c r="I32" s="4" t="str">
        <f t="shared" si="0"/>
        <v xml:space="preserve">    mod_appl_mod_catspim: "Density / population size; Partially Marked"</v>
      </c>
    </row>
    <row r="33" spans="1:9">
      <c r="A33" s="4" t="s">
        <v>767</v>
      </c>
      <c r="B33" t="s">
        <v>4</v>
      </c>
      <c r="C33" t="s">
        <v>553</v>
      </c>
      <c r="D33" t="s">
        <v>29</v>
      </c>
      <c r="E33" s="4" t="s">
        <v>533</v>
      </c>
      <c r="I33" s="4" t="str">
        <f t="shared" si="0"/>
        <v xml:space="preserve">    mod_appl_mod_cr_cmr: "Population size / Absolute abundance / Vital rates / Density; Marked"</v>
      </c>
    </row>
    <row r="34" spans="1:9">
      <c r="A34" s="4" t="s">
        <v>767</v>
      </c>
      <c r="B34" t="s">
        <v>4</v>
      </c>
      <c r="C34" t="s">
        <v>553</v>
      </c>
      <c r="D34" t="s">
        <v>434</v>
      </c>
      <c r="E34" t="s">
        <v>621</v>
      </c>
      <c r="I34" s="4" t="str">
        <f t="shared" si="0"/>
        <v xml:space="preserve">    mod_appl_mod_divers_rich_alpha: "Alpha richness (α)"</v>
      </c>
    </row>
    <row r="35" spans="1:9">
      <c r="A35" s="4" t="s">
        <v>767</v>
      </c>
      <c r="B35" t="s">
        <v>4</v>
      </c>
      <c r="C35" t="s">
        <v>553</v>
      </c>
      <c r="D35" t="s">
        <v>433</v>
      </c>
      <c r="E35" t="s">
        <v>620</v>
      </c>
      <c r="I35" s="4" t="str">
        <f t="shared" si="0"/>
        <v xml:space="preserve">    mod_appl_mod_divers_rich_beta: "Beta-diversity (β)"</v>
      </c>
    </row>
    <row r="36" spans="1:9">
      <c r="A36" s="4" t="s">
        <v>767</v>
      </c>
      <c r="B36" t="s">
        <v>4</v>
      </c>
      <c r="C36" t="s">
        <v>553</v>
      </c>
      <c r="D36" t="s">
        <v>538</v>
      </c>
      <c r="E36" s="7" t="s">
        <v>443</v>
      </c>
      <c r="I36" s="4" t="str">
        <f t="shared" si="0"/>
        <v xml:space="preserve">    mod_appl_mod_divers_rich_divers: "Species diversity"</v>
      </c>
    </row>
    <row r="37" spans="1:9">
      <c r="A37" s="4" t="s">
        <v>767</v>
      </c>
      <c r="B37" t="s">
        <v>4</v>
      </c>
      <c r="C37" t="s">
        <v>553</v>
      </c>
      <c r="D37" t="s">
        <v>435</v>
      </c>
      <c r="E37" t="s">
        <v>619</v>
      </c>
      <c r="I37" s="4" t="str">
        <f t="shared" si="0"/>
        <v xml:space="preserve">    mod_appl_mod_divers_rich_gamma: "Gamma richness (γ)"</v>
      </c>
    </row>
    <row r="38" spans="1:9">
      <c r="A38" s="4" t="s">
        <v>767</v>
      </c>
      <c r="B38" t="s">
        <v>4</v>
      </c>
      <c r="C38" t="s">
        <v>553</v>
      </c>
      <c r="D38" t="s">
        <v>451</v>
      </c>
      <c r="E38" s="7" t="s">
        <v>442</v>
      </c>
      <c r="I38" s="4" t="str">
        <f t="shared" si="0"/>
        <v xml:space="preserve">    mod_appl_mod_divers_rich_rich: "Species richness"</v>
      </c>
    </row>
    <row r="39" spans="1:9">
      <c r="A39" s="4" t="s">
        <v>767</v>
      </c>
      <c r="B39" t="s">
        <v>4</v>
      </c>
      <c r="C39" t="s">
        <v>553</v>
      </c>
      <c r="D39" t="s">
        <v>10</v>
      </c>
      <c r="E39" s="4" t="s">
        <v>532</v>
      </c>
      <c r="I39" s="4" t="str">
        <f t="shared" si="0"/>
        <v xml:space="preserve">    mod_appl_mod_ds: "Density; Unmarked"</v>
      </c>
    </row>
    <row r="40" spans="1:9">
      <c r="A40" s="4" t="s">
        <v>767</v>
      </c>
      <c r="B40" t="s">
        <v>4</v>
      </c>
      <c r="C40" t="s">
        <v>553</v>
      </c>
      <c r="D40" t="s">
        <v>38</v>
      </c>
      <c r="E40" s="4" t="s">
        <v>452</v>
      </c>
      <c r="I40" s="4" t="str">
        <f t="shared" si="0"/>
        <v xml:space="preserve">    mod_appl_mod_inventory: "Species inventory, presence"</v>
      </c>
    </row>
    <row r="41" spans="1:9">
      <c r="A41" s="4" t="s">
        <v>767</v>
      </c>
      <c r="B41" t="s">
        <v>4</v>
      </c>
      <c r="C41" t="s">
        <v>553</v>
      </c>
      <c r="D41" t="s">
        <v>3</v>
      </c>
      <c r="E41" s="4" t="s">
        <v>532</v>
      </c>
      <c r="I41" s="4" t="str">
        <f t="shared" si="0"/>
        <v xml:space="preserve">    mod_appl_mod_is: "Density; Unmarked"</v>
      </c>
    </row>
    <row r="42" spans="1:9">
      <c r="A42" s="4" t="s">
        <v>767</v>
      </c>
      <c r="B42" t="s">
        <v>4</v>
      </c>
      <c r="C42" t="s">
        <v>553</v>
      </c>
      <c r="D42" t="s">
        <v>34</v>
      </c>
      <c r="E42" s="4" t="s">
        <v>46</v>
      </c>
      <c r="I42" s="4" t="str">
        <f t="shared" si="0"/>
        <v xml:space="preserve">    mod_appl_mod_occupancy: "Occupancy"</v>
      </c>
    </row>
    <row r="43" spans="1:9">
      <c r="A43" s="4" t="s">
        <v>767</v>
      </c>
      <c r="B43" t="s">
        <v>4</v>
      </c>
      <c r="C43" t="s">
        <v>553</v>
      </c>
      <c r="D43" t="s">
        <v>33</v>
      </c>
      <c r="E43" s="4" t="s">
        <v>44</v>
      </c>
      <c r="I43" s="4" t="str">
        <f t="shared" si="0"/>
        <v xml:space="preserve">    mod_appl_mod_rai: "Relative abundance"</v>
      </c>
    </row>
    <row r="44" spans="1:9">
      <c r="A44" s="4" t="s">
        <v>767</v>
      </c>
      <c r="B44" t="s">
        <v>4</v>
      </c>
      <c r="C44" t="s">
        <v>553</v>
      </c>
      <c r="D44" t="s">
        <v>446</v>
      </c>
      <c r="E44" s="4" t="s">
        <v>44</v>
      </c>
      <c r="I44" s="4" t="str">
        <f t="shared" si="0"/>
        <v xml:space="preserve">    mod_appl_mod_rai_hurdle: "Relative abundance"</v>
      </c>
    </row>
    <row r="45" spans="1:9">
      <c r="A45" s="4" t="s">
        <v>767</v>
      </c>
      <c r="B45" t="s">
        <v>4</v>
      </c>
      <c r="C45" t="s">
        <v>553</v>
      </c>
      <c r="D45" t="s">
        <v>449</v>
      </c>
      <c r="E45" s="4" t="s">
        <v>44</v>
      </c>
      <c r="I45" s="4" t="str">
        <f t="shared" si="0"/>
        <v xml:space="preserve">    mod_appl_mod_rai_nb: "Relative abundance"</v>
      </c>
    </row>
    <row r="46" spans="1:9">
      <c r="A46" s="4" t="s">
        <v>767</v>
      </c>
      <c r="B46" t="s">
        <v>4</v>
      </c>
      <c r="C46" t="s">
        <v>553</v>
      </c>
      <c r="D46" t="s">
        <v>432</v>
      </c>
      <c r="E46" s="4" t="s">
        <v>44</v>
      </c>
      <c r="I46" s="4" t="str">
        <f t="shared" si="0"/>
        <v xml:space="preserve">    mod_appl_mod_rai_poisson: "Relative abundance"</v>
      </c>
    </row>
    <row r="47" spans="1:9">
      <c r="A47" s="4" t="s">
        <v>767</v>
      </c>
      <c r="B47" t="s">
        <v>4</v>
      </c>
      <c r="C47" t="s">
        <v>553</v>
      </c>
      <c r="D47" t="s">
        <v>447</v>
      </c>
      <c r="E47" s="4" t="s">
        <v>44</v>
      </c>
      <c r="I47" s="4" t="str">
        <f t="shared" si="0"/>
        <v xml:space="preserve">    mod_appl_mod_rai_zinb: "Relative abundance"</v>
      </c>
    </row>
    <row r="48" spans="1:9">
      <c r="A48" s="4" t="s">
        <v>767</v>
      </c>
      <c r="B48" t="s">
        <v>4</v>
      </c>
      <c r="C48" t="s">
        <v>553</v>
      </c>
      <c r="D48" t="s">
        <v>450</v>
      </c>
      <c r="E48" s="4" t="s">
        <v>44</v>
      </c>
      <c r="I48" s="4" t="str">
        <f t="shared" si="0"/>
        <v xml:space="preserve">    mod_appl_mod_rai_zip: "Relative abundance"</v>
      </c>
    </row>
    <row r="49" spans="1:9">
      <c r="A49" s="4" t="s">
        <v>767</v>
      </c>
      <c r="B49" t="s">
        <v>4</v>
      </c>
      <c r="C49" t="s">
        <v>553</v>
      </c>
      <c r="D49" t="s">
        <v>16</v>
      </c>
      <c r="E49" s="4" t="s">
        <v>532</v>
      </c>
      <c r="I49" s="4" t="str">
        <f t="shared" si="0"/>
        <v xml:space="preserve">    mod_appl_mod_rem: "Density; Unmarked"</v>
      </c>
    </row>
    <row r="50" spans="1:9">
      <c r="A50" s="4" t="s">
        <v>767</v>
      </c>
      <c r="B50" t="s">
        <v>4</v>
      </c>
      <c r="C50" t="s">
        <v>553</v>
      </c>
      <c r="D50" t="s">
        <v>14</v>
      </c>
      <c r="E50" s="4" t="s">
        <v>532</v>
      </c>
      <c r="I50" s="4" t="str">
        <f t="shared" si="0"/>
        <v xml:space="preserve">    mod_appl_mod_rest: "Density; Unmarked"</v>
      </c>
    </row>
    <row r="51" spans="1:9">
      <c r="A51" s="4" t="s">
        <v>767</v>
      </c>
      <c r="B51" t="s">
        <v>4</v>
      </c>
      <c r="C51" t="s">
        <v>553</v>
      </c>
      <c r="D51" t="s">
        <v>23</v>
      </c>
      <c r="E51" s="4" t="s">
        <v>532</v>
      </c>
      <c r="I51" s="4" t="str">
        <f t="shared" si="0"/>
        <v xml:space="preserve">    mod_appl_mod_sc: "Density; Unmarked"</v>
      </c>
    </row>
    <row r="52" spans="1:9">
      <c r="A52" s="4" t="s">
        <v>767</v>
      </c>
      <c r="B52" t="s">
        <v>4</v>
      </c>
      <c r="C52" t="s">
        <v>553</v>
      </c>
      <c r="D52" t="s">
        <v>28</v>
      </c>
      <c r="E52" s="4" t="s">
        <v>534</v>
      </c>
      <c r="I52" s="4" t="str">
        <f t="shared" si="0"/>
        <v xml:space="preserve">    mod_appl_mod_scr_secr: "Density / population size; Marked"</v>
      </c>
    </row>
    <row r="53" spans="1:9">
      <c r="A53" s="4" t="s">
        <v>767</v>
      </c>
      <c r="B53" t="s">
        <v>4</v>
      </c>
      <c r="C53" t="s">
        <v>553</v>
      </c>
      <c r="D53" t="s">
        <v>25</v>
      </c>
      <c r="E53" s="4" t="s">
        <v>535</v>
      </c>
      <c r="I53" s="4" t="str">
        <f t="shared" si="0"/>
        <v xml:space="preserve">    mod_appl_mod_smr: "Density; Marked"</v>
      </c>
    </row>
    <row r="54" spans="1:9">
      <c r="A54" s="4" t="s">
        <v>767</v>
      </c>
      <c r="B54" t="s">
        <v>4</v>
      </c>
      <c r="C54" t="s">
        <v>553</v>
      </c>
      <c r="D54" t="s">
        <v>6</v>
      </c>
      <c r="E54" s="4" t="s">
        <v>532</v>
      </c>
      <c r="I54" s="4" t="str">
        <f t="shared" si="0"/>
        <v xml:space="preserve">    mod_appl_mod_ste: "Density; Unmarked"</v>
      </c>
    </row>
    <row r="55" spans="1:9">
      <c r="A55" s="4" t="s">
        <v>767</v>
      </c>
      <c r="B55" t="s">
        <v>4</v>
      </c>
      <c r="C55" t="s">
        <v>553</v>
      </c>
      <c r="D55" t="s">
        <v>12</v>
      </c>
      <c r="E55" s="4" t="s">
        <v>532</v>
      </c>
      <c r="I55" s="4" t="str">
        <f t="shared" si="0"/>
        <v xml:space="preserve">    mod_appl_mod_tifc: "Density; Unmarked"</v>
      </c>
    </row>
    <row r="56" spans="1:9">
      <c r="A56" s="4" t="s">
        <v>767</v>
      </c>
      <c r="B56" t="s">
        <v>4</v>
      </c>
      <c r="C56" t="s">
        <v>553</v>
      </c>
      <c r="D56" t="s">
        <v>8</v>
      </c>
      <c r="E56" s="4" t="s">
        <v>532</v>
      </c>
      <c r="I56" s="4" t="str">
        <f t="shared" si="0"/>
        <v xml:space="preserve">    mod_appl_mod_tte: "Density; Unmarked"</v>
      </c>
    </row>
    <row r="57" spans="1:9">
      <c r="C57" t="s">
        <v>473</v>
      </c>
      <c r="D57" t="s">
        <v>554</v>
      </c>
      <c r="E57" t="s">
        <v>984</v>
      </c>
      <c r="F57" t="s">
        <v>984</v>
      </c>
      <c r="G57" t="s">
        <v>984</v>
      </c>
      <c r="I57" t="e">
        <f>"    "&amp;D57&amp;": "&amp;""""&amp;#REF!&amp;""""</f>
        <v>#REF!</v>
      </c>
    </row>
    <row r="58" spans="1:9">
      <c r="C58" t="s">
        <v>473</v>
      </c>
      <c r="D58" t="s">
        <v>599</v>
      </c>
      <c r="E58" t="s">
        <v>984</v>
      </c>
      <c r="F58" t="s">
        <v>984</v>
      </c>
      <c r="G58" t="s">
        <v>984</v>
      </c>
      <c r="I58" t="e">
        <f>"    "&amp;D58&amp;": "&amp;""""&amp;#REF!&amp;""""</f>
        <v>#REF!</v>
      </c>
    </row>
    <row r="59" spans="1:9">
      <c r="C59" t="s">
        <v>473</v>
      </c>
      <c r="D59" t="s">
        <v>608</v>
      </c>
      <c r="E59" t="s">
        <v>984</v>
      </c>
      <c r="F59" t="s">
        <v>984</v>
      </c>
      <c r="G59" t="s">
        <v>984</v>
      </c>
      <c r="I59" t="e">
        <f>"    "&amp;D59&amp;": "&amp;""""&amp;#REF!&amp;""""</f>
        <v>#REF!</v>
      </c>
    </row>
    <row r="60" spans="1:9">
      <c r="C60" t="s">
        <v>473</v>
      </c>
      <c r="D60" t="s">
        <v>609</v>
      </c>
      <c r="E60" t="s">
        <v>984</v>
      </c>
      <c r="F60" t="s">
        <v>984</v>
      </c>
      <c r="G60" t="s">
        <v>984</v>
      </c>
      <c r="I60" t="e">
        <f>"    "&amp;D60&amp;": "&amp;""""&amp;#REF!&amp;""""</f>
        <v>#REF!</v>
      </c>
    </row>
    <row r="61" spans="1:9">
      <c r="C61" t="s">
        <v>473</v>
      </c>
      <c r="D61" t="s">
        <v>610</v>
      </c>
      <c r="E61" t="s">
        <v>984</v>
      </c>
      <c r="F61" t="s">
        <v>984</v>
      </c>
      <c r="G61" t="s">
        <v>984</v>
      </c>
      <c r="I61" t="e">
        <f>"    "&amp;D61&amp;": "&amp;""""&amp;#REF!&amp;""""</f>
        <v>#REF!</v>
      </c>
    </row>
    <row r="62" spans="1:9">
      <c r="C62" t="s">
        <v>473</v>
      </c>
      <c r="D62" t="s">
        <v>611</v>
      </c>
      <c r="E62" t="s">
        <v>984</v>
      </c>
      <c r="F62" t="s">
        <v>984</v>
      </c>
      <c r="G62" t="s">
        <v>984</v>
      </c>
      <c r="I62" t="e">
        <f>"    "&amp;D62&amp;": "&amp;""""&amp;#REF!&amp;""""</f>
        <v>#REF!</v>
      </c>
    </row>
    <row r="63" spans="1:9">
      <c r="C63" t="s">
        <v>473</v>
      </c>
      <c r="D63" t="s">
        <v>612</v>
      </c>
      <c r="E63" t="s">
        <v>984</v>
      </c>
      <c r="F63" t="s">
        <v>984</v>
      </c>
      <c r="G63" t="s">
        <v>984</v>
      </c>
      <c r="I63" t="e">
        <f>"    "&amp;D63&amp;": "&amp;""""&amp;#REF!&amp;""""</f>
        <v>#REF!</v>
      </c>
    </row>
    <row r="64" spans="1:9">
      <c r="C64" t="s">
        <v>473</v>
      </c>
      <c r="D64" t="s">
        <v>613</v>
      </c>
      <c r="E64" t="s">
        <v>984</v>
      </c>
      <c r="F64" t="s">
        <v>984</v>
      </c>
      <c r="G64" t="s">
        <v>984</v>
      </c>
      <c r="I64" t="e">
        <f>"    "&amp;D64&amp;": "&amp;""""&amp;#REF!&amp;""""</f>
        <v>#REF!</v>
      </c>
    </row>
    <row r="65" spans="3:9">
      <c r="C65" t="s">
        <v>473</v>
      </c>
      <c r="D65" t="s">
        <v>614</v>
      </c>
      <c r="E65" t="s">
        <v>984</v>
      </c>
      <c r="F65" t="s">
        <v>984</v>
      </c>
      <c r="G65" t="s">
        <v>984</v>
      </c>
      <c r="I65" t="e">
        <f>"    "&amp;D65&amp;": "&amp;""""&amp;#REF!&amp;""""</f>
        <v>#REF!</v>
      </c>
    </row>
    <row r="66" spans="3:9">
      <c r="C66" t="s">
        <v>473</v>
      </c>
      <c r="D66" t="s">
        <v>615</v>
      </c>
      <c r="E66" t="s">
        <v>984</v>
      </c>
      <c r="F66" t="s">
        <v>984</v>
      </c>
      <c r="G66" t="s">
        <v>984</v>
      </c>
      <c r="I66" t="e">
        <f>"    "&amp;D66&amp;": "&amp;""""&amp;#REF!&amp;""""</f>
        <v>#REF!</v>
      </c>
    </row>
    <row r="67" spans="3:9">
      <c r="C67" t="s">
        <v>473</v>
      </c>
      <c r="D67" t="s">
        <v>616</v>
      </c>
      <c r="E67" t="s">
        <v>984</v>
      </c>
      <c r="F67" t="s">
        <v>984</v>
      </c>
      <c r="G67" t="s">
        <v>984</v>
      </c>
      <c r="I67" t="e">
        <f>"    "&amp;D67&amp;": "&amp;""""&amp;#REF!&amp;""""</f>
        <v>#REF!</v>
      </c>
    </row>
    <row r="68" spans="3:9">
      <c r="C68" t="s">
        <v>473</v>
      </c>
      <c r="D68" t="s">
        <v>617</v>
      </c>
      <c r="E68" t="s">
        <v>984</v>
      </c>
      <c r="F68" t="s">
        <v>984</v>
      </c>
      <c r="G68" t="s">
        <v>984</v>
      </c>
      <c r="I68" t="e">
        <f>"    "&amp;D68&amp;": "&amp;""""&amp;#REF!&amp;""""</f>
        <v>#REF!</v>
      </c>
    </row>
    <row r="69" spans="3:9">
      <c r="C69" t="s">
        <v>473</v>
      </c>
      <c r="D69" t="s">
        <v>600</v>
      </c>
      <c r="E69" t="s">
        <v>984</v>
      </c>
      <c r="F69" t="s">
        <v>984</v>
      </c>
      <c r="G69" t="s">
        <v>984</v>
      </c>
      <c r="I69" t="e">
        <f>"    "&amp;D69&amp;": "&amp;""""&amp;#REF!&amp;""""</f>
        <v>#REF!</v>
      </c>
    </row>
    <row r="70" spans="3:9">
      <c r="C70" t="s">
        <v>473</v>
      </c>
      <c r="D70" t="s">
        <v>618</v>
      </c>
      <c r="E70" t="s">
        <v>984</v>
      </c>
      <c r="F70" t="s">
        <v>984</v>
      </c>
      <c r="G70" t="s">
        <v>984</v>
      </c>
      <c r="I70" t="e">
        <f>"    "&amp;D70&amp;": "&amp;""""&amp;#REF!&amp;""""</f>
        <v>#REF!</v>
      </c>
    </row>
    <row r="71" spans="3:9">
      <c r="C71" t="s">
        <v>473</v>
      </c>
      <c r="D71" t="s">
        <v>601</v>
      </c>
      <c r="E71" t="s">
        <v>984</v>
      </c>
      <c r="F71" t="s">
        <v>984</v>
      </c>
      <c r="G71" t="s">
        <v>984</v>
      </c>
      <c r="I71" t="e">
        <f>"    "&amp;D71&amp;": "&amp;""""&amp;#REF!&amp;""""</f>
        <v>#REF!</v>
      </c>
    </row>
    <row r="72" spans="3:9">
      <c r="C72" t="s">
        <v>473</v>
      </c>
      <c r="D72" t="s">
        <v>602</v>
      </c>
      <c r="E72" t="s">
        <v>984</v>
      </c>
      <c r="F72" t="s">
        <v>984</v>
      </c>
      <c r="G72" t="s">
        <v>984</v>
      </c>
      <c r="I72" t="e">
        <f>"    "&amp;D72&amp;": "&amp;""""&amp;#REF!&amp;""""</f>
        <v>#REF!</v>
      </c>
    </row>
    <row r="73" spans="3:9">
      <c r="C73" t="s">
        <v>473</v>
      </c>
      <c r="D73" t="s">
        <v>603</v>
      </c>
      <c r="E73" t="s">
        <v>984</v>
      </c>
      <c r="F73" t="s">
        <v>984</v>
      </c>
      <c r="G73" t="s">
        <v>984</v>
      </c>
      <c r="I73" t="e">
        <f>"    "&amp;D73&amp;": "&amp;""""&amp;#REF!&amp;""""</f>
        <v>#REF!</v>
      </c>
    </row>
    <row r="74" spans="3:9">
      <c r="C74" t="s">
        <v>473</v>
      </c>
      <c r="D74" t="s">
        <v>604</v>
      </c>
      <c r="E74" t="s">
        <v>984</v>
      </c>
      <c r="F74" t="s">
        <v>984</v>
      </c>
      <c r="G74" t="s">
        <v>984</v>
      </c>
      <c r="I74" t="e">
        <f>"    "&amp;D74&amp;": "&amp;""""&amp;#REF!&amp;""""</f>
        <v>#REF!</v>
      </c>
    </row>
    <row r="75" spans="3:9">
      <c r="C75" t="s">
        <v>473</v>
      </c>
      <c r="D75" t="s">
        <v>605</v>
      </c>
      <c r="E75" t="s">
        <v>984</v>
      </c>
      <c r="F75" t="s">
        <v>984</v>
      </c>
      <c r="G75" t="s">
        <v>984</v>
      </c>
      <c r="I75" t="e">
        <f>"    "&amp;D75&amp;": "&amp;""""&amp;#REF!&amp;""""</f>
        <v>#REF!</v>
      </c>
    </row>
    <row r="76" spans="3:9">
      <c r="C76" t="s">
        <v>473</v>
      </c>
      <c r="D76" t="s">
        <v>606</v>
      </c>
      <c r="E76" t="s">
        <v>984</v>
      </c>
      <c r="F76" t="s">
        <v>984</v>
      </c>
      <c r="G76" t="s">
        <v>984</v>
      </c>
      <c r="I76" t="e">
        <f>"    "&amp;D76&amp;": "&amp;""""&amp;#REF!&amp;""""</f>
        <v>#REF!</v>
      </c>
    </row>
    <row r="77" spans="3:9">
      <c r="C77" t="s">
        <v>473</v>
      </c>
      <c r="D77" t="s">
        <v>607</v>
      </c>
      <c r="E77" t="s">
        <v>984</v>
      </c>
      <c r="F77" t="s">
        <v>984</v>
      </c>
      <c r="G77" t="s">
        <v>984</v>
      </c>
      <c r="I77" t="e">
        <f>"    "&amp;D77&amp;": "&amp;""""&amp;#REF!&amp;""""</f>
        <v>#REF!</v>
      </c>
    </row>
    <row r="78" spans="3:9">
      <c r="C78" t="s">
        <v>473</v>
      </c>
      <c r="D78" t="s">
        <v>466</v>
      </c>
      <c r="E78" t="s">
        <v>984</v>
      </c>
      <c r="F78" t="s">
        <v>984</v>
      </c>
      <c r="G78" t="s">
        <v>984</v>
      </c>
      <c r="I78" t="e">
        <f>"    "&amp;D78&amp;": "&amp;""""&amp;#REF!&amp;""""</f>
        <v>#REF!</v>
      </c>
    </row>
    <row r="79" spans="3:9">
      <c r="C79" t="s">
        <v>473</v>
      </c>
      <c r="D79" t="s">
        <v>507</v>
      </c>
      <c r="E79" t="s">
        <v>984</v>
      </c>
      <c r="F79" t="s">
        <v>984</v>
      </c>
      <c r="G79" t="s">
        <v>984</v>
      </c>
      <c r="I79" t="e">
        <f>"    "&amp;D79&amp;": "&amp;""""&amp;#REF!&amp;""""</f>
        <v>#REF!</v>
      </c>
    </row>
    <row r="80" spans="3:9">
      <c r="C80" t="s">
        <v>473</v>
      </c>
      <c r="D80" t="s">
        <v>508</v>
      </c>
      <c r="E80" t="s">
        <v>984</v>
      </c>
      <c r="F80" t="s">
        <v>984</v>
      </c>
      <c r="G80" t="s">
        <v>984</v>
      </c>
      <c r="I80" t="e">
        <f>"    "&amp;D80&amp;": "&amp;""""&amp;#REF!&amp;""""</f>
        <v>#REF!</v>
      </c>
    </row>
    <row r="81" spans="3:9">
      <c r="C81" t="s">
        <v>473</v>
      </c>
      <c r="D81" t="s">
        <v>509</v>
      </c>
      <c r="E81" t="s">
        <v>984</v>
      </c>
      <c r="F81" t="s">
        <v>984</v>
      </c>
      <c r="G81" t="s">
        <v>984</v>
      </c>
      <c r="I81" t="e">
        <f>"    "&amp;D81&amp;": "&amp;""""&amp;#REF!&amp;""""</f>
        <v>#REF!</v>
      </c>
    </row>
    <row r="82" spans="3:9">
      <c r="C82" t="s">
        <v>473</v>
      </c>
      <c r="D82" t="s">
        <v>510</v>
      </c>
      <c r="E82" t="s">
        <v>984</v>
      </c>
      <c r="F82" t="s">
        <v>984</v>
      </c>
      <c r="G82" t="s">
        <v>984</v>
      </c>
      <c r="I82" t="e">
        <f>"    "&amp;D82&amp;": "&amp;""""&amp;#REF!&amp;""""</f>
        <v>#REF!</v>
      </c>
    </row>
    <row r="83" spans="3:9">
      <c r="C83" t="s">
        <v>473</v>
      </c>
      <c r="D83" t="s">
        <v>592</v>
      </c>
      <c r="E83" t="s">
        <v>984</v>
      </c>
      <c r="F83" t="s">
        <v>984</v>
      </c>
      <c r="G83" t="s">
        <v>984</v>
      </c>
      <c r="I83" t="e">
        <f>"    "&amp;D83&amp;": "&amp;""""&amp;#REF!&amp;""""</f>
        <v>#REF!</v>
      </c>
    </row>
    <row r="84" spans="3:9">
      <c r="C84" t="s">
        <v>473</v>
      </c>
      <c r="D84" t="s">
        <v>593</v>
      </c>
      <c r="E84" t="s">
        <v>984</v>
      </c>
      <c r="F84" t="s">
        <v>984</v>
      </c>
      <c r="G84" t="s">
        <v>984</v>
      </c>
      <c r="I84" t="e">
        <f>"    "&amp;D84&amp;": "&amp;""""&amp;#REF!&amp;""""</f>
        <v>#REF!</v>
      </c>
    </row>
    <row r="85" spans="3:9">
      <c r="C85" t="s">
        <v>473</v>
      </c>
      <c r="D85" t="s">
        <v>594</v>
      </c>
      <c r="E85" t="s">
        <v>984</v>
      </c>
      <c r="F85" t="s">
        <v>984</v>
      </c>
      <c r="G85" t="s">
        <v>984</v>
      </c>
      <c r="I85" t="e">
        <f>"    "&amp;D85&amp;": "&amp;""""&amp;#REF!&amp;""""</f>
        <v>#REF!</v>
      </c>
    </row>
    <row r="86" spans="3:9">
      <c r="C86" t="s">
        <v>473</v>
      </c>
      <c r="D86" t="s">
        <v>595</v>
      </c>
      <c r="E86" t="s">
        <v>984</v>
      </c>
      <c r="F86" t="s">
        <v>984</v>
      </c>
      <c r="G86" t="s">
        <v>984</v>
      </c>
      <c r="I86" t="e">
        <f>"    "&amp;D86&amp;": "&amp;""""&amp;#REF!&amp;""""</f>
        <v>#REF!</v>
      </c>
    </row>
    <row r="87" spans="3:9">
      <c r="C87" t="s">
        <v>473</v>
      </c>
      <c r="D87" t="s">
        <v>596</v>
      </c>
      <c r="E87" t="s">
        <v>984</v>
      </c>
      <c r="F87" t="s">
        <v>984</v>
      </c>
      <c r="G87" t="s">
        <v>984</v>
      </c>
      <c r="I87" t="e">
        <f>"    "&amp;D87&amp;": "&amp;""""&amp;#REF!&amp;""""</f>
        <v>#REF!</v>
      </c>
    </row>
    <row r="88" spans="3:9">
      <c r="C88" t="s">
        <v>473</v>
      </c>
      <c r="D88" t="s">
        <v>597</v>
      </c>
      <c r="E88" t="s">
        <v>984</v>
      </c>
      <c r="F88" t="s">
        <v>984</v>
      </c>
      <c r="G88" t="s">
        <v>984</v>
      </c>
      <c r="I88" t="e">
        <f>"    "&amp;D88&amp;": "&amp;""""&amp;#REF!&amp;""""</f>
        <v>#REF!</v>
      </c>
    </row>
    <row r="89" spans="3:9">
      <c r="C89" t="s">
        <v>473</v>
      </c>
      <c r="D89" t="s">
        <v>467</v>
      </c>
      <c r="E89" t="s">
        <v>984</v>
      </c>
      <c r="F89" t="s">
        <v>984</v>
      </c>
      <c r="G89" t="s">
        <v>984</v>
      </c>
      <c r="I89" t="e">
        <f>"    "&amp;D89&amp;": "&amp;""""&amp;#REF!&amp;""""</f>
        <v>#REF!</v>
      </c>
    </row>
    <row r="90" spans="3:9">
      <c r="C90" t="s">
        <v>473</v>
      </c>
      <c r="D90" t="s">
        <v>598</v>
      </c>
      <c r="E90" t="s">
        <v>984</v>
      </c>
      <c r="F90" t="s">
        <v>984</v>
      </c>
      <c r="G90" t="s">
        <v>984</v>
      </c>
      <c r="I90" t="e">
        <f>"    "&amp;D90&amp;": "&amp;""""&amp;#REF!&amp;""""</f>
        <v>#REF!</v>
      </c>
    </row>
    <row r="91" spans="3:9">
      <c r="C91" t="s">
        <v>473</v>
      </c>
      <c r="D91" t="s">
        <v>468</v>
      </c>
      <c r="E91" t="s">
        <v>984</v>
      </c>
      <c r="F91" t="s">
        <v>984</v>
      </c>
      <c r="G91" t="s">
        <v>984</v>
      </c>
      <c r="I91" t="e">
        <f>"    "&amp;D91&amp;": "&amp;""""&amp;#REF!&amp;""""</f>
        <v>#REF!</v>
      </c>
    </row>
    <row r="92" spans="3:9">
      <c r="C92" t="s">
        <v>473</v>
      </c>
      <c r="D92" t="s">
        <v>469</v>
      </c>
      <c r="E92" t="s">
        <v>984</v>
      </c>
      <c r="F92" t="s">
        <v>984</v>
      </c>
      <c r="G92" t="s">
        <v>984</v>
      </c>
      <c r="I92" t="e">
        <f>"    "&amp;D92&amp;": "&amp;""""&amp;#REF!&amp;""""</f>
        <v>#REF!</v>
      </c>
    </row>
    <row r="93" spans="3:9">
      <c r="C93" t="s">
        <v>473</v>
      </c>
      <c r="D93" t="s">
        <v>465</v>
      </c>
      <c r="E93" t="s">
        <v>984</v>
      </c>
      <c r="F93" t="s">
        <v>984</v>
      </c>
      <c r="G93" t="s">
        <v>984</v>
      </c>
      <c r="I93" t="e">
        <f>"    "&amp;D93&amp;": "&amp;""""&amp;#REF!&amp;""""</f>
        <v>#REF!</v>
      </c>
    </row>
    <row r="94" spans="3:9">
      <c r="C94" t="s">
        <v>473</v>
      </c>
      <c r="D94" t="s">
        <v>470</v>
      </c>
      <c r="E94" t="s">
        <v>984</v>
      </c>
      <c r="F94" t="s">
        <v>984</v>
      </c>
      <c r="G94" t="s">
        <v>984</v>
      </c>
      <c r="I94" t="e">
        <f>"    "&amp;D94&amp;": "&amp;""""&amp;#REF!&amp;""""</f>
        <v>#REF!</v>
      </c>
    </row>
    <row r="95" spans="3:9">
      <c r="C95" t="s">
        <v>473</v>
      </c>
      <c r="D95" t="s">
        <v>471</v>
      </c>
      <c r="E95" t="s">
        <v>984</v>
      </c>
      <c r="F95" t="s">
        <v>984</v>
      </c>
      <c r="G95" t="s">
        <v>984</v>
      </c>
      <c r="I95" t="e">
        <f>"    "&amp;D95&amp;": "&amp;""""&amp;#REF!&amp;""""</f>
        <v>#REF!</v>
      </c>
    </row>
    <row r="96" spans="3:9">
      <c r="C96" t="s">
        <v>473</v>
      </c>
      <c r="D96" t="s">
        <v>472</v>
      </c>
      <c r="E96" t="s">
        <v>984</v>
      </c>
      <c r="F96" t="s">
        <v>984</v>
      </c>
      <c r="G96" t="s">
        <v>984</v>
      </c>
      <c r="I96" t="e">
        <f>"    "&amp;D96&amp;": "&amp;""""&amp;#REF!&amp;""""</f>
        <v>#REF!</v>
      </c>
    </row>
    <row r="97" spans="3:9">
      <c r="C97" t="s">
        <v>473</v>
      </c>
      <c r="D97" t="s">
        <v>506</v>
      </c>
      <c r="E97" t="s">
        <v>984</v>
      </c>
      <c r="F97" t="s">
        <v>984</v>
      </c>
      <c r="G97" t="s">
        <v>984</v>
      </c>
      <c r="I97" t="e">
        <f>"    "&amp;D97&amp;": "&amp;""""&amp;#REF!&amp;""""</f>
        <v>#REF!</v>
      </c>
    </row>
    <row r="98" spans="3:9">
      <c r="C98" t="s">
        <v>473</v>
      </c>
      <c r="D98" t="s">
        <v>1014</v>
      </c>
      <c r="E98" t="s">
        <v>984</v>
      </c>
      <c r="F98" t="s">
        <v>984</v>
      </c>
      <c r="G98" t="s">
        <v>984</v>
      </c>
      <c r="I98" t="e">
        <f>"    "&amp;D98&amp;": "&amp;""""&amp;#REF!&amp;""""</f>
        <v>#REF!</v>
      </c>
    </row>
    <row r="99" spans="3:9">
      <c r="C99" t="s">
        <v>473</v>
      </c>
      <c r="D99" t="s">
        <v>1015</v>
      </c>
      <c r="E99" t="s">
        <v>984</v>
      </c>
      <c r="F99" t="s">
        <v>984</v>
      </c>
      <c r="G99" t="s">
        <v>984</v>
      </c>
      <c r="I99" t="e">
        <f>"    "&amp;D99&amp;": "&amp;""""&amp;#REF!&amp;""""</f>
        <v>#REF!</v>
      </c>
    </row>
    <row r="100" spans="3:9">
      <c r="C100" t="s">
        <v>473</v>
      </c>
      <c r="D100" t="s">
        <v>1016</v>
      </c>
      <c r="E100" t="s">
        <v>984</v>
      </c>
      <c r="F100" t="s">
        <v>984</v>
      </c>
      <c r="G100" t="s">
        <v>984</v>
      </c>
      <c r="I100" t="e">
        <f>"    "&amp;D100&amp;": "&amp;""""&amp;#REF!&amp;""""</f>
        <v>#REF!</v>
      </c>
    </row>
    <row r="101" spans="3:9">
      <c r="C101" t="s">
        <v>473</v>
      </c>
      <c r="D101" t="s">
        <v>1017</v>
      </c>
      <c r="E101" t="s">
        <v>984</v>
      </c>
      <c r="F101" t="s">
        <v>984</v>
      </c>
      <c r="G101" t="s">
        <v>984</v>
      </c>
      <c r="I101" t="e">
        <f>"    "&amp;D101&amp;": "&amp;""""&amp;#REF!&amp;""""</f>
        <v>#REF!</v>
      </c>
    </row>
    <row r="102" spans="3:9">
      <c r="C102" t="s">
        <v>473</v>
      </c>
      <c r="D102" t="s">
        <v>1018</v>
      </c>
      <c r="E102" t="s">
        <v>984</v>
      </c>
      <c r="F102" t="s">
        <v>984</v>
      </c>
      <c r="G102" t="s">
        <v>984</v>
      </c>
      <c r="I102" t="e">
        <f>"    "&amp;D102&amp;": "&amp;""""&amp;#REF!&amp;""""</f>
        <v>#REF!</v>
      </c>
    </row>
    <row r="103" spans="3:9">
      <c r="C103" t="s">
        <v>473</v>
      </c>
      <c r="D103" t="s">
        <v>1019</v>
      </c>
      <c r="E103" t="s">
        <v>984</v>
      </c>
      <c r="F103" t="s">
        <v>984</v>
      </c>
      <c r="G103" t="s">
        <v>984</v>
      </c>
      <c r="I103" t="e">
        <f>"    "&amp;D103&amp;": "&amp;""""&amp;#REF!&amp;""""</f>
        <v>#REF!</v>
      </c>
    </row>
    <row r="104" spans="3:9">
      <c r="C104" t="s">
        <v>473</v>
      </c>
      <c r="D104" t="s">
        <v>1020</v>
      </c>
      <c r="E104" t="s">
        <v>984</v>
      </c>
      <c r="F104" t="s">
        <v>984</v>
      </c>
      <c r="G104" t="s">
        <v>984</v>
      </c>
      <c r="I104" t="e">
        <f>"    "&amp;D104&amp;": "&amp;""""&amp;#REF!&amp;""""</f>
        <v>#REF!</v>
      </c>
    </row>
    <row r="105" spans="3:9">
      <c r="C105" t="s">
        <v>473</v>
      </c>
      <c r="D105" t="s">
        <v>1021</v>
      </c>
      <c r="E105" t="s">
        <v>984</v>
      </c>
      <c r="F105" t="s">
        <v>984</v>
      </c>
      <c r="G105" t="s">
        <v>984</v>
      </c>
      <c r="I105" t="e">
        <f>"    "&amp;D105&amp;": "&amp;""""&amp;#REF!&amp;""""</f>
        <v>#REF!</v>
      </c>
    </row>
    <row r="106" spans="3:9">
      <c r="C106" t="s">
        <v>473</v>
      </c>
      <c r="D106" t="s">
        <v>1022</v>
      </c>
      <c r="E106" t="s">
        <v>984</v>
      </c>
      <c r="F106" t="s">
        <v>984</v>
      </c>
      <c r="G106" t="s">
        <v>984</v>
      </c>
      <c r="I106" t="e">
        <f>"    "&amp;D106&amp;": "&amp;""""&amp;#REF!&amp;""""</f>
        <v>#REF!</v>
      </c>
    </row>
    <row r="107" spans="3:9">
      <c r="C107" t="s">
        <v>473</v>
      </c>
      <c r="D107" t="s">
        <v>1023</v>
      </c>
      <c r="E107" t="s">
        <v>984</v>
      </c>
      <c r="F107" t="s">
        <v>984</v>
      </c>
      <c r="G107" t="s">
        <v>984</v>
      </c>
      <c r="I107" t="e">
        <f>"    "&amp;D107&amp;": "&amp;""""&amp;#REF!&amp;""""</f>
        <v>#REF!</v>
      </c>
    </row>
    <row r="108" spans="3:9">
      <c r="C108" t="s">
        <v>473</v>
      </c>
      <c r="D108" t="s">
        <v>1024</v>
      </c>
      <c r="E108" t="s">
        <v>984</v>
      </c>
      <c r="F108" t="s">
        <v>984</v>
      </c>
      <c r="G108" t="s">
        <v>984</v>
      </c>
      <c r="I108" t="e">
        <f>"    "&amp;D108&amp;": "&amp;""""&amp;#REF!&amp;""""</f>
        <v>#REF!</v>
      </c>
    </row>
    <row r="109" spans="3:9">
      <c r="C109" t="s">
        <v>473</v>
      </c>
      <c r="D109" t="s">
        <v>1025</v>
      </c>
      <c r="E109" t="s">
        <v>984</v>
      </c>
      <c r="F109" t="s">
        <v>984</v>
      </c>
      <c r="G109" t="s">
        <v>984</v>
      </c>
      <c r="I109" t="e">
        <f>"    "&amp;D109&amp;": "&amp;""""&amp;#REF!&amp;""""</f>
        <v>#REF!</v>
      </c>
    </row>
    <row r="110" spans="3:9">
      <c r="C110" t="s">
        <v>473</v>
      </c>
      <c r="D110" t="s">
        <v>1026</v>
      </c>
      <c r="E110" t="s">
        <v>984</v>
      </c>
      <c r="F110" t="s">
        <v>984</v>
      </c>
      <c r="G110" t="s">
        <v>984</v>
      </c>
      <c r="I110" t="e">
        <f>"    "&amp;D110&amp;": "&amp;""""&amp;#REF!&amp;""""</f>
        <v>#REF!</v>
      </c>
    </row>
    <row r="111" spans="3:9">
      <c r="C111" t="s">
        <v>473</v>
      </c>
      <c r="D111" t="s">
        <v>1027</v>
      </c>
      <c r="E111" t="s">
        <v>984</v>
      </c>
      <c r="F111" t="s">
        <v>984</v>
      </c>
      <c r="G111" t="s">
        <v>984</v>
      </c>
      <c r="I111" t="e">
        <f>"    "&amp;D111&amp;": "&amp;""""&amp;#REF!&amp;""""</f>
        <v>#REF!</v>
      </c>
    </row>
    <row r="112" spans="3:9">
      <c r="C112" t="s">
        <v>473</v>
      </c>
      <c r="D112" t="s">
        <v>1028</v>
      </c>
      <c r="E112" t="s">
        <v>984</v>
      </c>
      <c r="F112" t="s">
        <v>984</v>
      </c>
      <c r="G112" t="s">
        <v>984</v>
      </c>
      <c r="I112" t="e">
        <f>"    "&amp;D112&amp;": "&amp;""""&amp;#REF!&amp;""""</f>
        <v>#REF!</v>
      </c>
    </row>
    <row r="113" spans="3:9">
      <c r="C113" t="s">
        <v>473</v>
      </c>
      <c r="D113" t="s">
        <v>1029</v>
      </c>
      <c r="E113" t="s">
        <v>984</v>
      </c>
      <c r="F113" t="s">
        <v>984</v>
      </c>
      <c r="G113" t="s">
        <v>984</v>
      </c>
      <c r="I113" t="e">
        <f>"    "&amp;D113&amp;": "&amp;""""&amp;#REF!&amp;""""</f>
        <v>#REF!</v>
      </c>
    </row>
    <row r="114" spans="3:9">
      <c r="C114" t="s">
        <v>473</v>
      </c>
      <c r="D114" t="s">
        <v>1030</v>
      </c>
      <c r="E114" t="s">
        <v>984</v>
      </c>
      <c r="F114" t="s">
        <v>984</v>
      </c>
      <c r="G114" t="s">
        <v>984</v>
      </c>
      <c r="I114" t="e">
        <f>"    "&amp;D114&amp;": "&amp;""""&amp;#REF!&amp;""""</f>
        <v>#REF!</v>
      </c>
    </row>
    <row r="115" spans="3:9">
      <c r="C115" t="s">
        <v>473</v>
      </c>
      <c r="D115" t="s">
        <v>1031</v>
      </c>
      <c r="E115" t="s">
        <v>984</v>
      </c>
      <c r="F115" t="s">
        <v>984</v>
      </c>
      <c r="G115" t="s">
        <v>984</v>
      </c>
      <c r="I115" t="e">
        <f>"    "&amp;D115&amp;": "&amp;""""&amp;#REF!&amp;""""</f>
        <v>#REF!</v>
      </c>
    </row>
    <row r="116" spans="3:9">
      <c r="C116" t="s">
        <v>473</v>
      </c>
      <c r="D116" t="s">
        <v>1032</v>
      </c>
      <c r="E116" t="s">
        <v>984</v>
      </c>
      <c r="F116" t="s">
        <v>984</v>
      </c>
      <c r="G116" t="s">
        <v>984</v>
      </c>
      <c r="I116" t="e">
        <f>"    "&amp;D116&amp;": "&amp;""""&amp;#REF!&amp;""""</f>
        <v>#REF!</v>
      </c>
    </row>
    <row r="117" spans="3:9">
      <c r="C117" t="s">
        <v>473</v>
      </c>
      <c r="D117" t="s">
        <v>1033</v>
      </c>
      <c r="E117" t="s">
        <v>984</v>
      </c>
      <c r="F117" t="s">
        <v>984</v>
      </c>
      <c r="G117" t="s">
        <v>984</v>
      </c>
      <c r="I117" t="e">
        <f>"    "&amp;D117&amp;": "&amp;""""&amp;#REF!&amp;""""</f>
        <v>#REF!</v>
      </c>
    </row>
    <row r="118" spans="3:9">
      <c r="C118" t="s">
        <v>473</v>
      </c>
      <c r="D118" t="s">
        <v>1034</v>
      </c>
      <c r="E118" t="s">
        <v>984</v>
      </c>
      <c r="F118" t="s">
        <v>984</v>
      </c>
      <c r="G118" t="s">
        <v>984</v>
      </c>
      <c r="I118" t="e">
        <f>"    "&amp;D118&amp;": "&amp;""""&amp;#REF!&amp;""""</f>
        <v>#REF!</v>
      </c>
    </row>
    <row r="119" spans="3:9">
      <c r="C119" t="s">
        <v>473</v>
      </c>
      <c r="D119" t="s">
        <v>1035</v>
      </c>
      <c r="E119" t="s">
        <v>984</v>
      </c>
      <c r="F119" t="s">
        <v>984</v>
      </c>
      <c r="G119" t="s">
        <v>984</v>
      </c>
      <c r="I119" t="e">
        <f>"    "&amp;D119&amp;": "&amp;""""&amp;#REF!&amp;""""</f>
        <v>#REF!</v>
      </c>
    </row>
    <row r="120" spans="3:9">
      <c r="C120" t="s">
        <v>473</v>
      </c>
      <c r="D120" t="s">
        <v>1036</v>
      </c>
      <c r="E120" t="s">
        <v>984</v>
      </c>
      <c r="F120" t="s">
        <v>984</v>
      </c>
      <c r="G120" t="s">
        <v>984</v>
      </c>
      <c r="I120" t="e">
        <f>"    "&amp;D120&amp;": "&amp;""""&amp;#REF!&amp;""""</f>
        <v>#REF!</v>
      </c>
    </row>
    <row r="121" spans="3:9">
      <c r="C121" t="s">
        <v>473</v>
      </c>
      <c r="D121" t="s">
        <v>1037</v>
      </c>
      <c r="E121" t="s">
        <v>984</v>
      </c>
      <c r="F121" t="s">
        <v>984</v>
      </c>
      <c r="G121" t="s">
        <v>984</v>
      </c>
      <c r="I121" t="e">
        <f>"    "&amp;D121&amp;": "&amp;""""&amp;#REF!&amp;""""</f>
        <v>#REF!</v>
      </c>
    </row>
    <row r="122" spans="3:9">
      <c r="C122" t="s">
        <v>473</v>
      </c>
      <c r="D122" t="s">
        <v>1038</v>
      </c>
      <c r="E122" t="s">
        <v>984</v>
      </c>
      <c r="F122" t="s">
        <v>984</v>
      </c>
      <c r="G122" t="s">
        <v>984</v>
      </c>
      <c r="I122" t="e">
        <f>"    "&amp;D122&amp;": "&amp;""""&amp;#REF!&amp;""""</f>
        <v>#REF!</v>
      </c>
    </row>
    <row r="123" spans="3:9">
      <c r="C123" t="s">
        <v>473</v>
      </c>
      <c r="D123" t="s">
        <v>1039</v>
      </c>
      <c r="E123" t="s">
        <v>984</v>
      </c>
      <c r="F123" t="s">
        <v>984</v>
      </c>
      <c r="G123" t="s">
        <v>984</v>
      </c>
      <c r="I123" t="e">
        <f>"    "&amp;D123&amp;": "&amp;""""&amp;#REF!&amp;""""</f>
        <v>#REF!</v>
      </c>
    </row>
    <row r="124" spans="3:9">
      <c r="C124" t="s">
        <v>473</v>
      </c>
      <c r="D124" t="s">
        <v>1040</v>
      </c>
      <c r="E124" t="s">
        <v>984</v>
      </c>
      <c r="F124" t="s">
        <v>984</v>
      </c>
      <c r="G124" t="s">
        <v>984</v>
      </c>
      <c r="I124" t="e">
        <f>"    "&amp;D124&amp;": "&amp;""""&amp;#REF!&amp;""""</f>
        <v>#REF!</v>
      </c>
    </row>
    <row r="125" spans="3:9">
      <c r="C125" t="s">
        <v>473</v>
      </c>
      <c r="D125" t="s">
        <v>1041</v>
      </c>
      <c r="E125" t="s">
        <v>984</v>
      </c>
      <c r="F125" t="s">
        <v>984</v>
      </c>
      <c r="G125" t="s">
        <v>984</v>
      </c>
      <c r="I125" t="e">
        <f>"    "&amp;D125&amp;": "&amp;""""&amp;#REF!&amp;""""</f>
        <v>#REF!</v>
      </c>
    </row>
    <row r="126" spans="3:9">
      <c r="C126" t="s">
        <v>473</v>
      </c>
      <c r="D126" t="s">
        <v>1042</v>
      </c>
      <c r="E126" t="s">
        <v>984</v>
      </c>
      <c r="F126" t="s">
        <v>984</v>
      </c>
      <c r="G126" t="s">
        <v>984</v>
      </c>
      <c r="I126" t="e">
        <f>"    "&amp;D126&amp;": "&amp;""""&amp;#REF!&amp;""""</f>
        <v>#REF!</v>
      </c>
    </row>
    <row r="127" spans="3:9">
      <c r="C127" t="s">
        <v>473</v>
      </c>
      <c r="D127" t="s">
        <v>1043</v>
      </c>
      <c r="E127" t="s">
        <v>984</v>
      </c>
      <c r="F127" t="s">
        <v>984</v>
      </c>
      <c r="G127" t="s">
        <v>984</v>
      </c>
      <c r="I127" t="e">
        <f>"    "&amp;D127&amp;": "&amp;""""&amp;#REF!&amp;""""</f>
        <v>#REF!</v>
      </c>
    </row>
    <row r="128" spans="3:9">
      <c r="C128" t="s">
        <v>473</v>
      </c>
      <c r="D128" t="s">
        <v>1044</v>
      </c>
      <c r="E128" t="s">
        <v>984</v>
      </c>
      <c r="F128" t="s">
        <v>984</v>
      </c>
      <c r="G128" t="s">
        <v>984</v>
      </c>
      <c r="I128" t="e">
        <f>"    "&amp;D128&amp;": "&amp;""""&amp;#REF!&amp;""""</f>
        <v>#REF!</v>
      </c>
    </row>
    <row r="129" spans="3:9">
      <c r="C129" t="s">
        <v>473</v>
      </c>
      <c r="D129" t="s">
        <v>1045</v>
      </c>
      <c r="E129" t="s">
        <v>984</v>
      </c>
      <c r="F129" t="s">
        <v>984</v>
      </c>
      <c r="G129" t="s">
        <v>984</v>
      </c>
      <c r="I129" t="e">
        <f>"    "&amp;D129&amp;": "&amp;""""&amp;#REF!&amp;""""</f>
        <v>#REF!</v>
      </c>
    </row>
    <row r="130" spans="3:9">
      <c r="C130" t="s">
        <v>473</v>
      </c>
      <c r="D130" t="s">
        <v>1046</v>
      </c>
      <c r="E130" t="s">
        <v>984</v>
      </c>
      <c r="F130" t="s">
        <v>984</v>
      </c>
      <c r="G130" t="s">
        <v>984</v>
      </c>
      <c r="I130" t="e">
        <f>"    "&amp;D130&amp;": "&amp;""""&amp;#REF!&amp;""""</f>
        <v>#REF!</v>
      </c>
    </row>
    <row r="131" spans="3:9">
      <c r="C131" t="s">
        <v>473</v>
      </c>
      <c r="D131" t="s">
        <v>1047</v>
      </c>
      <c r="E131" t="s">
        <v>984</v>
      </c>
      <c r="F131" t="s">
        <v>984</v>
      </c>
      <c r="G131" t="s">
        <v>984</v>
      </c>
      <c r="I131" t="e">
        <f>"    "&amp;D131&amp;": "&amp;""""&amp;#REF!&amp;""""</f>
        <v>#REF!</v>
      </c>
    </row>
    <row r="132" spans="3:9">
      <c r="C132" t="s">
        <v>473</v>
      </c>
      <c r="D132" t="s">
        <v>1048</v>
      </c>
      <c r="E132" t="s">
        <v>984</v>
      </c>
      <c r="F132" t="s">
        <v>984</v>
      </c>
      <c r="G132" t="s">
        <v>984</v>
      </c>
      <c r="I132" t="e">
        <f>"    "&amp;D132&amp;": "&amp;""""&amp;#REF!&amp;""""</f>
        <v>#REF!</v>
      </c>
    </row>
    <row r="133" spans="3:9">
      <c r="C133" t="s">
        <v>473</v>
      </c>
      <c r="D133" t="s">
        <v>1049</v>
      </c>
      <c r="E133" t="s">
        <v>984</v>
      </c>
      <c r="F133" t="s">
        <v>984</v>
      </c>
      <c r="G133" t="s">
        <v>984</v>
      </c>
      <c r="I133" t="e">
        <f>"    "&amp;D133&amp;": "&amp;""""&amp;#REF!&amp;""""</f>
        <v>#REF!</v>
      </c>
    </row>
    <row r="134" spans="3:9">
      <c r="C134" t="s">
        <v>473</v>
      </c>
      <c r="D134" t="s">
        <v>1050</v>
      </c>
      <c r="E134" t="s">
        <v>984</v>
      </c>
      <c r="F134" t="s">
        <v>984</v>
      </c>
      <c r="G134" t="s">
        <v>984</v>
      </c>
      <c r="I134" t="e">
        <f>"    "&amp;D134&amp;": "&amp;""""&amp;#REF!&amp;""""</f>
        <v>#REF!</v>
      </c>
    </row>
    <row r="135" spans="3:9">
      <c r="C135" t="s">
        <v>473</v>
      </c>
      <c r="D135" t="s">
        <v>1051</v>
      </c>
      <c r="E135" t="s">
        <v>984</v>
      </c>
      <c r="F135" t="s">
        <v>984</v>
      </c>
      <c r="G135" t="s">
        <v>984</v>
      </c>
      <c r="I135" t="e">
        <f>"    "&amp;D135&amp;": "&amp;""""&amp;#REF!&amp;""""</f>
        <v>#REF!</v>
      </c>
    </row>
    <row r="136" spans="3:9">
      <c r="C136" t="s">
        <v>473</v>
      </c>
      <c r="D136" t="s">
        <v>1052</v>
      </c>
      <c r="E136" t="s">
        <v>984</v>
      </c>
      <c r="F136" t="s">
        <v>984</v>
      </c>
      <c r="G136" t="s">
        <v>984</v>
      </c>
      <c r="I136" t="e">
        <f>"    "&amp;D136&amp;": "&amp;""""&amp;#REF!&amp;""""</f>
        <v>#REF!</v>
      </c>
    </row>
    <row r="137" spans="3:9">
      <c r="C137" t="s">
        <v>473</v>
      </c>
      <c r="D137" t="s">
        <v>1053</v>
      </c>
      <c r="E137" t="s">
        <v>984</v>
      </c>
      <c r="F137" t="s">
        <v>984</v>
      </c>
      <c r="G137" t="s">
        <v>984</v>
      </c>
      <c r="I137" t="e">
        <f>"    "&amp;D137&amp;": "&amp;""""&amp;#REF!&amp;""""</f>
        <v>#REF!</v>
      </c>
    </row>
    <row r="138" spans="3:9">
      <c r="C138" t="s">
        <v>473</v>
      </c>
      <c r="D138" t="s">
        <v>1054</v>
      </c>
      <c r="E138" t="s">
        <v>984</v>
      </c>
      <c r="F138" t="s">
        <v>984</v>
      </c>
      <c r="G138" t="s">
        <v>984</v>
      </c>
      <c r="I138" t="e">
        <f>"    "&amp;D138&amp;": "&amp;""""&amp;#REF!&amp;""""</f>
        <v>#REF!</v>
      </c>
    </row>
    <row r="139" spans="3:9">
      <c r="C139" t="s">
        <v>473</v>
      </c>
      <c r="D139" t="s">
        <v>1055</v>
      </c>
      <c r="E139" t="s">
        <v>984</v>
      </c>
      <c r="F139" t="s">
        <v>984</v>
      </c>
      <c r="G139" t="s">
        <v>984</v>
      </c>
      <c r="I139" t="e">
        <f>"    "&amp;D139&amp;": "&amp;""""&amp;#REF!&amp;""""</f>
        <v>#REF!</v>
      </c>
    </row>
    <row r="140" spans="3:9">
      <c r="C140" t="s">
        <v>473</v>
      </c>
      <c r="D140" t="s">
        <v>1056</v>
      </c>
      <c r="E140" t="s">
        <v>984</v>
      </c>
      <c r="F140" t="s">
        <v>984</v>
      </c>
      <c r="G140" t="s">
        <v>984</v>
      </c>
      <c r="I140" t="e">
        <f>"    "&amp;D140&amp;": "&amp;""""&amp;#REF!&amp;""""</f>
        <v>#REF!</v>
      </c>
    </row>
    <row r="141" spans="3:9">
      <c r="C141" t="s">
        <v>473</v>
      </c>
      <c r="D141" t="s">
        <v>1057</v>
      </c>
      <c r="E141" t="s">
        <v>984</v>
      </c>
      <c r="F141" t="s">
        <v>984</v>
      </c>
      <c r="G141" t="s">
        <v>984</v>
      </c>
      <c r="I141" t="e">
        <f>"    "&amp;D141&amp;": "&amp;""""&amp;#REF!&amp;""""</f>
        <v>#REF!</v>
      </c>
    </row>
    <row r="142" spans="3:9">
      <c r="C142" t="s">
        <v>473</v>
      </c>
      <c r="D142" t="s">
        <v>1058</v>
      </c>
      <c r="E142" t="s">
        <v>984</v>
      </c>
      <c r="F142" t="s">
        <v>984</v>
      </c>
      <c r="G142" t="s">
        <v>984</v>
      </c>
      <c r="I142" t="e">
        <f>"    "&amp;D142&amp;": "&amp;""""&amp;#REF!&amp;""""</f>
        <v>#REF!</v>
      </c>
    </row>
    <row r="143" spans="3:9">
      <c r="C143" t="s">
        <v>473</v>
      </c>
      <c r="D143" t="s">
        <v>1059</v>
      </c>
      <c r="E143" t="s">
        <v>984</v>
      </c>
      <c r="F143" t="s">
        <v>984</v>
      </c>
      <c r="G143" t="s">
        <v>984</v>
      </c>
      <c r="I143" t="e">
        <f>"    "&amp;D143&amp;": "&amp;""""&amp;#REF!&amp;""""</f>
        <v>#REF!</v>
      </c>
    </row>
    <row r="144" spans="3:9">
      <c r="C144" t="s">
        <v>473</v>
      </c>
      <c r="D144" t="s">
        <v>1060</v>
      </c>
      <c r="E144" t="s">
        <v>984</v>
      </c>
      <c r="F144" t="s">
        <v>984</v>
      </c>
      <c r="G144" t="s">
        <v>984</v>
      </c>
      <c r="I144" t="e">
        <f>"    "&amp;D144&amp;": "&amp;""""&amp;#REF!&amp;""""</f>
        <v>#REF!</v>
      </c>
    </row>
    <row r="145" spans="3:9">
      <c r="C145" t="s">
        <v>473</v>
      </c>
      <c r="D145" t="s">
        <v>1061</v>
      </c>
      <c r="E145" t="s">
        <v>984</v>
      </c>
      <c r="F145" t="s">
        <v>984</v>
      </c>
      <c r="G145" t="s">
        <v>984</v>
      </c>
      <c r="I145" t="e">
        <f>"    "&amp;D145&amp;": "&amp;""""&amp;#REF!&amp;""""</f>
        <v>#REF!</v>
      </c>
    </row>
    <row r="146" spans="3:9">
      <c r="C146" t="s">
        <v>473</v>
      </c>
      <c r="D146" t="s">
        <v>1062</v>
      </c>
      <c r="E146" t="s">
        <v>984</v>
      </c>
      <c r="F146" t="s">
        <v>984</v>
      </c>
      <c r="G146" t="s">
        <v>984</v>
      </c>
      <c r="I146" t="e">
        <f>"    "&amp;D146&amp;": "&amp;""""&amp;#REF!&amp;""""</f>
        <v>#REF!</v>
      </c>
    </row>
    <row r="147" spans="3:9">
      <c r="C147" t="s">
        <v>473</v>
      </c>
      <c r="D147" t="s">
        <v>555</v>
      </c>
      <c r="E147" t="s">
        <v>984</v>
      </c>
      <c r="F147" t="s">
        <v>984</v>
      </c>
      <c r="G147" t="s">
        <v>984</v>
      </c>
      <c r="I147" t="e">
        <f>"    "&amp;D147&amp;": "&amp;""""&amp;#REF!&amp;""""</f>
        <v>#REF!</v>
      </c>
    </row>
  </sheetData>
  <autoFilter ref="A1:I29" xr:uid="{B9597082-29CB-45FC-A241-16B4E33864A2}">
    <sortState xmlns:xlrd2="http://schemas.microsoft.com/office/spreadsheetml/2017/richdata2" ref="A2:I29">
      <sortCondition ref="C1:C29"/>
    </sortState>
  </autoFilter>
  <conditionalFormatting sqref="D57:D63">
    <cfRule type="duplicateValues" dxfId="27" priority="13"/>
  </conditionalFormatting>
  <conditionalFormatting sqref="D64:D67">
    <cfRule type="duplicateValues" dxfId="26" priority="14"/>
  </conditionalFormatting>
  <conditionalFormatting sqref="D68:D76">
    <cfRule type="duplicateValues" dxfId="25" priority="12"/>
  </conditionalFormatting>
  <conditionalFormatting sqref="D77:D83">
    <cfRule type="duplicateValues" dxfId="24" priority="16"/>
  </conditionalFormatting>
  <conditionalFormatting sqref="D84:D87">
    <cfRule type="duplicateValues" dxfId="23" priority="17"/>
  </conditionalFormatting>
  <conditionalFormatting sqref="D88:D96">
    <cfRule type="duplicateValues" dxfId="22" priority="15"/>
  </conditionalFormatting>
  <conditionalFormatting sqref="D117:D136">
    <cfRule type="duplicateValues" dxfId="21" priority="11"/>
  </conditionalFormatting>
  <conditionalFormatting sqref="D137:D147 D97:D116">
    <cfRule type="duplicateValues" dxfId="20" priority="18"/>
  </conditionalFormatting>
  <conditionalFormatting sqref="E1:E56 E149:E1048576">
    <cfRule type="containsText" dxfId="19" priority="26" operator="containsText" text="\">
      <formula>NOT(ISERROR(SEARCH("\",E1)))</formula>
    </cfRule>
    <cfRule type="containsText" dxfId="18" priority="27" operator="containsText" text="/">
      <formula>NOT(ISERROR(SEARCH("/",E1)))</formula>
    </cfRule>
  </conditionalFormatting>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C8A1F-581D-493B-AC1B-735B9965A843}">
  <sheetPr codeName="Sheet21">
    <tabColor theme="8" tint="0.79998168889431442"/>
  </sheetPr>
  <dimension ref="A1:S498"/>
  <sheetViews>
    <sheetView workbookViewId="0">
      <pane ySplit="1" topLeftCell="A466" activePane="bottomLeft" state="frozen"/>
      <selection pane="bottomLeft" activeCell="I1" sqref="I1:J1048576"/>
    </sheetView>
  </sheetViews>
  <sheetFormatPr defaultRowHeight="14.25"/>
  <cols>
    <col min="1" max="1" width="7.75" bestFit="1" customWidth="1"/>
    <col min="2" max="2" width="7.5" bestFit="1" customWidth="1"/>
    <col min="3" max="3" width="7.625" bestFit="1" customWidth="1"/>
    <col min="4" max="4" width="6.625" bestFit="1" customWidth="1"/>
    <col min="5" max="5" width="8.25" customWidth="1"/>
    <col min="6" max="6" width="38.5" customWidth="1"/>
    <col min="7" max="7" width="27.375" style="39" customWidth="1"/>
    <col min="8" max="8" width="26.5" customWidth="1"/>
    <col min="9" max="9" width="35.875" style="46" customWidth="1"/>
    <col min="10" max="10" width="32.25" style="39" customWidth="1"/>
    <col min="11" max="11" width="11.875" style="3" customWidth="1"/>
    <col min="12" max="12" width="29.875" customWidth="1"/>
    <col min="13" max="13" width="33.5" customWidth="1"/>
    <col min="14" max="15" width="9" customWidth="1"/>
    <col min="16" max="16" width="12.375" customWidth="1"/>
    <col min="17" max="17" width="90.5" customWidth="1"/>
  </cols>
  <sheetData>
    <row r="1" spans="1:19" ht="15">
      <c r="A1" s="36" t="s">
        <v>1209</v>
      </c>
      <c r="B1" s="36" t="s">
        <v>1210</v>
      </c>
      <c r="C1" s="36" t="s">
        <v>1143</v>
      </c>
      <c r="D1" s="36" t="s">
        <v>1744</v>
      </c>
      <c r="E1" s="36" t="s">
        <v>1743</v>
      </c>
      <c r="F1" s="36" t="s">
        <v>1771</v>
      </c>
      <c r="G1" s="36" t="s">
        <v>3973</v>
      </c>
      <c r="H1" s="36" t="s">
        <v>1812</v>
      </c>
      <c r="I1" s="44" t="s">
        <v>326</v>
      </c>
      <c r="J1" s="37" t="s">
        <v>1393</v>
      </c>
      <c r="K1" s="37" t="s">
        <v>1063</v>
      </c>
      <c r="L1" s="36" t="s">
        <v>1831</v>
      </c>
      <c r="M1" s="36" t="s">
        <v>1202</v>
      </c>
      <c r="N1" s="49" t="s">
        <v>981</v>
      </c>
      <c r="O1" s="49" t="s">
        <v>982</v>
      </c>
      <c r="P1" s="49" t="s">
        <v>983</v>
      </c>
      <c r="Q1" s="44" t="s">
        <v>1815</v>
      </c>
      <c r="R1" s="44" t="s">
        <v>1832</v>
      </c>
      <c r="S1" t="s">
        <v>1815</v>
      </c>
    </row>
    <row r="2" spans="1:19">
      <c r="A2" s="30">
        <v>3</v>
      </c>
      <c r="B2" s="30" t="s">
        <v>1393</v>
      </c>
      <c r="C2" s="30"/>
      <c r="D2" s="30" t="s">
        <v>1208</v>
      </c>
      <c r="E2" s="30" t="s">
        <v>984</v>
      </c>
      <c r="F2" s="30" t="s">
        <v>344</v>
      </c>
      <c r="G2" s="39" t="str">
        <f>VLOOKUP(F2,glossary!J:N,2,FALSE)</f>
        <v>Access Method</v>
      </c>
      <c r="H2" s="34" t="s">
        <v>344</v>
      </c>
      <c r="I2" s="45" t="str">
        <f t="shared" ref="I2:I65" si="0">IF(D2="-","-",IF(E2&lt;&gt;"-",(H2&amp;"_"&amp;D2&amp;"_"&amp;E2),H2&amp;"_"&amp;D2))</f>
        <v>access_method_tu</v>
      </c>
      <c r="J2" s="42" t="s">
        <v>670</v>
      </c>
      <c r="K2" s="39" t="str">
        <f>VLOOKUP(F2,glossary!J:N,5,FALSE)</f>
        <v>The method used to reach the camera location (e.g., on 'Foot,' 'ATV,' 'Helicopter,' etc.).</v>
      </c>
      <c r="L2" t="s">
        <v>1712</v>
      </c>
      <c r="M2" s="30" t="str">
        <f t="shared" ref="M2:M65" si="1">"{{ "&amp;I2&amp;" }}"</f>
        <v>{{ access_method_tu }}</v>
      </c>
      <c r="N2" t="s">
        <v>896</v>
      </c>
      <c r="O2" s="13" t="s">
        <v>1816</v>
      </c>
      <c r="P2" t="s">
        <v>4081</v>
      </c>
      <c r="Q2" t="str">
        <f t="shared" ref="Q2:Q65" si="2">IF(K2&lt;&gt;"-",("    "&amp;I2&amp;": "&amp;""""&amp;"&lt;a href=\"&amp;""""&amp;"09_glossary.html#"&amp;H2&amp;N2&amp;G2&amp;": "&amp;K2&amp;O2&amp;J2&amp;P2&amp;""""),"-")</f>
        <v xml:space="preserve">    access_method_tu: "&lt;a href=\"09_glossary.html#access_method\" target=\"_blank\" data-bs-toggle=\"tooltip\" data-bs-title=\"Access Method: The method used to reach the camera location (e.g., on 'Foot,' 'ATV,' 'Helicopter,' etc.).\"&gt;Access Method&lt;button type=\"button\" class=\"btn btn-bd-tip-info-hidden btn-sm position-relative\"&gt;.&lt;span class=\"position-absolute top-0 start-100 translate-middle\"&gt;{{ icon_info }}&lt;/span&gt;&lt;/button&gt;&lt;/a&gt;"</v>
      </c>
      <c r="R2" t="b" cm="1">
        <f t="array" ref="R2">SUMPRODUCT(--EXACT($J$2:$J$490,J2))&gt;1</f>
        <v>0</v>
      </c>
      <c r="S2" t="s">
        <v>984</v>
      </c>
    </row>
    <row r="3" spans="1:19">
      <c r="B3" s="30" t="s">
        <v>768</v>
      </c>
      <c r="D3" s="30" t="s">
        <v>1207</v>
      </c>
      <c r="E3" s="30" t="s">
        <v>984</v>
      </c>
      <c r="F3" s="30" t="s">
        <v>786</v>
      </c>
      <c r="G3" s="39" t="str">
        <f>VLOOKUP(F3,glossary!J:N,2,FALSE)</f>
        <v>Accuracy</v>
      </c>
      <c r="H3" s="30" t="s">
        <v>786</v>
      </c>
      <c r="I3" s="45" t="str">
        <f t="shared" si="0"/>
        <v>accuracy_tl</v>
      </c>
      <c r="J3" s="34" t="s">
        <v>786</v>
      </c>
      <c r="K3" s="39" t="str">
        <f>VLOOKUP(F3,glossary!J:N,5,FALSE)</f>
        <v>How close a measured or estimated value is to the true value' (Clarke et al., 2023).</v>
      </c>
      <c r="L3" s="30" t="s">
        <v>984</v>
      </c>
      <c r="M3" s="30" t="str">
        <f t="shared" si="1"/>
        <v>{{ accuracy_tl }}</v>
      </c>
      <c r="N3" t="s">
        <v>896</v>
      </c>
      <c r="O3" s="13" t="s">
        <v>1816</v>
      </c>
      <c r="P3" t="s">
        <v>4081</v>
      </c>
      <c r="Q3" t="str">
        <f t="shared" si="2"/>
        <v xml:space="preserve">    accuracy_tl: "&lt;a href=\"09_glossary.html#accuracy\" target=\"_blank\" data-bs-toggle=\"tooltip\" data-bs-title=\"Accuracy: How close a measured or estimated value is to the true value' (Clarke et al., 2023).\"&gt;accuracy&lt;button type=\"button\" class=\"btn btn-bd-tip-info-hidden btn-sm position-relative\"&gt;.&lt;span class=\"position-absolute top-0 start-100 translate-middle\"&gt;{{ icon_info }}&lt;/span&gt;&lt;/button&gt;&lt;/a&gt;"</v>
      </c>
      <c r="R3" t="b" cm="1">
        <f t="array" ref="R3">SUMPRODUCT(--EXACT($J$2:$J$490,J3))&gt;1</f>
        <v>0</v>
      </c>
      <c r="S3" t="s">
        <v>984</v>
      </c>
    </row>
    <row r="4" spans="1:19">
      <c r="B4" s="30" t="s">
        <v>768</v>
      </c>
      <c r="D4" s="30" t="s">
        <v>1208</v>
      </c>
      <c r="E4" s="30" t="s">
        <v>984</v>
      </c>
      <c r="F4" s="30" t="s">
        <v>786</v>
      </c>
      <c r="G4" s="39" t="str">
        <f>VLOOKUP(F4,glossary!J:N,2,FALSE)</f>
        <v>Accuracy</v>
      </c>
      <c r="H4" s="30" t="s">
        <v>786</v>
      </c>
      <c r="I4" s="45" t="str">
        <f t="shared" si="0"/>
        <v>accuracy_tu</v>
      </c>
      <c r="J4" s="34" t="s">
        <v>658</v>
      </c>
      <c r="K4" s="39" t="str">
        <f>VLOOKUP(F4,glossary!J:N,5,FALSE)</f>
        <v>How close a measured or estimated value is to the true value' (Clarke et al., 2023).</v>
      </c>
      <c r="L4" s="30" t="s">
        <v>984</v>
      </c>
      <c r="M4" s="30" t="str">
        <f t="shared" si="1"/>
        <v>{{ accuracy_tu }}</v>
      </c>
      <c r="N4" t="s">
        <v>896</v>
      </c>
      <c r="O4" s="13" t="s">
        <v>1816</v>
      </c>
      <c r="P4" t="s">
        <v>4081</v>
      </c>
      <c r="Q4" t="str">
        <f t="shared" si="2"/>
        <v xml:space="preserve">    accuracy_tu: "&lt;a href=\"09_glossary.html#accuracy\" target=\"_blank\" data-bs-toggle=\"tooltip\" data-bs-title=\"Accuracy: How close a measured or estimated value is to the true value' (Clarke et al., 2023).\"&gt;Accuracy&lt;button type=\"button\" class=\"btn btn-bd-tip-info-hidden btn-sm position-relative\"&gt;.&lt;span class=\"position-absolute top-0 start-100 translate-middle\"&gt;{{ icon_info }}&lt;/span&gt;&lt;/button&gt;&lt;/a&gt;"</v>
      </c>
      <c r="R4" t="b" cm="1">
        <f t="array" ref="R4">SUMPRODUCT(--EXACT($J$2:$J$490,J4))&gt;1</f>
        <v>0</v>
      </c>
      <c r="S4" t="s">
        <v>984</v>
      </c>
    </row>
    <row r="5" spans="1:19">
      <c r="B5" s="30" t="s">
        <v>768</v>
      </c>
      <c r="D5" s="30" t="s">
        <v>1207</v>
      </c>
      <c r="E5" s="30" t="s">
        <v>984</v>
      </c>
      <c r="F5" s="30" t="s">
        <v>786</v>
      </c>
      <c r="G5" s="39" t="str">
        <f>VLOOKUP(F5,glossary!J:N,2,FALSE)</f>
        <v>Accuracy</v>
      </c>
      <c r="H5" s="30" t="s">
        <v>3971</v>
      </c>
      <c r="I5" s="45" t="str">
        <f t="shared" si="0"/>
        <v>accurate_tl</v>
      </c>
      <c r="J5" s="34" t="s">
        <v>3971</v>
      </c>
      <c r="K5" s="39" t="str">
        <f>VLOOKUP(F5,glossary!J:N,5,FALSE)</f>
        <v>How close a measured or estimated value is to the true value' (Clarke et al., 2023).</v>
      </c>
      <c r="L5" s="30" t="s">
        <v>984</v>
      </c>
      <c r="M5" s="30" t="str">
        <f t="shared" si="1"/>
        <v>{{ accurate_tl }}</v>
      </c>
      <c r="N5" t="s">
        <v>896</v>
      </c>
      <c r="O5" s="13" t="s">
        <v>1816</v>
      </c>
      <c r="P5" t="s">
        <v>4081</v>
      </c>
      <c r="Q5" t="str">
        <f t="shared" si="2"/>
        <v xml:space="preserve">    accurate_tl: "&lt;a href=\"09_glossary.html#accurate\" target=\"_blank\" data-bs-toggle=\"tooltip\" data-bs-title=\"Accuracy: How close a measured or estimated value is to the true value' (Clarke et al., 2023).\"&gt;accurate&lt;button type=\"button\" class=\"btn btn-bd-tip-info-hidden btn-sm position-relative\"&gt;.&lt;span class=\"position-absolute top-0 start-100 translate-middle\"&gt;{{ icon_info }}&lt;/span&gt;&lt;/button&gt;&lt;/a&gt;"</v>
      </c>
      <c r="R5" t="b" cm="1">
        <f t="array" ref="R5">SUMPRODUCT(--EXACT($J$2:$J$490,J5))&gt;1</f>
        <v>0</v>
      </c>
      <c r="S5" t="s">
        <v>984</v>
      </c>
    </row>
    <row r="6" spans="1:19">
      <c r="B6" s="30" t="s">
        <v>768</v>
      </c>
      <c r="D6" s="30" t="s">
        <v>1207</v>
      </c>
      <c r="E6" s="30" t="s">
        <v>3984</v>
      </c>
      <c r="F6" s="30" t="s">
        <v>786</v>
      </c>
      <c r="G6" s="39" t="str">
        <f>VLOOKUP(F6,glossary!J:N,2,FALSE)</f>
        <v>Accuracy</v>
      </c>
      <c r="H6" s="30" t="s">
        <v>3971</v>
      </c>
      <c r="I6" s="45" t="str">
        <f t="shared" si="0"/>
        <v>accurate_tl_op</v>
      </c>
      <c r="J6" s="34" t="s">
        <v>4052</v>
      </c>
      <c r="K6" s="39" t="str">
        <f>VLOOKUP(F6,glossary!J:N,5,FALSE)</f>
        <v>How close a measured or estimated value is to the true value' (Clarke et al., 2023).</v>
      </c>
      <c r="L6" s="30" t="s">
        <v>984</v>
      </c>
      <c r="M6" s="30" t="str">
        <f t="shared" si="1"/>
        <v>{{ accurate_tl_op }}</v>
      </c>
      <c r="N6" t="s">
        <v>896</v>
      </c>
      <c r="O6" s="13" t="s">
        <v>1816</v>
      </c>
      <c r="P6" t="s">
        <v>4081</v>
      </c>
      <c r="Q6" t="str">
        <f t="shared" si="2"/>
        <v xml:space="preserve">    accurate_tl_op: "&lt;a href=\"09_glossary.html#accurate\" target=\"_blank\" data-bs-toggle=\"tooltip\" data-bs-title=\"Accuracy: How close a measured or estimated value is to the true value' (Clarke et al., 2023).\"&gt;inaccurate&lt;button type=\"button\" class=\"btn btn-bd-tip-info-hidden btn-sm position-relative\"&gt;.&lt;span class=\"position-absolute top-0 start-100 translate-middle\"&gt;{{ icon_info }}&lt;/span&gt;&lt;/button&gt;&lt;/a&gt;"</v>
      </c>
      <c r="R6" t="b" cm="1">
        <f t="array" ref="R6">SUMPRODUCT(--EXACT($J$2:$J$490,J6))&gt;1</f>
        <v>0</v>
      </c>
      <c r="S6" t="s">
        <v>984</v>
      </c>
    </row>
    <row r="7" spans="1:19">
      <c r="B7" s="30" t="s">
        <v>768</v>
      </c>
      <c r="D7" s="30" t="s">
        <v>1208</v>
      </c>
      <c r="E7" s="30" t="s">
        <v>984</v>
      </c>
      <c r="F7" s="30" t="s">
        <v>786</v>
      </c>
      <c r="G7" s="39" t="str">
        <f>VLOOKUP(F7,glossary!J:N,2,FALSE)</f>
        <v>Accuracy</v>
      </c>
      <c r="H7" s="30" t="s">
        <v>3971</v>
      </c>
      <c r="I7" s="45" t="str">
        <f t="shared" si="0"/>
        <v>accurate_tu</v>
      </c>
      <c r="J7" s="34" t="s">
        <v>4053</v>
      </c>
      <c r="K7" s="39" t="str">
        <f>VLOOKUP(F7,glossary!J:N,5,FALSE)</f>
        <v>How close a measured or estimated value is to the true value' (Clarke et al., 2023).</v>
      </c>
      <c r="L7" s="30" t="s">
        <v>984</v>
      </c>
      <c r="M7" s="30" t="str">
        <f t="shared" si="1"/>
        <v>{{ accurate_tu }}</v>
      </c>
      <c r="N7" t="s">
        <v>896</v>
      </c>
      <c r="O7" s="13" t="s">
        <v>1816</v>
      </c>
      <c r="P7" t="s">
        <v>4081</v>
      </c>
      <c r="Q7" t="str">
        <f t="shared" si="2"/>
        <v xml:space="preserve">    accurate_tu: "&lt;a href=\"09_glossary.html#accurate\" target=\"_blank\" data-bs-toggle=\"tooltip\" data-bs-title=\"Accuracy: How close a measured or estimated value is to the true value' (Clarke et al., 2023).\"&gt;Inaccurate&lt;button type=\"button\" class=\"btn btn-bd-tip-info-hidden btn-sm position-relative\"&gt;.&lt;span class=\"position-absolute top-0 start-100 translate-middle\"&gt;{{ icon_info }}&lt;/span&gt;&lt;/button&gt;&lt;/a&gt;"</v>
      </c>
      <c r="R7" t="b" cm="1">
        <f t="array" ref="R7">SUMPRODUCT(--EXACT($J$2:$J$490,J7))&gt;1</f>
        <v>0</v>
      </c>
      <c r="S7" t="s">
        <v>984</v>
      </c>
    </row>
    <row r="8" spans="1:19">
      <c r="B8" s="30" t="s">
        <v>768</v>
      </c>
      <c r="D8" s="30" t="s">
        <v>1208</v>
      </c>
      <c r="E8" s="30" t="s">
        <v>3984</v>
      </c>
      <c r="F8" s="30" t="s">
        <v>786</v>
      </c>
      <c r="G8" s="39" t="str">
        <f>VLOOKUP(F8,glossary!J:N,2,FALSE)</f>
        <v>Accuracy</v>
      </c>
      <c r="H8" s="30" t="s">
        <v>3971</v>
      </c>
      <c r="I8" s="45" t="str">
        <f t="shared" si="0"/>
        <v>accurate_tu_op</v>
      </c>
      <c r="J8" s="34" t="s">
        <v>3972</v>
      </c>
      <c r="K8" s="39" t="str">
        <f>VLOOKUP(F8,glossary!J:N,5,FALSE)</f>
        <v>How close a measured or estimated value is to the true value' (Clarke et al., 2023).</v>
      </c>
      <c r="L8" s="30" t="s">
        <v>984</v>
      </c>
      <c r="M8" s="30" t="str">
        <f t="shared" si="1"/>
        <v>{{ accurate_tu_op }}</v>
      </c>
      <c r="N8" t="s">
        <v>896</v>
      </c>
      <c r="O8" s="13" t="s">
        <v>1816</v>
      </c>
      <c r="P8" t="s">
        <v>4081</v>
      </c>
      <c r="Q8" t="str">
        <f t="shared" si="2"/>
        <v xml:space="preserve">    accurate_tu_op: "&lt;a href=\"09_glossary.html#accurate\" target=\"_blank\" data-bs-toggle=\"tooltip\" data-bs-title=\"Accuracy: How close a measured or estimated value is to the true value' (Clarke et al., 2023).\"&gt;Accurate&lt;button type=\"button\" class=\"btn btn-bd-tip-info-hidden btn-sm position-relative\"&gt;.&lt;span class=\"position-absolute top-0 start-100 translate-middle\"&gt;{{ icon_info }}&lt;/span&gt;&lt;/button&gt;&lt;/a&gt;"</v>
      </c>
      <c r="R8" t="b" cm="1">
        <f t="array" ref="R8">SUMPRODUCT(--EXACT($J$2:$J$490,J8))&gt;1</f>
        <v>0</v>
      </c>
      <c r="S8" t="s">
        <v>984</v>
      </c>
    </row>
    <row r="9" spans="1:19">
      <c r="A9" s="30">
        <v>3</v>
      </c>
      <c r="B9" s="30" t="s">
        <v>1393</v>
      </c>
      <c r="C9" s="30"/>
      <c r="D9" s="30" t="s">
        <v>1208</v>
      </c>
      <c r="E9" s="30" t="s">
        <v>984</v>
      </c>
      <c r="F9" s="30" t="s">
        <v>302</v>
      </c>
      <c r="G9" s="39" t="str">
        <f>VLOOKUP(F9,glossary!J:N,2,FALSE)</f>
        <v>Age Class</v>
      </c>
      <c r="H9" s="34" t="s">
        <v>302</v>
      </c>
      <c r="I9" s="45" t="str">
        <f t="shared" si="0"/>
        <v>age_class_tu</v>
      </c>
      <c r="J9" s="42" t="s">
        <v>671</v>
      </c>
      <c r="K9" s="39" t="str">
        <f>VLOOKUP(F9,glossary!J:N,5,FALSE)</f>
        <v xml:space="preserve">The age classification of individual(s) being categorized (e.g., 'Adult,' 'Juvenile,' 'Subadult,' 'Subadult - Young of Year,' 'Subadult - Yearling,' or 'Unknown'). </v>
      </c>
      <c r="L9" t="s">
        <v>1711</v>
      </c>
      <c r="M9" s="30" t="str">
        <f t="shared" si="1"/>
        <v>{{ age_class_tu }}</v>
      </c>
      <c r="N9" t="s">
        <v>896</v>
      </c>
      <c r="O9" s="13" t="s">
        <v>1816</v>
      </c>
      <c r="P9" t="s">
        <v>4081</v>
      </c>
      <c r="Q9" t="str">
        <f t="shared" si="2"/>
        <v xml:space="preserve">    age_class_tu: "&lt;a href=\"09_glossary.html#age_class\" target=\"_blank\" data-bs-toggle=\"tooltip\" data-bs-title=\"Age Class: The age classification of individual(s) being categorized (e.g., 'Adult,' 'Juvenile,' 'Subadult,' 'Subadult - Young of Year,' 'Subadult - Yearling,' or 'Unknown'). \"&gt;Age Class&lt;button type=\"button\" class=\"btn btn-bd-tip-info-hidden btn-sm position-relative\"&gt;.&lt;span class=\"position-absolute top-0 start-100 translate-middle\"&gt;{{ icon_info }}&lt;/span&gt;&lt;/button&gt;&lt;/a&gt;"</v>
      </c>
      <c r="R9" t="b" cm="1">
        <f t="array" ref="R9">SUMPRODUCT(--EXACT($J$2:$J$490,J9))&gt;1</f>
        <v>0</v>
      </c>
      <c r="S9" t="s">
        <v>4182</v>
      </c>
    </row>
    <row r="10" spans="1:19">
      <c r="A10" s="30">
        <v>1</v>
      </c>
      <c r="B10" s="30" t="s">
        <v>1064</v>
      </c>
      <c r="C10" s="30" t="s">
        <v>429</v>
      </c>
      <c r="D10" s="30" t="s">
        <v>1208</v>
      </c>
      <c r="E10" s="30" t="s">
        <v>1758</v>
      </c>
      <c r="F10" s="30" t="s">
        <v>302</v>
      </c>
      <c r="G10" s="39" t="str">
        <f>VLOOKUP(F10,glossary!J:N,2,FALSE)</f>
        <v>Age Class</v>
      </c>
      <c r="H10" s="30" t="s">
        <v>302</v>
      </c>
      <c r="I10" s="45" t="str">
        <f t="shared" si="0"/>
        <v>age_class_tu_pl</v>
      </c>
      <c r="J10" s="39" t="s">
        <v>1162</v>
      </c>
      <c r="K10" s="39" t="str">
        <f>VLOOKUP(F10,glossary!J:N,5,FALSE)</f>
        <v xml:space="preserve">The age classification of individual(s) being categorized (e.g., 'Adult,' 'Juvenile,' 'Subadult,' 'Subadult - Young of Year,' 'Subadult - Yearling,' or 'Unknown'). </v>
      </c>
      <c r="L10" s="30" t="s">
        <v>1105</v>
      </c>
      <c r="M10" s="30" t="str">
        <f t="shared" si="1"/>
        <v>{{ age_class_tu_pl }}</v>
      </c>
      <c r="N10" t="s">
        <v>896</v>
      </c>
      <c r="O10" s="13" t="s">
        <v>1816</v>
      </c>
      <c r="P10" t="s">
        <v>4081</v>
      </c>
      <c r="Q10" t="str">
        <f t="shared" si="2"/>
        <v xml:space="preserve">    age_class_tu_pl: "&lt;a href=\"09_glossary.html#age_class\" target=\"_blank\" data-bs-toggle=\"tooltip\" data-bs-title=\"Age Class: The age classification of individual(s) being categorized (e.g., 'Adult,' 'Juvenile,' 'Subadult,' 'Subadult - Young of Year,' 'Subadult - Yearling,' or 'Unknown'). \"&gt;Age Classes&lt;button type=\"button\" class=\"btn btn-bd-tip-info-hidden btn-sm position-relative\"&gt;.&lt;span class=\"position-absolute top-0 start-100 translate-middle\"&gt;{{ icon_info }}&lt;/span&gt;&lt;/button&gt;&lt;/a&gt;"</v>
      </c>
      <c r="R10" t="b" cm="1">
        <f t="array" ref="R10">SUMPRODUCT(--EXACT($J$2:$J$490,J10))&gt;1</f>
        <v>0</v>
      </c>
      <c r="S10" t="s">
        <v>4183</v>
      </c>
    </row>
    <row r="11" spans="1:19">
      <c r="A11" s="30">
        <v>2</v>
      </c>
      <c r="B11" s="30" t="s">
        <v>1400</v>
      </c>
      <c r="C11" s="30"/>
      <c r="D11" s="30" t="s">
        <v>1208</v>
      </c>
      <c r="E11" s="30" t="s">
        <v>984</v>
      </c>
      <c r="F11" s="30" t="s">
        <v>303</v>
      </c>
      <c r="G11" s="39" t="str">
        <f>VLOOKUP(F11,glossary!J:N,2,FALSE)</f>
        <v>Adult</v>
      </c>
      <c r="H11" s="30" t="s">
        <v>303</v>
      </c>
      <c r="I11" s="45" t="str">
        <f t="shared" si="0"/>
        <v>age_class_adult_tu</v>
      </c>
      <c r="J11" s="39" t="s">
        <v>672</v>
      </c>
      <c r="K11" s="39" t="str">
        <f>VLOOKUP(F11,glossary!J:N,5,FALSE)</f>
        <v>Animals that are old enough to breed; reproductively mature.</v>
      </c>
      <c r="L11" s="30" t="s">
        <v>1710</v>
      </c>
      <c r="M11" s="30" t="str">
        <f t="shared" si="1"/>
        <v>{{ age_class_adult_tu }}</v>
      </c>
      <c r="N11" t="s">
        <v>896</v>
      </c>
      <c r="O11" s="13" t="s">
        <v>1816</v>
      </c>
      <c r="P11" t="s">
        <v>4081</v>
      </c>
      <c r="Q11" t="str">
        <f t="shared" si="2"/>
        <v xml:space="preserve">    age_class_adult_tu: "&lt;a href=\"09_glossary.html#age_class_adult\" target=\"_blank\" data-bs-toggle=\"tooltip\" data-bs-title=\"Adult: Animals that are old enough to breed; reproductively mature.\"&gt;Adult&lt;button type=\"button\" class=\"btn btn-bd-tip-info-hidden btn-sm position-relative\"&gt;.&lt;span class=\"position-absolute top-0 start-100 translate-middle\"&gt;{{ icon_info }}&lt;/span&gt;&lt;/button&gt;&lt;/a&gt;"</v>
      </c>
      <c r="R11" t="b" cm="1">
        <f t="array" ref="R11">SUMPRODUCT(--EXACT($J$2:$J$490,J11))&gt;1</f>
        <v>0</v>
      </c>
      <c r="S11" t="s">
        <v>4184</v>
      </c>
    </row>
    <row r="12" spans="1:19">
      <c r="A12" s="30">
        <v>2</v>
      </c>
      <c r="B12" s="30" t="s">
        <v>1400</v>
      </c>
      <c r="C12" s="30"/>
      <c r="D12" s="30" t="s">
        <v>1208</v>
      </c>
      <c r="E12" s="30" t="s">
        <v>984</v>
      </c>
      <c r="F12" s="30" t="s">
        <v>280</v>
      </c>
      <c r="G12" s="39" t="str">
        <f>VLOOKUP(F12,glossary!J:N,2,FALSE)</f>
        <v>Juvenile</v>
      </c>
      <c r="H12" s="30" t="s">
        <v>280</v>
      </c>
      <c r="I12" s="45" t="str">
        <f t="shared" si="0"/>
        <v>age_class_juvenile_tu</v>
      </c>
      <c r="J12" s="39" t="s">
        <v>673</v>
      </c>
      <c r="K12" s="39" t="str">
        <f>VLOOKUP(F12,glossary!J:N,5,FALSE)</f>
        <v>Animals in their first summer, with clearly juvenile features (e.g., spots); mammals older than neonates but that still require parental care.</v>
      </c>
      <c r="L12" s="30" t="s">
        <v>1709</v>
      </c>
      <c r="M12" s="30" t="str">
        <f t="shared" si="1"/>
        <v>{{ age_class_juvenile_tu }}</v>
      </c>
      <c r="N12" t="s">
        <v>896</v>
      </c>
      <c r="O12" s="13" t="s">
        <v>1816</v>
      </c>
      <c r="P12" t="s">
        <v>4081</v>
      </c>
      <c r="Q12" t="str">
        <f t="shared" si="2"/>
        <v xml:space="preserve">    age_class_juvenile_tu: "&lt;a href=\"09_glossary.html#age_class_juvenile\" target=\"_blank\" data-bs-toggle=\"tooltip\" data-bs-title=\"Juvenile: Animals in their first summer, with clearly juvenile features (e.g., spots); mammals older than neonates but that still require parental care.\"&gt;Juvenile&lt;button type=\"button\" class=\"btn btn-bd-tip-info-hidden btn-sm position-relative\"&gt;.&lt;span class=\"position-absolute top-0 start-100 translate-middle\"&gt;{{ icon_info }}&lt;/span&gt;&lt;/button&gt;&lt;/a&gt;"</v>
      </c>
      <c r="R12" t="b" cm="1">
        <f t="array" ref="R12">SUMPRODUCT(--EXACT($J$2:$J$490,J12))&gt;1</f>
        <v>0</v>
      </c>
      <c r="S12" t="s">
        <v>4185</v>
      </c>
    </row>
    <row r="13" spans="1:19">
      <c r="A13" s="30">
        <v>2</v>
      </c>
      <c r="B13" s="30" t="s">
        <v>1400</v>
      </c>
      <c r="C13" s="30"/>
      <c r="D13" s="30" t="s">
        <v>1208</v>
      </c>
      <c r="E13" s="30" t="s">
        <v>984</v>
      </c>
      <c r="F13" s="30" t="s">
        <v>243</v>
      </c>
      <c r="G13" s="39" t="str">
        <f>VLOOKUP(F13,glossary!J:N,2,FALSE)</f>
        <v>Subadult</v>
      </c>
      <c r="H13" s="30" t="s">
        <v>243</v>
      </c>
      <c r="I13" s="45" t="str">
        <f t="shared" si="0"/>
        <v>age_class_subadult_tu</v>
      </c>
      <c r="J13" s="39" t="s">
        <v>674</v>
      </c>
      <c r="K13" s="39" t="str">
        <f>VLOOKUP(F13,glossary!J:N,5,FALSE)</f>
        <v>Animals older than a 'Juvenile' but not yet an 'Adult'; a 'Subadult' may be further classified into 'Young of the Year' or 'Yearling.'</v>
      </c>
      <c r="L13" s="30" t="s">
        <v>1708</v>
      </c>
      <c r="M13" s="30" t="str">
        <f t="shared" si="1"/>
        <v>{{ age_class_subadult_tu }}</v>
      </c>
      <c r="N13" t="s">
        <v>896</v>
      </c>
      <c r="O13" s="13" t="s">
        <v>1816</v>
      </c>
      <c r="P13" t="s">
        <v>4081</v>
      </c>
      <c r="Q13" t="str">
        <f t="shared" si="2"/>
        <v xml:space="preserve">    age_class_subadult_tu: "&lt;a href=\"09_glossary.html#age_class_subadult\" target=\"_blank\" data-bs-toggle=\"tooltip\" data-bs-title=\"Subadult: Animals older than a 'Juvenile' but not yet an 'Adult'; a 'Subadult' may be further classified into 'Young of the Year' or 'Yearling.'\"&gt;Subadult&lt;button type=\"button\" class=\"btn btn-bd-tip-info-hidden btn-sm position-relative\"&gt;.&lt;span class=\"position-absolute top-0 start-100 translate-middle\"&gt;{{ icon_info }}&lt;/span&gt;&lt;/button&gt;&lt;/a&gt;"</v>
      </c>
      <c r="R13" t="b" cm="1">
        <f t="array" ref="R13">SUMPRODUCT(--EXACT($J$2:$J$490,J13))&gt;1</f>
        <v>0</v>
      </c>
      <c r="S13" t="s">
        <v>4186</v>
      </c>
    </row>
    <row r="14" spans="1:19">
      <c r="A14" s="30">
        <v>3</v>
      </c>
      <c r="B14" s="30" t="s">
        <v>1393</v>
      </c>
      <c r="C14" s="30"/>
      <c r="D14" s="30" t="s">
        <v>1208</v>
      </c>
      <c r="E14" s="30" t="s">
        <v>984</v>
      </c>
      <c r="F14" s="30" t="s">
        <v>247</v>
      </c>
      <c r="G14" s="39" t="str">
        <f>VLOOKUP(F14,glossary!J:N,2,FALSE)</f>
        <v>Subadult - Yearling</v>
      </c>
      <c r="H14" s="34" t="s">
        <v>247</v>
      </c>
      <c r="I14" s="45" t="str">
        <f t="shared" si="0"/>
        <v>age_class_subadult_yearling_tu</v>
      </c>
      <c r="J14" s="42" t="s">
        <v>675</v>
      </c>
      <c r="K14" s="39" t="str">
        <f>VLOOKUP(F14,glossary!J:N,5,FALSE)</f>
        <v>Animals approximately one year old; has lived through one winter season; between 'Young of Year' and 'Adult.'</v>
      </c>
      <c r="L14" t="s">
        <v>1707</v>
      </c>
      <c r="M14" s="30" t="str">
        <f t="shared" si="1"/>
        <v>{{ age_class_subadult_yearling_tu }}</v>
      </c>
      <c r="N14" t="s">
        <v>896</v>
      </c>
      <c r="O14" s="13" t="s">
        <v>1816</v>
      </c>
      <c r="P14" t="s">
        <v>4081</v>
      </c>
      <c r="Q14" t="str">
        <f t="shared" si="2"/>
        <v xml:space="preserve">    age_class_subadult_yearling_tu: "&lt;a href=\"09_glossary.html#age_class_subadult_yearling\" target=\"_blank\" data-bs-toggle=\"tooltip\" data-bs-title=\"Subadult - Yearling: Animals approximately one year old; has lived through one winter season; between 'Young of Year' and 'Adult.'\"&gt;Subadult - Yearling&lt;button type=\"button\" class=\"btn btn-bd-tip-info-hidden btn-sm position-relative\"&gt;.&lt;span class=\"position-absolute top-0 start-100 translate-middle\"&gt;{{ icon_info }}&lt;/span&gt;&lt;/button&gt;&lt;/a&gt;"</v>
      </c>
      <c r="R14" t="b" cm="1">
        <f t="array" ref="R14">SUMPRODUCT(--EXACT($J$2:$J$490,J14))&gt;1</f>
        <v>0</v>
      </c>
      <c r="S14" t="s">
        <v>4187</v>
      </c>
    </row>
    <row r="15" spans="1:19">
      <c r="A15" s="30">
        <v>3</v>
      </c>
      <c r="B15" s="30" t="s">
        <v>1393</v>
      </c>
      <c r="C15" s="30"/>
      <c r="D15" s="30" t="s">
        <v>1208</v>
      </c>
      <c r="E15" s="30" t="s">
        <v>984</v>
      </c>
      <c r="F15" s="30" t="s">
        <v>245</v>
      </c>
      <c r="G15" s="39" t="str">
        <f>VLOOKUP(F15,glossary!J:N,2,FALSE)</f>
        <v>Subadult - Young of Year</v>
      </c>
      <c r="H15" s="34" t="s">
        <v>245</v>
      </c>
      <c r="I15" s="45" t="str">
        <f t="shared" si="0"/>
        <v>age_class_subadult_youngofyear_tu</v>
      </c>
      <c r="J15" s="42" t="s">
        <v>676</v>
      </c>
      <c r="K15" s="39" t="str">
        <f>VLOOKUP(F15,glossary!J:N,5,FALSE)</f>
        <v>Animals less than one year old; born in the previous year's spring, but has not yet lived through a winter season; between 'Juvenile' and 'Yearling.'</v>
      </c>
      <c r="L15" t="s">
        <v>1706</v>
      </c>
      <c r="M15" s="30" t="str">
        <f t="shared" si="1"/>
        <v>{{ age_class_subadult_youngofyear_tu }}</v>
      </c>
      <c r="N15" t="s">
        <v>896</v>
      </c>
      <c r="O15" s="13" t="s">
        <v>1816</v>
      </c>
      <c r="P15" t="s">
        <v>4081</v>
      </c>
      <c r="Q15" t="str">
        <f t="shared" si="2"/>
        <v xml:space="preserve">    age_class_subadult_youngofyear_tu: "&lt;a href=\"09_glossary.html#age_class_subadult_youngofyear\" target=\"_blank\" data-bs-toggle=\"tooltip\" data-bs-title=\"Subadult - Young of Year: Animals less than one year old; born in the previous year's spring, but has not yet lived through a winter season; between 'Juvenile' and 'Yearling.'\"&gt;Subadult - Young of Year&lt;button type=\"button\" class=\"btn btn-bd-tip-info-hidden btn-sm position-relative\"&gt;.&lt;span class=\"position-absolute top-0 start-100 translate-middle\"&gt;{{ icon_info }}&lt;/span&gt;&lt;/button&gt;&lt;/a&gt;"</v>
      </c>
      <c r="R15" t="b" cm="1">
        <f t="array" ref="R15">SUMPRODUCT(--EXACT($J$2:$J$490,J15))&gt;1</f>
        <v>0</v>
      </c>
      <c r="S15" t="s">
        <v>4188</v>
      </c>
    </row>
    <row r="16" spans="1:19">
      <c r="A16" s="30">
        <v>2</v>
      </c>
      <c r="B16" s="30" t="s">
        <v>1400</v>
      </c>
      <c r="C16" s="30"/>
      <c r="D16" s="30" t="s">
        <v>1208</v>
      </c>
      <c r="E16" s="30" t="s">
        <v>984</v>
      </c>
      <c r="F16" s="30" t="s">
        <v>300</v>
      </c>
      <c r="G16" s="39" t="str">
        <f>VLOOKUP(F16,glossary!J:N,2,FALSE)</f>
        <v>Analyst</v>
      </c>
      <c r="H16" s="30" t="s">
        <v>300</v>
      </c>
      <c r="I16" s="45" t="str">
        <f t="shared" si="0"/>
        <v>analyst_tu</v>
      </c>
      <c r="J16" s="39" t="s">
        <v>677</v>
      </c>
      <c r="K16" s="39" t="str">
        <f>VLOOKUP(F16,glossary!J:N,5,FALSE)</f>
        <v>The first and last names of the individual who provided the observation data point (species identification and associated information). If there are multiple analysts for an observation, enter the primary analyst.</v>
      </c>
      <c r="L16" s="30" t="s">
        <v>1705</v>
      </c>
      <c r="M16" s="30" t="str">
        <f t="shared" si="1"/>
        <v>{{ analyst_tu }}</v>
      </c>
      <c r="N16" t="s">
        <v>896</v>
      </c>
      <c r="O16" s="13" t="s">
        <v>1816</v>
      </c>
      <c r="P16" t="s">
        <v>4081</v>
      </c>
      <c r="Q16" t="str">
        <f t="shared" si="2"/>
        <v xml:space="preserve">    analyst_tu: "&lt;a href=\"09_glossary.html#analyst\" target=\"_blank\" data-bs-toggle=\"tooltip\" data-bs-title=\"Analyst: The first and last names of the individual who provided the observation data point (species identification and associated information). If there are multiple analysts for an observation, enter the primary analyst.\"&gt;Analyst&lt;button type=\"button\" class=\"btn btn-bd-tip-info-hidden btn-sm position-relative\"&gt;.&lt;span class=\"position-absolute top-0 start-100 translate-middle\"&gt;{{ icon_info }}&lt;/span&gt;&lt;/button&gt;&lt;/a&gt;"</v>
      </c>
      <c r="R16" t="b" cm="1">
        <f t="array" ref="R16">SUMPRODUCT(--EXACT($J$2:$J$490,J16))&gt;1</f>
        <v>0</v>
      </c>
      <c r="S16" t="s">
        <v>4189</v>
      </c>
    </row>
    <row r="17" spans="1:19">
      <c r="A17" s="30">
        <v>3</v>
      </c>
      <c r="B17" s="30" t="s">
        <v>1393</v>
      </c>
      <c r="C17" s="30"/>
      <c r="D17" s="30" t="s">
        <v>1208</v>
      </c>
      <c r="E17" s="30" t="s">
        <v>984</v>
      </c>
      <c r="F17" s="30" t="s">
        <v>342</v>
      </c>
      <c r="G17" s="39" t="str">
        <f>VLOOKUP(F17,glossary!J:N,2,FALSE)</f>
        <v>Animal ID</v>
      </c>
      <c r="H17" s="34" t="s">
        <v>342</v>
      </c>
      <c r="I17" s="45" t="str">
        <f t="shared" si="0"/>
        <v>animal_id_tu</v>
      </c>
      <c r="J17" s="42" t="s">
        <v>678</v>
      </c>
      <c r="K17" s="39" t="str">
        <f>VLOOKUP(F17,glossary!J:N,5,FALSE)</f>
        <v>A unique ID for an animal that can be uniquely identified (e.g., marked in some way). If multiple unique individuals are identified, enter an Animal ID for each as a unique row. Leave blank if not applicable.</v>
      </c>
      <c r="L17" t="s">
        <v>1704</v>
      </c>
      <c r="M17" s="30" t="str">
        <f t="shared" si="1"/>
        <v>{{ animal_id_tu }}</v>
      </c>
      <c r="N17" t="s">
        <v>896</v>
      </c>
      <c r="O17" s="13" t="s">
        <v>1816</v>
      </c>
      <c r="P17" t="s">
        <v>4081</v>
      </c>
      <c r="Q17" t="str">
        <f t="shared" si="2"/>
        <v xml:space="preserve">    animal_id_tu: "&lt;a href=\"09_glossary.html#animal_id\" target=\"_blank\" data-bs-toggle=\"tooltip\" data-bs-title=\"Animal ID: A unique ID for an animal that can be uniquely identified (e.g., marked in some way). If multiple unique individuals are identified, enter an Animal ID for each as a unique row. Leave blank if not applicable.\"&gt;Animal ID&lt;button type=\"button\" class=\"btn btn-bd-tip-info-hidden btn-sm position-relative\"&gt;.&lt;span class=\"position-absolute top-0 start-100 translate-middle\"&gt;{{ icon_info }}&lt;/span&gt;&lt;/button&gt;&lt;/a&gt;"</v>
      </c>
      <c r="R17" t="b" cm="1">
        <f t="array" ref="R17">SUMPRODUCT(--EXACT($J$2:$J$490,J17))&gt;1</f>
        <v>0</v>
      </c>
      <c r="S17" t="s">
        <v>4190</v>
      </c>
    </row>
    <row r="18" spans="1:19">
      <c r="A18" s="30">
        <v>3</v>
      </c>
      <c r="B18" s="30" t="s">
        <v>1393</v>
      </c>
      <c r="C18" s="30"/>
      <c r="D18" s="30" t="s">
        <v>1207</v>
      </c>
      <c r="E18" s="30" t="s">
        <v>984</v>
      </c>
      <c r="F18" s="30" t="s">
        <v>236</v>
      </c>
      <c r="G18" s="39" t="str">
        <f>VLOOKUP(F18,glossary!J:N,2,FALSE)</f>
        <v>Audible lure</v>
      </c>
      <c r="H18" s="34" t="s">
        <v>236</v>
      </c>
      <c r="I18" s="45" t="str">
        <f t="shared" si="0"/>
        <v>baitlure_audible_lure_tl</v>
      </c>
      <c r="J18" s="43" t="s">
        <v>902</v>
      </c>
      <c r="K18" s="39" t="str">
        <f>VLOOKUP(F18,glossary!J:N,5,FALSE)</f>
        <v>Sounds imitating noises of prey or conspecifics that draw animals closer by eliciting curiosity (Schlexer, 2008).</v>
      </c>
      <c r="L18" t="s">
        <v>1703</v>
      </c>
      <c r="M18" s="30" t="str">
        <f t="shared" si="1"/>
        <v>{{ baitlure_audible_lure_tl }}</v>
      </c>
      <c r="N18" t="s">
        <v>896</v>
      </c>
      <c r="O18" s="13" t="s">
        <v>1816</v>
      </c>
      <c r="P18" t="s">
        <v>4081</v>
      </c>
      <c r="Q18" t="str">
        <f t="shared" si="2"/>
        <v xml:space="preserve">    baitlure_audible_lure_tl: "&lt;a href=\"09_glossary.html#baitlure_audible_lure\" target=\"_blank\" data-bs-toggle=\"tooltip\" data-bs-title=\"Audible lure: Sounds imitating noises of prey or conspecifics that draw animals closer by eliciting curiosity (Schlexer, 2008).\"&gt;audible lure&lt;button type=\"button\" class=\"btn btn-bd-tip-info-hidden btn-sm position-relative\"&gt;.&lt;span class=\"position-absolute top-0 start-100 translate-middle\"&gt;{{ icon_info }}&lt;/span&gt;&lt;/button&gt;&lt;/a&gt;"</v>
      </c>
      <c r="R18" t="b" cm="1">
        <f t="array" ref="R18">SUMPRODUCT(--EXACT($J$2:$J$490,J18))&gt;1</f>
        <v>0</v>
      </c>
      <c r="S18" t="s">
        <v>4191</v>
      </c>
    </row>
    <row r="19" spans="1:19">
      <c r="A19" s="30">
        <v>3</v>
      </c>
      <c r="B19" s="30" t="s">
        <v>1393</v>
      </c>
      <c r="C19" s="30"/>
      <c r="D19" s="30" t="s">
        <v>1208</v>
      </c>
      <c r="E19" s="30" t="s">
        <v>984</v>
      </c>
      <c r="F19" s="30" t="s">
        <v>236</v>
      </c>
      <c r="G19" s="39" t="str">
        <f>VLOOKUP(F19,glossary!J:N,2,FALSE)</f>
        <v>Audible lure</v>
      </c>
      <c r="H19" s="34" t="s">
        <v>236</v>
      </c>
      <c r="I19" s="45" t="str">
        <f t="shared" si="0"/>
        <v>baitlure_audible_lure_tu</v>
      </c>
      <c r="J19" s="42" t="s">
        <v>237</v>
      </c>
      <c r="K19" s="39" t="str">
        <f>VLOOKUP(F19,glossary!J:N,5,FALSE)</f>
        <v>Sounds imitating noises of prey or conspecifics that draw animals closer by eliciting curiosity (Schlexer, 2008).</v>
      </c>
      <c r="L19" t="s">
        <v>1702</v>
      </c>
      <c r="M19" s="30" t="str">
        <f t="shared" si="1"/>
        <v>{{ baitlure_audible_lure_tu }}</v>
      </c>
      <c r="N19" t="s">
        <v>896</v>
      </c>
      <c r="O19" s="13" t="s">
        <v>1816</v>
      </c>
      <c r="P19" t="s">
        <v>4081</v>
      </c>
      <c r="Q19" t="str">
        <f t="shared" si="2"/>
        <v xml:space="preserve">    baitlure_audible_lure_tu: "&lt;a href=\"09_glossary.html#baitlure_audible_lure\" target=\"_blank\" data-bs-toggle=\"tooltip\" data-bs-title=\"Audible lure: Sounds imitating noises of prey or conspecifics that draw animals closer by eliciting curiosity (Schlexer, 2008).\"&gt;Audible lure&lt;button type=\"button\" class=\"btn btn-bd-tip-info-hidden btn-sm position-relative\"&gt;.&lt;span class=\"position-absolute top-0 start-100 translate-middle\"&gt;{{ icon_info }}&lt;/span&gt;&lt;/button&gt;&lt;/a&gt;"</v>
      </c>
      <c r="R19" t="b" cm="1">
        <f t="array" ref="R19">SUMPRODUCT(--EXACT($J$2:$J$490,J19))&gt;1</f>
        <v>0</v>
      </c>
      <c r="S19" t="s">
        <v>4192</v>
      </c>
    </row>
    <row r="20" spans="1:19">
      <c r="A20" s="30">
        <v>2</v>
      </c>
      <c r="B20" s="30" t="s">
        <v>1400</v>
      </c>
      <c r="C20" s="30"/>
      <c r="D20" s="30" t="s">
        <v>1207</v>
      </c>
      <c r="E20" s="30" t="s">
        <v>984</v>
      </c>
      <c r="F20" s="30" t="s">
        <v>234</v>
      </c>
      <c r="G20" s="39" t="str">
        <f>VLOOKUP(F20,glossary!J:N,2,FALSE)</f>
        <v>Bait</v>
      </c>
      <c r="H20" s="30" t="s">
        <v>234</v>
      </c>
      <c r="I20" s="45" t="str">
        <f t="shared" si="0"/>
        <v>baitlure_bait_tl</v>
      </c>
      <c r="J20" s="39" t="s">
        <v>903</v>
      </c>
      <c r="K20" s="39" t="str">
        <f>VLOOKUP(F20,glossary!J:N,5,FALSE)</f>
        <v>A food item (or other substance) that is placed to attract animals via the sense of taste and olfactory cues (Schlexer, 2008).</v>
      </c>
      <c r="L20" s="30" t="s">
        <v>1701</v>
      </c>
      <c r="M20" s="30" t="str">
        <f t="shared" si="1"/>
        <v>{{ baitlure_bait_tl }}</v>
      </c>
      <c r="N20" t="s">
        <v>896</v>
      </c>
      <c r="O20" s="13" t="s">
        <v>1816</v>
      </c>
      <c r="P20" t="s">
        <v>4081</v>
      </c>
      <c r="Q20" t="str">
        <f t="shared" si="2"/>
        <v xml:space="preserve">    baitlure_bait_tl: "&lt;a href=\"09_glossary.html#baitlure_bait\" target=\"_blank\" data-bs-toggle=\"tooltip\" data-bs-title=\"Bait: A food item (or other substance) that is placed to attract animals via the sense of taste and olfactory cues (Schlexer, 2008).\"&gt;bait&lt;button type=\"button\" class=\"btn btn-bd-tip-info-hidden btn-sm position-relative\"&gt;.&lt;span class=\"position-absolute top-0 start-100 translate-middle\"&gt;{{ icon_info }}&lt;/span&gt;&lt;/button&gt;&lt;/a&gt;"</v>
      </c>
      <c r="R20" t="b" cm="1">
        <f t="array" ref="R20">SUMPRODUCT(--EXACT($J$2:$J$490,J20))&gt;1</f>
        <v>0</v>
      </c>
      <c r="S20" t="s">
        <v>4193</v>
      </c>
    </row>
    <row r="21" spans="1:19">
      <c r="A21" s="30">
        <v>2</v>
      </c>
      <c r="B21" s="30" t="s">
        <v>1400</v>
      </c>
      <c r="C21" s="30"/>
      <c r="D21" s="30" t="s">
        <v>1207</v>
      </c>
      <c r="E21" s="30" t="s">
        <v>1758</v>
      </c>
      <c r="F21" s="30" t="s">
        <v>234</v>
      </c>
      <c r="G21" s="39" t="str">
        <f>VLOOKUP(F21,glossary!J:N,2,FALSE)</f>
        <v>Bait</v>
      </c>
      <c r="H21" s="30" t="s">
        <v>234</v>
      </c>
      <c r="I21" s="45" t="str">
        <f t="shared" si="0"/>
        <v>baitlure_bait_tl_pl</v>
      </c>
      <c r="J21" s="39" t="s">
        <v>1794</v>
      </c>
      <c r="K21" s="39" t="str">
        <f>VLOOKUP(F21,glossary!J:N,5,FALSE)</f>
        <v>A food item (or other substance) that is placed to attract animals via the sense of taste and olfactory cues (Schlexer, 2008).</v>
      </c>
      <c r="L21" s="30" t="s">
        <v>1796</v>
      </c>
      <c r="M21" s="30" t="str">
        <f t="shared" si="1"/>
        <v>{{ baitlure_bait_tl_pl }}</v>
      </c>
      <c r="N21" t="s">
        <v>896</v>
      </c>
      <c r="O21" s="13" t="s">
        <v>1816</v>
      </c>
      <c r="P21" t="s">
        <v>4081</v>
      </c>
      <c r="Q21" t="str">
        <f t="shared" si="2"/>
        <v xml:space="preserve">    baitlure_bait_tl_pl: "&lt;a href=\"09_glossary.html#baitlure_bait\" target=\"_blank\" data-bs-toggle=\"tooltip\" data-bs-title=\"Bait: A food item (or other substance) that is placed to attract animals via the sense of taste and olfactory cues (Schlexer, 2008).\"&gt;baits&lt;button type=\"button\" class=\"btn btn-bd-tip-info-hidden btn-sm position-relative\"&gt;.&lt;span class=\"position-absolute top-0 start-100 translate-middle\"&gt;{{ icon_info }}&lt;/span&gt;&lt;/button&gt;&lt;/a&gt;"</v>
      </c>
      <c r="R21" t="b" cm="1">
        <f t="array" ref="R21">SUMPRODUCT(--EXACT($J$2:$J$490,J21))&gt;1</f>
        <v>0</v>
      </c>
      <c r="S21" t="s">
        <v>4194</v>
      </c>
    </row>
    <row r="22" spans="1:19">
      <c r="A22" s="30">
        <v>2</v>
      </c>
      <c r="B22" s="30" t="s">
        <v>1400</v>
      </c>
      <c r="C22" s="30"/>
      <c r="D22" s="30" t="s">
        <v>1208</v>
      </c>
      <c r="E22" s="30" t="s">
        <v>984</v>
      </c>
      <c r="F22" s="30" t="s">
        <v>234</v>
      </c>
      <c r="G22" s="39" t="str">
        <f>VLOOKUP(F22,glossary!J:N,2,FALSE)</f>
        <v>Bait</v>
      </c>
      <c r="H22" s="30" t="s">
        <v>234</v>
      </c>
      <c r="I22" s="45" t="str">
        <f t="shared" si="0"/>
        <v>baitlure_bait_tu</v>
      </c>
      <c r="J22" s="39" t="s">
        <v>235</v>
      </c>
      <c r="K22" s="39" t="str">
        <f>VLOOKUP(F22,glossary!J:N,5,FALSE)</f>
        <v>A food item (or other substance) that is placed to attract animals via the sense of taste and olfactory cues (Schlexer, 2008).</v>
      </c>
      <c r="L22" s="30" t="s">
        <v>1700</v>
      </c>
      <c r="M22" s="30" t="str">
        <f t="shared" si="1"/>
        <v>{{ baitlure_bait_tu }}</v>
      </c>
      <c r="N22" t="s">
        <v>896</v>
      </c>
      <c r="O22" s="13" t="s">
        <v>1816</v>
      </c>
      <c r="P22" t="s">
        <v>4081</v>
      </c>
      <c r="Q22" t="str">
        <f t="shared" si="2"/>
        <v xml:space="preserve">    baitlure_bait_tu: "&lt;a href=\"09_glossary.html#baitlure_bait\" target=\"_blank\" data-bs-toggle=\"tooltip\" data-bs-title=\"Bait: A food item (or other substance) that is placed to attract animals via the sense of taste and olfactory cues (Schlexer, 2008).\"&gt;Bait&lt;button type=\"button\" class=\"btn btn-bd-tip-info-hidden btn-sm position-relative\"&gt;.&lt;span class=\"position-absolute top-0 start-100 translate-middle\"&gt;{{ icon_info }}&lt;/span&gt;&lt;/button&gt;&lt;/a&gt;"</v>
      </c>
      <c r="R22" t="b" cm="1">
        <f t="array" ref="R22">SUMPRODUCT(--EXACT($J$2:$J$490,J22))&gt;1</f>
        <v>0</v>
      </c>
      <c r="S22" t="s">
        <v>4195</v>
      </c>
    </row>
    <row r="23" spans="1:19">
      <c r="A23" s="30">
        <v>2</v>
      </c>
      <c r="B23" s="30" t="s">
        <v>1400</v>
      </c>
      <c r="C23" s="30"/>
      <c r="D23" s="30" t="s">
        <v>1208</v>
      </c>
      <c r="E23" s="30" t="s">
        <v>1758</v>
      </c>
      <c r="F23" s="30" t="s">
        <v>234</v>
      </c>
      <c r="G23" s="39" t="str">
        <f>VLOOKUP(F23,glossary!J:N,2,FALSE)</f>
        <v>Bait</v>
      </c>
      <c r="H23" s="30" t="s">
        <v>234</v>
      </c>
      <c r="I23" s="45" t="str">
        <f t="shared" si="0"/>
        <v>baitlure_bait_tu_pl</v>
      </c>
      <c r="J23" s="39" t="s">
        <v>1793</v>
      </c>
      <c r="K23" s="39" t="str">
        <f>VLOOKUP(F23,glossary!J:N,5,FALSE)</f>
        <v>A food item (or other substance) that is placed to attract animals via the sense of taste and olfactory cues (Schlexer, 2008).</v>
      </c>
      <c r="L23" s="30" t="s">
        <v>1795</v>
      </c>
      <c r="M23" s="30" t="str">
        <f t="shared" si="1"/>
        <v>{{ baitlure_bait_tu_pl }}</v>
      </c>
      <c r="N23" t="s">
        <v>896</v>
      </c>
      <c r="O23" s="13" t="s">
        <v>1816</v>
      </c>
      <c r="P23" t="s">
        <v>4081</v>
      </c>
      <c r="Q23" t="str">
        <f t="shared" si="2"/>
        <v xml:space="preserve">    baitlure_bait_tu_pl: "&lt;a href=\"09_glossary.html#baitlure_bait\" target=\"_blank\" data-bs-toggle=\"tooltip\" data-bs-title=\"Bait: A food item (or other substance) that is placed to attract animals via the sense of taste and olfactory cues (Schlexer, 2008).\"&gt;Baits&lt;button type=\"button\" class=\"btn btn-bd-tip-info-hidden btn-sm position-relative\"&gt;.&lt;span class=\"position-absolute top-0 start-100 translate-middle\"&gt;{{ icon_info }}&lt;/span&gt;&lt;/button&gt;&lt;/a&gt;"</v>
      </c>
      <c r="R23" t="b" cm="1">
        <f t="array" ref="R23">SUMPRODUCT(--EXACT($J$2:$J$490,J23))&gt;1</f>
        <v>0</v>
      </c>
      <c r="S23" t="s">
        <v>4196</v>
      </c>
    </row>
    <row r="24" spans="1:19">
      <c r="A24" s="30">
        <v>3</v>
      </c>
      <c r="B24" s="30" t="s">
        <v>1393</v>
      </c>
      <c r="C24" s="30"/>
      <c r="D24" s="30" t="s">
        <v>1208</v>
      </c>
      <c r="E24" s="30" t="s">
        <v>984</v>
      </c>
      <c r="F24" s="30" t="s">
        <v>299</v>
      </c>
      <c r="G24" s="39" t="str">
        <f>VLOOKUP(F24,glossary!J:N,2,FALSE)</f>
        <v>Bait/Lure Type</v>
      </c>
      <c r="H24" s="34" t="s">
        <v>299</v>
      </c>
      <c r="I24" s="45" t="str">
        <f t="shared" si="0"/>
        <v>baitlure_bait_lure_type_tu</v>
      </c>
      <c r="J24" s="42" t="s">
        <v>679</v>
      </c>
      <c r="K24" s="39" t="str">
        <f>VLOOKUP(F24,glossary!J:N,5,FALSE)</f>
        <v>The type of bait or lure used at a camera location. Record 'None' if a Bait*/Lure Type was not used and 'Unknown' if not known. If 'Other,' describe in the Deployment Comments.</v>
      </c>
      <c r="L24" t="s">
        <v>1699</v>
      </c>
      <c r="M24" s="30" t="str">
        <f t="shared" si="1"/>
        <v>{{ baitlure_bait_lure_type_tu }}</v>
      </c>
      <c r="N24" t="s">
        <v>896</v>
      </c>
      <c r="O24" s="13" t="s">
        <v>1816</v>
      </c>
      <c r="P24" t="s">
        <v>4081</v>
      </c>
      <c r="Q24" t="str">
        <f t="shared" si="2"/>
        <v xml:space="preserve">    baitlure_bait_lure_type_tu: "&lt;a href=\"09_glossary.html#baitlure_bait_lure_type\" target=\"_blank\" data-bs-toggle=\"tooltip\" data-bs-title=\"Bait/Lure Type: The type of bait or lure used at a camera location. Record 'None' if a Bait*/Lure Type was not used and 'Unknown' if not known. If 'Other,' describe in the Deployment Comments.\"&gt;Bait/Lure Type&lt;button type=\"button\" class=\"btn btn-bd-tip-info-hidden btn-sm position-relative\"&gt;.&lt;span class=\"position-absolute top-0 start-100 translate-middle\"&gt;{{ icon_info }}&lt;/span&gt;&lt;/button&gt;&lt;/a&gt;"</v>
      </c>
      <c r="R24" t="b" cm="1">
        <f t="array" ref="R24">SUMPRODUCT(--EXACT($J$2:$J$490,J24))&gt;1</f>
        <v>0</v>
      </c>
      <c r="S24" t="s">
        <v>4197</v>
      </c>
    </row>
    <row r="25" spans="1:19" ht="10.5" customHeight="1">
      <c r="A25" s="30">
        <v>2</v>
      </c>
      <c r="B25" s="30" t="s">
        <v>1400</v>
      </c>
      <c r="C25" s="30"/>
      <c r="D25" s="30" t="s">
        <v>1207</v>
      </c>
      <c r="E25" s="30" t="s">
        <v>984</v>
      </c>
      <c r="F25" s="30" t="s">
        <v>161</v>
      </c>
      <c r="G25" s="39" t="str">
        <f>VLOOKUP(F25,glossary!J:N,2,FALSE)</f>
        <v>Lure</v>
      </c>
      <c r="H25" s="30" t="s">
        <v>161</v>
      </c>
      <c r="I25" s="45" t="str">
        <f t="shared" si="0"/>
        <v>baitlure_lure_tl</v>
      </c>
      <c r="J25" s="39" t="s">
        <v>935</v>
      </c>
      <c r="K25" s="39" t="str">
        <f>VLOOKUP(F25,glossary!J:N,5,FALSE)</f>
        <v>Any substance that draws animals closer; lures include scent (olfactory) lure, visual lure and audible lure (Schlexer, 2008).</v>
      </c>
      <c r="L25" s="30" t="s">
        <v>1698</v>
      </c>
      <c r="M25" s="30" t="str">
        <f t="shared" si="1"/>
        <v>{{ baitlure_lure_tl }}</v>
      </c>
      <c r="N25" t="s">
        <v>896</v>
      </c>
      <c r="O25" s="13" t="s">
        <v>1816</v>
      </c>
      <c r="P25" t="s">
        <v>4081</v>
      </c>
      <c r="Q25" t="str">
        <f t="shared" si="2"/>
        <v xml:space="preserve">    baitlure_lure_tl: "&lt;a href=\"09_glossary.html#baitlure_lure\" target=\"_blank\" data-bs-toggle=\"tooltip\" data-bs-title=\"Lure: Any substance that draws animals closer; lures include scent (olfactory) lure, visual lure and audible lure (Schlexer, 2008).\"&gt;lure&lt;button type=\"button\" class=\"btn btn-bd-tip-info-hidden btn-sm position-relative\"&gt;.&lt;span class=\"position-absolute top-0 start-100 translate-middle\"&gt;{{ icon_info }}&lt;/span&gt;&lt;/button&gt;&lt;/a&gt;"</v>
      </c>
      <c r="R25" t="b" cm="1">
        <f t="array" ref="R25">SUMPRODUCT(--EXACT($J$2:$J$490,J25))&gt;1</f>
        <v>0</v>
      </c>
      <c r="S25" t="s">
        <v>4198</v>
      </c>
    </row>
    <row r="26" spans="1:19">
      <c r="A26" s="30">
        <v>2</v>
      </c>
      <c r="B26" s="30" t="s">
        <v>1400</v>
      </c>
      <c r="C26" s="30"/>
      <c r="D26" s="30" t="s">
        <v>1208</v>
      </c>
      <c r="E26" s="30" t="s">
        <v>984</v>
      </c>
      <c r="F26" s="30" t="s">
        <v>161</v>
      </c>
      <c r="G26" s="39" t="str">
        <f>VLOOKUP(F26,glossary!J:N,2,FALSE)</f>
        <v>Lure</v>
      </c>
      <c r="H26" s="30" t="s">
        <v>161</v>
      </c>
      <c r="I26" s="45" t="str">
        <f t="shared" si="0"/>
        <v>baitlure_lure_tu</v>
      </c>
      <c r="J26" s="39" t="s">
        <v>162</v>
      </c>
      <c r="K26" s="39" t="str">
        <f>VLOOKUP(F26,glossary!J:N,5,FALSE)</f>
        <v>Any substance that draws animals closer; lures include scent (olfactory) lure, visual lure and audible lure (Schlexer, 2008).</v>
      </c>
      <c r="L26" s="30" t="s">
        <v>1697</v>
      </c>
      <c r="M26" s="30" t="str">
        <f t="shared" si="1"/>
        <v>{{ baitlure_lure_tu }}</v>
      </c>
      <c r="N26" t="s">
        <v>896</v>
      </c>
      <c r="O26" s="13" t="s">
        <v>1816</v>
      </c>
      <c r="P26" t="s">
        <v>4081</v>
      </c>
      <c r="Q26" t="str">
        <f t="shared" si="2"/>
        <v xml:space="preserve">    baitlure_lure_tu: "&lt;a href=\"09_glossary.html#baitlure_lure\" target=\"_blank\" data-bs-toggle=\"tooltip\" data-bs-title=\"Lure: Any substance that draws animals closer; lures include scent (olfactory) lure, visual lure and audible lure (Schlexer, 2008).\"&gt;Lure&lt;button type=\"button\" class=\"btn btn-bd-tip-info-hidden btn-sm position-relative\"&gt;.&lt;span class=\"position-absolute top-0 start-100 translate-middle\"&gt;{{ icon_info }}&lt;/span&gt;&lt;/button&gt;&lt;/a&gt;"</v>
      </c>
      <c r="R26" t="b" cm="1">
        <f t="array" ref="R26">SUMPRODUCT(--EXACT($J$2:$J$490,J26))&gt;1</f>
        <v>0</v>
      </c>
      <c r="S26" t="s">
        <v>4199</v>
      </c>
    </row>
    <row r="27" spans="1:19">
      <c r="A27" s="30">
        <v>3</v>
      </c>
      <c r="B27" s="30" t="s">
        <v>1393</v>
      </c>
      <c r="C27" s="30"/>
      <c r="D27" s="30" t="s">
        <v>1207</v>
      </c>
      <c r="E27" s="30" t="s">
        <v>984</v>
      </c>
      <c r="F27" s="30" t="s">
        <v>120</v>
      </c>
      <c r="G27" s="39" t="str">
        <f>VLOOKUP(F27,glossary!J:N,2,FALSE)</f>
        <v>Scent lure</v>
      </c>
      <c r="H27" s="34" t="s">
        <v>120</v>
      </c>
      <c r="I27" s="45" t="str">
        <f t="shared" si="0"/>
        <v>baitlure_scent_lure_tl</v>
      </c>
      <c r="J27" s="43" t="s">
        <v>949</v>
      </c>
      <c r="K27" s="39" t="str">
        <f>VLOOKUP(F27,glossary!J:N,5,FALSE)</f>
        <v>Any material that draws animals closer via their sense of smell (Schlexer, 2008).</v>
      </c>
      <c r="L27" t="s">
        <v>1696</v>
      </c>
      <c r="M27" s="30" t="str">
        <f t="shared" si="1"/>
        <v>{{ baitlure_scent_lure_tl }}</v>
      </c>
      <c r="N27" t="s">
        <v>896</v>
      </c>
      <c r="O27" s="13" t="s">
        <v>1816</v>
      </c>
      <c r="P27" t="s">
        <v>4081</v>
      </c>
      <c r="Q27" t="str">
        <f t="shared" si="2"/>
        <v xml:space="preserve">    baitlure_scent_lure_tl: "&lt;a href=\"09_glossary.html#baitlure_scent_lure\" target=\"_blank\" data-bs-toggle=\"tooltip\" data-bs-title=\"Scent lure: Any material that draws animals closer via their sense of smell (Schlexer, 2008).\"&gt;scent lure&lt;button type=\"button\" class=\"btn btn-bd-tip-info-hidden btn-sm position-relative\"&gt;.&lt;span class=\"position-absolute top-0 start-100 translate-middle\"&gt;{{ icon_info }}&lt;/span&gt;&lt;/button&gt;&lt;/a&gt;"</v>
      </c>
      <c r="R27" t="b" cm="1">
        <f t="array" ref="R27">SUMPRODUCT(--EXACT($J$2:$J$490,J27))&gt;1</f>
        <v>0</v>
      </c>
      <c r="S27" t="s">
        <v>4200</v>
      </c>
    </row>
    <row r="28" spans="1:19">
      <c r="A28" s="30">
        <v>2</v>
      </c>
      <c r="B28" s="30" t="s">
        <v>1400</v>
      </c>
      <c r="C28" s="30"/>
      <c r="D28" s="30" t="s">
        <v>1207</v>
      </c>
      <c r="E28" s="30" t="s">
        <v>1758</v>
      </c>
      <c r="F28" s="30" t="s">
        <v>120</v>
      </c>
      <c r="G28" s="39" t="str">
        <f>VLOOKUP(F28,glossary!J:N,2,FALSE)</f>
        <v>Scent lure</v>
      </c>
      <c r="H28" s="30" t="s">
        <v>120</v>
      </c>
      <c r="I28" s="45" t="str">
        <f t="shared" si="0"/>
        <v>baitlure_scent_lure_tl_pl</v>
      </c>
      <c r="J28" s="39" t="s">
        <v>1798</v>
      </c>
      <c r="K28" s="39" t="str">
        <f>VLOOKUP(F28,glossary!J:N,5,FALSE)</f>
        <v>Any material that draws animals closer via their sense of smell (Schlexer, 2008).</v>
      </c>
      <c r="L28" s="30" t="s">
        <v>1800</v>
      </c>
      <c r="M28" s="30" t="str">
        <f t="shared" si="1"/>
        <v>{{ baitlure_scent_lure_tl_pl }}</v>
      </c>
      <c r="N28" t="s">
        <v>896</v>
      </c>
      <c r="O28" s="13" t="s">
        <v>1816</v>
      </c>
      <c r="P28" t="s">
        <v>4081</v>
      </c>
      <c r="Q28" t="str">
        <f t="shared" si="2"/>
        <v xml:space="preserve">    baitlure_scent_lure_tl_pl: "&lt;a href=\"09_glossary.html#baitlure_scent_lure\" target=\"_blank\" data-bs-toggle=\"tooltip\" data-bs-title=\"Scent lure: Any material that draws animals closer via their sense of smell (Schlexer, 2008).\"&gt;scent lures&lt;button type=\"button\" class=\"btn btn-bd-tip-info-hidden btn-sm position-relative\"&gt;.&lt;span class=\"position-absolute top-0 start-100 translate-middle\"&gt;{{ icon_info }}&lt;/span&gt;&lt;/button&gt;&lt;/a&gt;"</v>
      </c>
      <c r="R28" t="b" cm="1">
        <f t="array" ref="R28">SUMPRODUCT(--EXACT($J$2:$J$490,J28))&gt;1</f>
        <v>0</v>
      </c>
      <c r="S28" t="s">
        <v>4201</v>
      </c>
    </row>
    <row r="29" spans="1:19">
      <c r="A29" s="30">
        <v>3</v>
      </c>
      <c r="B29" s="30" t="s">
        <v>1393</v>
      </c>
      <c r="C29" s="30"/>
      <c r="D29" s="30" t="s">
        <v>1208</v>
      </c>
      <c r="E29" s="30" t="s">
        <v>984</v>
      </c>
      <c r="F29" s="30" t="s">
        <v>120</v>
      </c>
      <c r="G29" s="39" t="str">
        <f>VLOOKUP(F29,glossary!J:N,2,FALSE)</f>
        <v>Scent lure</v>
      </c>
      <c r="H29" s="34" t="s">
        <v>120</v>
      </c>
      <c r="I29" s="45" t="str">
        <f t="shared" si="0"/>
        <v>baitlure_scent_lure_tu</v>
      </c>
      <c r="J29" s="42" t="s">
        <v>121</v>
      </c>
      <c r="K29" s="39" t="str">
        <f>VLOOKUP(F29,glossary!J:N,5,FALSE)</f>
        <v>Any material that draws animals closer via their sense of smell (Schlexer, 2008).</v>
      </c>
      <c r="L29" t="s">
        <v>1695</v>
      </c>
      <c r="M29" s="30" t="str">
        <f t="shared" si="1"/>
        <v>{{ baitlure_scent_lure_tu }}</v>
      </c>
      <c r="N29" t="s">
        <v>896</v>
      </c>
      <c r="O29" s="13" t="s">
        <v>1816</v>
      </c>
      <c r="P29" t="s">
        <v>4081</v>
      </c>
      <c r="Q29" t="str">
        <f t="shared" si="2"/>
        <v xml:space="preserve">    baitlure_scent_lure_tu: "&lt;a href=\"09_glossary.html#baitlure_scent_lure\" target=\"_blank\" data-bs-toggle=\"tooltip\" data-bs-title=\"Scent lure: Any material that draws animals closer via their sense of smell (Schlexer, 2008).\"&gt;Scent lure&lt;button type=\"button\" class=\"btn btn-bd-tip-info-hidden btn-sm position-relative\"&gt;.&lt;span class=\"position-absolute top-0 start-100 translate-middle\"&gt;{{ icon_info }}&lt;/span&gt;&lt;/button&gt;&lt;/a&gt;"</v>
      </c>
      <c r="R29" t="b" cm="1">
        <f t="array" ref="R29">SUMPRODUCT(--EXACT($J$2:$J$490,J29))&gt;1</f>
        <v>0</v>
      </c>
      <c r="S29" t="s">
        <v>4202</v>
      </c>
    </row>
    <row r="30" spans="1:19">
      <c r="A30" s="30">
        <v>2</v>
      </c>
      <c r="B30" s="30" t="s">
        <v>1400</v>
      </c>
      <c r="C30" s="30"/>
      <c r="D30" s="30" t="s">
        <v>1208</v>
      </c>
      <c r="E30" s="30" t="s">
        <v>1758</v>
      </c>
      <c r="F30" s="30" t="s">
        <v>120</v>
      </c>
      <c r="G30" s="39" t="str">
        <f>VLOOKUP(F30,glossary!J:N,2,FALSE)</f>
        <v>Scent lure</v>
      </c>
      <c r="H30" s="30" t="s">
        <v>120</v>
      </c>
      <c r="I30" s="45" t="str">
        <f t="shared" si="0"/>
        <v>baitlure_scent_lure_tu_pl</v>
      </c>
      <c r="J30" s="39" t="s">
        <v>1797</v>
      </c>
      <c r="K30" s="39" t="str">
        <f>VLOOKUP(F30,glossary!J:N,5,FALSE)</f>
        <v>Any material that draws animals closer via their sense of smell (Schlexer, 2008).</v>
      </c>
      <c r="L30" s="30" t="s">
        <v>1799</v>
      </c>
      <c r="M30" s="30" t="str">
        <f t="shared" si="1"/>
        <v>{{ baitlure_scent_lure_tu_pl }}</v>
      </c>
      <c r="N30" t="s">
        <v>896</v>
      </c>
      <c r="O30" s="13" t="s">
        <v>1816</v>
      </c>
      <c r="P30" t="s">
        <v>4081</v>
      </c>
      <c r="Q30" t="str">
        <f t="shared" si="2"/>
        <v xml:space="preserve">    baitlure_scent_lure_tu_pl: "&lt;a href=\"09_glossary.html#baitlure_scent_lure\" target=\"_blank\" data-bs-toggle=\"tooltip\" data-bs-title=\"Scent lure: Any material that draws animals closer via their sense of smell (Schlexer, 2008).\"&gt;Scent lures&lt;button type=\"button\" class=\"btn btn-bd-tip-info-hidden btn-sm position-relative\"&gt;.&lt;span class=\"position-absolute top-0 start-100 translate-middle\"&gt;{{ icon_info }}&lt;/span&gt;&lt;/button&gt;&lt;/a&gt;"</v>
      </c>
      <c r="R30" t="b" cm="1">
        <f t="array" ref="R30">SUMPRODUCT(--EXACT($J$2:$J$490,J30))&gt;1</f>
        <v>0</v>
      </c>
      <c r="S30" t="s">
        <v>4203</v>
      </c>
    </row>
    <row r="31" spans="1:19">
      <c r="A31" s="30">
        <v>3</v>
      </c>
      <c r="B31" s="30" t="s">
        <v>1393</v>
      </c>
      <c r="C31" s="30"/>
      <c r="D31" s="30" t="s">
        <v>1207</v>
      </c>
      <c r="E31" s="30" t="s">
        <v>984</v>
      </c>
      <c r="F31" s="30" t="s">
        <v>58</v>
      </c>
      <c r="G31" s="39" t="str">
        <f>VLOOKUP(F31,glossary!J:N,2,FALSE)</f>
        <v>Visual lure</v>
      </c>
      <c r="H31" s="34" t="s">
        <v>58</v>
      </c>
      <c r="I31" s="45" t="str">
        <f t="shared" si="0"/>
        <v>baitlure_visual_lure_tl</v>
      </c>
      <c r="J31" s="43" t="s">
        <v>969</v>
      </c>
      <c r="K31" s="39" t="str">
        <f>VLOOKUP(F31,glossary!J:N,5,FALSE)</f>
        <v>Any material that draws animals closer via their sense of sight (Schlexer, 2008).</v>
      </c>
      <c r="L31" t="s">
        <v>1694</v>
      </c>
      <c r="M31" s="30" t="str">
        <f t="shared" si="1"/>
        <v>{{ baitlure_visual_lure_tl }}</v>
      </c>
      <c r="N31" t="s">
        <v>896</v>
      </c>
      <c r="O31" s="13" t="s">
        <v>1816</v>
      </c>
      <c r="P31" t="s">
        <v>4081</v>
      </c>
      <c r="Q31" t="str">
        <f t="shared" si="2"/>
        <v xml:space="preserve">    baitlure_visual_lure_tl: "&lt;a href=\"09_glossary.html#baitlure_visual_lure\" target=\"_blank\" data-bs-toggle=\"tooltip\" data-bs-title=\"Visual lure: Any material that draws animals closer via their sense of sight (Schlexer, 2008).\"&gt;visual lure&lt;button type=\"button\" class=\"btn btn-bd-tip-info-hidden btn-sm position-relative\"&gt;.&lt;span class=\"position-absolute top-0 start-100 translate-middle\"&gt;{{ icon_info }}&lt;/span&gt;&lt;/button&gt;&lt;/a&gt;"</v>
      </c>
      <c r="R31" t="b" cm="1">
        <f t="array" ref="R31">SUMPRODUCT(--EXACT($J$2:$J$490,J31))&gt;1</f>
        <v>0</v>
      </c>
      <c r="S31" t="s">
        <v>4204</v>
      </c>
    </row>
    <row r="32" spans="1:19">
      <c r="A32" s="30">
        <v>3</v>
      </c>
      <c r="B32" s="30" t="s">
        <v>1393</v>
      </c>
      <c r="C32" s="30"/>
      <c r="D32" s="30" t="s">
        <v>1208</v>
      </c>
      <c r="E32" s="30" t="s">
        <v>984</v>
      </c>
      <c r="F32" s="30" t="s">
        <v>58</v>
      </c>
      <c r="G32" s="39" t="str">
        <f>VLOOKUP(F32,glossary!J:N,2,FALSE)</f>
        <v>Visual lure</v>
      </c>
      <c r="H32" s="34" t="s">
        <v>58</v>
      </c>
      <c r="I32" s="45" t="str">
        <f t="shared" si="0"/>
        <v>baitlure_visual_lure_tu</v>
      </c>
      <c r="J32" s="42" t="s">
        <v>59</v>
      </c>
      <c r="K32" s="39" t="str">
        <f>VLOOKUP(F32,glossary!J:N,5,FALSE)</f>
        <v>Any material that draws animals closer via their sense of sight (Schlexer, 2008).</v>
      </c>
      <c r="L32" t="s">
        <v>1693</v>
      </c>
      <c r="M32" s="30" t="str">
        <f t="shared" si="1"/>
        <v>{{ baitlure_visual_lure_tu }}</v>
      </c>
      <c r="N32" t="s">
        <v>896</v>
      </c>
      <c r="O32" s="13" t="s">
        <v>1816</v>
      </c>
      <c r="P32" t="s">
        <v>4081</v>
      </c>
      <c r="Q32" t="str">
        <f t="shared" si="2"/>
        <v xml:space="preserve">    baitlure_visual_lure_tu: "&lt;a href=\"09_glossary.html#baitlure_visual_lure\" target=\"_blank\" data-bs-toggle=\"tooltip\" data-bs-title=\"Visual lure: Any material that draws animals closer via their sense of sight (Schlexer, 2008).\"&gt;Visual lure&lt;button type=\"button\" class=\"btn btn-bd-tip-info-hidden btn-sm position-relative\"&gt;.&lt;span class=\"position-absolute top-0 start-100 translate-middle\"&gt;{{ icon_info }}&lt;/span&gt;&lt;/button&gt;&lt;/a&gt;"</v>
      </c>
      <c r="R32" t="b" cm="1">
        <f t="array" ref="R32">SUMPRODUCT(--EXACT($J$2:$J$490,J32))&gt;1</f>
        <v>0</v>
      </c>
      <c r="S32" t="s">
        <v>4205</v>
      </c>
    </row>
    <row r="33" spans="1:19">
      <c r="A33" s="30">
        <v>3</v>
      </c>
      <c r="B33" s="30" t="s">
        <v>1393</v>
      </c>
      <c r="C33" s="30"/>
      <c r="D33" s="30" t="s">
        <v>1208</v>
      </c>
      <c r="E33" s="30" t="s">
        <v>984</v>
      </c>
      <c r="F33" s="30" t="s">
        <v>340</v>
      </c>
      <c r="G33" s="39" t="str">
        <f>VLOOKUP(F33,glossary!J:N,2,FALSE)</f>
        <v>Batteries Replaced</v>
      </c>
      <c r="H33" s="34" t="s">
        <v>340</v>
      </c>
      <c r="I33" s="45" t="str">
        <f t="shared" si="0"/>
        <v>batteries_replaced_tu</v>
      </c>
      <c r="J33" s="42" t="s">
        <v>680</v>
      </c>
      <c r="K33" s="39" t="str">
        <f>VLOOKUP(F33,glossary!J:N,5,FALSE)</f>
        <v>Whether the camera's batteries were replaced.</v>
      </c>
      <c r="L33" t="s">
        <v>1692</v>
      </c>
      <c r="M33" s="30" t="str">
        <f t="shared" si="1"/>
        <v>{{ batteries_replaced_tu }}</v>
      </c>
      <c r="N33" t="s">
        <v>896</v>
      </c>
      <c r="O33" s="13" t="s">
        <v>1816</v>
      </c>
      <c r="P33" t="s">
        <v>4081</v>
      </c>
      <c r="Q33" t="str">
        <f t="shared" si="2"/>
        <v xml:space="preserve">    batteries_replaced_tu: "&lt;a href=\"09_glossary.html#batteries_replaced\" target=\"_blank\" data-bs-toggle=\"tooltip\" data-bs-title=\"Batteries Replaced: Whether the camera's batteries were replaced.\"&gt;Batteries Replaced&lt;button type=\"button\" class=\"btn btn-bd-tip-info-hidden btn-sm position-relative\"&gt;.&lt;span class=\"position-absolute top-0 start-100 translate-middle\"&gt;{{ icon_info }}&lt;/span&gt;&lt;/button&gt;&lt;/a&gt;"</v>
      </c>
      <c r="R33" t="b" cm="1">
        <f t="array" ref="R33">SUMPRODUCT(--EXACT($J$2:$J$490,J33))&gt;1</f>
        <v>0</v>
      </c>
      <c r="S33" t="s">
        <v>4206</v>
      </c>
    </row>
    <row r="34" spans="1:19">
      <c r="A34" s="30">
        <v>1</v>
      </c>
      <c r="B34" s="30" t="s">
        <v>1064</v>
      </c>
      <c r="C34" s="30" t="s">
        <v>429</v>
      </c>
      <c r="D34" s="30" t="s">
        <v>1207</v>
      </c>
      <c r="E34" s="30" t="s">
        <v>1758</v>
      </c>
      <c r="F34" s="30" t="s">
        <v>339</v>
      </c>
      <c r="G34" s="39" t="e">
        <f>VLOOKUP(F34,glossary!J:N,2,FALSE)</f>
        <v>#N/A</v>
      </c>
      <c r="H34" s="30" t="s">
        <v>339</v>
      </c>
      <c r="I34" s="45" t="str">
        <f t="shared" si="0"/>
        <v>behaviour_tl_pl</v>
      </c>
      <c r="J34" s="39" t="s">
        <v>1192</v>
      </c>
      <c r="K34" s="39" t="e">
        <f>VLOOKUP(F34,glossary!J:N,5,FALSE)</f>
        <v>#N/A</v>
      </c>
      <c r="L34" s="30" t="s">
        <v>1119</v>
      </c>
      <c r="M34" s="30" t="str">
        <f t="shared" si="1"/>
        <v>{{ behaviour_tl_pl }}</v>
      </c>
      <c r="N34" t="s">
        <v>896</v>
      </c>
      <c r="O34" s="13" t="s">
        <v>1816</v>
      </c>
      <c r="P34" t="s">
        <v>4081</v>
      </c>
      <c r="Q34" t="e">
        <f t="shared" si="2"/>
        <v>#N/A</v>
      </c>
      <c r="R34" t="b" cm="1">
        <f t="array" ref="R34">SUMPRODUCT(--EXACT($J$2:$J$490,J34))&gt;1</f>
        <v>0</v>
      </c>
      <c r="S34" t="s">
        <v>4207</v>
      </c>
    </row>
    <row r="35" spans="1:19">
      <c r="A35" s="30">
        <v>1</v>
      </c>
      <c r="B35" s="30" t="s">
        <v>1064</v>
      </c>
      <c r="C35" s="30" t="s">
        <v>429</v>
      </c>
      <c r="D35" s="30" t="s">
        <v>1208</v>
      </c>
      <c r="E35" s="30" t="s">
        <v>1758</v>
      </c>
      <c r="F35" s="30" t="s">
        <v>339</v>
      </c>
      <c r="G35" s="39" t="e">
        <f>VLOOKUP(F35,glossary!J:N,2,FALSE)</f>
        <v>#N/A</v>
      </c>
      <c r="H35" s="30" t="s">
        <v>339</v>
      </c>
      <c r="I35" s="45" t="str">
        <f t="shared" si="0"/>
        <v>behaviour_tu_pl</v>
      </c>
      <c r="J35" s="39" t="s">
        <v>1163</v>
      </c>
      <c r="K35" s="39" t="e">
        <f>VLOOKUP(F35,glossary!J:N,5,FALSE)</f>
        <v>#N/A</v>
      </c>
      <c r="L35" s="30" t="s">
        <v>1104</v>
      </c>
      <c r="M35" s="30" t="str">
        <f t="shared" si="1"/>
        <v>{{ behaviour_tu_pl }}</v>
      </c>
      <c r="N35" t="s">
        <v>896</v>
      </c>
      <c r="O35" s="13" t="s">
        <v>1816</v>
      </c>
      <c r="P35" t="s">
        <v>4081</v>
      </c>
      <c r="Q35" t="e">
        <f t="shared" si="2"/>
        <v>#N/A</v>
      </c>
      <c r="R35" t="b" cm="1">
        <f t="array" ref="R35">SUMPRODUCT(--EXACT($J$2:$J$490,J35))&gt;1</f>
        <v>0</v>
      </c>
      <c r="S35" t="s">
        <v>4208</v>
      </c>
    </row>
    <row r="36" spans="1:19">
      <c r="B36" s="30" t="s">
        <v>768</v>
      </c>
      <c r="D36" s="30" t="s">
        <v>1207</v>
      </c>
      <c r="E36" s="30" t="s">
        <v>984</v>
      </c>
      <c r="F36" s="33" t="s">
        <v>779</v>
      </c>
      <c r="G36" s="39" t="str">
        <f>VLOOKUP(F36,glossary!J:N,2,FALSE)</f>
        <v>Bias</v>
      </c>
      <c r="H36" s="33" t="s">
        <v>779</v>
      </c>
      <c r="I36" s="45" t="str">
        <f t="shared" si="0"/>
        <v>bias_tl</v>
      </c>
      <c r="J36" s="30" t="s">
        <v>779</v>
      </c>
      <c r="K36" s="39" t="str">
        <f>VLOOKUP(F36,glossary!J:N,5,FALSE)</f>
        <v>A skewed or altered perspective. Biased data refers to data that may be inaccurate or unevenly portrayed (usually in favour of specific variables) and is therefore not as robust.' (Kemp et al., 2022).</v>
      </c>
      <c r="L36" s="30" t="s">
        <v>984</v>
      </c>
      <c r="M36" s="30" t="str">
        <f t="shared" si="1"/>
        <v>{{ bias_tl }}</v>
      </c>
      <c r="N36" t="s">
        <v>896</v>
      </c>
      <c r="O36" s="13" t="s">
        <v>1816</v>
      </c>
      <c r="P36" t="s">
        <v>4081</v>
      </c>
      <c r="Q36" t="str">
        <f t="shared" si="2"/>
        <v xml:space="preserve">    bias_tl: "&lt;a href=\"09_glossary.html#bias\" target=\"_blank\" data-bs-toggle=\"tooltip\" data-bs-title=\"Bias: A skewed or altered perspective. Biased data refers to data that may be inaccurate or unevenly portrayed (usually in favour of specific variables) and is therefore not as robust.' (Kemp et al., 2022).\"&gt;bias&lt;button type=\"button\" class=\"btn btn-bd-tip-info-hidden btn-sm position-relative\"&gt;.&lt;span class=\"position-absolute top-0 start-100 translate-middle\"&gt;{{ icon_info }}&lt;/span&gt;&lt;/button&gt;&lt;/a&gt;"</v>
      </c>
      <c r="R36" t="b" cm="1">
        <f t="array" ref="R36">SUMPRODUCT(--EXACT($J$2:$J$490,J36))&gt;1</f>
        <v>0</v>
      </c>
      <c r="S36" t="s">
        <v>4209</v>
      </c>
    </row>
    <row r="37" spans="1:19">
      <c r="B37" s="30" t="s">
        <v>768</v>
      </c>
      <c r="D37" s="30" t="s">
        <v>1207</v>
      </c>
      <c r="E37" s="30" t="s">
        <v>1755</v>
      </c>
      <c r="F37" s="33" t="s">
        <v>779</v>
      </c>
      <c r="G37" s="39" t="str">
        <f>VLOOKUP(F37,glossary!J:N,2,FALSE)</f>
        <v>Bias</v>
      </c>
      <c r="H37" s="33" t="s">
        <v>779</v>
      </c>
      <c r="I37" s="45" t="str">
        <f t="shared" si="0"/>
        <v>bias_tl_mod</v>
      </c>
      <c r="J37" s="30" t="s">
        <v>1822</v>
      </c>
      <c r="K37" s="39" t="str">
        <f>VLOOKUP(F37,glossary!J:N,5,FALSE)</f>
        <v>A skewed or altered perspective. Biased data refers to data that may be inaccurate or unevenly portrayed (usually in favour of specific variables) and is therefore not as robust.' (Kemp et al., 2022).</v>
      </c>
      <c r="L37" s="30" t="s">
        <v>984</v>
      </c>
      <c r="M37" s="30" t="str">
        <f t="shared" si="1"/>
        <v>{{ bias_tl_mod }}</v>
      </c>
      <c r="N37" t="s">
        <v>896</v>
      </c>
      <c r="O37" s="13" t="s">
        <v>1816</v>
      </c>
      <c r="P37" t="s">
        <v>4081</v>
      </c>
      <c r="Q37" t="str">
        <f t="shared" si="2"/>
        <v xml:space="preserve">    bias_tl_mod: "&lt;a href=\"09_glossary.html#bias\" target=\"_blank\" data-bs-toggle=\"tooltip\" data-bs-title=\"Bias: A skewed or altered perspective. Biased data refers to data that may be inaccurate or unevenly portrayed (usually in favour of specific variables) and is therefore not as robust.' (Kemp et al., 2022).\"&gt;biased&lt;button type=\"button\" class=\"btn btn-bd-tip-info-hidden btn-sm position-relative\"&gt;.&lt;span class=\"position-absolute top-0 start-100 translate-middle\"&gt;{{ icon_info }}&lt;/span&gt;&lt;/button&gt;&lt;/a&gt;"</v>
      </c>
      <c r="R37" t="b" cm="1">
        <f t="array" ref="R37">SUMPRODUCT(--EXACT($J$2:$J$490,J37))&gt;1</f>
        <v>0</v>
      </c>
      <c r="S37" t="s">
        <v>4210</v>
      </c>
    </row>
    <row r="38" spans="1:19">
      <c r="B38" s="30" t="s">
        <v>768</v>
      </c>
      <c r="D38" s="30" t="s">
        <v>1207</v>
      </c>
      <c r="E38" s="30" t="s">
        <v>1823</v>
      </c>
      <c r="F38" s="33" t="s">
        <v>779</v>
      </c>
      <c r="G38" s="39" t="str">
        <f>VLOOKUP(F38,glossary!J:N,2,FALSE)</f>
        <v>Bias</v>
      </c>
      <c r="H38" s="33" t="s">
        <v>779</v>
      </c>
      <c r="I38" s="45" t="str">
        <f t="shared" si="0"/>
        <v>bias_tl_mod2</v>
      </c>
      <c r="J38" s="30" t="s">
        <v>1825</v>
      </c>
      <c r="K38" s="39" t="str">
        <f>VLOOKUP(F38,glossary!J:N,5,FALSE)</f>
        <v>A skewed or altered perspective. Biased data refers to data that may be inaccurate or unevenly portrayed (usually in favour of specific variables) and is therefore not as robust.' (Kemp et al., 2022).</v>
      </c>
      <c r="L38" s="30" t="s">
        <v>984</v>
      </c>
      <c r="M38" s="30" t="str">
        <f t="shared" si="1"/>
        <v>{{ bias_tl_mod2 }}</v>
      </c>
      <c r="N38" t="s">
        <v>896</v>
      </c>
      <c r="O38" s="13" t="s">
        <v>1816</v>
      </c>
      <c r="P38" t="s">
        <v>4081</v>
      </c>
      <c r="Q38" t="str">
        <f t="shared" si="2"/>
        <v xml:space="preserve">    bias_tl_mod2: "&lt;a href=\"09_glossary.html#bias\" target=\"_blank\" data-bs-toggle=\"tooltip\" data-bs-title=\"Bias: A skewed or altered perspective. Biased data refers to data that may be inaccurate or unevenly portrayed (usually in favour of specific variables) and is therefore not as robust.' (Kemp et al., 2022).\"&gt;biases&lt;button type=\"button\" class=\"btn btn-bd-tip-info-hidden btn-sm position-relative\"&gt;.&lt;span class=\"position-absolute top-0 start-100 translate-middle\"&gt;{{ icon_info }}&lt;/span&gt;&lt;/button&gt;&lt;/a&gt;"</v>
      </c>
      <c r="R38" t="b" cm="1">
        <f t="array" ref="R38">SUMPRODUCT(--EXACT($J$2:$J$490,J38))&gt;1</f>
        <v>0</v>
      </c>
      <c r="S38" t="s">
        <v>4211</v>
      </c>
    </row>
    <row r="39" spans="1:19">
      <c r="B39" s="30" t="s">
        <v>768</v>
      </c>
      <c r="D39" s="30" t="s">
        <v>1207</v>
      </c>
      <c r="E39" s="30" t="s">
        <v>3984</v>
      </c>
      <c r="F39" s="33" t="s">
        <v>779</v>
      </c>
      <c r="G39" s="39" t="str">
        <f>VLOOKUP(F39,glossary!J:N,2,FALSE)</f>
        <v>Bias</v>
      </c>
      <c r="H39" s="33" t="s">
        <v>779</v>
      </c>
      <c r="I39" s="45" t="str">
        <f t="shared" si="0"/>
        <v>bias_tl_op</v>
      </c>
      <c r="J39" s="30" t="s">
        <v>3982</v>
      </c>
      <c r="K39" s="39" t="str">
        <f>VLOOKUP(F39,glossary!J:N,5,FALSE)</f>
        <v>A skewed or altered perspective. Biased data refers to data that may be inaccurate or unevenly portrayed (usually in favour of specific variables) and is therefore not as robust.' (Kemp et al., 2022).</v>
      </c>
      <c r="L39" s="30" t="s">
        <v>984</v>
      </c>
      <c r="M39" s="30" t="str">
        <f t="shared" si="1"/>
        <v>{{ bias_tl_op }}</v>
      </c>
      <c r="N39" t="s">
        <v>896</v>
      </c>
      <c r="O39" s="13" t="s">
        <v>1816</v>
      </c>
      <c r="P39" t="s">
        <v>4081</v>
      </c>
      <c r="Q39" t="str">
        <f t="shared" si="2"/>
        <v xml:space="preserve">    bias_tl_op: "&lt;a href=\"09_glossary.html#bias\" target=\"_blank\" data-bs-toggle=\"tooltip\" data-bs-title=\"Bias: A skewed or altered perspective. Biased data refers to data that may be inaccurate or unevenly portrayed (usually in favour of specific variables) and is therefore not as robust.' (Kemp et al., 2022).\"&gt;unbiased&lt;button type=\"button\" class=\"btn btn-bd-tip-info-hidden btn-sm position-relative\"&gt;.&lt;span class=\"position-absolute top-0 start-100 translate-middle\"&gt;{{ icon_info }}&lt;/span&gt;&lt;/button&gt;&lt;/a&gt;"</v>
      </c>
      <c r="R39" t="b" cm="1">
        <f t="array" ref="R39">SUMPRODUCT(--EXACT($J$2:$J$490,J39))&gt;1</f>
        <v>0</v>
      </c>
      <c r="S39" t="s">
        <v>4212</v>
      </c>
    </row>
    <row r="40" spans="1:19">
      <c r="B40" s="30" t="s">
        <v>768</v>
      </c>
      <c r="D40" s="30" t="s">
        <v>1208</v>
      </c>
      <c r="E40" s="30" t="s">
        <v>984</v>
      </c>
      <c r="F40" s="33" t="s">
        <v>779</v>
      </c>
      <c r="G40" s="39" t="str">
        <f>VLOOKUP(F40,glossary!J:N,2,FALSE)</f>
        <v>Bias</v>
      </c>
      <c r="H40" s="33" t="s">
        <v>779</v>
      </c>
      <c r="I40" s="45" t="str">
        <f t="shared" si="0"/>
        <v>bias_tu</v>
      </c>
      <c r="J40" s="30" t="s">
        <v>629</v>
      </c>
      <c r="K40" s="39" t="str">
        <f>VLOOKUP(F40,glossary!J:N,5,FALSE)</f>
        <v>A skewed or altered perspective. Biased data refers to data that may be inaccurate or unevenly portrayed (usually in favour of specific variables) and is therefore not as robust.' (Kemp et al., 2022).</v>
      </c>
      <c r="L40" s="30" t="s">
        <v>984</v>
      </c>
      <c r="M40" s="30" t="str">
        <f t="shared" si="1"/>
        <v>{{ bias_tu }}</v>
      </c>
      <c r="N40" t="s">
        <v>896</v>
      </c>
      <c r="O40" s="13" t="s">
        <v>1816</v>
      </c>
      <c r="P40" t="s">
        <v>4081</v>
      </c>
      <c r="Q40" t="str">
        <f t="shared" si="2"/>
        <v xml:space="preserve">    bias_tu: "&lt;a href=\"09_glossary.html#bias\" target=\"_blank\" data-bs-toggle=\"tooltip\" data-bs-title=\"Bias: A skewed or altered perspective. Biased data refers to data that may be inaccurate or unevenly portrayed (usually in favour of specific variables) and is therefore not as robust.' (Kemp et al., 2022).\"&gt;Bias&lt;button type=\"button\" class=\"btn btn-bd-tip-info-hidden btn-sm position-relative\"&gt;.&lt;span class=\"position-absolute top-0 start-100 translate-middle\"&gt;{{ icon_info }}&lt;/span&gt;&lt;/button&gt;&lt;/a&gt;"</v>
      </c>
      <c r="R40" t="b" cm="1">
        <f t="array" ref="R40">SUMPRODUCT(--EXACT($J$2:$J$490,J40))&gt;1</f>
        <v>0</v>
      </c>
      <c r="S40" t="s">
        <v>4213</v>
      </c>
    </row>
    <row r="41" spans="1:19">
      <c r="B41" s="30" t="s">
        <v>768</v>
      </c>
      <c r="D41" s="30" t="s">
        <v>1208</v>
      </c>
      <c r="E41" s="30" t="s">
        <v>1755</v>
      </c>
      <c r="F41" s="33" t="s">
        <v>779</v>
      </c>
      <c r="G41" s="39" t="str">
        <f>VLOOKUP(F41,glossary!J:N,2,FALSE)</f>
        <v>Bias</v>
      </c>
      <c r="H41" s="33" t="s">
        <v>779</v>
      </c>
      <c r="I41" s="45" t="str">
        <f t="shared" si="0"/>
        <v>bias_tu_mod</v>
      </c>
      <c r="J41" s="30" t="s">
        <v>1821</v>
      </c>
      <c r="K41" s="39" t="str">
        <f>VLOOKUP(F41,glossary!J:N,5,FALSE)</f>
        <v>A skewed or altered perspective. Biased data refers to data that may be inaccurate or unevenly portrayed (usually in favour of specific variables) and is therefore not as robust.' (Kemp et al., 2022).</v>
      </c>
      <c r="L41" s="30" t="s">
        <v>984</v>
      </c>
      <c r="M41" s="30" t="str">
        <f t="shared" si="1"/>
        <v>{{ bias_tu_mod }}</v>
      </c>
      <c r="N41" t="s">
        <v>896</v>
      </c>
      <c r="O41" s="13" t="s">
        <v>1816</v>
      </c>
      <c r="P41" t="s">
        <v>4081</v>
      </c>
      <c r="Q41" t="str">
        <f t="shared" si="2"/>
        <v xml:space="preserve">    bias_tu_mod: "&lt;a href=\"09_glossary.html#bias\" target=\"_blank\" data-bs-toggle=\"tooltip\" data-bs-title=\"Bias: A skewed or altered perspective. Biased data refers to data that may be inaccurate or unevenly portrayed (usually in favour of specific variables) and is therefore not as robust.' (Kemp et al., 2022).\"&gt;Biased&lt;button type=\"button\" class=\"btn btn-bd-tip-info-hidden btn-sm position-relative\"&gt;.&lt;span class=\"position-absolute top-0 start-100 translate-middle\"&gt;{{ icon_info }}&lt;/span&gt;&lt;/button&gt;&lt;/a&gt;"</v>
      </c>
      <c r="R41" t="b" cm="1">
        <f t="array" ref="R41">SUMPRODUCT(--EXACT($J$2:$J$490,J41))&gt;1</f>
        <v>0</v>
      </c>
      <c r="S41" t="s">
        <v>4214</v>
      </c>
    </row>
    <row r="42" spans="1:19">
      <c r="B42" s="30" t="s">
        <v>768</v>
      </c>
      <c r="D42" s="30" t="s">
        <v>1208</v>
      </c>
      <c r="E42" s="30" t="s">
        <v>1823</v>
      </c>
      <c r="F42" s="33" t="s">
        <v>779</v>
      </c>
      <c r="G42" s="39" t="str">
        <f>VLOOKUP(F42,glossary!J:N,2,FALSE)</f>
        <v>Bias</v>
      </c>
      <c r="H42" s="33" t="s">
        <v>779</v>
      </c>
      <c r="I42" s="45" t="str">
        <f t="shared" si="0"/>
        <v>bias_tu_mod2</v>
      </c>
      <c r="J42" s="30" t="s">
        <v>1824</v>
      </c>
      <c r="K42" s="39" t="str">
        <f>VLOOKUP(F42,glossary!J:N,5,FALSE)</f>
        <v>A skewed or altered perspective. Biased data refers to data that may be inaccurate or unevenly portrayed (usually in favour of specific variables) and is therefore not as robust.' (Kemp et al., 2022).</v>
      </c>
      <c r="L42" s="30" t="s">
        <v>984</v>
      </c>
      <c r="M42" s="30" t="str">
        <f t="shared" si="1"/>
        <v>{{ bias_tu_mod2 }}</v>
      </c>
      <c r="N42" t="s">
        <v>896</v>
      </c>
      <c r="O42" s="13" t="s">
        <v>1816</v>
      </c>
      <c r="P42" t="s">
        <v>4081</v>
      </c>
      <c r="Q42" t="str">
        <f t="shared" si="2"/>
        <v xml:space="preserve">    bias_tu_mod2: "&lt;a href=\"09_glossary.html#bias\" target=\"_blank\" data-bs-toggle=\"tooltip\" data-bs-title=\"Bias: A skewed or altered perspective. Biased data refers to data that may be inaccurate or unevenly portrayed (usually in favour of specific variables) and is therefore not as robust.' (Kemp et al., 2022).\"&gt;Biases&lt;button type=\"button\" class=\"btn btn-bd-tip-info-hidden btn-sm position-relative\"&gt;.&lt;span class=\"position-absolute top-0 start-100 translate-middle\"&gt;{{ icon_info }}&lt;/span&gt;&lt;/button&gt;&lt;/a&gt;"</v>
      </c>
      <c r="R42" t="b" cm="1">
        <f t="array" ref="R42">SUMPRODUCT(--EXACT($J$2:$J$490,J42))&gt;1</f>
        <v>0</v>
      </c>
      <c r="S42" t="s">
        <v>4215</v>
      </c>
    </row>
    <row r="43" spans="1:19">
      <c r="B43" s="30" t="s">
        <v>768</v>
      </c>
      <c r="D43" s="30" t="s">
        <v>1208</v>
      </c>
      <c r="E43" s="30" t="s">
        <v>3984</v>
      </c>
      <c r="F43" s="33" t="s">
        <v>779</v>
      </c>
      <c r="G43" s="39" t="str">
        <f>VLOOKUP(F43,glossary!J:N,2,FALSE)</f>
        <v>Bias</v>
      </c>
      <c r="H43" s="33" t="s">
        <v>779</v>
      </c>
      <c r="I43" s="45" t="str">
        <f t="shared" si="0"/>
        <v>bias_tu_op</v>
      </c>
      <c r="J43" s="30" t="s">
        <v>3983</v>
      </c>
      <c r="K43" s="39" t="str">
        <f>VLOOKUP(F43,glossary!J:N,5,FALSE)</f>
        <v>A skewed or altered perspective. Biased data refers to data that may be inaccurate or unevenly portrayed (usually in favour of specific variables) and is therefore not as robust.' (Kemp et al., 2022).</v>
      </c>
      <c r="L43" s="30" t="s">
        <v>984</v>
      </c>
      <c r="M43" s="30" t="str">
        <f t="shared" si="1"/>
        <v>{{ bias_tu_op }}</v>
      </c>
      <c r="N43" t="s">
        <v>896</v>
      </c>
      <c r="O43" s="13" t="s">
        <v>1816</v>
      </c>
      <c r="P43" t="s">
        <v>4081</v>
      </c>
      <c r="Q43" t="str">
        <f t="shared" si="2"/>
        <v xml:space="preserve">    bias_tu_op: "&lt;a href=\"09_glossary.html#bias\" target=\"_blank\" data-bs-toggle=\"tooltip\" data-bs-title=\"Bias: A skewed or altered perspective. Biased data refers to data that may be inaccurate or unevenly portrayed (usually in favour of specific variables) and is therefore not as robust.' (Kemp et al., 2022).\"&gt;Unbiased&lt;button type=\"button\" class=\"btn btn-bd-tip-info-hidden btn-sm position-relative\"&gt;.&lt;span class=\"position-absolute top-0 start-100 translate-middle\"&gt;{{ icon_info }}&lt;/span&gt;&lt;/button&gt;&lt;/a&gt;"</v>
      </c>
      <c r="R43" t="b" cm="1">
        <f t="array" ref="R43">SUMPRODUCT(--EXACT($J$2:$J$490,J43))&gt;1</f>
        <v>0</v>
      </c>
      <c r="S43" t="s">
        <v>4216</v>
      </c>
    </row>
    <row r="44" spans="1:19">
      <c r="B44" s="30" t="s">
        <v>768</v>
      </c>
      <c r="D44" s="30" t="s">
        <v>1207</v>
      </c>
      <c r="E44" s="30" t="s">
        <v>984</v>
      </c>
      <c r="F44" s="30" t="s">
        <v>778</v>
      </c>
      <c r="G44" s="39" t="str">
        <f>VLOOKUP(F44,glossary!J:N,2,FALSE)</f>
        <v>Biodiversity</v>
      </c>
      <c r="H44" s="30" t="s">
        <v>778</v>
      </c>
      <c r="I44" s="45" t="str">
        <f t="shared" si="0"/>
        <v>biodiversity_tl</v>
      </c>
      <c r="J44" s="30" t="s">
        <v>778</v>
      </c>
      <c r="K44" s="39" t="str">
        <f>VLOOKUP(F44,glossary!J:N,5,FALSE)</f>
        <v>The variation of life in the natural world. In the context of this guide, biodiversity refers to the variety of different wildlife species found in an area.' (Kemp et al., 2022).</v>
      </c>
      <c r="L44" s="30" t="s">
        <v>984</v>
      </c>
      <c r="M44" s="30" t="str">
        <f t="shared" si="1"/>
        <v>{{ biodiversity_tl }}</v>
      </c>
      <c r="N44" t="s">
        <v>896</v>
      </c>
      <c r="O44" s="13" t="s">
        <v>1816</v>
      </c>
      <c r="P44" t="s">
        <v>4081</v>
      </c>
      <c r="Q44" t="str">
        <f t="shared" si="2"/>
        <v xml:space="preserve">    biodiversity_tl: "&lt;a href=\"09_glossary.html#biodiversity\" target=\"_blank\" data-bs-toggle=\"tooltip\" data-bs-title=\"Biodiversity: The variation of life in the natural world. In the context of this guide, biodiversity refers to the variety of different wildlife species found in an area.' (Kemp et al., 2022).\"&gt;biodiversity&lt;button type=\"button\" class=\"btn btn-bd-tip-info-hidden btn-sm position-relative\"&gt;.&lt;span class=\"position-absolute top-0 start-100 translate-middle\"&gt;{{ icon_info }}&lt;/span&gt;&lt;/button&gt;&lt;/a&gt;"</v>
      </c>
      <c r="R44" t="b" cm="1">
        <f t="array" ref="R44">SUMPRODUCT(--EXACT($J$2:$J$490,J44))&gt;1</f>
        <v>0</v>
      </c>
      <c r="S44" t="s">
        <v>4217</v>
      </c>
    </row>
    <row r="45" spans="1:19">
      <c r="B45" s="30" t="s">
        <v>768</v>
      </c>
      <c r="D45" s="30" t="s">
        <v>1208</v>
      </c>
      <c r="E45" s="30" t="s">
        <v>984</v>
      </c>
      <c r="F45" s="30" t="s">
        <v>778</v>
      </c>
      <c r="G45" s="39" t="str">
        <f>VLOOKUP(F45,glossary!J:N,2,FALSE)</f>
        <v>Biodiversity</v>
      </c>
      <c r="H45" s="30" t="s">
        <v>778</v>
      </c>
      <c r="I45" s="45" t="str">
        <f t="shared" si="0"/>
        <v>biodiversity_tu</v>
      </c>
      <c r="J45" s="30" t="s">
        <v>628</v>
      </c>
      <c r="K45" s="39" t="str">
        <f>VLOOKUP(F45,glossary!J:N,5,FALSE)</f>
        <v>The variation of life in the natural world. In the context of this guide, biodiversity refers to the variety of different wildlife species found in an area.' (Kemp et al., 2022).</v>
      </c>
      <c r="L45" s="30" t="s">
        <v>984</v>
      </c>
      <c r="M45" s="30" t="str">
        <f t="shared" si="1"/>
        <v>{{ biodiversity_tu }}</v>
      </c>
      <c r="N45" t="s">
        <v>896</v>
      </c>
      <c r="O45" s="13" t="s">
        <v>1816</v>
      </c>
      <c r="P45" t="s">
        <v>4081</v>
      </c>
      <c r="Q45" t="str">
        <f t="shared" si="2"/>
        <v xml:space="preserve">    biodiversity_tu: "&lt;a href=\"09_glossary.html#biodiversity\" target=\"_blank\" data-bs-toggle=\"tooltip\" data-bs-title=\"Biodiversity: The variation of life in the natural world. In the context of this guide, biodiversity refers to the variety of different wildlife species found in an area.' (Kemp et al., 2022).\"&gt;Biodiversity&lt;button type=\"button\" class=\"btn btn-bd-tip-info-hidden btn-sm position-relative\"&gt;.&lt;span class=\"position-absolute top-0 start-100 translate-middle\"&gt;{{ icon_info }}&lt;/span&gt;&lt;/button&gt;&lt;/a&gt;"</v>
      </c>
      <c r="R45" t="b" cm="1">
        <f t="array" ref="R45">SUMPRODUCT(--EXACT($J$2:$J$490,J45))&gt;1</f>
        <v>0</v>
      </c>
      <c r="S45" t="s">
        <v>4218</v>
      </c>
    </row>
    <row r="46" spans="1:19">
      <c r="A46" s="30">
        <v>3</v>
      </c>
      <c r="B46" s="30" t="s">
        <v>1393</v>
      </c>
      <c r="C46" s="30"/>
      <c r="D46" s="30" t="s">
        <v>1208</v>
      </c>
      <c r="E46" s="30" t="s">
        <v>984</v>
      </c>
      <c r="F46" s="30" t="s">
        <v>1226</v>
      </c>
      <c r="G46" s="39" t="str">
        <f>VLOOKUP(F46,glossary!J:N,2,FALSE)</f>
        <v>Camera Active On Arrival</v>
      </c>
      <c r="H46" s="34" t="s">
        <v>1226</v>
      </c>
      <c r="I46" s="45" t="str">
        <f t="shared" si="0"/>
        <v>cam_active_on_arrival_tu</v>
      </c>
      <c r="J46" s="42" t="s">
        <v>733</v>
      </c>
      <c r="K46" s="39" t="str">
        <f>VLOOKUP(F46,glossary!J:N,5,FALSE)</f>
        <v>Whether a camera was functional upon arrival.</v>
      </c>
      <c r="L46" t="s">
        <v>1691</v>
      </c>
      <c r="M46" s="30" t="str">
        <f t="shared" si="1"/>
        <v>{{ cam_active_on_arrival_tu }}</v>
      </c>
      <c r="N46" t="s">
        <v>896</v>
      </c>
      <c r="O46" s="13" t="s">
        <v>1816</v>
      </c>
      <c r="P46" t="s">
        <v>4081</v>
      </c>
      <c r="Q46" t="str">
        <f t="shared" si="2"/>
        <v xml:space="preserve">    cam_active_on_arrival_tu: "&lt;a href=\"09_glossary.html#cam_active_on_arrival\" target=\"_blank\" data-bs-toggle=\"tooltip\" data-bs-title=\"Camera Active On Arrival: Whether a camera was functional upon arrival.\"&gt;Camera Active On Arrival&lt;button type=\"button\" class=\"btn btn-bd-tip-info-hidden btn-sm position-relative\"&gt;.&lt;span class=\"position-absolute top-0 start-100 translate-middle\"&gt;{{ icon_info }}&lt;/span&gt;&lt;/button&gt;&lt;/a&gt;"</v>
      </c>
      <c r="R46" t="b" cm="1">
        <f t="array" ref="R46">SUMPRODUCT(--EXACT($J$2:$J$490,J46))&gt;1</f>
        <v>0</v>
      </c>
      <c r="S46" t="s">
        <v>4219</v>
      </c>
    </row>
    <row r="47" spans="1:19">
      <c r="A47" s="30">
        <v>3</v>
      </c>
      <c r="B47" s="30" t="s">
        <v>1393</v>
      </c>
      <c r="C47" s="30"/>
      <c r="D47" s="30" t="s">
        <v>1208</v>
      </c>
      <c r="E47" s="30" t="s">
        <v>984</v>
      </c>
      <c r="F47" s="30" t="s">
        <v>1227</v>
      </c>
      <c r="G47" s="39" t="str">
        <f>VLOOKUP(F47,glossary!J:N,2,FALSE)</f>
        <v>Camera Active On Departure</v>
      </c>
      <c r="H47" s="34" t="s">
        <v>1227</v>
      </c>
      <c r="I47" s="45" t="str">
        <f t="shared" si="0"/>
        <v>cam_active_on_departure_tu</v>
      </c>
      <c r="J47" s="42" t="s">
        <v>734</v>
      </c>
      <c r="K47" s="39" t="str">
        <f>VLOOKUP(F47,glossary!J:N,5,FALSE)</f>
        <v>Whether a camera was functional upon departure.</v>
      </c>
      <c r="L47" t="s">
        <v>1690</v>
      </c>
      <c r="M47" s="30" t="str">
        <f t="shared" si="1"/>
        <v>{{ cam_active_on_departure_tu }}</v>
      </c>
      <c r="N47" t="s">
        <v>896</v>
      </c>
      <c r="O47" s="13" t="s">
        <v>1816</v>
      </c>
      <c r="P47" t="s">
        <v>4081</v>
      </c>
      <c r="Q47" t="str">
        <f t="shared" si="2"/>
        <v xml:space="preserve">    cam_active_on_departure_tu: "&lt;a href=\"09_glossary.html#cam_active_on_departure\" target=\"_blank\" data-bs-toggle=\"tooltip\" data-bs-title=\"Camera Active On Departure: Whether a camera was functional upon departure.\"&gt;Camera Active On Departure&lt;button type=\"button\" class=\"btn btn-bd-tip-info-hidden btn-sm position-relative\"&gt;.&lt;span class=\"position-absolute top-0 start-100 translate-middle\"&gt;{{ icon_info }}&lt;/span&gt;&lt;/button&gt;&lt;/a&gt;"</v>
      </c>
      <c r="R47" t="b" cm="1">
        <f t="array" ref="R47">SUMPRODUCT(--EXACT($J$2:$J$490,J47))&gt;1</f>
        <v>0</v>
      </c>
      <c r="S47" t="s">
        <v>4220</v>
      </c>
    </row>
    <row r="48" spans="1:19">
      <c r="A48" s="30">
        <v>3</v>
      </c>
      <c r="B48" s="30" t="s">
        <v>1393</v>
      </c>
      <c r="C48" s="30"/>
      <c r="D48" s="30" t="s">
        <v>1207</v>
      </c>
      <c r="E48" s="30" t="s">
        <v>984</v>
      </c>
      <c r="F48" s="30" t="s">
        <v>1228</v>
      </c>
      <c r="G48" s="39" t="str">
        <f>VLOOKUP(F48,glossary!J:N,2,FALSE)</f>
        <v>Camera angle</v>
      </c>
      <c r="H48" s="34" t="s">
        <v>1228</v>
      </c>
      <c r="I48" s="45" t="str">
        <f t="shared" si="0"/>
        <v>cam_angle_tl</v>
      </c>
      <c r="J48" s="43" t="s">
        <v>905</v>
      </c>
      <c r="K48" s="39" t="str">
        <f>VLOOKUP(F48,glossary!J:N,5,FALSE)</f>
        <v>The degree at which the camera is pointed toward the FOV Target Feature relative to the horizontal ground surface (with respect to slope, if applicable).</v>
      </c>
      <c r="L48" t="s">
        <v>1689</v>
      </c>
      <c r="M48" s="30" t="str">
        <f t="shared" si="1"/>
        <v>{{ cam_angle_tl }}</v>
      </c>
      <c r="N48" t="s">
        <v>896</v>
      </c>
      <c r="O48" s="13" t="s">
        <v>1816</v>
      </c>
      <c r="P48" t="s">
        <v>4081</v>
      </c>
      <c r="Q48" t="str">
        <f t="shared" si="2"/>
        <v xml:space="preserve">    cam_angle_tl: "&lt;a href=\"09_glossary.html#cam_angle\" target=\"_blank\" data-bs-toggle=\"tooltip\" data-bs-title=\"Camera angle: The degree at which the camera is pointed toward the FOV Target Feature relative to the horizontal ground surface (with respect to slope, if applicable).\"&gt;camera angle&lt;button type=\"button\" class=\"btn btn-bd-tip-info-hidden btn-sm position-relative\"&gt;.&lt;span class=\"position-absolute top-0 start-100 translate-middle\"&gt;{{ icon_info }}&lt;/span&gt;&lt;/button&gt;&lt;/a&gt;"</v>
      </c>
      <c r="R48" t="b" cm="1">
        <f t="array" ref="R48">SUMPRODUCT(--EXACT($J$2:$J$490,J48))&gt;1</f>
        <v>0</v>
      </c>
      <c r="S48" t="s">
        <v>4221</v>
      </c>
    </row>
    <row r="49" spans="1:19">
      <c r="A49" s="30">
        <v>1</v>
      </c>
      <c r="B49" s="30" t="s">
        <v>1064</v>
      </c>
      <c r="C49" s="30" t="s">
        <v>429</v>
      </c>
      <c r="D49" s="30" t="s">
        <v>1207</v>
      </c>
      <c r="E49" s="30" t="s">
        <v>1752</v>
      </c>
      <c r="F49" s="30" t="s">
        <v>1228</v>
      </c>
      <c r="G49" s="39" t="str">
        <f>VLOOKUP(F49,glossary!J:N,2,FALSE)</f>
        <v>Camera angle</v>
      </c>
      <c r="H49" s="30" t="s">
        <v>1228</v>
      </c>
      <c r="I49" s="45" t="str">
        <f t="shared" si="0"/>
        <v>cam_angle_tl_abrv</v>
      </c>
      <c r="J49" s="39" t="s">
        <v>1194</v>
      </c>
      <c r="K49" s="39" t="str">
        <f>VLOOKUP(F49,glossary!J:N,5,FALSE)</f>
        <v>The degree at which the camera is pointed toward the FOV Target Feature relative to the horizontal ground surface (with respect to slope, if applicable).</v>
      </c>
      <c r="L49" s="30" t="s">
        <v>1740</v>
      </c>
      <c r="M49" s="30" t="str">
        <f t="shared" si="1"/>
        <v>{{ cam_angle_tl_abrv }}</v>
      </c>
      <c r="N49" t="s">
        <v>896</v>
      </c>
      <c r="O49" s="13" t="s">
        <v>1816</v>
      </c>
      <c r="P49" t="s">
        <v>4081</v>
      </c>
      <c r="Q49" t="str">
        <f t="shared" si="2"/>
        <v xml:space="preserve">    cam_angle_tl_abrv: "&lt;a href=\"09_glossary.html#cam_angle\" target=\"_blank\" data-bs-toggle=\"tooltip\" data-bs-title=\"Camera angle: The degree at which the camera is pointed toward the FOV Target Feature relative to the horizontal ground surface (with respect to slope, if applicable).\"&gt;angle&lt;button type=\"button\" class=\"btn btn-bd-tip-info-hidden btn-sm position-relative\"&gt;.&lt;span class=\"position-absolute top-0 start-100 translate-middle\"&gt;{{ icon_info }}&lt;/span&gt;&lt;/button&gt;&lt;/a&gt;"</v>
      </c>
      <c r="R49" t="b" cm="1">
        <f t="array" ref="R49">SUMPRODUCT(--EXACT($J$2:$J$490,J49))&gt;1</f>
        <v>0</v>
      </c>
      <c r="S49" t="s">
        <v>4222</v>
      </c>
    </row>
    <row r="50" spans="1:19">
      <c r="A50" s="30">
        <v>3</v>
      </c>
      <c r="B50" s="30" t="s">
        <v>1393</v>
      </c>
      <c r="C50" s="30"/>
      <c r="D50" s="30" t="s">
        <v>1208</v>
      </c>
      <c r="E50" s="30" t="s">
        <v>984</v>
      </c>
      <c r="F50" s="30" t="s">
        <v>1228</v>
      </c>
      <c r="G50" s="39" t="str">
        <f>VLOOKUP(F50,glossary!J:N,2,FALSE)</f>
        <v>Camera angle</v>
      </c>
      <c r="H50" s="34" t="s">
        <v>1228</v>
      </c>
      <c r="I50" s="45" t="str">
        <f t="shared" si="0"/>
        <v>cam_angle_tu</v>
      </c>
      <c r="J50" s="42" t="s">
        <v>233</v>
      </c>
      <c r="K50" s="39" t="str">
        <f>VLOOKUP(F50,glossary!J:N,5,FALSE)</f>
        <v>The degree at which the camera is pointed toward the FOV Target Feature relative to the horizontal ground surface (with respect to slope, if applicable).</v>
      </c>
      <c r="L50" t="s">
        <v>1688</v>
      </c>
      <c r="M50" s="30" t="str">
        <f t="shared" si="1"/>
        <v>{{ cam_angle_tu }}</v>
      </c>
      <c r="N50" t="s">
        <v>896</v>
      </c>
      <c r="O50" s="13" t="s">
        <v>1816</v>
      </c>
      <c r="P50" t="s">
        <v>4081</v>
      </c>
      <c r="Q50" t="str">
        <f t="shared" si="2"/>
        <v xml:space="preserve">    cam_angle_tu: "&lt;a href=\"09_glossary.html#cam_angle\" target=\"_blank\" data-bs-toggle=\"tooltip\" data-bs-title=\"Camera angle: The degree at which the camera is pointed toward the FOV Target Feature relative to the horizontal ground surface (with respect to slope, if applicable).\"&gt;Camera angle&lt;button type=\"button\" class=\"btn btn-bd-tip-info-hidden btn-sm position-relative\"&gt;.&lt;span class=\"position-absolute top-0 start-100 translate-middle\"&gt;{{ icon_info }}&lt;/span&gt;&lt;/button&gt;&lt;/a&gt;"</v>
      </c>
      <c r="R50" t="b" cm="1">
        <f t="array" ref="R50">SUMPRODUCT(--EXACT($J$2:$J$490,J50))&gt;1</f>
        <v>0</v>
      </c>
      <c r="S50" t="s">
        <v>4223</v>
      </c>
    </row>
    <row r="51" spans="1:19">
      <c r="A51" s="30">
        <v>1</v>
      </c>
      <c r="B51" s="30" t="s">
        <v>1064</v>
      </c>
      <c r="C51" s="30" t="s">
        <v>429</v>
      </c>
      <c r="D51" s="30" t="s">
        <v>1208</v>
      </c>
      <c r="E51" s="30" t="s">
        <v>1752</v>
      </c>
      <c r="F51" s="30" t="s">
        <v>1228</v>
      </c>
      <c r="G51" s="39" t="str">
        <f>VLOOKUP(F51,glossary!J:N,2,FALSE)</f>
        <v>Camera angle</v>
      </c>
      <c r="H51" s="30" t="s">
        <v>1228</v>
      </c>
      <c r="I51" s="45" t="str">
        <f t="shared" si="0"/>
        <v>cam_angle_tu_abrv</v>
      </c>
      <c r="J51" s="39" t="s">
        <v>1159</v>
      </c>
      <c r="K51" s="39" t="str">
        <f>VLOOKUP(F51,glossary!J:N,5,FALSE)</f>
        <v>The degree at which the camera is pointed toward the FOV Target Feature relative to the horizontal ground surface (with respect to slope, if applicable).</v>
      </c>
      <c r="L51" s="30" t="s">
        <v>1739</v>
      </c>
      <c r="M51" s="30" t="str">
        <f t="shared" si="1"/>
        <v>{{ cam_angle_tu_abrv }}</v>
      </c>
      <c r="N51" t="s">
        <v>896</v>
      </c>
      <c r="O51" s="13" t="s">
        <v>1816</v>
      </c>
      <c r="P51" t="s">
        <v>4081</v>
      </c>
      <c r="Q51" t="str">
        <f t="shared" si="2"/>
        <v xml:space="preserve">    cam_angle_tu_abrv: "&lt;a href=\"09_glossary.html#cam_angle\" target=\"_blank\" data-bs-toggle=\"tooltip\" data-bs-title=\"Camera angle: The degree at which the camera is pointed toward the FOV Target Feature relative to the horizontal ground surface (with respect to slope, if applicable).\"&gt;Angle&lt;button type=\"button\" class=\"btn btn-bd-tip-info-hidden btn-sm position-relative\"&gt;.&lt;span class=\"position-absolute top-0 start-100 translate-middle\"&gt;{{ icon_info }}&lt;/span&gt;&lt;/button&gt;&lt;/a&gt;"</v>
      </c>
      <c r="R51" t="b" cm="1">
        <f t="array" ref="R51">SUMPRODUCT(--EXACT($J$2:$J$490,J51))&gt;1</f>
        <v>0</v>
      </c>
      <c r="S51" t="s">
        <v>4224</v>
      </c>
    </row>
    <row r="52" spans="1:19">
      <c r="A52" s="30">
        <v>3</v>
      </c>
      <c r="B52" s="30" t="s">
        <v>1393</v>
      </c>
      <c r="C52" s="30"/>
      <c r="D52" s="30" t="s">
        <v>1208</v>
      </c>
      <c r="E52" s="30" t="s">
        <v>984</v>
      </c>
      <c r="F52" s="30" t="s">
        <v>1229</v>
      </c>
      <c r="G52" s="39" t="str">
        <f>VLOOKUP(F52,glossary!J:N,2,FALSE)</f>
        <v>Camera Attachment</v>
      </c>
      <c r="H52" s="34" t="s">
        <v>1229</v>
      </c>
      <c r="I52" s="45" t="str">
        <f t="shared" si="0"/>
        <v>cam_attachment_tu</v>
      </c>
      <c r="J52" s="42" t="s">
        <v>735</v>
      </c>
      <c r="K52" s="39" t="str">
        <f>VLOOKUP(F52,glossary!J:N,5,FALSE)</f>
        <v>The method*/tools used to attach the camera (e.g., attached to a tree with a bungee cord; reported as codes such as 'Tree + Bungee*/Strap'). If 'Other,' describe in the Camera Location Comments.</v>
      </c>
      <c r="L52" t="s">
        <v>1687</v>
      </c>
      <c r="M52" s="30" t="str">
        <f t="shared" si="1"/>
        <v>{{ cam_attachment_tu }}</v>
      </c>
      <c r="N52" t="s">
        <v>896</v>
      </c>
      <c r="O52" s="13" t="s">
        <v>1816</v>
      </c>
      <c r="P52" t="s">
        <v>4081</v>
      </c>
      <c r="Q52" t="str">
        <f t="shared" si="2"/>
        <v xml:space="preserve">    cam_attachment_tu: "&lt;a href=\"09_glossary.html#cam_attachment\" target=\"_blank\" data-bs-toggle=\"tooltip\" data-bs-title=\"Camera Attachment: The method*/tools used to attach the camera (e.g., attached to a tree with a bungee cord; reported as codes such as 'Tree + Bungee*/Strap'). If 'Other,' describe in the Camera Location Comments.\"&gt;Camera Attachment&lt;button type=\"button\" class=\"btn btn-bd-tip-info-hidden btn-sm position-relative\"&gt;.&lt;span class=\"position-absolute top-0 start-100 translate-middle\"&gt;{{ icon_info }}&lt;/span&gt;&lt;/button&gt;&lt;/a&gt;"</v>
      </c>
      <c r="R52" t="b" cm="1">
        <f t="array" ref="R52">SUMPRODUCT(--EXACT($J$2:$J$490,J52))&gt;1</f>
        <v>0</v>
      </c>
      <c r="S52" t="s">
        <v>4225</v>
      </c>
    </row>
    <row r="53" spans="1:19">
      <c r="A53" s="30">
        <v>3</v>
      </c>
      <c r="B53" s="30" t="s">
        <v>1393</v>
      </c>
      <c r="C53" s="30"/>
      <c r="D53" s="30" t="s">
        <v>1208</v>
      </c>
      <c r="E53" s="30" t="s">
        <v>984</v>
      </c>
      <c r="F53" s="30" t="s">
        <v>1230</v>
      </c>
      <c r="G53" s="39" t="str">
        <f>VLOOKUP(F53,glossary!J:N,2,FALSE)</f>
        <v>Camera Damaged</v>
      </c>
      <c r="H53" s="34" t="s">
        <v>1230</v>
      </c>
      <c r="I53" s="45" t="str">
        <f t="shared" si="0"/>
        <v>cam_damaged_tu</v>
      </c>
      <c r="J53" s="42" t="s">
        <v>736</v>
      </c>
      <c r="K53" s="39" t="str">
        <f>VLOOKUP(F53,glossary!J:N,5,FALSE)</f>
        <v>Whether the camera was damaged or malfunctioning; if there is any damage to the device (physical or mechanical), the crew should describe the damage in the Service*/Retrieval Comments.</v>
      </c>
      <c r="L53" t="s">
        <v>1686</v>
      </c>
      <c r="M53" s="30" t="str">
        <f t="shared" si="1"/>
        <v>{{ cam_damaged_tu }}</v>
      </c>
      <c r="N53" t="s">
        <v>896</v>
      </c>
      <c r="O53" s="13" t="s">
        <v>1816</v>
      </c>
      <c r="P53" t="s">
        <v>4081</v>
      </c>
      <c r="Q53" t="str">
        <f t="shared" si="2"/>
        <v xml:space="preserve">    cam_damaged_tu: "&lt;a href=\"09_glossary.html#cam_damaged\" target=\"_blank\" data-bs-toggle=\"tooltip\" data-bs-title=\"Camera Damaged: Whether the camera was damaged or malfunctioning; if there is any damage to the device (physical or mechanical), the crew should describe the damage in the Service*/Retrieval Comments.\"&gt;Camera Damaged&lt;button type=\"button\" class=\"btn btn-bd-tip-info-hidden btn-sm position-relative\"&gt;.&lt;span class=\"position-absolute top-0 start-100 translate-middle\"&gt;{{ icon_info }}&lt;/span&gt;&lt;/button&gt;&lt;/a&gt;"</v>
      </c>
      <c r="R53" t="b" cm="1">
        <f t="array" ref="R53">SUMPRODUCT(--EXACT($J$2:$J$490,J53))&gt;1</f>
        <v>0</v>
      </c>
      <c r="S53" t="s">
        <v>4226</v>
      </c>
    </row>
    <row r="54" spans="1:19">
      <c r="A54" s="30">
        <v>3</v>
      </c>
      <c r="B54" s="30" t="s">
        <v>1393</v>
      </c>
      <c r="C54" s="30"/>
      <c r="D54" s="30" t="s">
        <v>1207</v>
      </c>
      <c r="E54" s="30" t="s">
        <v>984</v>
      </c>
      <c r="F54" s="30" t="s">
        <v>1231</v>
      </c>
      <c r="G54" s="39" t="str">
        <f>VLOOKUP(F54,glossary!J:N,2,FALSE)</f>
        <v>Camera days per camera location</v>
      </c>
      <c r="H54" s="34" t="s">
        <v>1231</v>
      </c>
      <c r="I54" s="45" t="str">
        <f t="shared" si="0"/>
        <v>cam_days_per_cam_location_tl</v>
      </c>
      <c r="J54" s="43" t="s">
        <v>906</v>
      </c>
      <c r="K54" s="39" t="str">
        <f>VLOOKUP(F54,glossary!J:N,5,FALSE)</f>
        <v>The number of days each camera was active and functioning during the period it was deployed (e.g., 24-hour periods or the difference in days between the Deployment Start Date Time and the Deployment End Date Time if there were no interruptions).</v>
      </c>
      <c r="L54" t="s">
        <v>1830</v>
      </c>
      <c r="M54" s="30" t="str">
        <f t="shared" si="1"/>
        <v>{{ cam_days_per_cam_location_tl }}</v>
      </c>
      <c r="N54" t="s">
        <v>896</v>
      </c>
      <c r="O54" s="13" t="s">
        <v>1816</v>
      </c>
      <c r="P54" t="s">
        <v>4081</v>
      </c>
      <c r="Q54" t="str">
        <f t="shared" si="2"/>
        <v xml:space="preserve">    cam_days_per_cam_location_tl: "&lt;a href=\"09_glossary.html#cam_days_per_cam_location\" target=\"_blank\" data-bs-toggle=\"tooltip\" data-bs-title=\"Camera days per camera location: The number of days each camera was active and functioning during the period it was deployed (e.g., 24-hour periods or the difference in days between the Deployment Start Date Time and the Deployment End Date Time if there were no interruptions).\"&gt;camera days per camera location&lt;button type=\"button\" class=\"btn btn-bd-tip-info-hidden btn-sm position-relative\"&gt;.&lt;span class=\"position-absolute top-0 start-100 translate-middle\"&gt;{{ icon_info }}&lt;/span&gt;&lt;/button&gt;&lt;/a&gt;"</v>
      </c>
      <c r="R54" t="b" cm="1">
        <f t="array" ref="R54">SUMPRODUCT(--EXACT($J$2:$J$490,J54))&gt;1</f>
        <v>0</v>
      </c>
      <c r="S54" t="s">
        <v>4227</v>
      </c>
    </row>
    <row r="55" spans="1:19">
      <c r="A55" s="30">
        <v>3</v>
      </c>
      <c r="B55" s="30" t="s">
        <v>1393</v>
      </c>
      <c r="C55" s="30"/>
      <c r="D55" s="30" t="s">
        <v>1208</v>
      </c>
      <c r="E55" s="30" t="s">
        <v>984</v>
      </c>
      <c r="F55" s="30" t="s">
        <v>1231</v>
      </c>
      <c r="G55" s="39" t="str">
        <f>VLOOKUP(F55,glossary!J:N,2,FALSE)</f>
        <v>Camera days per camera location</v>
      </c>
      <c r="H55" s="34" t="s">
        <v>1231</v>
      </c>
      <c r="I55" s="45" t="str">
        <f t="shared" si="0"/>
        <v>cam_days_per_cam_location_tu</v>
      </c>
      <c r="J55" s="42" t="s">
        <v>231</v>
      </c>
      <c r="K55" s="39" t="str">
        <f>VLOOKUP(F55,glossary!J:N,5,FALSE)</f>
        <v>The number of days each camera was active and functioning during the period it was deployed (e.g., 24-hour periods or the difference in days between the Deployment Start Date Time and the Deployment End Date Time if there were no interruptions).</v>
      </c>
      <c r="L55" t="s">
        <v>1685</v>
      </c>
      <c r="M55" s="30" t="str">
        <f t="shared" si="1"/>
        <v>{{ cam_days_per_cam_location_tu }}</v>
      </c>
      <c r="N55" t="s">
        <v>896</v>
      </c>
      <c r="O55" s="13" t="s">
        <v>1816</v>
      </c>
      <c r="P55" t="s">
        <v>4081</v>
      </c>
      <c r="Q55" t="str">
        <f t="shared" si="2"/>
        <v xml:space="preserve">    cam_days_per_cam_location_tu: "&lt;a href=\"09_glossary.html#cam_days_per_cam_location\" target=\"_blank\" data-bs-toggle=\"tooltip\" data-bs-title=\"Camera days per camera location: The number of days each camera was active and functioning during the period it was deployed (e.g., 24-hour periods or the difference in days between the Deployment Start Date Time and the Deployment End Date Time if there were no interruptions).\"&gt;Camera days per camera location&lt;button type=\"button\" class=\"btn btn-bd-tip-info-hidden btn-sm position-relative\"&gt;.&lt;span class=\"position-absolute top-0 start-100 translate-middle\"&gt;{{ icon_info }}&lt;/span&gt;&lt;/button&gt;&lt;/a&gt;"</v>
      </c>
      <c r="R55" t="b" cm="1">
        <f t="array" ref="R55">SUMPRODUCT(--EXACT($J$2:$J$490,J55))&gt;1</f>
        <v>0</v>
      </c>
      <c r="S55" t="s">
        <v>4228</v>
      </c>
    </row>
    <row r="56" spans="1:19">
      <c r="A56" s="30">
        <v>1</v>
      </c>
      <c r="B56" s="30" t="s">
        <v>1064</v>
      </c>
      <c r="C56" s="30" t="s">
        <v>429</v>
      </c>
      <c r="D56" s="30" t="s">
        <v>1208</v>
      </c>
      <c r="E56" s="30" t="s">
        <v>1757</v>
      </c>
      <c r="F56" s="30" t="s">
        <v>1232</v>
      </c>
      <c r="G56" s="39" t="str">
        <f>VLOOKUP(F56,glossary!J:N,2,FALSE)</f>
        <v>Camera Direction (degrees)</v>
      </c>
      <c r="H56" s="30" t="s">
        <v>1232</v>
      </c>
      <c r="I56" s="45" t="str">
        <f t="shared" si="0"/>
        <v>cam_direction_tu_nu</v>
      </c>
      <c r="J56" s="39" t="s">
        <v>1066</v>
      </c>
      <c r="K56" s="39" t="str">
        <f>VLOOKUP(F56,glossary!J:N,5,FALSE)</f>
        <v>The cardinal direction that a camera faces. Ideally, cameras should face north (N; i.e. '0' degrees), or south (S; i.e. '180' degrees) if north is not possible. The Camera Direction should be chosen to ensure the field of view (FOV) is of the original FOV target feature.</v>
      </c>
      <c r="L56" s="30" t="s">
        <v>1738</v>
      </c>
      <c r="M56" s="30" t="str">
        <f t="shared" si="1"/>
        <v>{{ cam_direction_tu_nu }}</v>
      </c>
      <c r="N56" t="s">
        <v>896</v>
      </c>
      <c r="O56" s="13" t="s">
        <v>1816</v>
      </c>
      <c r="P56" t="s">
        <v>4081</v>
      </c>
      <c r="Q56" t="str">
        <f t="shared" si="2"/>
        <v xml:space="preserve">    cam_direction_tu_nu: "&lt;a href=\"09_glossary.html#cam_direction\" target=\"_blank\" data-bs-toggle=\"tooltip\" data-bs-title=\"Camera Direction (degrees): The cardinal direction that a camera faces. Ideally, cameras should face north (N; i.e. '0' degrees), or south (S; i.e. '180' degrees) if north is not possible. The Camera Direction should be chosen to ensure the field of view (FOV) is of the original FOV target feature.\"&gt;Camera Direction&lt;button type=\"button\" class=\"btn btn-bd-tip-info-hidden btn-sm position-relative\"&gt;.&lt;span class=\"position-absolute top-0 start-100 translate-middle\"&gt;{{ icon_info }}&lt;/span&gt;&lt;/button&gt;&lt;/a&gt;"</v>
      </c>
      <c r="R56" t="b" cm="1">
        <f t="array" ref="R56">SUMPRODUCT(--EXACT($J$2:$J$490,J56))&gt;1</f>
        <v>0</v>
      </c>
      <c r="S56" t="s">
        <v>4229</v>
      </c>
    </row>
    <row r="57" spans="1:19">
      <c r="A57" s="30">
        <v>3</v>
      </c>
      <c r="B57" s="30" t="s">
        <v>1393</v>
      </c>
      <c r="C57" s="30"/>
      <c r="D57" s="30" t="s">
        <v>1208</v>
      </c>
      <c r="E57" s="30" t="s">
        <v>1751</v>
      </c>
      <c r="F57" s="30" t="s">
        <v>1232</v>
      </c>
      <c r="G57" s="39" t="str">
        <f>VLOOKUP(F57,glossary!J:N,2,FALSE)</f>
        <v>Camera Direction (degrees)</v>
      </c>
      <c r="H57" s="34" t="s">
        <v>1232</v>
      </c>
      <c r="I57" s="45" t="str">
        <f t="shared" si="0"/>
        <v>cam_direction_tu_u</v>
      </c>
      <c r="J57" s="42" t="s">
        <v>737</v>
      </c>
      <c r="K57" s="39" t="str">
        <f>VLOOKUP(F57,glossary!J:N,5,FALSE)</f>
        <v>The cardinal direction that a camera faces. Ideally, cameras should face north (N; i.e. '0' degrees), or south (S; i.e. '180' degrees) if north is not possible. The Camera Direction should be chosen to ensure the field of view (FOV) is of the original FOV target feature.</v>
      </c>
      <c r="L57" t="s">
        <v>1684</v>
      </c>
      <c r="M57" s="30" t="str">
        <f t="shared" si="1"/>
        <v>{{ cam_direction_tu_u }}</v>
      </c>
      <c r="N57" t="s">
        <v>896</v>
      </c>
      <c r="O57" s="13" t="s">
        <v>1816</v>
      </c>
      <c r="P57" t="s">
        <v>4081</v>
      </c>
      <c r="Q57" t="str">
        <f t="shared" si="2"/>
        <v xml:space="preserve">    cam_direction_tu_u: "&lt;a href=\"09_glossary.html#cam_direction\" target=\"_blank\" data-bs-toggle=\"tooltip\" data-bs-title=\"Camera Direction (degrees): The cardinal direction that a camera faces. Ideally, cameras should face north (N; i.e. '0' degrees), or south (S; i.e. '180' degrees) if north is not possible. The Camera Direction should be chosen to ensure the field of view (FOV) is of the original FOV target feature.\"&gt;Camera Direction (degrees)&lt;button type=\"button\" class=\"btn btn-bd-tip-info-hidden btn-sm position-relative\"&gt;.&lt;span class=\"position-absolute top-0 start-100 translate-middle\"&gt;{{ icon_info }}&lt;/span&gt;&lt;/button&gt;&lt;/a&gt;"</v>
      </c>
      <c r="R57" t="b" cm="1">
        <f t="array" ref="R57">SUMPRODUCT(--EXACT($J$2:$J$490,J57))&gt;1</f>
        <v>0</v>
      </c>
      <c r="S57" t="s">
        <v>4230</v>
      </c>
    </row>
    <row r="58" spans="1:19">
      <c r="A58" s="30">
        <v>1</v>
      </c>
      <c r="B58" s="30" t="s">
        <v>1064</v>
      </c>
      <c r="C58" s="30" t="s">
        <v>429</v>
      </c>
      <c r="D58" s="30" t="s">
        <v>1208</v>
      </c>
      <c r="E58" s="30" t="s">
        <v>1757</v>
      </c>
      <c r="F58" s="30" t="s">
        <v>1233</v>
      </c>
      <c r="G58" s="39" t="str">
        <f>VLOOKUP(F58,glossary!J:N,2,FALSE)</f>
        <v>Camera Height (m)</v>
      </c>
      <c r="H58" s="30" t="s">
        <v>1233</v>
      </c>
      <c r="I58" s="45" t="str">
        <f t="shared" si="0"/>
        <v>cam_height_tu_nu</v>
      </c>
      <c r="J58" s="39" t="s">
        <v>1065</v>
      </c>
      <c r="K58" s="39" t="str">
        <f>VLOOKUP(F58,glossary!J:N,5,FALSE)</f>
        <v>The height from the ground (below snow) to the bottom of the lens (metres; to the nearest 0.05 m).</v>
      </c>
      <c r="L58" s="30" t="s">
        <v>1737</v>
      </c>
      <c r="M58" s="30" t="str">
        <f t="shared" si="1"/>
        <v>{{ cam_height_tu_nu }}</v>
      </c>
      <c r="N58" t="s">
        <v>896</v>
      </c>
      <c r="O58" s="13" t="s">
        <v>1816</v>
      </c>
      <c r="P58" t="s">
        <v>4081</v>
      </c>
      <c r="Q58" t="str">
        <f t="shared" si="2"/>
        <v xml:space="preserve">    cam_height_tu_nu: "&lt;a href=\"09_glossary.html#cam_height\" target=\"_blank\" data-bs-toggle=\"tooltip\" data-bs-title=\"Camera Height (m): The height from the ground (below snow) to the bottom of the lens (metres; to the nearest 0.05 m).\"&gt;Camera Height&lt;button type=\"button\" class=\"btn btn-bd-tip-info-hidden btn-sm position-relative\"&gt;.&lt;span class=\"position-absolute top-0 start-100 translate-middle\"&gt;{{ icon_info }}&lt;/span&gt;&lt;/button&gt;&lt;/a&gt;"</v>
      </c>
      <c r="R58" t="b" cm="1">
        <f t="array" ref="R58">SUMPRODUCT(--EXACT($J$2:$J$490,J58))&gt;1</f>
        <v>0</v>
      </c>
      <c r="S58" t="s">
        <v>4231</v>
      </c>
    </row>
    <row r="59" spans="1:19">
      <c r="A59" s="30">
        <v>3</v>
      </c>
      <c r="B59" s="30" t="s">
        <v>1393</v>
      </c>
      <c r="C59" s="30"/>
      <c r="D59" s="30" t="s">
        <v>1208</v>
      </c>
      <c r="E59" s="30" t="s">
        <v>1751</v>
      </c>
      <c r="F59" s="30" t="s">
        <v>1233</v>
      </c>
      <c r="G59" s="39" t="str">
        <f>VLOOKUP(F59,glossary!J:N,2,FALSE)</f>
        <v>Camera Height (m)</v>
      </c>
      <c r="H59" s="34" t="s">
        <v>1233</v>
      </c>
      <c r="I59" s="45" t="str">
        <f t="shared" si="0"/>
        <v>cam_height_tu_u</v>
      </c>
      <c r="J59" s="42" t="s">
        <v>1398</v>
      </c>
      <c r="K59" s="39" t="str">
        <f>VLOOKUP(F59,glossary!J:N,5,FALSE)</f>
        <v>The height from the ground (below snow) to the bottom of the lens (metres; to the nearest 0.05 m).</v>
      </c>
      <c r="L59" t="s">
        <v>1762</v>
      </c>
      <c r="M59" s="30" t="str">
        <f t="shared" si="1"/>
        <v>{{ cam_height_tu_u }}</v>
      </c>
      <c r="N59" t="s">
        <v>896</v>
      </c>
      <c r="O59" s="13" t="s">
        <v>1816</v>
      </c>
      <c r="P59" t="s">
        <v>4081</v>
      </c>
      <c r="Q59" t="str">
        <f t="shared" si="2"/>
        <v xml:space="preserve">    cam_height_tu_u: "&lt;a href=\"09_glossary.html#cam_height\" target=\"_blank\" data-bs-toggle=\"tooltip\" data-bs-title=\"Camera Height (m): The height from the ground (below snow) to the bottom of the lens (metres; to the nearest 0.05 m).\"&gt;Camera Height (m)&lt;button type=\"button\" class=\"btn btn-bd-tip-info-hidden btn-sm position-relative\"&gt;.&lt;span class=\"position-absolute top-0 start-100 translate-middle\"&gt;{{ icon_info }}&lt;/span&gt;&lt;/button&gt;&lt;/a&gt;"</v>
      </c>
      <c r="R59" t="b" cm="1">
        <f t="array" ref="R59">SUMPRODUCT(--EXACT($J$2:$J$490,J59))&gt;1</f>
        <v>0</v>
      </c>
      <c r="S59" t="s">
        <v>4232</v>
      </c>
    </row>
    <row r="60" spans="1:19">
      <c r="A60" s="30">
        <v>3</v>
      </c>
      <c r="B60" s="30" t="s">
        <v>1393</v>
      </c>
      <c r="C60" s="30"/>
      <c r="D60" s="30" t="s">
        <v>1208</v>
      </c>
      <c r="E60" s="30" t="s">
        <v>984</v>
      </c>
      <c r="F60" s="30" t="s">
        <v>1234</v>
      </c>
      <c r="G60" s="39" t="str">
        <f>VLOOKUP(F60,glossary!J:N,2,FALSE)</f>
        <v>Camera ID</v>
      </c>
      <c r="H60" s="34" t="s">
        <v>1234</v>
      </c>
      <c r="I60" s="45" t="str">
        <f t="shared" si="0"/>
        <v>cam_id_tu</v>
      </c>
      <c r="J60" s="42" t="s">
        <v>682</v>
      </c>
      <c r="K60" s="39" t="str">
        <f>VLOOKUP(F60,glossary!J:N,5,FALSE)</f>
        <v>A unique alphanumeric ID for the camera that distinguishes it from other cameras of the same make or model.</v>
      </c>
      <c r="L60" t="s">
        <v>1683</v>
      </c>
      <c r="M60" s="30" t="str">
        <f t="shared" si="1"/>
        <v>{{ cam_id_tu }}</v>
      </c>
      <c r="N60" t="s">
        <v>896</v>
      </c>
      <c r="O60" s="13" t="s">
        <v>1816</v>
      </c>
      <c r="P60" t="s">
        <v>4081</v>
      </c>
      <c r="Q60" t="str">
        <f t="shared" si="2"/>
        <v xml:space="preserve">    cam_id_tu: "&lt;a href=\"09_glossary.html#cam_id\" target=\"_blank\" data-bs-toggle=\"tooltip\" data-bs-title=\"Camera ID: A unique alphanumeric ID for the camera that distinguishes it from other cameras of the same make or model.\"&gt;Camera ID&lt;button type=\"button\" class=\"btn btn-bd-tip-info-hidden btn-sm position-relative\"&gt;.&lt;span class=\"position-absolute top-0 start-100 translate-middle\"&gt;{{ icon_info }}&lt;/span&gt;&lt;/button&gt;&lt;/a&gt;"</v>
      </c>
      <c r="R60" t="b" cm="1">
        <f t="array" ref="R60">SUMPRODUCT(--EXACT($J$2:$J$490,J60))&gt;1</f>
        <v>0</v>
      </c>
      <c r="S60" t="s">
        <v>4233</v>
      </c>
    </row>
    <row r="61" spans="1:19">
      <c r="A61" s="30">
        <v>3</v>
      </c>
      <c r="B61" s="30" t="s">
        <v>1393</v>
      </c>
      <c r="C61" s="30"/>
      <c r="D61" s="30" t="s">
        <v>1208</v>
      </c>
      <c r="E61" s="30" t="s">
        <v>984</v>
      </c>
      <c r="F61" s="30" t="s">
        <v>351</v>
      </c>
      <c r="G61" s="39" t="str">
        <f>VLOOKUP(F61,glossary!J:N,2,FALSE)</f>
        <v>New Camera ID</v>
      </c>
      <c r="H61" s="34" t="s">
        <v>351</v>
      </c>
      <c r="I61" s="45" t="str">
        <f t="shared" si="0"/>
        <v>cam_id_new_tu</v>
      </c>
      <c r="J61" s="42" t="s">
        <v>681</v>
      </c>
      <c r="K61" s="30" t="s">
        <v>984</v>
      </c>
      <c r="L61" t="s">
        <v>1682</v>
      </c>
      <c r="M61" s="30" t="str">
        <f t="shared" si="1"/>
        <v>{{ cam_id_new_tu }}</v>
      </c>
      <c r="N61" t="s">
        <v>896</v>
      </c>
      <c r="O61" s="13" t="s">
        <v>1816</v>
      </c>
      <c r="P61" t="s">
        <v>4081</v>
      </c>
      <c r="Q61" t="str">
        <f t="shared" si="2"/>
        <v>-</v>
      </c>
      <c r="R61" t="b" cm="1">
        <f t="array" ref="R61">SUMPRODUCT(--EXACT($J$2:$J$490,J61))&gt;1</f>
        <v>0</v>
      </c>
      <c r="S61" t="s">
        <v>4234</v>
      </c>
    </row>
    <row r="62" spans="1:19">
      <c r="A62" s="30">
        <v>1</v>
      </c>
      <c r="B62" s="30" t="s">
        <v>1064</v>
      </c>
      <c r="C62" s="30" t="s">
        <v>429</v>
      </c>
      <c r="D62" s="30" t="s">
        <v>1207</v>
      </c>
      <c r="E62" s="30" t="s">
        <v>984</v>
      </c>
      <c r="F62" s="30" t="s">
        <v>1235</v>
      </c>
      <c r="G62" s="39" t="str">
        <f>VLOOKUP(F62,glossary!J:N,2,FALSE)</f>
        <v>Camera location</v>
      </c>
      <c r="H62" s="34" t="s">
        <v>1235</v>
      </c>
      <c r="I62" s="45" t="str">
        <f t="shared" si="0"/>
        <v>cam_location_tl</v>
      </c>
      <c r="J62" s="42" t="s">
        <v>1748</v>
      </c>
      <c r="K62" s="39" t="str">
        <f>VLOOKUP(F62,glossary!J:N,5,FALSE)</f>
        <v>The location where a single camera was placed (recorded as 'Camera Location Name').</v>
      </c>
      <c r="L62" s="40" t="s">
        <v>1736</v>
      </c>
      <c r="M62" s="30" t="str">
        <f t="shared" si="1"/>
        <v>{{ cam_location_tl }}</v>
      </c>
      <c r="N62" t="s">
        <v>896</v>
      </c>
      <c r="O62" s="13" t="s">
        <v>1816</v>
      </c>
      <c r="P62" t="s">
        <v>4081</v>
      </c>
      <c r="Q62" t="str">
        <f t="shared" si="2"/>
        <v xml:space="preserve">    cam_location_tl: "&lt;a href=\"09_glossary.html#cam_location\" target=\"_blank\" data-bs-toggle=\"tooltip\" data-bs-title=\"Camera location: The location where a single camera was placed (recorded as 'Camera Location Name').\"&gt;camera location&lt;button type=\"button\" class=\"btn btn-bd-tip-info-hidden btn-sm position-relative\"&gt;.&lt;span class=\"position-absolute top-0 start-100 translate-middle\"&gt;{{ icon_info }}&lt;/span&gt;&lt;/button&gt;&lt;/a&gt;"</v>
      </c>
      <c r="R62" t="b" cm="1">
        <f t="array" ref="R62">SUMPRODUCT(--EXACT($J$2:$J$490,J62))&gt;1</f>
        <v>0</v>
      </c>
      <c r="S62" t="s">
        <v>4235</v>
      </c>
    </row>
    <row r="63" spans="1:19">
      <c r="A63" s="30">
        <v>1</v>
      </c>
      <c r="B63" s="30" t="s">
        <v>1064</v>
      </c>
      <c r="C63" s="30" t="s">
        <v>429</v>
      </c>
      <c r="D63" s="30" t="s">
        <v>1207</v>
      </c>
      <c r="E63" s="30" t="s">
        <v>1758</v>
      </c>
      <c r="F63" s="30" t="s">
        <v>1235</v>
      </c>
      <c r="G63" s="39" t="str">
        <f>VLOOKUP(F63,glossary!J:N,2,FALSE)</f>
        <v>Camera location</v>
      </c>
      <c r="H63" s="30" t="s">
        <v>1235</v>
      </c>
      <c r="I63" s="45" t="str">
        <f t="shared" si="0"/>
        <v>cam_location_tl_pl</v>
      </c>
      <c r="J63" s="39" t="s">
        <v>1193</v>
      </c>
      <c r="K63" s="39" t="str">
        <f>VLOOKUP(F63,glossary!J:N,5,FALSE)</f>
        <v>The location where a single camera was placed (recorded as 'Camera Location Name').</v>
      </c>
      <c r="L63" s="30" t="s">
        <v>1735</v>
      </c>
      <c r="M63" s="30" t="str">
        <f t="shared" si="1"/>
        <v>{{ cam_location_tl_pl }}</v>
      </c>
      <c r="N63" t="s">
        <v>896</v>
      </c>
      <c r="O63" s="13" t="s">
        <v>1816</v>
      </c>
      <c r="P63" t="s">
        <v>4081</v>
      </c>
      <c r="Q63" t="str">
        <f t="shared" si="2"/>
        <v xml:space="preserve">    cam_location_tl_pl: "&lt;a href=\"09_glossary.html#cam_location\" target=\"_blank\" data-bs-toggle=\"tooltip\" data-bs-title=\"Camera location: The location where a single camera was placed (recorded as 'Camera Location Name').\"&gt;camera locations&lt;button type=\"button\" class=\"btn btn-bd-tip-info-hidden btn-sm position-relative\"&gt;.&lt;span class=\"position-absolute top-0 start-100 translate-middle\"&gt;{{ icon_info }}&lt;/span&gt;&lt;/button&gt;&lt;/a&gt;"</v>
      </c>
      <c r="R63" t="b" cm="1">
        <f t="array" ref="R63">SUMPRODUCT(--EXACT($J$2:$J$490,J63))&gt;1</f>
        <v>0</v>
      </c>
      <c r="S63" t="s">
        <v>4236</v>
      </c>
    </row>
    <row r="64" spans="1:19">
      <c r="A64" s="30">
        <v>3</v>
      </c>
      <c r="B64" s="30" t="s">
        <v>1393</v>
      </c>
      <c r="C64" s="30"/>
      <c r="D64" s="30" t="s">
        <v>1208</v>
      </c>
      <c r="E64" s="30" t="s">
        <v>984</v>
      </c>
      <c r="F64" s="30" t="s">
        <v>1235</v>
      </c>
      <c r="G64" s="39" t="str">
        <f>VLOOKUP(F64,glossary!J:N,2,FALSE)</f>
        <v>Camera location</v>
      </c>
      <c r="H64" s="34" t="s">
        <v>1235</v>
      </c>
      <c r="I64" s="45" t="str">
        <f t="shared" si="0"/>
        <v>cam_location_tu</v>
      </c>
      <c r="J64" s="42" t="s">
        <v>229</v>
      </c>
      <c r="K64" s="39" t="str">
        <f>VLOOKUP(F64,glossary!J:N,5,FALSE)</f>
        <v>The location where a single camera was placed (recorded as 'Camera Location Name').</v>
      </c>
      <c r="L64" t="s">
        <v>1681</v>
      </c>
      <c r="M64" s="30" t="str">
        <f t="shared" si="1"/>
        <v>{{ cam_location_tu }}</v>
      </c>
      <c r="N64" t="s">
        <v>896</v>
      </c>
      <c r="O64" s="13" t="s">
        <v>1816</v>
      </c>
      <c r="P64" t="s">
        <v>4081</v>
      </c>
      <c r="Q64" t="str">
        <f t="shared" si="2"/>
        <v xml:space="preserve">    cam_location_tu: "&lt;a href=\"09_glossary.html#cam_location\" target=\"_blank\" data-bs-toggle=\"tooltip\" data-bs-title=\"Camera location: The location where a single camera was placed (recorded as 'Camera Location Name').\"&gt;Camera location&lt;button type=\"button\" class=\"btn btn-bd-tip-info-hidden btn-sm position-relative\"&gt;.&lt;span class=\"position-absolute top-0 start-100 translate-middle\"&gt;{{ icon_info }}&lt;/span&gt;&lt;/button&gt;&lt;/a&gt;"</v>
      </c>
      <c r="R64" t="b" cm="1">
        <f t="array" ref="R64">SUMPRODUCT(--EXACT($J$2:$J$490,J64))&gt;1</f>
        <v>0</v>
      </c>
      <c r="S64" t="s">
        <v>4237</v>
      </c>
    </row>
    <row r="65" spans="1:19">
      <c r="A65" s="30">
        <v>1</v>
      </c>
      <c r="B65" s="30" t="s">
        <v>1064</v>
      </c>
      <c r="C65" s="30" t="s">
        <v>0</v>
      </c>
      <c r="D65" s="30" t="s">
        <v>1208</v>
      </c>
      <c r="E65" s="30" t="s">
        <v>1758</v>
      </c>
      <c r="F65" s="30" t="s">
        <v>1235</v>
      </c>
      <c r="G65" s="39" t="str">
        <f>VLOOKUP(F65,glossary!J:N,2,FALSE)</f>
        <v>Camera location</v>
      </c>
      <c r="H65" s="30" t="s">
        <v>1235</v>
      </c>
      <c r="I65" s="45" t="str">
        <f t="shared" si="0"/>
        <v>cam_location_tu_pl</v>
      </c>
      <c r="J65" s="39" t="s">
        <v>1071</v>
      </c>
      <c r="K65" s="39" t="str">
        <f>VLOOKUP(F65,glossary!J:N,5,FALSE)</f>
        <v>The location where a single camera was placed (recorded as 'Camera Location Name').</v>
      </c>
      <c r="L65" s="30" t="s">
        <v>1734</v>
      </c>
      <c r="M65" s="30" t="str">
        <f t="shared" si="1"/>
        <v>{{ cam_location_tu_pl }}</v>
      </c>
      <c r="N65" t="s">
        <v>896</v>
      </c>
      <c r="O65" s="13" t="s">
        <v>1816</v>
      </c>
      <c r="P65" t="s">
        <v>4081</v>
      </c>
      <c r="Q65" t="str">
        <f t="shared" si="2"/>
        <v xml:space="preserve">    cam_location_tu_pl: "&lt;a href=\"09_glossary.html#cam_location\" target=\"_blank\" data-bs-toggle=\"tooltip\" data-bs-title=\"Camera location: The location where a single camera was placed (recorded as 'Camera Location Name').\"&gt;Camera locations&lt;button type=\"button\" class=\"btn btn-bd-tip-info-hidden btn-sm position-relative\"&gt;.&lt;span class=\"position-absolute top-0 start-100 translate-middle\"&gt;{{ icon_info }}&lt;/span&gt;&lt;/button&gt;&lt;/a&gt;"</v>
      </c>
      <c r="R65" t="b" cm="1">
        <f t="array" ref="R65">SUMPRODUCT(--EXACT($J$2:$J$490,J65))&gt;1</f>
        <v>0</v>
      </c>
      <c r="S65" t="s">
        <v>4238</v>
      </c>
    </row>
    <row r="66" spans="1:19">
      <c r="A66" s="30">
        <v>3</v>
      </c>
      <c r="B66" s="30" t="s">
        <v>1393</v>
      </c>
      <c r="C66" s="30"/>
      <c r="D66" s="30" t="s">
        <v>1208</v>
      </c>
      <c r="E66" s="30" t="s">
        <v>1764</v>
      </c>
      <c r="F66" s="30" t="s">
        <v>1236</v>
      </c>
      <c r="G66" s="39" t="str">
        <f>VLOOKUP(F66,glossary!J:N,2,FALSE)</f>
        <v>Camera Location Characteristic(s)</v>
      </c>
      <c r="H66" s="34" t="s">
        <v>1236</v>
      </c>
      <c r="I66" s="45" t="str">
        <f t="shared" ref="I66:I129" si="3">IF(D66="-","-",IF(E66&lt;&gt;"-",(H66&amp;"_"&amp;D66&amp;"_"&amp;E66),H66&amp;"_"&amp;D66))</f>
        <v>cam_location_characteristics_tu_es</v>
      </c>
      <c r="J66" s="42" t="s">
        <v>738</v>
      </c>
      <c r="K66" s="39" t="str">
        <f>VLOOKUP(F66,glossary!J:N,5,FALSE)</f>
        <v>Any significant features around the camera at the time of the visit. This may include for example, manmade or natural linear features (e.g., trails), habitat types (e.g., wetlands), wildlife structure (e.g., beaver dam). If 'Other,' describe in the Camera Location Comments. &lt;br&gt;&lt;br&gt;Camera Location Characteristics differ from FOV Target Features in that Camera Location Characteristics could include those not in the camera's Field of View. If 'Other,' describe in the Camera Location Comments.</v>
      </c>
      <c r="L66" t="s">
        <v>1680</v>
      </c>
      <c r="M66" s="30" t="str">
        <f t="shared" ref="M66:M129" si="4">"{{ "&amp;I66&amp;" }}"</f>
        <v>{{ cam_location_characteristics_tu_es }}</v>
      </c>
      <c r="N66" t="s">
        <v>896</v>
      </c>
      <c r="O66" s="13" t="s">
        <v>1816</v>
      </c>
      <c r="P66" t="s">
        <v>4081</v>
      </c>
      <c r="Q66" t="str">
        <f t="shared" ref="Q66:Q129" si="5">IF(K66&lt;&gt;"-",("    "&amp;I66&amp;": "&amp;""""&amp;"&lt;a href=\"&amp;""""&amp;"09_glossary.html#"&amp;H66&amp;N66&amp;G66&amp;": "&amp;K66&amp;O66&amp;J66&amp;P66&amp;""""),"-")</f>
        <v xml:space="preserve">    cam_location_characteristics_tu_es: "&lt;a href=\"09_glossary.html#cam_location_characteristics\" target=\"_blank\" data-bs-toggle=\"tooltip\" data-bs-title=\"Camera Location Characteristic(s): Any significant features around the camera at the time of the visit. This may include for example, manmade or natural linear features (e.g., trails), habitat types (e.g., wetlands), wildlife structure (e.g., beaver dam). If 'Other,' describe in the Camera Location Comments. &lt;br&gt;&lt;br&gt;Camera Location Characteristics differ from FOV Target Features in that Camera Location Characteristics could include those not in the camera's Field of View. If 'Other,' describe in the Camera Location Comments.\"&gt;Camera Location Characteristic(s)&lt;button type=\"button\" class=\"btn btn-bd-tip-info-hidden btn-sm position-relative\"&gt;.&lt;span class=\"position-absolute top-0 start-100 translate-middle\"&gt;{{ icon_info }}&lt;/span&gt;&lt;/button&gt;&lt;/a&gt;"</v>
      </c>
      <c r="R66" t="b" cm="1">
        <f t="array" ref="R66">SUMPRODUCT(--EXACT($J$2:$J$490,J66))&gt;1</f>
        <v>0</v>
      </c>
      <c r="S66" t="s">
        <v>4239</v>
      </c>
    </row>
    <row r="67" spans="1:19">
      <c r="A67" s="30">
        <v>1</v>
      </c>
      <c r="B67" s="30" t="s">
        <v>1064</v>
      </c>
      <c r="C67" s="30" t="s">
        <v>0</v>
      </c>
      <c r="D67" s="30" t="s">
        <v>1208</v>
      </c>
      <c r="E67" s="30" t="s">
        <v>1755</v>
      </c>
      <c r="F67" s="30" t="s">
        <v>1236</v>
      </c>
      <c r="G67" s="39" t="str">
        <f>VLOOKUP(F67,glossary!J:N,2,FALSE)</f>
        <v>Camera Location Characteristic(s)</v>
      </c>
      <c r="H67" s="30" t="s">
        <v>1236</v>
      </c>
      <c r="I67" s="45" t="str">
        <f t="shared" si="3"/>
        <v>cam_location_characteristics_tu_mod</v>
      </c>
      <c r="J67" s="39" t="s">
        <v>1070</v>
      </c>
      <c r="K67" s="39" t="str">
        <f>VLOOKUP(F67,glossary!J:N,5,FALSE)</f>
        <v>Any significant features around the camera at the time of the visit. This may include for example, manmade or natural linear features (e.g., trails), habitat types (e.g., wetlands), wildlife structure (e.g., beaver dam). If 'Other,' describe in the Camera Location Comments. &lt;br&gt;&lt;br&gt;Camera Location Characteristics differ from FOV Target Features in that Camera Location Characteristics could include those not in the camera's Field of View. If 'Other,' describe in the Camera Location Comments.</v>
      </c>
      <c r="L67" s="30" t="s">
        <v>1733</v>
      </c>
      <c r="M67" s="30" t="str">
        <f t="shared" si="4"/>
        <v>{{ cam_location_characteristics_tu_mod }}</v>
      </c>
      <c r="N67" t="s">
        <v>896</v>
      </c>
      <c r="O67" s="13" t="s">
        <v>1816</v>
      </c>
      <c r="P67" t="s">
        <v>4081</v>
      </c>
      <c r="Q67" t="str">
        <f t="shared" si="5"/>
        <v xml:space="preserve">    cam_location_characteristics_tu_mod: "&lt;a href=\"09_glossary.html#cam_location_characteristics\" target=\"_blank\" data-bs-toggle=\"tooltip\" data-bs-title=\"Camera Location Characteristic(s): Any significant features around the camera at the time of the visit. This may include for example, manmade or natural linear features (e.g., trails), habitat types (e.g., wetlands), wildlife structure (e.g., beaver dam). If 'Other,' describe in the Camera Location Comments. &lt;br&gt;&lt;br&gt;Camera Location Characteristics differ from FOV Target Features in that Camera Location Characteristics could include those not in the camera's Field of View. If 'Other,' describe in the Camera Location Comments.\"&gt;Camera Location Characteristics&lt;button type=\"button\" class=\"btn btn-bd-tip-info-hidden btn-sm position-relative\"&gt;.&lt;span class=\"position-absolute top-0 start-100 translate-middle\"&gt;{{ icon_info }}&lt;/span&gt;&lt;/button&gt;&lt;/a&gt;"</v>
      </c>
      <c r="R67" t="b" cm="1">
        <f t="array" ref="R67">SUMPRODUCT(--EXACT($J$2:$J$490,J67))&gt;1</f>
        <v>0</v>
      </c>
      <c r="S67" t="s">
        <v>4240</v>
      </c>
    </row>
    <row r="68" spans="1:19">
      <c r="A68" s="30">
        <v>3</v>
      </c>
      <c r="B68" s="30" t="s">
        <v>1393</v>
      </c>
      <c r="C68" s="30"/>
      <c r="D68" s="30" t="s">
        <v>1208</v>
      </c>
      <c r="E68" s="30" t="s">
        <v>984</v>
      </c>
      <c r="F68" s="30" t="s">
        <v>1237</v>
      </c>
      <c r="G68" s="39" t="str">
        <f>VLOOKUP(F68,glossary!J:N,2,FALSE)</f>
        <v>Camera Location Comments</v>
      </c>
      <c r="H68" s="34" t="s">
        <v>1237</v>
      </c>
      <c r="I68" s="45" t="str">
        <f t="shared" si="3"/>
        <v>cam_location_comments_tu</v>
      </c>
      <c r="J68" s="42" t="s">
        <v>739</v>
      </c>
      <c r="K68" s="39" t="str">
        <f>VLOOKUP(F68,glossary!J:N,5,FALSE)</f>
        <v>Comments describing additional details about a camera location.</v>
      </c>
      <c r="L68" t="s">
        <v>1679</v>
      </c>
      <c r="M68" s="30" t="str">
        <f t="shared" si="4"/>
        <v>{{ cam_location_comments_tu }}</v>
      </c>
      <c r="N68" t="s">
        <v>896</v>
      </c>
      <c r="O68" s="13" t="s">
        <v>1816</v>
      </c>
      <c r="P68" t="s">
        <v>4081</v>
      </c>
      <c r="Q68" t="str">
        <f t="shared" si="5"/>
        <v xml:space="preserve">    cam_location_comments_tu: "&lt;a href=\"09_glossary.html#cam_location_comments\" target=\"_blank\" data-bs-toggle=\"tooltip\" data-bs-title=\"Camera Location Comments: Comments describing additional details about a camera location.\"&gt;Camera Location Comments&lt;button type=\"button\" class=\"btn btn-bd-tip-info-hidden btn-sm position-relative\"&gt;.&lt;span class=\"position-absolute top-0 start-100 translate-middle\"&gt;{{ icon_info }}&lt;/span&gt;&lt;/button&gt;&lt;/a&gt;"</v>
      </c>
      <c r="R68" t="b" cm="1">
        <f t="array" ref="R68">SUMPRODUCT(--EXACT($J$2:$J$490,J68))&gt;1</f>
        <v>0</v>
      </c>
      <c r="S68" t="s">
        <v>4241</v>
      </c>
    </row>
    <row r="69" spans="1:19">
      <c r="A69" s="30">
        <v>3</v>
      </c>
      <c r="B69" s="30" t="s">
        <v>1393</v>
      </c>
      <c r="C69" s="30"/>
      <c r="D69" s="30" t="s">
        <v>1208</v>
      </c>
      <c r="E69" s="30" t="s">
        <v>984</v>
      </c>
      <c r="F69" s="30" t="s">
        <v>1238</v>
      </c>
      <c r="G69" s="39" t="str">
        <f>VLOOKUP(F69,glossary!J:N,2,FALSE)</f>
        <v>Camera Location Name</v>
      </c>
      <c r="H69" s="34" t="s">
        <v>1238</v>
      </c>
      <c r="I69" s="45" t="str">
        <f t="shared" si="3"/>
        <v>cam_location_name_tu</v>
      </c>
      <c r="J69" s="42" t="s">
        <v>683</v>
      </c>
      <c r="K69" s="39" t="str">
        <f>VLOOKUP(F69,glossary!J:N,5,FALSE)</f>
        <v>A unique alphanumeric identifier for the location where a single camera was placed (e.g., 'bh1,' 'bh2').</v>
      </c>
      <c r="L69" t="s">
        <v>1678</v>
      </c>
      <c r="M69" s="30" t="str">
        <f t="shared" si="4"/>
        <v>{{ cam_location_name_tu }}</v>
      </c>
      <c r="N69" t="s">
        <v>896</v>
      </c>
      <c r="O69" s="13" t="s">
        <v>1816</v>
      </c>
      <c r="P69" t="s">
        <v>4081</v>
      </c>
      <c r="Q69" t="str">
        <f t="shared" si="5"/>
        <v xml:space="preserve">    cam_location_name_tu: "&lt;a href=\"09_glossary.html#cam_location_name\" target=\"_blank\" data-bs-toggle=\"tooltip\" data-bs-title=\"Camera Location Name: A unique alphanumeric identifier for the location where a single camera was placed (e.g., 'bh1,' 'bh2').\"&gt;Camera Location Name&lt;button type=\"button\" class=\"btn btn-bd-tip-info-hidden btn-sm position-relative\"&gt;.&lt;span class=\"position-absolute top-0 start-100 translate-middle\"&gt;{{ icon_info }}&lt;/span&gt;&lt;/button&gt;&lt;/a&gt;"</v>
      </c>
      <c r="R69" t="b" cm="1">
        <f t="array" ref="R69">SUMPRODUCT(--EXACT($J$2:$J$490,J69))&gt;1</f>
        <v>0</v>
      </c>
      <c r="S69" t="s">
        <v>4242</v>
      </c>
    </row>
    <row r="70" spans="1:19">
      <c r="A70" s="30">
        <v>1</v>
      </c>
      <c r="B70" s="30" t="s">
        <v>1064</v>
      </c>
      <c r="C70" s="30" t="s">
        <v>0</v>
      </c>
      <c r="D70" s="30" t="s">
        <v>1207</v>
      </c>
      <c r="E70" s="30" t="s">
        <v>1752</v>
      </c>
      <c r="F70" s="30" t="s">
        <v>1239</v>
      </c>
      <c r="G70" s="39" t="str">
        <f>VLOOKUP(F70,glossary!J:N,2,FALSE)</f>
        <v>Camera Make</v>
      </c>
      <c r="H70" s="30" t="s">
        <v>1239</v>
      </c>
      <c r="I70" s="45" t="str">
        <f t="shared" si="3"/>
        <v>cam_make_tl_abrv</v>
      </c>
      <c r="J70" s="39" t="s">
        <v>1180</v>
      </c>
      <c r="K70" s="39" t="str">
        <f>VLOOKUP(F70,glossary!J:N,5,FALSE)</f>
        <v>The make of a particular camera (i.e., the manufacturer, e.g., 'Reconyx' or 'Bushnell').</v>
      </c>
      <c r="L70" s="30" t="s">
        <v>1732</v>
      </c>
      <c r="M70" s="30" t="str">
        <f t="shared" si="4"/>
        <v>{{ cam_make_tl_abrv }}</v>
      </c>
      <c r="N70" t="s">
        <v>896</v>
      </c>
      <c r="O70" s="13" t="s">
        <v>1816</v>
      </c>
      <c r="P70" t="s">
        <v>4081</v>
      </c>
      <c r="Q70" t="str">
        <f t="shared" si="5"/>
        <v xml:space="preserve">    cam_make_tl_abrv: "&lt;a href=\"09_glossary.html#cam_make\" target=\"_blank\" data-bs-toggle=\"tooltip\" data-bs-title=\"Camera Make: The make of a particular camera (i.e., the manufacturer, e.g., 'Reconyx' or 'Bushnell').\"&gt;make&lt;button type=\"button\" class=\"btn btn-bd-tip-info-hidden btn-sm position-relative\"&gt;.&lt;span class=\"position-absolute top-0 start-100 translate-middle\"&gt;{{ icon_info }}&lt;/span&gt;&lt;/button&gt;&lt;/a&gt;"</v>
      </c>
      <c r="R70" t="b" cm="1">
        <f t="array" ref="R70">SUMPRODUCT(--EXACT($J$2:$J$490,J70))&gt;1</f>
        <v>0</v>
      </c>
      <c r="S70" t="s">
        <v>4243</v>
      </c>
    </row>
    <row r="71" spans="1:19">
      <c r="A71" s="30">
        <v>3</v>
      </c>
      <c r="B71" s="30" t="s">
        <v>1393</v>
      </c>
      <c r="C71" s="30"/>
      <c r="D71" s="30" t="s">
        <v>1208</v>
      </c>
      <c r="E71" s="30" t="s">
        <v>984</v>
      </c>
      <c r="F71" s="30" t="s">
        <v>1239</v>
      </c>
      <c r="G71" s="39" t="str">
        <f>VLOOKUP(F71,glossary!J:N,2,FALSE)</f>
        <v>Camera Make</v>
      </c>
      <c r="H71" s="34" t="s">
        <v>1239</v>
      </c>
      <c r="I71" s="45" t="str">
        <f t="shared" si="3"/>
        <v>cam_make_tu</v>
      </c>
      <c r="J71" s="42" t="s">
        <v>684</v>
      </c>
      <c r="K71" s="39" t="str">
        <f>VLOOKUP(F71,glossary!J:N,5,FALSE)</f>
        <v>The make of a particular camera (i.e., the manufacturer, e.g., 'Reconyx' or 'Bushnell').</v>
      </c>
      <c r="L71" t="s">
        <v>1677</v>
      </c>
      <c r="M71" s="30" t="str">
        <f t="shared" si="4"/>
        <v>{{ cam_make_tu }}</v>
      </c>
      <c r="N71" t="s">
        <v>896</v>
      </c>
      <c r="O71" s="13" t="s">
        <v>1816</v>
      </c>
      <c r="P71" t="s">
        <v>4081</v>
      </c>
      <c r="Q71" t="str">
        <f t="shared" si="5"/>
        <v xml:space="preserve">    cam_make_tu: "&lt;a href=\"09_glossary.html#cam_make\" target=\"_blank\" data-bs-toggle=\"tooltip\" data-bs-title=\"Camera Make: The make of a particular camera (i.e., the manufacturer, e.g., 'Reconyx' or 'Bushnell').\"&gt;Camera Make&lt;button type=\"button\" class=\"btn btn-bd-tip-info-hidden btn-sm position-relative\"&gt;.&lt;span class=\"position-absolute top-0 start-100 translate-middle\"&gt;{{ icon_info }}&lt;/span&gt;&lt;/button&gt;&lt;/a&gt;"</v>
      </c>
      <c r="R71" t="b" cm="1">
        <f t="array" ref="R71">SUMPRODUCT(--EXACT($J$2:$J$490,J71))&gt;1</f>
        <v>0</v>
      </c>
      <c r="S71" t="s">
        <v>4244</v>
      </c>
    </row>
    <row r="72" spans="1:19">
      <c r="A72" s="30">
        <v>1</v>
      </c>
      <c r="B72" s="30" t="s">
        <v>1064</v>
      </c>
      <c r="C72" s="30" t="s">
        <v>0</v>
      </c>
      <c r="D72" s="30" t="s">
        <v>1208</v>
      </c>
      <c r="E72" s="30" t="s">
        <v>1752</v>
      </c>
      <c r="F72" s="30" t="s">
        <v>1239</v>
      </c>
      <c r="G72" s="39" t="str">
        <f>VLOOKUP(F72,glossary!J:N,2,FALSE)</f>
        <v>Camera Make</v>
      </c>
      <c r="H72" s="30" t="s">
        <v>1239</v>
      </c>
      <c r="I72" s="45" t="str">
        <f t="shared" si="3"/>
        <v>cam_make_tu_abrv</v>
      </c>
      <c r="J72" s="39" t="s">
        <v>1148</v>
      </c>
      <c r="K72" s="39" t="str">
        <f>VLOOKUP(F72,glossary!J:N,5,FALSE)</f>
        <v>The make of a particular camera (i.e., the manufacturer, e.g., 'Reconyx' or 'Bushnell').</v>
      </c>
      <c r="L72" s="30" t="s">
        <v>1731</v>
      </c>
      <c r="M72" s="30" t="str">
        <f t="shared" si="4"/>
        <v>{{ cam_make_tu_abrv }}</v>
      </c>
      <c r="N72" t="s">
        <v>896</v>
      </c>
      <c r="O72" s="13" t="s">
        <v>1816</v>
      </c>
      <c r="P72" t="s">
        <v>4081</v>
      </c>
      <c r="Q72" t="str">
        <f t="shared" si="5"/>
        <v xml:space="preserve">    cam_make_tu_abrv: "&lt;a href=\"09_glossary.html#cam_make\" target=\"_blank\" data-bs-toggle=\"tooltip\" data-bs-title=\"Camera Make: The make of a particular camera (i.e., the manufacturer, e.g., 'Reconyx' or 'Bushnell').\"&gt;Make&lt;button type=\"button\" class=\"btn btn-bd-tip-info-hidden btn-sm position-relative\"&gt;.&lt;span class=\"position-absolute top-0 start-100 translate-middle\"&gt;{{ icon_info }}&lt;/span&gt;&lt;/button&gt;&lt;/a&gt;"</v>
      </c>
      <c r="R72" t="b" cm="1">
        <f t="array" ref="R72">SUMPRODUCT(--EXACT($J$2:$J$490,J72))&gt;1</f>
        <v>0</v>
      </c>
      <c r="S72" t="s">
        <v>4245</v>
      </c>
    </row>
    <row r="73" spans="1:19">
      <c r="A73" s="30">
        <v>3</v>
      </c>
      <c r="B73" s="30" t="s">
        <v>1393</v>
      </c>
      <c r="C73" s="30"/>
      <c r="D73" s="30" t="s">
        <v>1208</v>
      </c>
      <c r="E73" s="30" t="s">
        <v>984</v>
      </c>
      <c r="F73" s="30" t="s">
        <v>1240</v>
      </c>
      <c r="G73" s="39" t="str">
        <f>VLOOKUP(F73,glossary!J:N,2,FALSE)</f>
        <v>New Camera Make</v>
      </c>
      <c r="H73" s="34" t="s">
        <v>1240</v>
      </c>
      <c r="I73" s="45" t="str">
        <f t="shared" si="3"/>
        <v>cam_make_new_tu</v>
      </c>
      <c r="J73" s="42" t="s">
        <v>685</v>
      </c>
      <c r="K73" s="39" t="str">
        <f>VLOOKUP(F73,glossary!J:N,5,FALSE)</f>
        <v>-</v>
      </c>
      <c r="L73" t="s">
        <v>1676</v>
      </c>
      <c r="M73" s="30" t="str">
        <f t="shared" si="4"/>
        <v>{{ cam_make_new_tu }}</v>
      </c>
      <c r="N73" t="s">
        <v>896</v>
      </c>
      <c r="O73" s="13" t="s">
        <v>1816</v>
      </c>
      <c r="P73" t="s">
        <v>4081</v>
      </c>
      <c r="Q73" t="str">
        <f t="shared" si="5"/>
        <v>-</v>
      </c>
      <c r="R73" t="b" cm="1">
        <f t="array" ref="R73">SUMPRODUCT(--EXACT($J$2:$J$490,J73))&gt;1</f>
        <v>0</v>
      </c>
      <c r="S73" t="s">
        <v>4246</v>
      </c>
    </row>
    <row r="74" spans="1:19">
      <c r="A74" s="30">
        <v>1</v>
      </c>
      <c r="B74" s="30" t="s">
        <v>1064</v>
      </c>
      <c r="C74" s="30" t="s">
        <v>0</v>
      </c>
      <c r="D74" s="30" t="s">
        <v>1207</v>
      </c>
      <c r="E74" s="30" t="s">
        <v>1752</v>
      </c>
      <c r="F74" s="30" t="s">
        <v>1241</v>
      </c>
      <c r="G74" s="39" t="str">
        <f>VLOOKUP(F74,glossary!J:N,2,FALSE)</f>
        <v>Camera Model</v>
      </c>
      <c r="H74" s="30" t="s">
        <v>1241</v>
      </c>
      <c r="I74" s="45" t="str">
        <f t="shared" si="3"/>
        <v>cam_model_tl_abrv</v>
      </c>
      <c r="J74" s="39" t="s">
        <v>1181</v>
      </c>
      <c r="K74" s="39" t="str">
        <f>VLOOKUP(F74,glossary!J:N,5,FALSE)</f>
        <v>The model number or name of a particular camera (e.g., 'PC900' or 'Trophy Cam HD').</v>
      </c>
      <c r="L74" s="30" t="s">
        <v>1730</v>
      </c>
      <c r="M74" s="30" t="str">
        <f t="shared" si="4"/>
        <v>{{ cam_model_tl_abrv }}</v>
      </c>
      <c r="N74" t="s">
        <v>896</v>
      </c>
      <c r="O74" s="13" t="s">
        <v>1816</v>
      </c>
      <c r="P74" t="s">
        <v>4081</v>
      </c>
      <c r="Q74" t="str">
        <f t="shared" si="5"/>
        <v xml:space="preserve">    cam_model_tl_abrv: "&lt;a href=\"09_glossary.html#cam_model\" target=\"_blank\" data-bs-toggle=\"tooltip\" data-bs-title=\"Camera Model: The model number or name of a particular camera (e.g., 'PC900' or 'Trophy Cam HD').\"&gt;model&lt;button type=\"button\" class=\"btn btn-bd-tip-info-hidden btn-sm position-relative\"&gt;.&lt;span class=\"position-absolute top-0 start-100 translate-middle\"&gt;{{ icon_info }}&lt;/span&gt;&lt;/button&gt;&lt;/a&gt;"</v>
      </c>
      <c r="R74" t="b" cm="1">
        <f t="array" ref="R74">SUMPRODUCT(--EXACT($J$2:$J$490,J74))&gt;1</f>
        <v>0</v>
      </c>
      <c r="S74" t="s">
        <v>4247</v>
      </c>
    </row>
    <row r="75" spans="1:19">
      <c r="A75" s="30">
        <v>3</v>
      </c>
      <c r="B75" s="30" t="s">
        <v>1393</v>
      </c>
      <c r="C75" s="30"/>
      <c r="D75" s="30" t="s">
        <v>1208</v>
      </c>
      <c r="E75" s="30" t="s">
        <v>984</v>
      </c>
      <c r="F75" s="30" t="s">
        <v>1241</v>
      </c>
      <c r="G75" s="39" t="str">
        <f>VLOOKUP(F75,glossary!J:N,2,FALSE)</f>
        <v>Camera Model</v>
      </c>
      <c r="H75" s="34" t="s">
        <v>1241</v>
      </c>
      <c r="I75" s="45" t="str">
        <f t="shared" si="3"/>
        <v>cam_model_tu</v>
      </c>
      <c r="J75" s="42" t="s">
        <v>686</v>
      </c>
      <c r="K75" s="39" t="str">
        <f>VLOOKUP(F75,glossary!J:N,5,FALSE)</f>
        <v>The model number or name of a particular camera (e.g., 'PC900' or 'Trophy Cam HD').</v>
      </c>
      <c r="L75" t="s">
        <v>1675</v>
      </c>
      <c r="M75" s="30" t="str">
        <f t="shared" si="4"/>
        <v>{{ cam_model_tu }}</v>
      </c>
      <c r="N75" t="s">
        <v>896</v>
      </c>
      <c r="O75" s="13" t="s">
        <v>1816</v>
      </c>
      <c r="P75" t="s">
        <v>4081</v>
      </c>
      <c r="Q75" t="str">
        <f t="shared" si="5"/>
        <v xml:space="preserve">    cam_model_tu: "&lt;a href=\"09_glossary.html#cam_model\" target=\"_blank\" data-bs-toggle=\"tooltip\" data-bs-title=\"Camera Model: The model number or name of a particular camera (e.g., 'PC900' or 'Trophy Cam HD').\"&gt;Camera Model&lt;button type=\"button\" class=\"btn btn-bd-tip-info-hidden btn-sm position-relative\"&gt;.&lt;span class=\"position-absolute top-0 start-100 translate-middle\"&gt;{{ icon_info }}&lt;/span&gt;&lt;/button&gt;&lt;/a&gt;"</v>
      </c>
      <c r="R75" t="b" cm="1">
        <f t="array" ref="R75">SUMPRODUCT(--EXACT($J$2:$J$490,J75))&gt;1</f>
        <v>0</v>
      </c>
      <c r="S75" t="s">
        <v>4248</v>
      </c>
    </row>
    <row r="76" spans="1:19">
      <c r="A76" s="30">
        <v>1</v>
      </c>
      <c r="B76" s="30" t="s">
        <v>1064</v>
      </c>
      <c r="C76" s="30" t="s">
        <v>0</v>
      </c>
      <c r="D76" s="30" t="s">
        <v>1208</v>
      </c>
      <c r="E76" s="30" t="s">
        <v>1752</v>
      </c>
      <c r="F76" s="30" t="s">
        <v>1241</v>
      </c>
      <c r="G76" s="39" t="str">
        <f>VLOOKUP(F76,glossary!J:N,2,FALSE)</f>
        <v>Camera Model</v>
      </c>
      <c r="H76" s="30" t="s">
        <v>1241</v>
      </c>
      <c r="I76" s="45" t="str">
        <f t="shared" si="3"/>
        <v>cam_model_tu_abrv</v>
      </c>
      <c r="J76" s="39" t="s">
        <v>1149</v>
      </c>
      <c r="K76" s="39" t="str">
        <f>VLOOKUP(F76,glossary!J:N,5,FALSE)</f>
        <v>The model number or name of a particular camera (e.g., 'PC900' or 'Trophy Cam HD').</v>
      </c>
      <c r="L76" s="30" t="s">
        <v>1729</v>
      </c>
      <c r="M76" s="30" t="str">
        <f t="shared" si="4"/>
        <v>{{ cam_model_tu_abrv }}</v>
      </c>
      <c r="N76" t="s">
        <v>896</v>
      </c>
      <c r="O76" s="13" t="s">
        <v>1816</v>
      </c>
      <c r="P76" t="s">
        <v>4081</v>
      </c>
      <c r="Q76" t="str">
        <f t="shared" si="5"/>
        <v xml:space="preserve">    cam_model_tu_abrv: "&lt;a href=\"09_glossary.html#cam_model\" target=\"_blank\" data-bs-toggle=\"tooltip\" data-bs-title=\"Camera Model: The model number or name of a particular camera (e.g., 'PC900' or 'Trophy Cam HD').\"&gt;Model&lt;button type=\"button\" class=\"btn btn-bd-tip-info-hidden btn-sm position-relative\"&gt;.&lt;span class=\"position-absolute top-0 start-100 translate-middle\"&gt;{{ icon_info }}&lt;/span&gt;&lt;/button&gt;&lt;/a&gt;"</v>
      </c>
      <c r="R76" t="b" cm="1">
        <f t="array" ref="R76">SUMPRODUCT(--EXACT($J$2:$J$490,J76))&gt;1</f>
        <v>0</v>
      </c>
      <c r="S76" t="s">
        <v>4249</v>
      </c>
    </row>
    <row r="77" spans="1:19">
      <c r="A77" s="30">
        <v>3</v>
      </c>
      <c r="B77" s="30" t="s">
        <v>1393</v>
      </c>
      <c r="C77" s="30"/>
      <c r="D77" s="30" t="s">
        <v>1208</v>
      </c>
      <c r="E77" s="30" t="s">
        <v>984</v>
      </c>
      <c r="F77" s="30" t="s">
        <v>1242</v>
      </c>
      <c r="G77" s="39" t="str">
        <f>VLOOKUP(F77,glossary!J:N,2,FALSE)</f>
        <v>New Camera Model</v>
      </c>
      <c r="H77" s="34" t="s">
        <v>1242</v>
      </c>
      <c r="I77" s="45" t="str">
        <f t="shared" si="3"/>
        <v>cam_model_new_tu</v>
      </c>
      <c r="J77" s="42" t="s">
        <v>687</v>
      </c>
      <c r="K77" s="39" t="str">
        <f>VLOOKUP(F77,glossary!J:N,5,FALSE)</f>
        <v>-</v>
      </c>
      <c r="L77" t="s">
        <v>1674</v>
      </c>
      <c r="M77" s="30" t="str">
        <f t="shared" si="4"/>
        <v>{{ cam_model_new_tu }}</v>
      </c>
      <c r="N77" t="s">
        <v>896</v>
      </c>
      <c r="O77" s="13" t="s">
        <v>1816</v>
      </c>
      <c r="P77" t="s">
        <v>4081</v>
      </c>
      <c r="Q77" t="str">
        <f t="shared" si="5"/>
        <v>-</v>
      </c>
      <c r="R77" t="b" cm="1">
        <f t="array" ref="R77">SUMPRODUCT(--EXACT($J$2:$J$490,J77))&gt;1</f>
        <v>0</v>
      </c>
      <c r="S77" t="s">
        <v>4250</v>
      </c>
    </row>
    <row r="78" spans="1:19">
      <c r="A78" s="30">
        <v>3</v>
      </c>
      <c r="B78" s="30" t="s">
        <v>1393</v>
      </c>
      <c r="C78" s="30"/>
      <c r="D78" s="30" t="s">
        <v>1208</v>
      </c>
      <c r="E78" s="30" t="s">
        <v>984</v>
      </c>
      <c r="F78" s="30" t="s">
        <v>1243</v>
      </c>
      <c r="G78" s="39" t="str">
        <f>VLOOKUP(F78,glossary!J:N,2,FALSE)</f>
        <v>Camera Serial Number</v>
      </c>
      <c r="H78" s="34" t="s">
        <v>1243</v>
      </c>
      <c r="I78" s="45" t="str">
        <f t="shared" si="3"/>
        <v>cam_serial_number_tu</v>
      </c>
      <c r="J78" s="42" t="s">
        <v>688</v>
      </c>
      <c r="K78" s="39" t="str">
        <f>VLOOKUP(F78,glossary!J:N,5,FALSE)</f>
        <v>The serial number of a particular camera, which is usually found inside the camera cover (e.g., 'P900FF04152022').</v>
      </c>
      <c r="L78" t="s">
        <v>1673</v>
      </c>
      <c r="M78" s="30" t="str">
        <f t="shared" si="4"/>
        <v>{{ cam_serial_number_tu }}</v>
      </c>
      <c r="N78" t="s">
        <v>896</v>
      </c>
      <c r="O78" s="13" t="s">
        <v>1816</v>
      </c>
      <c r="P78" t="s">
        <v>4081</v>
      </c>
      <c r="Q78" t="str">
        <f t="shared" si="5"/>
        <v xml:space="preserve">    cam_serial_number_tu: "&lt;a href=\"09_glossary.html#cam_serial_number\" target=\"_blank\" data-bs-toggle=\"tooltip\" data-bs-title=\"Camera Serial Number: The serial number of a particular camera, which is usually found inside the camera cover (e.g., 'P900FF04152022').\"&gt;Camera Serial Number&lt;button type=\"button\" class=\"btn btn-bd-tip-info-hidden btn-sm position-relative\"&gt;.&lt;span class=\"position-absolute top-0 start-100 translate-middle\"&gt;{{ icon_info }}&lt;/span&gt;&lt;/button&gt;&lt;/a&gt;"</v>
      </c>
      <c r="R78" t="b" cm="1">
        <f t="array" ref="R78">SUMPRODUCT(--EXACT($J$2:$J$490,J78))&gt;1</f>
        <v>0</v>
      </c>
      <c r="S78" t="s">
        <v>4251</v>
      </c>
    </row>
    <row r="79" spans="1:19">
      <c r="A79" s="30">
        <v>1</v>
      </c>
      <c r="B79" s="30" t="s">
        <v>1064</v>
      </c>
      <c r="C79" s="30" t="s">
        <v>0</v>
      </c>
      <c r="D79" s="30" t="s">
        <v>1208</v>
      </c>
      <c r="E79" s="30" t="s">
        <v>1752</v>
      </c>
      <c r="F79" s="30" t="s">
        <v>1243</v>
      </c>
      <c r="G79" s="39" t="str">
        <f>VLOOKUP(F79,glossary!J:N,2,FALSE)</f>
        <v>Camera Serial Number</v>
      </c>
      <c r="H79" s="30" t="s">
        <v>1243</v>
      </c>
      <c r="I79" s="45" t="str">
        <f t="shared" si="3"/>
        <v>cam_serial_number_tu_abrv</v>
      </c>
      <c r="J79" s="39" t="s">
        <v>1150</v>
      </c>
      <c r="K79" s="39" t="str">
        <f>VLOOKUP(F79,glossary!J:N,5,FALSE)</f>
        <v>The serial number of a particular camera, which is usually found inside the camera cover (e.g., 'P900FF04152022').</v>
      </c>
      <c r="L79" s="30" t="s">
        <v>1728</v>
      </c>
      <c r="M79" s="30" t="str">
        <f t="shared" si="4"/>
        <v>{{ cam_serial_number_tu_abrv }}</v>
      </c>
      <c r="N79" t="s">
        <v>896</v>
      </c>
      <c r="O79" s="13" t="s">
        <v>1816</v>
      </c>
      <c r="P79" t="s">
        <v>4081</v>
      </c>
      <c r="Q79" t="str">
        <f t="shared" si="5"/>
        <v xml:space="preserve">    cam_serial_number_tu_abrv: "&lt;a href=\"09_glossary.html#cam_serial_number\" target=\"_blank\" data-bs-toggle=\"tooltip\" data-bs-title=\"Camera Serial Number: The serial number of a particular camera, which is usually found inside the camera cover (e.g., 'P900FF04152022').\"&gt;Serial Number&lt;button type=\"button\" class=\"btn btn-bd-tip-info-hidden btn-sm position-relative\"&gt;.&lt;span class=\"position-absolute top-0 start-100 translate-middle\"&gt;{{ icon_info }}&lt;/span&gt;&lt;/button&gt;&lt;/a&gt;"</v>
      </c>
      <c r="R79" t="b" cm="1">
        <f t="array" ref="R79">SUMPRODUCT(--EXACT($J$2:$J$490,J79))&gt;1</f>
        <v>0</v>
      </c>
      <c r="S79" t="s">
        <v>4252</v>
      </c>
    </row>
    <row r="80" spans="1:19">
      <c r="A80" s="30">
        <v>3</v>
      </c>
      <c r="B80" s="30" t="s">
        <v>1393</v>
      </c>
      <c r="C80" s="30"/>
      <c r="D80" s="30" t="s">
        <v>1208</v>
      </c>
      <c r="E80" s="30" t="s">
        <v>984</v>
      </c>
      <c r="F80" s="30" t="s">
        <v>1244</v>
      </c>
      <c r="G80" s="39" t="str">
        <f>VLOOKUP(F80,glossary!J:N,2,FALSE)</f>
        <v>New Camera Serial Number</v>
      </c>
      <c r="H80" s="34" t="s">
        <v>1244</v>
      </c>
      <c r="I80" s="45" t="str">
        <f t="shared" si="3"/>
        <v>cam_serial_number_new_tu</v>
      </c>
      <c r="J80" s="42" t="s">
        <v>689</v>
      </c>
      <c r="K80" s="39" t="str">
        <f>VLOOKUP(F80,glossary!J:N,5,FALSE)</f>
        <v>-</v>
      </c>
      <c r="L80" t="s">
        <v>1672</v>
      </c>
      <c r="M80" s="30" t="str">
        <f t="shared" si="4"/>
        <v>{{ cam_serial_number_new_tu }}</v>
      </c>
      <c r="N80" t="s">
        <v>896</v>
      </c>
      <c r="O80" s="13" t="s">
        <v>1816</v>
      </c>
      <c r="P80" t="s">
        <v>4081</v>
      </c>
      <c r="Q80" t="str">
        <f t="shared" si="5"/>
        <v>-</v>
      </c>
      <c r="R80" t="b" cm="1">
        <f t="array" ref="R80">SUMPRODUCT(--EXACT($J$2:$J$490,J80))&gt;1</f>
        <v>0</v>
      </c>
      <c r="S80" t="s">
        <v>4253</v>
      </c>
    </row>
    <row r="81" spans="1:19">
      <c r="A81" s="30">
        <v>3</v>
      </c>
      <c r="B81" s="30" t="s">
        <v>1393</v>
      </c>
      <c r="C81" s="30"/>
      <c r="D81" s="30" t="s">
        <v>1207</v>
      </c>
      <c r="E81" s="30" t="s">
        <v>984</v>
      </c>
      <c r="F81" s="30" t="s">
        <v>1245</v>
      </c>
      <c r="G81" s="39" t="str">
        <f>VLOOKUP(F81,glossary!J:N,2,FALSE)</f>
        <v>Camera spacing</v>
      </c>
      <c r="H81" s="34" t="s">
        <v>1245</v>
      </c>
      <c r="I81" s="45" t="str">
        <f t="shared" si="3"/>
        <v>cam_spacing_tl</v>
      </c>
      <c r="J81" s="43" t="s">
        <v>907</v>
      </c>
      <c r="K81" s="39" t="str">
        <f>VLOOKUP(F81,glossary!J:N,5,FALSE)</f>
        <v>The distance between cameras (i.e., also referred to as 'inter-trap distance'). This will be influenced by the chosen sampling design, the survey Objectives, the Target Species and data analysis.</v>
      </c>
      <c r="L81" t="s">
        <v>1671</v>
      </c>
      <c r="M81" s="30" t="str">
        <f t="shared" si="4"/>
        <v>{{ cam_spacing_tl }}</v>
      </c>
      <c r="N81" t="s">
        <v>896</v>
      </c>
      <c r="O81" s="13" t="s">
        <v>1816</v>
      </c>
      <c r="P81" t="s">
        <v>4081</v>
      </c>
      <c r="Q81" t="str">
        <f t="shared" si="5"/>
        <v xml:space="preserve">    cam_spacing_tl: "&lt;a href=\"09_glossary.html#cam_spacing\" target=\"_blank\" data-bs-toggle=\"tooltip\" data-bs-title=\"Camera spacing: The distance between cameras (i.e., also referred to as 'inter-trap distance'). This will be influenced by the chosen sampling design, the survey Objectives, the Target Species and data analysis.\"&gt;camera spacing&lt;button type=\"button\" class=\"btn btn-bd-tip-info-hidden btn-sm position-relative\"&gt;.&lt;span class=\"position-absolute top-0 start-100 translate-middle\"&gt;{{ icon_info }}&lt;/span&gt;&lt;/button&gt;&lt;/a&gt;"</v>
      </c>
      <c r="R81" t="b" cm="1">
        <f t="array" ref="R81">SUMPRODUCT(--EXACT($J$2:$J$490,J81))&gt;1</f>
        <v>0</v>
      </c>
      <c r="S81" t="s">
        <v>4254</v>
      </c>
    </row>
    <row r="82" spans="1:19">
      <c r="A82" s="30">
        <v>3</v>
      </c>
      <c r="B82" s="30" t="s">
        <v>1393</v>
      </c>
      <c r="C82" s="30"/>
      <c r="D82" s="30" t="s">
        <v>1208</v>
      </c>
      <c r="E82" s="30" t="s">
        <v>984</v>
      </c>
      <c r="F82" s="30" t="s">
        <v>1245</v>
      </c>
      <c r="G82" s="39" t="str">
        <f>VLOOKUP(F82,glossary!J:N,2,FALSE)</f>
        <v>Camera spacing</v>
      </c>
      <c r="H82" s="34" t="s">
        <v>1245</v>
      </c>
      <c r="I82" s="45" t="str">
        <f t="shared" si="3"/>
        <v>cam_spacing_tu</v>
      </c>
      <c r="J82" s="42" t="s">
        <v>228</v>
      </c>
      <c r="K82" s="39" t="str">
        <f>VLOOKUP(F82,glossary!J:N,5,FALSE)</f>
        <v>The distance between cameras (i.e., also referred to as 'inter-trap distance'). This will be influenced by the chosen sampling design, the survey Objectives, the Target Species and data analysis.</v>
      </c>
      <c r="L82" t="s">
        <v>1670</v>
      </c>
      <c r="M82" s="30" t="str">
        <f t="shared" si="4"/>
        <v>{{ cam_spacing_tu }}</v>
      </c>
      <c r="N82" t="s">
        <v>896</v>
      </c>
      <c r="O82" s="13" t="s">
        <v>1816</v>
      </c>
      <c r="P82" t="s">
        <v>4081</v>
      </c>
      <c r="Q82" t="str">
        <f t="shared" si="5"/>
        <v xml:space="preserve">    cam_spacing_tu: "&lt;a href=\"09_glossary.html#cam_spacing\" target=\"_blank\" data-bs-toggle=\"tooltip\" data-bs-title=\"Camera spacing: The distance between cameras (i.e., also referred to as 'inter-trap distance'). This will be influenced by the chosen sampling design, the survey Objectives, the Target Species and data analysis.\"&gt;Camera spacing&lt;button type=\"button\" class=\"btn btn-bd-tip-info-hidden btn-sm position-relative\"&gt;.&lt;span class=\"position-absolute top-0 start-100 translate-middle\"&gt;{{ icon_info }}&lt;/span&gt;&lt;/button&gt;&lt;/a&gt;"</v>
      </c>
      <c r="R82" t="b" cm="1">
        <f t="array" ref="R82">SUMPRODUCT(--EXACT($J$2:$J$490,J82))&gt;1</f>
        <v>0</v>
      </c>
      <c r="S82" t="s">
        <v>4255</v>
      </c>
    </row>
    <row r="83" spans="1:19">
      <c r="A83" s="30">
        <v>2</v>
      </c>
      <c r="B83" s="30" t="s">
        <v>1400</v>
      </c>
      <c r="C83" s="30"/>
      <c r="D83" s="30" t="s">
        <v>1207</v>
      </c>
      <c r="E83" s="30" t="s">
        <v>984</v>
      </c>
      <c r="F83" s="30" t="s">
        <v>220</v>
      </c>
      <c r="G83" s="39" t="str">
        <f>VLOOKUP(F83,glossary!J:N,2,FALSE)</f>
        <v>Crew</v>
      </c>
      <c r="H83" s="30" t="s">
        <v>220</v>
      </c>
      <c r="I83" s="45" t="str">
        <f t="shared" si="3"/>
        <v>crew_tl</v>
      </c>
      <c r="J83" s="39" t="s">
        <v>220</v>
      </c>
      <c r="K83" s="39" t="str">
        <f>VLOOKUP(F83,glossary!J:N,5,FALSE)</f>
        <v>The first and last names of all the individuals who collected data during the deployment visit ('Deployment Crew') and Service*/Retrieval visit ('Service*/Retrieval Crew').</v>
      </c>
      <c r="L83" s="30" t="s">
        <v>1669</v>
      </c>
      <c r="M83" s="30" t="str">
        <f t="shared" si="4"/>
        <v>{{ crew_tl }}</v>
      </c>
      <c r="N83" t="s">
        <v>896</v>
      </c>
      <c r="O83" s="13" t="s">
        <v>1816</v>
      </c>
      <c r="P83" t="s">
        <v>4081</v>
      </c>
      <c r="Q83" t="str">
        <f t="shared" si="5"/>
        <v xml:space="preserve">    crew_tl: "&lt;a href=\"09_glossary.html#crew\" target=\"_blank\" data-bs-toggle=\"tooltip\" data-bs-title=\"Crew: The first and last names of all the individuals who collected data during the deployment visit ('Deployment Crew') and Service*/Retrieval visit ('Service*/Retrieval Crew').\"&gt;crew&lt;button type=\"button\" class=\"btn btn-bd-tip-info-hidden btn-sm position-relative\"&gt;.&lt;span class=\"position-absolute top-0 start-100 translate-middle\"&gt;{{ icon_info }}&lt;/span&gt;&lt;/button&gt;&lt;/a&gt;"</v>
      </c>
      <c r="R83" t="b" cm="1">
        <f t="array" ref="R83">SUMPRODUCT(--EXACT($J$2:$J$490,J83))&gt;1</f>
        <v>0</v>
      </c>
      <c r="S83" t="s">
        <v>4256</v>
      </c>
    </row>
    <row r="84" spans="1:19">
      <c r="A84" s="30">
        <v>2</v>
      </c>
      <c r="B84" s="30" t="s">
        <v>1400</v>
      </c>
      <c r="C84" s="30"/>
      <c r="D84" s="30" t="s">
        <v>1208</v>
      </c>
      <c r="E84" s="30" t="s">
        <v>984</v>
      </c>
      <c r="F84" s="30" t="s">
        <v>220</v>
      </c>
      <c r="G84" s="39" t="str">
        <f>VLOOKUP(F84,glossary!J:N,2,FALSE)</f>
        <v>Crew</v>
      </c>
      <c r="H84" s="30" t="s">
        <v>220</v>
      </c>
      <c r="I84" s="45" t="str">
        <f t="shared" si="3"/>
        <v>crew_tu</v>
      </c>
      <c r="J84" s="39" t="s">
        <v>221</v>
      </c>
      <c r="K84" s="39" t="str">
        <f>VLOOKUP(F84,glossary!J:N,5,FALSE)</f>
        <v>The first and last names of all the individuals who collected data during the deployment visit ('Deployment Crew') and Service*/Retrieval visit ('Service*/Retrieval Crew').</v>
      </c>
      <c r="L84" s="30" t="s">
        <v>1668</v>
      </c>
      <c r="M84" s="30" t="str">
        <f t="shared" si="4"/>
        <v>{{ crew_tu }}</v>
      </c>
      <c r="N84" t="s">
        <v>896</v>
      </c>
      <c r="O84" s="13" t="s">
        <v>1816</v>
      </c>
      <c r="P84" t="s">
        <v>4081</v>
      </c>
      <c r="Q84" t="str">
        <f t="shared" si="5"/>
        <v xml:space="preserve">    crew_tu: "&lt;a href=\"09_glossary.html#crew\" target=\"_blank\" data-bs-toggle=\"tooltip\" data-bs-title=\"Crew: The first and last names of all the individuals who collected data during the deployment visit ('Deployment Crew') and Service*/Retrieval visit ('Service*/Retrieval Crew').\"&gt;Crew&lt;button type=\"button\" class=\"btn btn-bd-tip-info-hidden btn-sm position-relative\"&gt;.&lt;span class=\"position-absolute top-0 start-100 translate-middle\"&gt;{{ icon_info }}&lt;/span&gt;&lt;/button&gt;&lt;/a&gt;"</v>
      </c>
      <c r="R84" t="b" cm="1">
        <f t="array" ref="R84">SUMPRODUCT(--EXACT($J$2:$J$490,J84))&gt;1</f>
        <v>0</v>
      </c>
      <c r="S84" t="s">
        <v>4257</v>
      </c>
    </row>
    <row r="85" spans="1:19">
      <c r="A85" s="30">
        <v>3</v>
      </c>
      <c r="B85" s="30" t="s">
        <v>1393</v>
      </c>
      <c r="C85" s="30"/>
      <c r="D85" s="30" t="s">
        <v>1207</v>
      </c>
      <c r="E85" s="30" t="s">
        <v>984</v>
      </c>
      <c r="F85" s="30" t="s">
        <v>218</v>
      </c>
      <c r="G85" s="39" t="str">
        <f>VLOOKUP(F85,glossary!J:N,2,FALSE)</f>
        <v>Cumulative detection probability</v>
      </c>
      <c r="H85" s="34" t="s">
        <v>218</v>
      </c>
      <c r="I85" s="45" t="str">
        <f t="shared" si="3"/>
        <v>cumulative_det_probability_tl</v>
      </c>
      <c r="J85" s="43" t="s">
        <v>910</v>
      </c>
      <c r="K85" s="39" t="str">
        <f>VLOOKUP(F85,glossary!J:N,5,FALSE)</f>
        <v>The probability of detecting a species at least once during the entire survey (Steenweg et al., 2019).</v>
      </c>
      <c r="L85" t="s">
        <v>1667</v>
      </c>
      <c r="M85" s="30" t="str">
        <f t="shared" si="4"/>
        <v>{{ cumulative_det_probability_tl }}</v>
      </c>
      <c r="N85" t="s">
        <v>896</v>
      </c>
      <c r="O85" s="13" t="s">
        <v>1816</v>
      </c>
      <c r="P85" t="s">
        <v>4081</v>
      </c>
      <c r="Q85" t="str">
        <f t="shared" si="5"/>
        <v xml:space="preserve">    cumulative_det_probability_tl: "&lt;a href=\"09_glossary.html#cumulative_det_probability\" target=\"_blank\" data-bs-toggle=\"tooltip\" data-bs-title=\"Cumulative detection probability: The probability of detecting a species at least once during the entire survey (Steenweg et al., 2019).\"&gt;cumulative detection probability&lt;button type=\"button\" class=\"btn btn-bd-tip-info-hidden btn-sm position-relative\"&gt;.&lt;span class=\"position-absolute top-0 start-100 translate-middle\"&gt;{{ icon_info }}&lt;/span&gt;&lt;/button&gt;&lt;/a&gt;"</v>
      </c>
      <c r="R85" t="b" cm="1">
        <f t="array" ref="R85">SUMPRODUCT(--EXACT($J$2:$J$490,J85))&gt;1</f>
        <v>0</v>
      </c>
      <c r="S85" t="s">
        <v>4258</v>
      </c>
    </row>
    <row r="86" spans="1:19">
      <c r="A86" s="30">
        <v>3</v>
      </c>
      <c r="B86" s="30" t="s">
        <v>1393</v>
      </c>
      <c r="C86" s="30"/>
      <c r="D86" s="30" t="s">
        <v>1208</v>
      </c>
      <c r="E86" s="30" t="s">
        <v>984</v>
      </c>
      <c r="F86" s="30" t="s">
        <v>218</v>
      </c>
      <c r="G86" s="39" t="str">
        <f>VLOOKUP(F86,glossary!J:N,2,FALSE)</f>
        <v>Cumulative detection probability</v>
      </c>
      <c r="H86" s="34" t="s">
        <v>218</v>
      </c>
      <c r="I86" s="45" t="str">
        <f t="shared" si="3"/>
        <v>cumulative_det_probability_tu</v>
      </c>
      <c r="J86" s="42" t="s">
        <v>219</v>
      </c>
      <c r="K86" s="39" t="str">
        <f>VLOOKUP(F86,glossary!J:N,5,FALSE)</f>
        <v>The probability of detecting a species at least once during the entire survey (Steenweg et al., 2019).</v>
      </c>
      <c r="L86" t="s">
        <v>1666</v>
      </c>
      <c r="M86" s="30" t="str">
        <f t="shared" si="4"/>
        <v>{{ cumulative_det_probability_tu }}</v>
      </c>
      <c r="N86" t="s">
        <v>896</v>
      </c>
      <c r="O86" s="13" t="s">
        <v>1816</v>
      </c>
      <c r="P86" t="s">
        <v>4081</v>
      </c>
      <c r="Q86" t="str">
        <f t="shared" si="5"/>
        <v xml:space="preserve">    cumulative_det_probability_tu: "&lt;a href=\"09_glossary.html#cumulative_det_probability\" target=\"_blank\" data-bs-toggle=\"tooltip\" data-bs-title=\"Cumulative detection probability: The probability of detecting a species at least once during the entire survey (Steenweg et al., 2019).\"&gt;Cumulative detection probability&lt;button type=\"button\" class=\"btn btn-bd-tip-info-hidden btn-sm position-relative\"&gt;.&lt;span class=\"position-absolute top-0 start-100 translate-middle\"&gt;{{ icon_info }}&lt;/span&gt;&lt;/button&gt;&lt;/a&gt;"</v>
      </c>
      <c r="R86" t="b" cm="1">
        <f t="array" ref="R86">SUMPRODUCT(--EXACT($J$2:$J$490,J86))&gt;1</f>
        <v>0</v>
      </c>
      <c r="S86" t="s">
        <v>4259</v>
      </c>
    </row>
    <row r="87" spans="1:19">
      <c r="B87" s="30" t="s">
        <v>768</v>
      </c>
      <c r="D87" s="30" t="s">
        <v>1207</v>
      </c>
      <c r="E87" s="30" t="s">
        <v>984</v>
      </c>
      <c r="F87" s="30" t="s">
        <v>780</v>
      </c>
      <c r="G87" s="39" t="str">
        <f>VLOOKUP(F87,glossary!J:N,2,FALSE)</f>
        <v>Data</v>
      </c>
      <c r="H87" s="30" t="s">
        <v>780</v>
      </c>
      <c r="I87" s="45" t="str">
        <f t="shared" si="3"/>
        <v>data_tl</v>
      </c>
      <c r="J87" s="30" t="s">
        <v>780</v>
      </c>
      <c r="K87" s="39" t="str">
        <f>VLOOKUP(F87,glossary!J:N,5,FALSE)</f>
        <v>Information, commonly facts or numbers, that are collected and can be examined and/or measured to help guide decision-making.' (Kemp et al., 2022).</v>
      </c>
      <c r="L87" s="30" t="s">
        <v>984</v>
      </c>
      <c r="M87" s="30" t="str">
        <f t="shared" si="4"/>
        <v>{{ data_tl }}</v>
      </c>
      <c r="N87" t="s">
        <v>896</v>
      </c>
      <c r="O87" s="13" t="s">
        <v>1816</v>
      </c>
      <c r="P87" t="s">
        <v>4081</v>
      </c>
      <c r="Q87" t="str">
        <f t="shared" si="5"/>
        <v xml:space="preserve">    data_tl: "&lt;a href=\"09_glossary.html#data\" target=\"_blank\" data-bs-toggle=\"tooltip\" data-bs-title=\"Data: Information, commonly facts or numbers, that are collected and can be examined and/or measured to help guide decision-making.' (Kemp et al., 2022).\"&gt;data&lt;button type=\"button\" class=\"btn btn-bd-tip-info-hidden btn-sm position-relative\"&gt;.&lt;span class=\"position-absolute top-0 start-100 translate-middle\"&gt;{{ icon_info }}&lt;/span&gt;&lt;/button&gt;&lt;/a&gt;"</v>
      </c>
      <c r="R87" t="b" cm="1">
        <f t="array" ref="R87">SUMPRODUCT(--EXACT($J$2:$J$490,J87))&gt;1</f>
        <v>0</v>
      </c>
      <c r="S87" t="s">
        <v>4260</v>
      </c>
    </row>
    <row r="88" spans="1:19">
      <c r="B88" s="30" t="s">
        <v>768</v>
      </c>
      <c r="D88" s="30" t="s">
        <v>1208</v>
      </c>
      <c r="E88" s="30" t="s">
        <v>984</v>
      </c>
      <c r="F88" s="30" t="s">
        <v>780</v>
      </c>
      <c r="G88" s="39" t="str">
        <f>VLOOKUP(F88,glossary!J:N,2,FALSE)</f>
        <v>Data</v>
      </c>
      <c r="H88" s="30" t="s">
        <v>780</v>
      </c>
      <c r="I88" s="45" t="str">
        <f t="shared" si="3"/>
        <v>data_tu</v>
      </c>
      <c r="J88" s="30" t="s">
        <v>630</v>
      </c>
      <c r="K88" s="39" t="str">
        <f>VLOOKUP(F88,glossary!J:N,5,FALSE)</f>
        <v>Information, commonly facts or numbers, that are collected and can be examined and/or measured to help guide decision-making.' (Kemp et al., 2022).</v>
      </c>
      <c r="L88" s="30" t="s">
        <v>984</v>
      </c>
      <c r="M88" s="30" t="str">
        <f t="shared" si="4"/>
        <v>{{ data_tu }}</v>
      </c>
      <c r="N88" t="s">
        <v>896</v>
      </c>
      <c r="O88" s="13" t="s">
        <v>1816</v>
      </c>
      <c r="P88" t="s">
        <v>4081</v>
      </c>
      <c r="Q88" t="str">
        <f t="shared" si="5"/>
        <v xml:space="preserve">    data_tu: "&lt;a href=\"09_glossary.html#data\" target=\"_blank\" data-bs-toggle=\"tooltip\" data-bs-title=\"Data: Information, commonly facts or numbers, that are collected and can be examined and/or measured to help guide decision-making.' (Kemp et al., 2022).\"&gt;Data&lt;button type=\"button\" class=\"btn btn-bd-tip-info-hidden btn-sm position-relative\"&gt;.&lt;span class=\"position-absolute top-0 start-100 translate-middle\"&gt;{{ icon_info }}&lt;/span&gt;&lt;/button&gt;&lt;/a&gt;"</v>
      </c>
      <c r="R88" t="b" cm="1">
        <f t="array" ref="R88">SUMPRODUCT(--EXACT($J$2:$J$490,J88))&gt;1</f>
        <v>0</v>
      </c>
      <c r="S88" t="s">
        <v>4261</v>
      </c>
    </row>
    <row r="89" spans="1:19">
      <c r="A89" s="30">
        <v>2</v>
      </c>
      <c r="B89" s="30" t="s">
        <v>1400</v>
      </c>
      <c r="C89" s="30"/>
      <c r="D89" s="30" t="s">
        <v>1207</v>
      </c>
      <c r="E89" s="30" t="s">
        <v>984</v>
      </c>
      <c r="F89" s="30" t="s">
        <v>216</v>
      </c>
      <c r="G89" s="39" t="str">
        <f>VLOOKUP(F89,glossary!J:N,2,FALSE)</f>
        <v>Deployment</v>
      </c>
      <c r="H89" s="30" t="s">
        <v>216</v>
      </c>
      <c r="I89" s="45" t="str">
        <f t="shared" si="3"/>
        <v>deployment_tl</v>
      </c>
      <c r="J89" s="39" t="s">
        <v>216</v>
      </c>
      <c r="K89" s="39" t="str">
        <f>VLOOKUP(F89,glossary!J:N,5,FALSE)</f>
        <v>A unique placement of a camera in space and time (recorded as 'Deployment Name'). There may be multiple deployments for one camera location. Deployments are often considered as the time between visits (i.e., deployment to service, service to service, and service to retrieval). Any change to camera location, sampling period, camera equipment (e.g., Trigger Sensitivity setting, becomes non-functioning), and*/or conditions (e.g., not baited then baited later; camera SD card replaced) should be documented as a unique deployment.</v>
      </c>
      <c r="L89" s="30" t="s">
        <v>1665</v>
      </c>
      <c r="M89" s="30" t="str">
        <f t="shared" si="4"/>
        <v>{{ deployment_tl }}</v>
      </c>
      <c r="N89" t="s">
        <v>896</v>
      </c>
      <c r="O89" s="13" t="s">
        <v>1816</v>
      </c>
      <c r="P89" t="s">
        <v>4081</v>
      </c>
      <c r="Q89" t="str">
        <f t="shared" si="5"/>
        <v xml:space="preserve">    deployment_tl: "&lt;a href=\"09_glossary.html#deployment\" target=\"_blank\" data-bs-toggle=\"tooltip\" data-bs-title=\"Deployment: A unique placement of a camera in space and time (recorded as 'Deployment Name'). There may be multiple deployments for one camera location. Deployments are often considered as the time between visits (i.e., deployment to service, service to service, and service to retrieval). Any change to camera location, sampling period, camera equipment (e.g., Trigger Sensitivity setting, becomes non-functioning), and*/or conditions (e.g., not baited then baited later; camera SD card replaced) should be documented as a unique deployment.\"&gt;deployment&lt;button type=\"button\" class=\"btn btn-bd-tip-info-hidden btn-sm position-relative\"&gt;.&lt;span class=\"position-absolute top-0 start-100 translate-middle\"&gt;{{ icon_info }}&lt;/span&gt;&lt;/button&gt;&lt;/a&gt;"</v>
      </c>
      <c r="R89" t="b" cm="1">
        <f t="array" ref="R89">SUMPRODUCT(--EXACT($J$2:$J$490,J89))&gt;1</f>
        <v>0</v>
      </c>
      <c r="S89" t="s">
        <v>4262</v>
      </c>
    </row>
    <row r="90" spans="1:19">
      <c r="A90" s="30">
        <v>2</v>
      </c>
      <c r="B90" s="30" t="s">
        <v>1400</v>
      </c>
      <c r="C90" s="30"/>
      <c r="D90" s="30" t="s">
        <v>1208</v>
      </c>
      <c r="E90" s="30" t="s">
        <v>984</v>
      </c>
      <c r="F90" s="30" t="s">
        <v>216</v>
      </c>
      <c r="G90" s="39" t="str">
        <f>VLOOKUP(F90,glossary!J:N,2,FALSE)</f>
        <v>Deployment</v>
      </c>
      <c r="H90" s="30" t="s">
        <v>216</v>
      </c>
      <c r="I90" s="45" t="str">
        <f t="shared" si="3"/>
        <v>deployment_tu</v>
      </c>
      <c r="J90" s="39" t="s">
        <v>217</v>
      </c>
      <c r="K90" s="39" t="str">
        <f>VLOOKUP(F90,glossary!J:N,5,FALSE)</f>
        <v>A unique placement of a camera in space and time (recorded as 'Deployment Name'). There may be multiple deployments for one camera location. Deployments are often considered as the time between visits (i.e., deployment to service, service to service, and service to retrieval). Any change to camera location, sampling period, camera equipment (e.g., Trigger Sensitivity setting, becomes non-functioning), and*/or conditions (e.g., not baited then baited later; camera SD card replaced) should be documented as a unique deployment.</v>
      </c>
      <c r="L90" s="30" t="s">
        <v>1664</v>
      </c>
      <c r="M90" s="30" t="str">
        <f t="shared" si="4"/>
        <v>{{ deployment_tu }}</v>
      </c>
      <c r="N90" t="s">
        <v>896</v>
      </c>
      <c r="O90" s="13" t="s">
        <v>1816</v>
      </c>
      <c r="P90" t="s">
        <v>4081</v>
      </c>
      <c r="Q90" t="str">
        <f t="shared" si="5"/>
        <v xml:space="preserve">    deployment_tu: "&lt;a href=\"09_glossary.html#deployment\" target=\"_blank\" data-bs-toggle=\"tooltip\" data-bs-title=\"Deployment: A unique placement of a camera in space and time (recorded as 'Deployment Name'). There may be multiple deployments for one camera location. Deployments are often considered as the time between visits (i.e., deployment to service, service to service, and service to retrieval). Any change to camera location, sampling period, camera equipment (e.g., Trigger Sensitivity setting, becomes non-functioning), and*/or conditions (e.g., not baited then baited later; camera SD card replaced) should be documented as a unique deployment.\"&gt;Deployment&lt;button type=\"button\" class=\"btn btn-bd-tip-info-hidden btn-sm position-relative\"&gt;.&lt;span class=\"position-absolute top-0 start-100 translate-middle\"&gt;{{ icon_info }}&lt;/span&gt;&lt;/button&gt;&lt;/a&gt;"</v>
      </c>
      <c r="R90" t="b" cm="1">
        <f t="array" ref="R90">SUMPRODUCT(--EXACT($J$2:$J$490,J90))&gt;1</f>
        <v>0</v>
      </c>
      <c r="S90" t="s">
        <v>4263</v>
      </c>
    </row>
    <row r="91" spans="1:19">
      <c r="A91" s="30">
        <v>3</v>
      </c>
      <c r="B91" s="30" t="s">
        <v>1393</v>
      </c>
      <c r="C91" s="30"/>
      <c r="D91" s="30" t="s">
        <v>1208</v>
      </c>
      <c r="E91" s="30" t="s">
        <v>984</v>
      </c>
      <c r="F91" s="30" t="s">
        <v>334</v>
      </c>
      <c r="G91" s="39" t="str">
        <f>VLOOKUP(F91,glossary!J:N,2,FALSE)</f>
        <v>Deployment Area Photo Numbers</v>
      </c>
      <c r="H91" s="34" t="s">
        <v>334</v>
      </c>
      <c r="I91" s="45" t="str">
        <f t="shared" si="3"/>
        <v>deployment_area_photo_numbers_tu</v>
      </c>
      <c r="J91" s="42" t="s">
        <v>740</v>
      </c>
      <c r="K91" s="39" t="str">
        <f>VLOOKUP(F91,glossary!J:N,5,FALSE)</f>
        <v>The image numbers for the deployment area photos (if collected, e.g., 'DSC  100'). These are optionally documented on a Camera Deployment Field Datasheet for each set of camera deployment area photos. Leave blank if not applicable.</v>
      </c>
      <c r="L91" t="s">
        <v>1663</v>
      </c>
      <c r="M91" s="30" t="str">
        <f t="shared" si="4"/>
        <v>{{ deployment_area_photo_numbers_tu }}</v>
      </c>
      <c r="N91" t="s">
        <v>896</v>
      </c>
      <c r="O91" s="13" t="s">
        <v>1816</v>
      </c>
      <c r="P91" t="s">
        <v>4081</v>
      </c>
      <c r="Q91" t="str">
        <f t="shared" si="5"/>
        <v xml:space="preserve">    deployment_area_photo_numbers_tu: "&lt;a href=\"09_glossary.html#deployment_area_photo_numbers\" target=\"_blank\" data-bs-toggle=\"tooltip\" data-bs-title=\"Deployment Area Photo Numbers: The image numbers for the deployment area photos (if collected, e.g., 'DSC  100'). These are optionally documented on a Camera Deployment Field Datasheet for each set of camera deployment area photos. Leave blank if not applicable.\"&gt;Deployment Area Photo Numbers&lt;button type=\"button\" class=\"btn btn-bd-tip-info-hidden btn-sm position-relative\"&gt;.&lt;span class=\"position-absolute top-0 start-100 translate-middle\"&gt;{{ icon_info }}&lt;/span&gt;&lt;/button&gt;&lt;/a&gt;"</v>
      </c>
      <c r="R91" t="b" cm="1">
        <f t="array" ref="R91">SUMPRODUCT(--EXACT($J$2:$J$490,J91))&gt;1</f>
        <v>0</v>
      </c>
      <c r="S91" t="s">
        <v>4264</v>
      </c>
    </row>
    <row r="92" spans="1:19">
      <c r="A92" s="30">
        <v>3</v>
      </c>
      <c r="B92" s="30" t="s">
        <v>1393</v>
      </c>
      <c r="C92" s="30"/>
      <c r="D92" s="30" t="s">
        <v>1207</v>
      </c>
      <c r="E92" s="30" t="s">
        <v>984</v>
      </c>
      <c r="F92" s="30" t="s">
        <v>214</v>
      </c>
      <c r="G92" s="39" t="str">
        <f>VLOOKUP(F92,glossary!J:N,2,FALSE)</f>
        <v>Deployment area photos</v>
      </c>
      <c r="H92" s="34" t="s">
        <v>214</v>
      </c>
      <c r="I92" s="45" t="str">
        <f t="shared" si="3"/>
        <v>deployment_area_photos_tl</v>
      </c>
      <c r="J92" s="43" t="s">
        <v>911</v>
      </c>
      <c r="K92" s="39" t="str">
        <f>VLOOKUP(F92,glossary!J:N,5,FALSE)</f>
        <v>Photos of the area around the camera location, collected as a permanent, visual record of the FOV Target Features, Camera Location Characteristics, environmental conditions (e.g., vegetation, ecosite, weather) or other variables of interest. The recommendation includes collecting four photos taken from the centre of the target detection zone (Figure 5), facing each of the four cardinal directions. The documentation of the collection of these photos is recorded as 'Deployment Area Photos Taken' (Y*/N).</v>
      </c>
      <c r="L92" t="s">
        <v>1662</v>
      </c>
      <c r="M92" s="30" t="str">
        <f t="shared" si="4"/>
        <v>{{ deployment_area_photos_tl }}</v>
      </c>
      <c r="N92" t="s">
        <v>896</v>
      </c>
      <c r="O92" s="13" t="s">
        <v>1816</v>
      </c>
      <c r="P92" t="s">
        <v>4081</v>
      </c>
      <c r="Q92" t="str">
        <f t="shared" si="5"/>
        <v xml:space="preserve">    deployment_area_photos_tl: "&lt;a href=\"09_glossary.html#deployment_area_photos\" target=\"_blank\" data-bs-toggle=\"tooltip\" data-bs-title=\"Deployment area photos: Photos of the area around the camera location, collected as a permanent, visual record of the FOV Target Features, Camera Location Characteristics, environmental conditions (e.g., vegetation, ecosite, weather) or other variables of interest. The recommendation includes collecting four photos taken from the centre of the target detection zone (Figure 5), facing each of the four cardinal directions. The documentation of the collection of these photos is recorded as 'Deployment Area Photos Taken' (Y*/N).\"&gt;deployment area photos&lt;button type=\"button\" class=\"btn btn-bd-tip-info-hidden btn-sm position-relative\"&gt;.&lt;span class=\"position-absolute top-0 start-100 translate-middle\"&gt;{{ icon_info }}&lt;/span&gt;&lt;/button&gt;&lt;/a&gt;"</v>
      </c>
      <c r="R92" t="b" cm="1">
        <f t="array" ref="R92">SUMPRODUCT(--EXACT($J$2:$J$490,J92))&gt;1</f>
        <v>0</v>
      </c>
      <c r="S92" t="s">
        <v>4265</v>
      </c>
    </row>
    <row r="93" spans="1:19">
      <c r="A93" s="30">
        <v>3</v>
      </c>
      <c r="B93" s="30" t="s">
        <v>1393</v>
      </c>
      <c r="C93" s="30"/>
      <c r="D93" s="30" t="s">
        <v>1208</v>
      </c>
      <c r="E93" s="30" t="s">
        <v>984</v>
      </c>
      <c r="F93" s="30" t="s">
        <v>214</v>
      </c>
      <c r="G93" s="39" t="str">
        <f>VLOOKUP(F93,glossary!J:N,2,FALSE)</f>
        <v>Deployment area photos</v>
      </c>
      <c r="H93" s="34" t="s">
        <v>214</v>
      </c>
      <c r="I93" s="45" t="str">
        <f t="shared" si="3"/>
        <v>deployment_area_photos_tu</v>
      </c>
      <c r="J93" s="42" t="s">
        <v>215</v>
      </c>
      <c r="K93" s="39" t="str">
        <f>VLOOKUP(F93,glossary!J:N,5,FALSE)</f>
        <v>Photos of the area around the camera location, collected as a permanent, visual record of the FOV Target Features, Camera Location Characteristics, environmental conditions (e.g., vegetation, ecosite, weather) or other variables of interest. The recommendation includes collecting four photos taken from the centre of the target detection zone (Figure 5), facing each of the four cardinal directions. The documentation of the collection of these photos is recorded as 'Deployment Area Photos Taken' (Y*/N).</v>
      </c>
      <c r="L93" t="s">
        <v>1661</v>
      </c>
      <c r="M93" s="30" t="str">
        <f t="shared" si="4"/>
        <v>{{ deployment_area_photos_tu }}</v>
      </c>
      <c r="N93" t="s">
        <v>896</v>
      </c>
      <c r="O93" s="13" t="s">
        <v>1816</v>
      </c>
      <c r="P93" t="s">
        <v>4081</v>
      </c>
      <c r="Q93" t="str">
        <f t="shared" si="5"/>
        <v xml:space="preserve">    deployment_area_photos_tu: "&lt;a href=\"09_glossary.html#deployment_area_photos\" target=\"_blank\" data-bs-toggle=\"tooltip\" data-bs-title=\"Deployment area photos: Photos of the area around the camera location, collected as a permanent, visual record of the FOV Target Features, Camera Location Characteristics, environmental conditions (e.g., vegetation, ecosite, weather) or other variables of interest. The recommendation includes collecting four photos taken from the centre of the target detection zone (Figure 5), facing each of the four cardinal directions. The documentation of the collection of these photos is recorded as 'Deployment Area Photos Taken' (Y*/N).\"&gt;Deployment area photos&lt;button type=\"button\" class=\"btn btn-bd-tip-info-hidden btn-sm position-relative\"&gt;.&lt;span class=\"position-absolute top-0 start-100 translate-middle\"&gt;{{ icon_info }}&lt;/span&gt;&lt;/button&gt;&lt;/a&gt;"</v>
      </c>
      <c r="R93" t="b" cm="1">
        <f t="array" ref="R93">SUMPRODUCT(--EXACT($J$2:$J$490,J93))&gt;1</f>
        <v>0</v>
      </c>
      <c r="S93" t="s">
        <v>4266</v>
      </c>
    </row>
    <row r="94" spans="1:19">
      <c r="A94" s="30">
        <v>3</v>
      </c>
      <c r="B94" s="30" t="s">
        <v>1393</v>
      </c>
      <c r="C94" s="30"/>
      <c r="D94" s="30" t="s">
        <v>1208</v>
      </c>
      <c r="E94" s="30" t="s">
        <v>984</v>
      </c>
      <c r="F94" s="30" t="s">
        <v>333</v>
      </c>
      <c r="G94" s="39" t="str">
        <f>VLOOKUP(F94,glossary!J:N,2,FALSE)</f>
        <v>Deployment Area Photos Taken</v>
      </c>
      <c r="H94" s="34" t="s">
        <v>333</v>
      </c>
      <c r="I94" s="45" t="str">
        <f t="shared" si="3"/>
        <v>deployment_area_photos_taken_tu</v>
      </c>
      <c r="J94" s="42" t="s">
        <v>741</v>
      </c>
      <c r="K94" s="39" t="str">
        <f>VLOOKUP(F94,glossary!J:N,5,FALSE)</f>
        <v>Whether deployment area photos were taken (yes*/no; optional). The recommendation includes collecting four photos taken from the centre of the target detection zone (Figure 5), facing each of the four cardinal directions.</v>
      </c>
      <c r="L94" t="s">
        <v>1660</v>
      </c>
      <c r="M94" s="30" t="str">
        <f t="shared" si="4"/>
        <v>{{ deployment_area_photos_taken_tu }}</v>
      </c>
      <c r="N94" t="s">
        <v>896</v>
      </c>
      <c r="O94" s="13" t="s">
        <v>1816</v>
      </c>
      <c r="P94" t="s">
        <v>4081</v>
      </c>
      <c r="Q94" t="str">
        <f t="shared" si="5"/>
        <v xml:space="preserve">    deployment_area_photos_taken_tu: "&lt;a href=\"09_glossary.html#deployment_area_photos_taken\" target=\"_blank\" data-bs-toggle=\"tooltip\" data-bs-title=\"Deployment Area Photos Taken: Whether deployment area photos were taken (yes*/no; optional). The recommendation includes collecting four photos taken from the centre of the target detection zone (Figure 5), facing each of the four cardinal directions.\"&gt;Deployment Area Photos Taken&lt;button type=\"button\" class=\"btn btn-bd-tip-info-hidden btn-sm position-relative\"&gt;.&lt;span class=\"position-absolute top-0 start-100 translate-middle\"&gt;{{ icon_info }}&lt;/span&gt;&lt;/button&gt;&lt;/a&gt;"</v>
      </c>
      <c r="R94" t="b" cm="1">
        <f t="array" ref="R94">SUMPRODUCT(--EXACT($J$2:$J$490,J94))&gt;1</f>
        <v>0</v>
      </c>
      <c r="S94" t="s">
        <v>4267</v>
      </c>
    </row>
    <row r="95" spans="1:19">
      <c r="A95" s="30">
        <v>3</v>
      </c>
      <c r="B95" s="30" t="s">
        <v>1393</v>
      </c>
      <c r="C95" s="30"/>
      <c r="D95" s="30" t="s">
        <v>1208</v>
      </c>
      <c r="E95" s="30" t="s">
        <v>984</v>
      </c>
      <c r="F95" s="30" t="s">
        <v>331</v>
      </c>
      <c r="G95" s="39" t="str">
        <f>VLOOKUP(F95,glossary!J:N,2,FALSE)</f>
        <v>Deployment Comments</v>
      </c>
      <c r="H95" s="34" t="s">
        <v>331</v>
      </c>
      <c r="I95" s="45" t="str">
        <f t="shared" si="3"/>
        <v>deployment_comments_tu</v>
      </c>
      <c r="J95" s="42" t="s">
        <v>742</v>
      </c>
      <c r="K95" s="39" t="str">
        <f>VLOOKUP(F95,glossary!J:N,5,FALSE)</f>
        <v>Comments describing additional details about the deployment.</v>
      </c>
      <c r="L95" t="s">
        <v>1659</v>
      </c>
      <c r="M95" s="30" t="str">
        <f t="shared" si="4"/>
        <v>{{ deployment_comments_tu }}</v>
      </c>
      <c r="N95" t="s">
        <v>896</v>
      </c>
      <c r="O95" s="13" t="s">
        <v>1816</v>
      </c>
      <c r="P95" t="s">
        <v>4081</v>
      </c>
      <c r="Q95" t="str">
        <f t="shared" si="5"/>
        <v xml:space="preserve">    deployment_comments_tu: "&lt;a href=\"09_glossary.html#deployment_comments\" target=\"_blank\" data-bs-toggle=\"tooltip\" data-bs-title=\"Deployment Comments: Comments describing additional details about the deployment.\"&gt;Deployment Comments&lt;button type=\"button\" class=\"btn btn-bd-tip-info-hidden btn-sm position-relative\"&gt;.&lt;span class=\"position-absolute top-0 start-100 translate-middle\"&gt;{{ icon_info }}&lt;/span&gt;&lt;/button&gt;&lt;/a&gt;"</v>
      </c>
      <c r="R95" t="b" cm="1">
        <f t="array" ref="R95">SUMPRODUCT(--EXACT($J$2:$J$490,J95))&gt;1</f>
        <v>0</v>
      </c>
      <c r="S95" t="s">
        <v>4268</v>
      </c>
    </row>
    <row r="96" spans="1:19">
      <c r="A96" s="30">
        <v>3</v>
      </c>
      <c r="B96" s="30" t="s">
        <v>1393</v>
      </c>
      <c r="C96" s="30"/>
      <c r="D96" s="30" t="s">
        <v>1208</v>
      </c>
      <c r="E96" s="30" t="s">
        <v>984</v>
      </c>
      <c r="F96" s="30" t="s">
        <v>295</v>
      </c>
      <c r="G96" s="39" t="str">
        <f>VLOOKUP(F96,glossary!J:N,2,FALSE)</f>
        <v>Deployment Crew</v>
      </c>
      <c r="H96" s="34" t="s">
        <v>295</v>
      </c>
      <c r="I96" s="45" t="str">
        <f t="shared" si="3"/>
        <v>deployment_crew_tu</v>
      </c>
      <c r="J96" s="42" t="s">
        <v>690</v>
      </c>
      <c r="K96" s="39" t="str">
        <f>VLOOKUP(F96,glossary!J:N,5,FALSE)</f>
        <v>The first and last names of the individuals who collected data during the deployment visit.</v>
      </c>
      <c r="L96" t="s">
        <v>1658</v>
      </c>
      <c r="M96" s="30" t="str">
        <f t="shared" si="4"/>
        <v>{{ deployment_crew_tu }}</v>
      </c>
      <c r="N96" t="s">
        <v>896</v>
      </c>
      <c r="O96" s="13" t="s">
        <v>1816</v>
      </c>
      <c r="P96" t="s">
        <v>4081</v>
      </c>
      <c r="Q96" t="str">
        <f t="shared" si="5"/>
        <v xml:space="preserve">    deployment_crew_tu: "&lt;a href=\"09_glossary.html#deployment_crew\" target=\"_blank\" data-bs-toggle=\"tooltip\" data-bs-title=\"Deployment Crew: The first and last names of the individuals who collected data during the deployment visit.\"&gt;Deployment Crew&lt;button type=\"button\" class=\"btn btn-bd-tip-info-hidden btn-sm position-relative\"&gt;.&lt;span class=\"position-absolute top-0 start-100 translate-middle\"&gt;{{ icon_info }}&lt;/span&gt;&lt;/button&gt;&lt;/a&gt;"</v>
      </c>
      <c r="R96" t="b" cm="1">
        <f t="array" ref="R96">SUMPRODUCT(--EXACT($J$2:$J$490,J96))&gt;1</f>
        <v>0</v>
      </c>
      <c r="S96" t="s">
        <v>4269</v>
      </c>
    </row>
    <row r="97" spans="1:19">
      <c r="A97" s="30">
        <v>1</v>
      </c>
      <c r="B97" s="30" t="s">
        <v>1064</v>
      </c>
      <c r="C97" s="30"/>
      <c r="D97" s="30" t="s">
        <v>1208</v>
      </c>
      <c r="E97" s="30" t="s">
        <v>1757</v>
      </c>
      <c r="F97" s="30" t="s">
        <v>293</v>
      </c>
      <c r="G97" s="39" t="str">
        <f>VLOOKUP(F97,glossary!J:N,2,FALSE)</f>
        <v>Deployment End Date Time (DD-MMM-YYYY HH:MM:SS)</v>
      </c>
      <c r="H97" s="30" t="s">
        <v>293</v>
      </c>
      <c r="I97" s="45" t="str">
        <f t="shared" si="3"/>
        <v>deployment_end_date_time_tu_nu</v>
      </c>
      <c r="J97" s="39" t="s">
        <v>1068</v>
      </c>
      <c r="K97" s="39" t="str">
        <f>VLOOKUP(F97,glossary!J:N,5,FALSE)</f>
        <v>The date and time that the data was retrieved for a specific deployment (e.g., 27-Jan-2019 23:00:00). The Deployment End Date Time may not coincide with when the last image or video was collected (i.e., the Image Set End Date Time). Recording this field allows users to account for deployments where no images were captured and to confirm the last date and time that the camera was active.</v>
      </c>
      <c r="L97" s="30" t="s">
        <v>1089</v>
      </c>
      <c r="M97" s="30" t="str">
        <f t="shared" si="4"/>
        <v>{{ deployment_end_date_time_tu_nu }}</v>
      </c>
      <c r="N97" t="s">
        <v>896</v>
      </c>
      <c r="O97" s="13" t="s">
        <v>1816</v>
      </c>
      <c r="P97" t="s">
        <v>4081</v>
      </c>
      <c r="Q97" t="str">
        <f t="shared" si="5"/>
        <v xml:space="preserve">    deployment_end_date_time_tu_nu: "&lt;a href=\"09_glossary.html#deployment_end_date_time\" target=\"_blank\" data-bs-toggle=\"tooltip\" data-bs-title=\"Deployment End Date Time (DD-MMM-YYYY HH:MM:SS): The date and time that the data was retrieved for a specific deployment (e.g., 27-Jan-2019 23:00:00). The Deployment End Date Time may not coincide with when the last image or video was collected (i.e., the Image Set End Date Time). Recording this field allows users to account for deployments where no images were captured and to confirm the last date and time that the camera was active.\"&gt;Deployment End Date Time&lt;button type=\"button\" class=\"btn btn-bd-tip-info-hidden btn-sm position-relative\"&gt;.&lt;span class=\"position-absolute top-0 start-100 translate-middle\"&gt;{{ icon_info }}&lt;/span&gt;&lt;/button&gt;&lt;/a&gt;"</v>
      </c>
      <c r="R97" t="b" cm="1">
        <f t="array" ref="R97">SUMPRODUCT(--EXACT($J$2:$J$490,J97))&gt;1</f>
        <v>0</v>
      </c>
      <c r="S97" t="s">
        <v>4270</v>
      </c>
    </row>
    <row r="98" spans="1:19">
      <c r="A98" s="30">
        <v>3</v>
      </c>
      <c r="B98" s="30" t="s">
        <v>1393</v>
      </c>
      <c r="C98" s="30"/>
      <c r="D98" s="30" t="s">
        <v>1208</v>
      </c>
      <c r="E98" s="30" t="s">
        <v>1751</v>
      </c>
      <c r="F98" s="30" t="s">
        <v>293</v>
      </c>
      <c r="G98" s="39" t="str">
        <f>VLOOKUP(F98,glossary!J:N,2,FALSE)</f>
        <v>Deployment End Date Time (DD-MMM-YYYY HH:MM:SS)</v>
      </c>
      <c r="H98" s="34" t="s">
        <v>293</v>
      </c>
      <c r="I98" s="45" t="str">
        <f t="shared" si="3"/>
        <v>deployment_end_date_time_tu_u</v>
      </c>
      <c r="J98" s="42" t="s">
        <v>691</v>
      </c>
      <c r="K98" s="39" t="str">
        <f>VLOOKUP(F98,glossary!J:N,5,FALSE)</f>
        <v>The date and time that the data was retrieved for a specific deployment (e.g., 27-Jan-2019 23:00:00). The Deployment End Date Time may not coincide with when the last image or video was collected (i.e., the Image Set End Date Time). Recording this field allows users to account for deployments where no images were captured and to confirm the last date and time that the camera was active.</v>
      </c>
      <c r="L98" t="s">
        <v>1657</v>
      </c>
      <c r="M98" s="30" t="str">
        <f t="shared" si="4"/>
        <v>{{ deployment_end_date_time_tu_u }}</v>
      </c>
      <c r="N98" t="s">
        <v>896</v>
      </c>
      <c r="O98" s="13" t="s">
        <v>1816</v>
      </c>
      <c r="P98" t="s">
        <v>4081</v>
      </c>
      <c r="Q98" t="str">
        <f t="shared" si="5"/>
        <v xml:space="preserve">    deployment_end_date_time_tu_u: "&lt;a href=\"09_glossary.html#deployment_end_date_time\" target=\"_blank\" data-bs-toggle=\"tooltip\" data-bs-title=\"Deployment End Date Time (DD-MMM-YYYY HH:MM:SS): The date and time that the data was retrieved for a specific deployment (e.g., 27-Jan-2019 23:00:00). The Deployment End Date Time may not coincide with when the last image or video was collected (i.e., the Image Set End Date Time). Recording this field allows users to account for deployments where no images were captured and to confirm the last date and time that the camera was active.\"&gt;Deployment End Date Time (DD-MMM-YYYY HH:MM:SS)&lt;button type=\"button\" class=\"btn btn-bd-tip-info-hidden btn-sm position-relative\"&gt;.&lt;span class=\"position-absolute top-0 start-100 translate-middle\"&gt;{{ icon_info }}&lt;/span&gt;&lt;/button&gt;&lt;/a&gt;"</v>
      </c>
      <c r="R98" t="b" cm="1">
        <f t="array" ref="R98">SUMPRODUCT(--EXACT($J$2:$J$490,J98))&gt;1</f>
        <v>0</v>
      </c>
      <c r="S98" t="s">
        <v>4271</v>
      </c>
    </row>
    <row r="99" spans="1:19">
      <c r="A99" s="30">
        <v>3</v>
      </c>
      <c r="B99" s="30" t="s">
        <v>1393</v>
      </c>
      <c r="C99" s="30"/>
      <c r="D99" s="30" t="s">
        <v>1208</v>
      </c>
      <c r="E99" s="30" t="s">
        <v>984</v>
      </c>
      <c r="F99" s="30" t="s">
        <v>1250</v>
      </c>
      <c r="G99" s="39" t="str">
        <f>VLOOKUP(F99,glossary!J:N,2,FALSE)</f>
        <v>Deployment Image Count</v>
      </c>
      <c r="H99" s="34" t="s">
        <v>1250</v>
      </c>
      <c r="I99" s="45" t="str">
        <f t="shared" si="3"/>
        <v>deployment_img_count_tu</v>
      </c>
      <c r="J99" s="42" t="s">
        <v>743</v>
      </c>
      <c r="K99" s="39" t="str">
        <f>VLOOKUP(F99,glossary!J:N,5,FALSE)</f>
        <v>The total number of images collected during the deployment, including false triggers (i.e., empty images with no wildlife or human present species) and those triggered by a time-lapse setting (if applicable).</v>
      </c>
      <c r="L99" t="s">
        <v>1656</v>
      </c>
      <c r="M99" s="30" t="str">
        <f t="shared" si="4"/>
        <v>{{ deployment_img_count_tu }}</v>
      </c>
      <c r="N99" t="s">
        <v>896</v>
      </c>
      <c r="O99" s="13" t="s">
        <v>1816</v>
      </c>
      <c r="P99" t="s">
        <v>4081</v>
      </c>
      <c r="Q99" t="str">
        <f t="shared" si="5"/>
        <v xml:space="preserve">    deployment_img_count_tu: "&lt;a href=\"09_glossary.html#deployment_img_count\" target=\"_blank\" data-bs-toggle=\"tooltip\" data-bs-title=\"Deployment Image Count: The total number of images collected during the deployment, including false triggers (i.e., empty images with no wildlife or human present species) and those triggered by a time-lapse setting (if applicable).\"&gt;Deployment Image Count&lt;button type=\"button\" class=\"btn btn-bd-tip-info-hidden btn-sm position-relative\"&gt;.&lt;span class=\"position-absolute top-0 start-100 translate-middle\"&gt;{{ icon_info }}&lt;/span&gt;&lt;/button&gt;&lt;/a&gt;"</v>
      </c>
      <c r="R99" t="b" cm="1">
        <f t="array" ref="R99">SUMPRODUCT(--EXACT($J$2:$J$490,J99))&gt;1</f>
        <v>0</v>
      </c>
      <c r="S99" t="s">
        <v>4272</v>
      </c>
    </row>
    <row r="100" spans="1:19">
      <c r="A100" s="30">
        <v>3</v>
      </c>
      <c r="B100" s="30" t="s">
        <v>1393</v>
      </c>
      <c r="C100" s="30"/>
      <c r="D100" s="30" t="s">
        <v>1207</v>
      </c>
      <c r="E100" s="30" t="s">
        <v>984</v>
      </c>
      <c r="F100" s="30" t="s">
        <v>211</v>
      </c>
      <c r="G100" s="39" t="str">
        <f>VLOOKUP(F100,glossary!J:N,2,FALSE)</f>
        <v>Deployment metadata</v>
      </c>
      <c r="H100" s="34" t="s">
        <v>211</v>
      </c>
      <c r="I100" s="45" t="str">
        <f t="shared" si="3"/>
        <v>deployment_metadata_tl</v>
      </c>
      <c r="J100" s="43" t="s">
        <v>912</v>
      </c>
      <c r="K100" s="39" t="str">
        <f>VLOOKUP(F100,glossary!J:N,5,FALSE)</f>
        <v>Metadata that is collected each time a camera is deployed. Each deployment event should have its own Camera Deployment Field Datasheet. The relevant metadata fields that should be collected differ when a camera is deployed vs. serviced or retrieved.&lt;br&gt;&lt;br&gt;Refer to Appendix A - Table A5 and Camera Deployment Field Datasheet.</v>
      </c>
      <c r="L100" t="s">
        <v>1655</v>
      </c>
      <c r="M100" s="30" t="str">
        <f t="shared" si="4"/>
        <v>{{ deployment_metadata_tl }}</v>
      </c>
      <c r="N100" t="s">
        <v>896</v>
      </c>
      <c r="O100" s="13" t="s">
        <v>1816</v>
      </c>
      <c r="P100" t="s">
        <v>4081</v>
      </c>
      <c r="Q100" t="str">
        <f t="shared" si="5"/>
        <v xml:space="preserve">    deployment_metadata_tl: "&lt;a href=\"09_glossary.html#deployment_metadata\" target=\"_blank\" data-bs-toggle=\"tooltip\" data-bs-title=\"Deployment metadata: Metadata that is collected each time a camera is deployed. Each deployment event should have its own Camera Deployment Field Datasheet. The relevant metadata fields that should be collected differ when a camera is deployed vs. serviced or retrieved.&lt;br&gt;&lt;br&gt;Refer to Appendix A - Table A5 and Camera Deployment Field Datasheet.\"&gt;deployment metadata&lt;button type=\"button\" class=\"btn btn-bd-tip-info-hidden btn-sm position-relative\"&gt;.&lt;span class=\"position-absolute top-0 start-100 translate-middle\"&gt;{{ icon_info }}&lt;/span&gt;&lt;/button&gt;&lt;/a&gt;"</v>
      </c>
      <c r="R100" t="b" cm="1">
        <f t="array" ref="R100">SUMPRODUCT(--EXACT($J$2:$J$490,J100))&gt;1</f>
        <v>0</v>
      </c>
      <c r="S100" t="s">
        <v>4273</v>
      </c>
    </row>
    <row r="101" spans="1:19">
      <c r="A101" s="30">
        <v>3</v>
      </c>
      <c r="B101" s="30" t="s">
        <v>1393</v>
      </c>
      <c r="C101" s="30"/>
      <c r="D101" s="30" t="s">
        <v>1208</v>
      </c>
      <c r="E101" s="30" t="s">
        <v>984</v>
      </c>
      <c r="F101" s="30" t="s">
        <v>211</v>
      </c>
      <c r="G101" s="39" t="str">
        <f>VLOOKUP(F101,glossary!J:N,2,FALSE)</f>
        <v>Deployment metadata</v>
      </c>
      <c r="H101" s="34" t="s">
        <v>211</v>
      </c>
      <c r="I101" s="45" t="str">
        <f t="shared" si="3"/>
        <v>deployment_metadata_tu</v>
      </c>
      <c r="J101" s="42" t="s">
        <v>213</v>
      </c>
      <c r="K101" s="39" t="str">
        <f>VLOOKUP(F101,glossary!J:N,5,FALSE)</f>
        <v>Metadata that is collected each time a camera is deployed. Each deployment event should have its own Camera Deployment Field Datasheet. The relevant metadata fields that should be collected differ when a camera is deployed vs. serviced or retrieved.&lt;br&gt;&lt;br&gt;Refer to Appendix A - Table A5 and Camera Deployment Field Datasheet.</v>
      </c>
      <c r="L101" t="s">
        <v>1654</v>
      </c>
      <c r="M101" s="30" t="str">
        <f t="shared" si="4"/>
        <v>{{ deployment_metadata_tu }}</v>
      </c>
      <c r="N101" t="s">
        <v>896</v>
      </c>
      <c r="O101" s="13" t="s">
        <v>1816</v>
      </c>
      <c r="P101" t="s">
        <v>4081</v>
      </c>
      <c r="Q101" t="str">
        <f t="shared" si="5"/>
        <v xml:space="preserve">    deployment_metadata_tu: "&lt;a href=\"09_glossary.html#deployment_metadata\" target=\"_blank\" data-bs-toggle=\"tooltip\" data-bs-title=\"Deployment metadata: Metadata that is collected each time a camera is deployed. Each deployment event should have its own Camera Deployment Field Datasheet. The relevant metadata fields that should be collected differ when a camera is deployed vs. serviced or retrieved.&lt;br&gt;&lt;br&gt;Refer to Appendix A - Table A5 and Camera Deployment Field Datasheet.\"&gt;Deployment metadata&lt;button type=\"button\" class=\"btn btn-bd-tip-info-hidden btn-sm position-relative\"&gt;.&lt;span class=\"position-absolute top-0 start-100 translate-middle\"&gt;{{ icon_info }}&lt;/span&gt;&lt;/button&gt;&lt;/a&gt;"</v>
      </c>
      <c r="R101" t="b" cm="1">
        <f t="array" ref="R101">SUMPRODUCT(--EXACT($J$2:$J$490,J101))&gt;1</f>
        <v>0</v>
      </c>
      <c r="S101" t="s">
        <v>4274</v>
      </c>
    </row>
    <row r="102" spans="1:19">
      <c r="A102" s="30">
        <v>3</v>
      </c>
      <c r="B102" s="30" t="s">
        <v>1393</v>
      </c>
      <c r="C102" s="30"/>
      <c r="D102" s="30" t="s">
        <v>1208</v>
      </c>
      <c r="E102" s="30" t="s">
        <v>984</v>
      </c>
      <c r="F102" s="30" t="s">
        <v>292</v>
      </c>
      <c r="G102" s="39" t="str">
        <f>VLOOKUP(F102,glossary!J:N,2,FALSE)</f>
        <v>Deployment Name</v>
      </c>
      <c r="H102" s="34" t="s">
        <v>292</v>
      </c>
      <c r="I102" s="45" t="str">
        <f t="shared" si="3"/>
        <v>deployment_name_tu</v>
      </c>
      <c r="J102" s="42" t="s">
        <v>692</v>
      </c>
      <c r="K102" s="39" t="str">
        <f>VLOOKUP(F102,glossary!J:N,5,FALSE)</f>
        <v>A unique alphanumeric identifier for a unique camera deployed during a specific survey period (ideally recorded as: 'Camera Location Name'_'Deployment Start Date' (or …_'Deployment End Date') (e.g., 'bh1_17-Jul-2018' or 'bh1_17-Jul-2018_21-Jan-2019'). &lt;br&gt; &lt;br&gt; Alternative naming conventions may be used, but the goal should be to minimize duplicate Image Names.</v>
      </c>
      <c r="L102" t="s">
        <v>1653</v>
      </c>
      <c r="M102" s="30" t="str">
        <f t="shared" si="4"/>
        <v>{{ deployment_name_tu }}</v>
      </c>
      <c r="N102" t="s">
        <v>896</v>
      </c>
      <c r="O102" s="13" t="s">
        <v>1816</v>
      </c>
      <c r="P102" t="s">
        <v>4081</v>
      </c>
      <c r="Q102" t="str">
        <f t="shared" si="5"/>
        <v xml:space="preserve">    deployment_name_tu: "&lt;a href=\"09_glossary.html#deployment_name\" target=\"_blank\" data-bs-toggle=\"tooltip\" data-bs-title=\"Deployment Name: A unique alphanumeric identifier for a unique camera deployed during a specific survey period (ideally recorded as: 'Camera Location Name'_'Deployment Start Date' (or …_'Deployment End Date') (e.g., 'bh1_17-Jul-2018' or 'bh1_17-Jul-2018_21-Jan-2019'). &lt;br&gt; &lt;br&gt; Alternative naming conventions may be used, but the goal should be to minimize duplicate Image Names.\"&gt;Deployment Name&lt;button type=\"button\" class=\"btn btn-bd-tip-info-hidden btn-sm position-relative\"&gt;.&lt;span class=\"position-absolute top-0 start-100 translate-middle\"&gt;{{ icon_info }}&lt;/span&gt;&lt;/button&gt;&lt;/a&gt;"</v>
      </c>
      <c r="R102" t="b" cm="1">
        <f t="array" ref="R102">SUMPRODUCT(--EXACT($J$2:$J$490,J102))&gt;1</f>
        <v>0</v>
      </c>
      <c r="S102" t="s">
        <v>4275</v>
      </c>
    </row>
    <row r="103" spans="1:19">
      <c r="A103" s="30">
        <v>1</v>
      </c>
      <c r="B103" s="30" t="s">
        <v>1064</v>
      </c>
      <c r="C103" s="30"/>
      <c r="D103" s="30" t="s">
        <v>1208</v>
      </c>
      <c r="E103" s="30" t="s">
        <v>1757</v>
      </c>
      <c r="F103" s="30" t="s">
        <v>290</v>
      </c>
      <c r="G103" s="39" t="str">
        <f>VLOOKUP(F103,glossary!J:N,2,FALSE)</f>
        <v>Deployment Start Date Time (DD-MMM-YYYY HH:MM:SS)</v>
      </c>
      <c r="H103" s="30" t="s">
        <v>290</v>
      </c>
      <c r="I103" s="45" t="str">
        <f t="shared" si="3"/>
        <v>deployment_start_date_time_tu_nu</v>
      </c>
      <c r="J103" s="39" t="s">
        <v>1067</v>
      </c>
      <c r="K103" s="39" t="str">
        <f>VLOOKUP(F103,glossary!J:N,5,FALSE)</f>
        <v>The date and time that a camera was placed for a specific deployment (e.g., 17-Jan-2018 10:34:22). &lt;br&gt;&lt;br&gt;The Deployment Start Date Time may not coincide with when the first image or video was collected (i.e., the Image Set Start Date Time). Recording this field allows users to account for deployments where no images were captured and to confirm the first date and time a camera was active.</v>
      </c>
      <c r="L103" s="30" t="s">
        <v>1090</v>
      </c>
      <c r="M103" s="30" t="str">
        <f t="shared" si="4"/>
        <v>{{ deployment_start_date_time_tu_nu }}</v>
      </c>
      <c r="N103" t="s">
        <v>896</v>
      </c>
      <c r="O103" s="13" t="s">
        <v>1816</v>
      </c>
      <c r="P103" t="s">
        <v>4081</v>
      </c>
      <c r="Q103" t="str">
        <f t="shared" si="5"/>
        <v xml:space="preserve">    deployment_start_date_time_tu_nu: "&lt;a href=\"09_glossary.html#deployment_start_date_time\" target=\"_blank\" data-bs-toggle=\"tooltip\" data-bs-title=\"Deployment Start Date Time (DD-MMM-YYYY HH:MM:SS): The date and time that a camera was placed for a specific deployment (e.g., 17-Jan-2018 10:34:22). &lt;br&gt;&lt;br&gt;The Deployment Start Date Time may not coincide with when the first image or video was collected (i.e., the Image Set Start Date Time). Recording this field allows users to account for deployments where no images were captured and to confirm the first date and time a camera was active.\"&gt;Deployment Start Date Time&lt;button type=\"button\" class=\"btn btn-bd-tip-info-hidden btn-sm position-relative\"&gt;.&lt;span class=\"position-absolute top-0 start-100 translate-middle\"&gt;{{ icon_info }}&lt;/span&gt;&lt;/button&gt;&lt;/a&gt;"</v>
      </c>
      <c r="R103" t="b" cm="1">
        <f t="array" ref="R103">SUMPRODUCT(--EXACT($J$2:$J$490,J103))&gt;1</f>
        <v>0</v>
      </c>
      <c r="S103" t="s">
        <v>4276</v>
      </c>
    </row>
    <row r="104" spans="1:19">
      <c r="A104" s="30">
        <v>3</v>
      </c>
      <c r="B104" s="30" t="s">
        <v>1393</v>
      </c>
      <c r="C104" s="30"/>
      <c r="D104" s="30" t="s">
        <v>1208</v>
      </c>
      <c r="E104" s="30" t="s">
        <v>1751</v>
      </c>
      <c r="F104" s="30" t="s">
        <v>290</v>
      </c>
      <c r="G104" s="39" t="str">
        <f>VLOOKUP(F104,glossary!J:N,2,FALSE)</f>
        <v>Deployment Start Date Time (DD-MMM-YYYY HH:MM:SS)</v>
      </c>
      <c r="H104" s="34" t="s">
        <v>290</v>
      </c>
      <c r="I104" s="45" t="str">
        <f t="shared" si="3"/>
        <v>deployment_start_date_time_tu_u</v>
      </c>
      <c r="J104" s="42" t="s">
        <v>693</v>
      </c>
      <c r="K104" s="39" t="str">
        <f>VLOOKUP(F104,glossary!J:N,5,FALSE)</f>
        <v>The date and time that a camera was placed for a specific deployment (e.g., 17-Jan-2018 10:34:22). &lt;br&gt;&lt;br&gt;The Deployment Start Date Time may not coincide with when the first image or video was collected (i.e., the Image Set Start Date Time). Recording this field allows users to account for deployments where no images were captured and to confirm the first date and time a camera was active.</v>
      </c>
      <c r="L104" t="s">
        <v>1652</v>
      </c>
      <c r="M104" s="30" t="str">
        <f t="shared" si="4"/>
        <v>{{ deployment_start_date_time_tu_u }}</v>
      </c>
      <c r="N104" t="s">
        <v>896</v>
      </c>
      <c r="O104" s="13" t="s">
        <v>1816</v>
      </c>
      <c r="P104" t="s">
        <v>4081</v>
      </c>
      <c r="Q104" t="str">
        <f t="shared" si="5"/>
        <v xml:space="preserve">    deployment_start_date_time_tu_u: "&lt;a href=\"09_glossary.html#deployment_start_date_time\" target=\"_blank\" data-bs-toggle=\"tooltip\" data-bs-title=\"Deployment Start Date Time (DD-MMM-YYYY HH:MM:SS): The date and time that a camera was placed for a specific deployment (e.g., 17-Jan-2018 10:34:22). &lt;br&gt;&lt;br&gt;The Deployment Start Date Time may not coincide with when the first image or video was collected (i.e., the Image Set Start Date Time). Recording this field allows users to account for deployments where no images were captured and to confirm the first date and time a camera was active.\"&gt;Deployment Start Date Time (DD-MMM-YYYY HH:MM:SS)&lt;button type=\"button\" class=\"btn btn-bd-tip-info-hidden btn-sm position-relative\"&gt;.&lt;span class=\"position-absolute top-0 start-100 translate-middle\"&gt;{{ icon_info }}&lt;/span&gt;&lt;/button&gt;&lt;/a&gt;"</v>
      </c>
      <c r="R104" t="b" cm="1">
        <f t="array" ref="R104">SUMPRODUCT(--EXACT($J$2:$J$490,J104))&gt;1</f>
        <v>0</v>
      </c>
      <c r="S104" t="s">
        <v>4277</v>
      </c>
    </row>
    <row r="105" spans="1:19">
      <c r="A105" s="30">
        <v>3</v>
      </c>
      <c r="B105" s="30" t="s">
        <v>1393</v>
      </c>
      <c r="C105" s="30"/>
      <c r="D105" s="30" t="s">
        <v>1207</v>
      </c>
      <c r="E105" s="30" t="s">
        <v>984</v>
      </c>
      <c r="F105" s="30" t="s">
        <v>208</v>
      </c>
      <c r="G105" s="39" t="str">
        <f>VLOOKUP(F105,glossary!J:N,2,FALSE)</f>
        <v>Deployment visit</v>
      </c>
      <c r="H105" s="34" t="s">
        <v>208</v>
      </c>
      <c r="I105" s="45" t="str">
        <f t="shared" si="3"/>
        <v>deployment_visit_tl</v>
      </c>
      <c r="J105" s="43" t="s">
        <v>913</v>
      </c>
      <c r="K105" s="39" t="str">
        <f>VLOOKUP(F105,glossary!J:N,5,FALSE)</f>
        <v>When a crew has gone to a location to deploy a remote camera.</v>
      </c>
      <c r="L105" t="s">
        <v>1651</v>
      </c>
      <c r="M105" s="30" t="str">
        <f t="shared" si="4"/>
        <v>{{ deployment_visit_tl }}</v>
      </c>
      <c r="N105" t="s">
        <v>896</v>
      </c>
      <c r="O105" s="13" t="s">
        <v>1816</v>
      </c>
      <c r="P105" t="s">
        <v>4081</v>
      </c>
      <c r="Q105" t="str">
        <f t="shared" si="5"/>
        <v xml:space="preserve">    deployment_visit_tl: "&lt;a href=\"09_glossary.html#deployment_visit\" target=\"_blank\" data-bs-toggle=\"tooltip\" data-bs-title=\"Deployment visit: When a crew has gone to a location to deploy a remote camera.\"&gt;deployment visit&lt;button type=\"button\" class=\"btn btn-bd-tip-info-hidden btn-sm position-relative\"&gt;.&lt;span class=\"position-absolute top-0 start-100 translate-middle\"&gt;{{ icon_info }}&lt;/span&gt;&lt;/button&gt;&lt;/a&gt;"</v>
      </c>
      <c r="R105" t="b" cm="1">
        <f t="array" ref="R105">SUMPRODUCT(--EXACT($J$2:$J$490,J105))&gt;1</f>
        <v>0</v>
      </c>
      <c r="S105" t="s">
        <v>4278</v>
      </c>
    </row>
    <row r="106" spans="1:19">
      <c r="A106" s="30">
        <v>3</v>
      </c>
      <c r="B106" s="30" t="s">
        <v>1393</v>
      </c>
      <c r="C106" s="30"/>
      <c r="D106" s="30" t="s">
        <v>1208</v>
      </c>
      <c r="E106" s="30" t="s">
        <v>984</v>
      </c>
      <c r="F106" s="30" t="s">
        <v>208</v>
      </c>
      <c r="G106" s="39" t="str">
        <f>VLOOKUP(F106,glossary!J:N,2,FALSE)</f>
        <v>Deployment visit</v>
      </c>
      <c r="H106" s="34" t="s">
        <v>208</v>
      </c>
      <c r="I106" s="45" t="str">
        <f t="shared" si="3"/>
        <v>deployment_visit_tu</v>
      </c>
      <c r="J106" s="42" t="s">
        <v>210</v>
      </c>
      <c r="K106" s="39" t="str">
        <f>VLOOKUP(F106,glossary!J:N,5,FALSE)</f>
        <v>When a crew has gone to a location to deploy a remote camera.</v>
      </c>
      <c r="L106" t="s">
        <v>1650</v>
      </c>
      <c r="M106" s="30" t="str">
        <f t="shared" si="4"/>
        <v>{{ deployment_visit_tu }}</v>
      </c>
      <c r="N106" t="s">
        <v>896</v>
      </c>
      <c r="O106" s="13" t="s">
        <v>1816</v>
      </c>
      <c r="P106" t="s">
        <v>4081</v>
      </c>
      <c r="Q106" t="str">
        <f t="shared" si="5"/>
        <v xml:space="preserve">    deployment_visit_tu: "&lt;a href=\"09_glossary.html#deployment_visit\" target=\"_blank\" data-bs-toggle=\"tooltip\" data-bs-title=\"Deployment visit: When a crew has gone to a location to deploy a remote camera.\"&gt;Deployment visit&lt;button type=\"button\" class=\"btn btn-bd-tip-info-hidden btn-sm position-relative\"&gt;.&lt;span class=\"position-absolute top-0 start-100 translate-middle\"&gt;{{ icon_info }}&lt;/span&gt;&lt;/button&gt;&lt;/a&gt;"</v>
      </c>
      <c r="R106" t="b" cm="1">
        <f t="array" ref="R106">SUMPRODUCT(--EXACT($J$2:$J$490,J106))&gt;1</f>
        <v>0</v>
      </c>
      <c r="S106" t="s">
        <v>4279</v>
      </c>
    </row>
    <row r="107" spans="1:19">
      <c r="A107" s="30">
        <v>3</v>
      </c>
      <c r="B107" s="30" t="s">
        <v>1393</v>
      </c>
      <c r="C107" s="30"/>
      <c r="D107" s="30" t="s">
        <v>1207</v>
      </c>
      <c r="E107" s="30" t="s">
        <v>984</v>
      </c>
      <c r="F107" s="30" t="s">
        <v>205</v>
      </c>
      <c r="G107" s="39" t="str">
        <f>VLOOKUP(F107,glossary!J:N,2,FALSE)</f>
        <v>Detection distance</v>
      </c>
      <c r="H107" s="34" t="s">
        <v>205</v>
      </c>
      <c r="I107" s="45" t="str">
        <f t="shared" si="3"/>
        <v>detection_distance_tl</v>
      </c>
      <c r="J107" s="43" t="s">
        <v>914</v>
      </c>
      <c r="K107" s="39" t="str">
        <f>VLOOKUP(F107,glossary!J:N,5,FALSE)</f>
        <v>The maximum distance that a sensor can detect a target' (Wearn and Glover-Kapfer, 2017).</v>
      </c>
      <c r="L107" t="s">
        <v>1649</v>
      </c>
      <c r="M107" s="30" t="str">
        <f t="shared" si="4"/>
        <v>{{ detection_distance_tl }}</v>
      </c>
      <c r="N107" t="s">
        <v>896</v>
      </c>
      <c r="O107" s="13" t="s">
        <v>1816</v>
      </c>
      <c r="P107" t="s">
        <v>4081</v>
      </c>
      <c r="Q107" t="str">
        <f t="shared" si="5"/>
        <v xml:space="preserve">    detection_distance_tl: "&lt;a href=\"09_glossary.html#detection_distance\" target=\"_blank\" data-bs-toggle=\"tooltip\" data-bs-title=\"Detection distance: The maximum distance that a sensor can detect a target' (Wearn and Glover-Kapfer, 2017).\"&gt;detection distance&lt;button type=\"button\" class=\"btn btn-bd-tip-info-hidden btn-sm position-relative\"&gt;.&lt;span class=\"position-absolute top-0 start-100 translate-middle\"&gt;{{ icon_info }}&lt;/span&gt;&lt;/button&gt;&lt;/a&gt;"</v>
      </c>
      <c r="R107" t="b" cm="1">
        <f t="array" ref="R107">SUMPRODUCT(--EXACT($J$2:$J$490,J107))&gt;1</f>
        <v>0</v>
      </c>
      <c r="S107" t="s">
        <v>4280</v>
      </c>
    </row>
    <row r="108" spans="1:19">
      <c r="A108" s="30">
        <v>3</v>
      </c>
      <c r="B108" s="30" t="s">
        <v>1393</v>
      </c>
      <c r="C108" s="30"/>
      <c r="D108" s="30" t="s">
        <v>1208</v>
      </c>
      <c r="E108" s="30" t="s">
        <v>984</v>
      </c>
      <c r="F108" s="30" t="s">
        <v>205</v>
      </c>
      <c r="G108" s="39" t="str">
        <f>VLOOKUP(F108,glossary!J:N,2,FALSE)</f>
        <v>Detection distance</v>
      </c>
      <c r="H108" s="34" t="s">
        <v>205</v>
      </c>
      <c r="I108" s="45" t="str">
        <f t="shared" si="3"/>
        <v>detection_distance_tu</v>
      </c>
      <c r="J108" s="42" t="s">
        <v>206</v>
      </c>
      <c r="K108" s="39" t="str">
        <f>VLOOKUP(F108,glossary!J:N,5,FALSE)</f>
        <v>The maximum distance that a sensor can detect a target' (Wearn and Glover-Kapfer, 2017).</v>
      </c>
      <c r="L108" t="s">
        <v>1648</v>
      </c>
      <c r="M108" s="30" t="str">
        <f t="shared" si="4"/>
        <v>{{ detection_distance_tu }}</v>
      </c>
      <c r="N108" t="s">
        <v>896</v>
      </c>
      <c r="O108" s="13" t="s">
        <v>1816</v>
      </c>
      <c r="P108" t="s">
        <v>4081</v>
      </c>
      <c r="Q108" t="str">
        <f t="shared" si="5"/>
        <v xml:space="preserve">    detection_distance_tu: "&lt;a href=\"09_glossary.html#detection_distance\" target=\"_blank\" data-bs-toggle=\"tooltip\" data-bs-title=\"Detection distance: The maximum distance that a sensor can detect a target' (Wearn and Glover-Kapfer, 2017).\"&gt;Detection distance&lt;button type=\"button\" class=\"btn btn-bd-tip-info-hidden btn-sm position-relative\"&gt;.&lt;span class=\"position-absolute top-0 start-100 translate-middle\"&gt;{{ icon_info }}&lt;/span&gt;&lt;/button&gt;&lt;/a&gt;"</v>
      </c>
      <c r="R108" t="b" cm="1">
        <f t="array" ref="R108">SUMPRODUCT(--EXACT($J$2:$J$490,J108))&gt;1</f>
        <v>0</v>
      </c>
      <c r="S108" t="s">
        <v>4281</v>
      </c>
    </row>
    <row r="109" spans="1:19">
      <c r="A109" s="30">
        <v>3</v>
      </c>
      <c r="B109" s="30" t="s">
        <v>1393</v>
      </c>
      <c r="C109" s="30"/>
      <c r="D109" s="30" t="s">
        <v>1207</v>
      </c>
      <c r="E109" s="30" t="s">
        <v>984</v>
      </c>
      <c r="F109" s="30" t="s">
        <v>207</v>
      </c>
      <c r="G109" s="39" t="str">
        <f>VLOOKUP(F109,glossary!J:N,2,FALSE)</f>
        <v>Detection 'event'</v>
      </c>
      <c r="H109" s="34" t="s">
        <v>207</v>
      </c>
      <c r="I109" s="45" t="str">
        <f t="shared" si="3"/>
        <v>detection_event_tl</v>
      </c>
      <c r="J109" s="43" t="s">
        <v>915</v>
      </c>
      <c r="K109" s="39" t="str">
        <f>VLOOKUP(F109,glossary!J:N,5,FALSE)</f>
        <v>A group of images or video clips that are considered independent from other images or video clips based on a certain time threshold (or 'inter-detection interval'). For example, 30 minutes (O’Brien et al., 2003; Gerber et al., 2010; Kitamura et al., 2010; Samejima et al., 2012) or 1 hour (e.g., Tobler et al., 2008; Rovero &amp; Marshall, 2009).</v>
      </c>
      <c r="L109" t="s">
        <v>1647</v>
      </c>
      <c r="M109" s="30" t="str">
        <f t="shared" si="4"/>
        <v>{{ detection_event_tl }}</v>
      </c>
      <c r="N109" t="s">
        <v>896</v>
      </c>
      <c r="O109" s="13" t="s">
        <v>1816</v>
      </c>
      <c r="P109" t="s">
        <v>4081</v>
      </c>
      <c r="Q109" t="str">
        <f t="shared" si="5"/>
        <v xml:space="preserve">    detection_event_tl: "&lt;a href=\"09_glossary.html#detection_event\" target=\"_blank\" data-bs-toggle=\"tooltip\" data-bs-title=\"Detection 'event': A group of images or video clips that are considered independent from other images or video clips based on a certain time threshold (or 'inter-detection interval'). For example, 30 minutes (O’Brien et al., 2003; Gerber et al., 2010; Kitamura et al., 2010; Samejima et al., 2012) or 1 hour (e.g., Tobler et al., 2008; Rovero &amp; Marshall, 2009).\"&gt;detection 'event'&lt;button type=\"button\" class=\"btn btn-bd-tip-info-hidden btn-sm position-relative\"&gt;.&lt;span class=\"position-absolute top-0 start-100 translate-middle\"&gt;{{ icon_info }}&lt;/span&gt;&lt;/button&gt;&lt;/a&gt;"</v>
      </c>
      <c r="R109" t="b" cm="1">
        <f t="array" ref="R109">SUMPRODUCT(--EXACT($J$2:$J$490,J109))&gt;1</f>
        <v>0</v>
      </c>
      <c r="S109" t="s">
        <v>4282</v>
      </c>
    </row>
    <row r="110" spans="1:19">
      <c r="A110" s="30">
        <v>3</v>
      </c>
      <c r="B110" s="30" t="s">
        <v>1393</v>
      </c>
      <c r="C110" s="30"/>
      <c r="D110" s="30" t="s">
        <v>1208</v>
      </c>
      <c r="E110" s="30" t="s">
        <v>984</v>
      </c>
      <c r="F110" s="30" t="s">
        <v>207</v>
      </c>
      <c r="G110" s="39" t="str">
        <f>VLOOKUP(F110,glossary!J:N,2,FALSE)</f>
        <v>Detection 'event'</v>
      </c>
      <c r="H110" s="34" t="s">
        <v>207</v>
      </c>
      <c r="I110" s="45" t="str">
        <f t="shared" si="3"/>
        <v>detection_event_tu</v>
      </c>
      <c r="J110" s="42" t="s">
        <v>455</v>
      </c>
      <c r="K110" s="39" t="str">
        <f>VLOOKUP(F110,glossary!J:N,5,FALSE)</f>
        <v>A group of images or video clips that are considered independent from other images or video clips based on a certain time threshold (or 'inter-detection interval'). For example, 30 minutes (O’Brien et al., 2003; Gerber et al., 2010; Kitamura et al., 2010; Samejima et al., 2012) or 1 hour (e.g., Tobler et al., 2008; Rovero &amp; Marshall, 2009).</v>
      </c>
      <c r="L110" t="s">
        <v>1646</v>
      </c>
      <c r="M110" s="30" t="str">
        <f t="shared" si="4"/>
        <v>{{ detection_event_tu }}</v>
      </c>
      <c r="N110" t="s">
        <v>896</v>
      </c>
      <c r="O110" s="13" t="s">
        <v>1816</v>
      </c>
      <c r="P110" t="s">
        <v>4081</v>
      </c>
      <c r="Q110" t="str">
        <f t="shared" si="5"/>
        <v xml:space="preserve">    detection_event_tu: "&lt;a href=\"09_glossary.html#detection_event\" target=\"_blank\" data-bs-toggle=\"tooltip\" data-bs-title=\"Detection 'event': A group of images or video clips that are considered independent from other images or video clips based on a certain time threshold (or 'inter-detection interval'). For example, 30 minutes (O’Brien et al., 2003; Gerber et al., 2010; Kitamura et al., 2010; Samejima et al., 2012) or 1 hour (e.g., Tobler et al., 2008; Rovero &amp; Marshall, 2009).\"&gt;Detection 'event'&lt;button type=\"button\" class=\"btn btn-bd-tip-info-hidden btn-sm position-relative\"&gt;.&lt;span class=\"position-absolute top-0 start-100 translate-middle\"&gt;{{ icon_info }}&lt;/span&gt;&lt;/button&gt;&lt;/a&gt;"</v>
      </c>
      <c r="R110" t="b" cm="1">
        <f t="array" ref="R110">SUMPRODUCT(--EXACT($J$2:$J$490,J110))&gt;1</f>
        <v>0</v>
      </c>
      <c r="S110" t="s">
        <v>4283</v>
      </c>
    </row>
    <row r="111" spans="1:19">
      <c r="A111" s="30">
        <v>3</v>
      </c>
      <c r="B111" s="30" t="s">
        <v>1064</v>
      </c>
      <c r="C111" s="30"/>
      <c r="D111" s="30" t="s">
        <v>1207</v>
      </c>
      <c r="E111" s="30" t="s">
        <v>1752</v>
      </c>
      <c r="F111" s="30" t="s">
        <v>203</v>
      </c>
      <c r="G111" s="39" t="str">
        <f>VLOOKUP(F111,glossary!J:N,2,FALSE)</f>
        <v>Detection probability (aka detectability)</v>
      </c>
      <c r="H111" s="30" t="s">
        <v>203</v>
      </c>
      <c r="I111" s="45" t="str">
        <f t="shared" si="3"/>
        <v>detection_probability_tl_abrv</v>
      </c>
      <c r="J111" s="43" t="s">
        <v>1191</v>
      </c>
      <c r="K111" s="39" t="str">
        <f>VLOOKUP(F111,glossary!J:N,5,FALSE)</f>
        <v>The probability (likelihood) that an individual of the population of interest is included in the count at time or location *i*.</v>
      </c>
      <c r="L111" t="s">
        <v>1726</v>
      </c>
      <c r="M111" s="30" t="str">
        <f t="shared" si="4"/>
        <v>{{ detection_probability_tl_abrv }}</v>
      </c>
      <c r="N111" t="s">
        <v>896</v>
      </c>
      <c r="O111" s="13" t="s">
        <v>1816</v>
      </c>
      <c r="P111" t="s">
        <v>4081</v>
      </c>
      <c r="Q111" t="str">
        <f t="shared" si="5"/>
        <v xml:space="preserve">    detection_probability_tl_abrv: "&lt;a href=\"09_glossary.html#detection_probability\" target=\"_blank\" data-bs-toggle=\"tooltip\" data-bs-title=\"Detection probability (aka detectability): The probability (likelihood) that an individual of the population of interest is included in the count at time or location *i*.\"&gt;detection probability&lt;button type=\"button\" class=\"btn btn-bd-tip-info-hidden btn-sm position-relative\"&gt;.&lt;span class=\"position-absolute top-0 start-100 translate-middle\"&gt;{{ icon_info }}&lt;/span&gt;&lt;/button&gt;&lt;/a&gt;"</v>
      </c>
      <c r="R111" t="b" cm="1">
        <f t="array" ref="R111">SUMPRODUCT(--EXACT($J$2:$J$490,J111))&gt;1</f>
        <v>0</v>
      </c>
      <c r="S111" t="s">
        <v>4284</v>
      </c>
    </row>
    <row r="112" spans="1:19">
      <c r="A112" s="30">
        <v>1</v>
      </c>
      <c r="B112" s="30" t="s">
        <v>1064</v>
      </c>
      <c r="C112" s="30" t="s">
        <v>429</v>
      </c>
      <c r="D112" s="30" t="s">
        <v>1207</v>
      </c>
      <c r="E112" s="30" t="s">
        <v>1753</v>
      </c>
      <c r="F112" s="30" t="s">
        <v>203</v>
      </c>
      <c r="G112" s="39" t="str">
        <f>VLOOKUP(F112,glossary!J:N,2,FALSE)</f>
        <v>Detection probability (aka detectability)</v>
      </c>
      <c r="H112" s="30" t="s">
        <v>203</v>
      </c>
      <c r="I112" s="45" t="str">
        <f t="shared" si="3"/>
        <v>detection_probability_tl_abrv2</v>
      </c>
      <c r="J112" s="39" t="s">
        <v>1727</v>
      </c>
      <c r="K112" s="39" t="str">
        <f>VLOOKUP(F112,glossary!J:N,5,FALSE)</f>
        <v>The probability (likelihood) that an individual of the population of interest is included in the count at time or location *i*.</v>
      </c>
      <c r="L112" s="30" t="s">
        <v>1100</v>
      </c>
      <c r="M112" s="30" t="str">
        <f t="shared" si="4"/>
        <v>{{ detection_probability_tl_abrv2 }}</v>
      </c>
      <c r="N112" t="s">
        <v>896</v>
      </c>
      <c r="O112" s="13" t="s">
        <v>1816</v>
      </c>
      <c r="P112" t="s">
        <v>4081</v>
      </c>
      <c r="Q112" t="str">
        <f t="shared" si="5"/>
        <v xml:space="preserve">    detection_probability_tl_abrv2: "&lt;a href=\"09_glossary.html#detection_probability\" target=\"_blank\" data-bs-toggle=\"tooltip\" data-bs-title=\"Detection probability (aka detectability): The probability (likelihood) that an individual of the population of interest is included in the count at time or location *i*.\"&gt;detectability&lt;button type=\"button\" class=\"btn btn-bd-tip-info-hidden btn-sm position-relative\"&gt;.&lt;span class=\"position-absolute top-0 start-100 translate-middle\"&gt;{{ icon_info }}&lt;/span&gt;&lt;/button&gt;&lt;/a&gt;"</v>
      </c>
      <c r="R112" t="b" cm="1">
        <f t="array" ref="R112">SUMPRODUCT(--EXACT($J$2:$J$490,J112))&gt;1</f>
        <v>0</v>
      </c>
      <c r="S112" t="s">
        <v>4285</v>
      </c>
    </row>
    <row r="113" spans="1:19">
      <c r="A113" s="30">
        <v>3</v>
      </c>
      <c r="B113" s="30" t="s">
        <v>1393</v>
      </c>
      <c r="C113" s="30"/>
      <c r="D113" s="30" t="s">
        <v>1207</v>
      </c>
      <c r="E113" s="30" t="s">
        <v>1754</v>
      </c>
      <c r="F113" s="30" t="s">
        <v>203</v>
      </c>
      <c r="G113" s="39" t="str">
        <f>VLOOKUP(F113,glossary!J:N,2,FALSE)</f>
        <v>Detection probability (aka detectability)</v>
      </c>
      <c r="H113" s="30" t="s">
        <v>203</v>
      </c>
      <c r="I113" s="45" t="str">
        <f t="shared" si="3"/>
        <v>detection_probability_tl_aka</v>
      </c>
      <c r="J113" s="43" t="s">
        <v>916</v>
      </c>
      <c r="K113" s="39" t="str">
        <f>VLOOKUP(F113,glossary!J:N,5,FALSE)</f>
        <v>The probability (likelihood) that an individual of the population of interest is included in the count at time or location *i*.</v>
      </c>
      <c r="L113" t="s">
        <v>1645</v>
      </c>
      <c r="M113" s="30" t="str">
        <f t="shared" si="4"/>
        <v>{{ detection_probability_tl_aka }}</v>
      </c>
      <c r="N113" t="s">
        <v>896</v>
      </c>
      <c r="O113" s="13" t="s">
        <v>1816</v>
      </c>
      <c r="P113" t="s">
        <v>4081</v>
      </c>
      <c r="Q113" t="str">
        <f t="shared" si="5"/>
        <v xml:space="preserve">    detection_probability_tl_aka: "&lt;a href=\"09_glossary.html#detection_probability\" target=\"_blank\" data-bs-toggle=\"tooltip\" data-bs-title=\"Detection probability (aka detectability): The probability (likelihood) that an individual of the population of interest is included in the count at time or location *i*.\"&gt;detection probability (aka detectability)&lt;button type=\"button\" class=\"btn btn-bd-tip-info-hidden btn-sm position-relative\"&gt;.&lt;span class=\"position-absolute top-0 start-100 translate-middle\"&gt;{{ icon_info }}&lt;/span&gt;&lt;/button&gt;&lt;/a&gt;"</v>
      </c>
      <c r="R113" t="b" cm="1">
        <f t="array" ref="R113">SUMPRODUCT(--EXACT($J$2:$J$490,J113))&gt;1</f>
        <v>0</v>
      </c>
      <c r="S113" t="s">
        <v>4286</v>
      </c>
    </row>
    <row r="114" spans="1:19">
      <c r="A114" s="30">
        <v>1</v>
      </c>
      <c r="B114" s="30" t="s">
        <v>1064</v>
      </c>
      <c r="C114" s="30" t="s">
        <v>429</v>
      </c>
      <c r="D114" s="30" t="s">
        <v>1207</v>
      </c>
      <c r="E114" s="30" t="s">
        <v>1758</v>
      </c>
      <c r="F114" s="30" t="s">
        <v>203</v>
      </c>
      <c r="G114" s="39" t="str">
        <f>VLOOKUP(F114,glossary!J:N,2,FALSE)</f>
        <v>Detection probability (aka detectability)</v>
      </c>
      <c r="H114" s="30" t="s">
        <v>203</v>
      </c>
      <c r="I114" s="45" t="str">
        <f t="shared" si="3"/>
        <v>detection_probability_tl_pl</v>
      </c>
      <c r="J114" s="39" t="s">
        <v>1200</v>
      </c>
      <c r="K114" s="39" t="str">
        <f>VLOOKUP(F114,glossary!J:N,5,FALSE)</f>
        <v>The probability (likelihood) that an individual of the population of interest is included in the count at time or location *i*.</v>
      </c>
      <c r="L114" s="30" t="s">
        <v>1201</v>
      </c>
      <c r="M114" s="30" t="str">
        <f t="shared" si="4"/>
        <v>{{ detection_probability_tl_pl }}</v>
      </c>
      <c r="N114" t="s">
        <v>896</v>
      </c>
      <c r="O114" s="13" t="s">
        <v>1816</v>
      </c>
      <c r="P114" t="s">
        <v>4081</v>
      </c>
      <c r="Q114" t="str">
        <f t="shared" si="5"/>
        <v xml:space="preserve">    detection_probability_tl_pl: "&lt;a href=\"09_glossary.html#detection_probability\" target=\"_blank\" data-bs-toggle=\"tooltip\" data-bs-title=\"Detection probability (aka detectability): The probability (likelihood) that an individual of the population of interest is included in the count at time or location *i*.\"&gt;detection probabilities&lt;button type=\"button\" class=\"btn btn-bd-tip-info-hidden btn-sm position-relative\"&gt;.&lt;span class=\"position-absolute top-0 start-100 translate-middle\"&gt;{{ icon_info }}&lt;/span&gt;&lt;/button&gt;&lt;/a&gt;"</v>
      </c>
      <c r="R114" t="b" cm="1">
        <f t="array" ref="R114">SUMPRODUCT(--EXACT($J$2:$J$490,J114))&gt;1</f>
        <v>0</v>
      </c>
      <c r="S114" t="s">
        <v>4287</v>
      </c>
    </row>
    <row r="115" spans="1:19">
      <c r="A115" s="30">
        <v>3</v>
      </c>
      <c r="B115" s="30" t="s">
        <v>1064</v>
      </c>
      <c r="C115" s="30"/>
      <c r="D115" s="30" t="s">
        <v>1208</v>
      </c>
      <c r="E115" s="30" t="s">
        <v>1752</v>
      </c>
      <c r="F115" s="30" t="s">
        <v>203</v>
      </c>
      <c r="G115" s="39" t="str">
        <f>VLOOKUP(F115,glossary!J:N,2,FALSE)</f>
        <v>Detection probability (aka detectability)</v>
      </c>
      <c r="H115" s="30" t="s">
        <v>203</v>
      </c>
      <c r="I115" s="45" t="str">
        <f t="shared" si="3"/>
        <v>detection_probability_tu_abrv</v>
      </c>
      <c r="J115" s="42" t="s">
        <v>531</v>
      </c>
      <c r="K115" s="39" t="str">
        <f>VLOOKUP(F115,glossary!J:N,5,FALSE)</f>
        <v>The probability (likelihood) that an individual of the population of interest is included in the count at time or location *i*.</v>
      </c>
      <c r="L115" t="s">
        <v>1101</v>
      </c>
      <c r="M115" s="30" t="str">
        <f t="shared" si="4"/>
        <v>{{ detection_probability_tu_abrv }}</v>
      </c>
      <c r="N115" t="s">
        <v>896</v>
      </c>
      <c r="O115" s="13" t="s">
        <v>1816</v>
      </c>
      <c r="P115" t="s">
        <v>4081</v>
      </c>
      <c r="Q115" t="str">
        <f t="shared" si="5"/>
        <v xml:space="preserve">    detection_probability_tu_abrv: "&lt;a href=\"09_glossary.html#detection_probability\" target=\"_blank\" data-bs-toggle=\"tooltip\" data-bs-title=\"Detection probability (aka detectability): The probability (likelihood) that an individual of the population of interest is included in the count at time or location *i*.\"&gt;Detection probability&lt;button type=\"button\" class=\"btn btn-bd-tip-info-hidden btn-sm position-relative\"&gt;.&lt;span class=\"position-absolute top-0 start-100 translate-middle\"&gt;{{ icon_info }}&lt;/span&gt;&lt;/button&gt;&lt;/a&gt;"</v>
      </c>
      <c r="R115" t="b" cm="1">
        <f t="array" ref="R115">SUMPRODUCT(--EXACT($J$2:$J$490,J115))&gt;1</f>
        <v>0</v>
      </c>
      <c r="S115" t="s">
        <v>4288</v>
      </c>
    </row>
    <row r="116" spans="1:19">
      <c r="A116" s="30">
        <v>3</v>
      </c>
      <c r="B116" s="30" t="s">
        <v>1393</v>
      </c>
      <c r="C116" s="30"/>
      <c r="D116" s="30" t="s">
        <v>1208</v>
      </c>
      <c r="E116" s="30" t="s">
        <v>1754</v>
      </c>
      <c r="F116" s="30" t="s">
        <v>203</v>
      </c>
      <c r="G116" s="39" t="str">
        <f>VLOOKUP(F116,glossary!J:N,2,FALSE)</f>
        <v>Detection probability (aka detectability)</v>
      </c>
      <c r="H116" s="30" t="s">
        <v>203</v>
      </c>
      <c r="I116" s="45" t="str">
        <f t="shared" si="3"/>
        <v>detection_probability_tu_aka</v>
      </c>
      <c r="J116" s="42" t="s">
        <v>204</v>
      </c>
      <c r="K116" s="39" t="str">
        <f>VLOOKUP(F116,glossary!J:N,5,FALSE)</f>
        <v>The probability (likelihood) that an individual of the population of interest is included in the count at time or location *i*.</v>
      </c>
      <c r="L116" t="s">
        <v>1644</v>
      </c>
      <c r="M116" s="30" t="str">
        <f t="shared" si="4"/>
        <v>{{ detection_probability_tu_aka }}</v>
      </c>
      <c r="N116" t="s">
        <v>896</v>
      </c>
      <c r="O116" s="13" t="s">
        <v>1816</v>
      </c>
      <c r="P116" t="s">
        <v>4081</v>
      </c>
      <c r="Q116" t="str">
        <f t="shared" si="5"/>
        <v xml:space="preserve">    detection_probability_tu_aka: "&lt;a href=\"09_glossary.html#detection_probability\" target=\"_blank\" data-bs-toggle=\"tooltip\" data-bs-title=\"Detection probability (aka detectability): The probability (likelihood) that an individual of the population of interest is included in the count at time or location *i*.\"&gt;Detection probability (aka detectability)&lt;button type=\"button\" class=\"btn btn-bd-tip-info-hidden btn-sm position-relative\"&gt;.&lt;span class=\"position-absolute top-0 start-100 translate-middle\"&gt;{{ icon_info }}&lt;/span&gt;&lt;/button&gt;&lt;/a&gt;"</v>
      </c>
      <c r="R116" t="b" cm="1">
        <f t="array" ref="R116">SUMPRODUCT(--EXACT($J$2:$J$490,J116))&gt;1</f>
        <v>0</v>
      </c>
      <c r="S116" t="s">
        <v>4289</v>
      </c>
    </row>
    <row r="117" spans="1:19">
      <c r="A117" s="30">
        <v>3</v>
      </c>
      <c r="B117" s="30" t="s">
        <v>1393</v>
      </c>
      <c r="C117" s="30"/>
      <c r="D117" s="30" t="s">
        <v>1207</v>
      </c>
      <c r="E117" s="30" t="s">
        <v>984</v>
      </c>
      <c r="F117" s="30" t="s">
        <v>200</v>
      </c>
      <c r="G117" s="39" t="str">
        <f>VLOOKUP(F117,glossary!J:N,2,FALSE)</f>
        <v>Detection rate</v>
      </c>
      <c r="H117" s="34" t="s">
        <v>200</v>
      </c>
      <c r="I117" s="45" t="str">
        <f t="shared" si="3"/>
        <v>detection_rate_tl</v>
      </c>
      <c r="J117" s="43" t="s">
        <v>917</v>
      </c>
      <c r="K117" s="39" t="str">
        <f>VLOOKUP(F117,glossary!J:N,5,FALSE)</f>
        <v>The frequency of independent detections within a specified time period.</v>
      </c>
      <c r="L117" t="s">
        <v>1643</v>
      </c>
      <c r="M117" s="30" t="str">
        <f t="shared" si="4"/>
        <v>{{ detection_rate_tl }}</v>
      </c>
      <c r="N117" t="s">
        <v>896</v>
      </c>
      <c r="O117" s="13" t="s">
        <v>1816</v>
      </c>
      <c r="P117" t="s">
        <v>4081</v>
      </c>
      <c r="Q117" t="str">
        <f t="shared" si="5"/>
        <v xml:space="preserve">    detection_rate_tl: "&lt;a href=\"09_glossary.html#detection_rate\" target=\"_blank\" data-bs-toggle=\"tooltip\" data-bs-title=\"Detection rate: The frequency of independent detections within a specified time period.\"&gt;detection rate&lt;button type=\"button\" class=\"btn btn-bd-tip-info-hidden btn-sm position-relative\"&gt;.&lt;span class=\"position-absolute top-0 start-100 translate-middle\"&gt;{{ icon_info }}&lt;/span&gt;&lt;/button&gt;&lt;/a&gt;"</v>
      </c>
      <c r="R117" t="b" cm="1">
        <f t="array" ref="R117">SUMPRODUCT(--EXACT($J$2:$J$490,J117))&gt;1</f>
        <v>0</v>
      </c>
      <c r="S117" t="s">
        <v>4290</v>
      </c>
    </row>
    <row r="118" spans="1:19">
      <c r="A118" s="30">
        <v>1</v>
      </c>
      <c r="B118" s="30" t="s">
        <v>1064</v>
      </c>
      <c r="C118" s="30" t="s">
        <v>0</v>
      </c>
      <c r="D118" s="30" t="s">
        <v>1207</v>
      </c>
      <c r="E118" s="30" t="s">
        <v>1758</v>
      </c>
      <c r="F118" s="30" t="s">
        <v>200</v>
      </c>
      <c r="G118" s="39" t="str">
        <f>VLOOKUP(F118,glossary!J:N,2,FALSE)</f>
        <v>Detection rate</v>
      </c>
      <c r="H118" s="30" t="s">
        <v>200</v>
      </c>
      <c r="I118" s="45" t="str">
        <f t="shared" si="3"/>
        <v>detection_rate_tl_pl</v>
      </c>
      <c r="J118" s="39" t="s">
        <v>1206</v>
      </c>
      <c r="K118" s="39" t="str">
        <f>VLOOKUP(F118,glossary!J:N,5,FALSE)</f>
        <v>The frequency of independent detections within a specified time period.</v>
      </c>
      <c r="L118" s="30" t="s">
        <v>1204</v>
      </c>
      <c r="M118" s="30" t="str">
        <f t="shared" si="4"/>
        <v>{{ detection_rate_tl_pl }}</v>
      </c>
      <c r="N118" t="s">
        <v>896</v>
      </c>
      <c r="O118" s="13" t="s">
        <v>1816</v>
      </c>
      <c r="P118" t="s">
        <v>4081</v>
      </c>
      <c r="Q118" t="str">
        <f t="shared" si="5"/>
        <v xml:space="preserve">    detection_rate_tl_pl: "&lt;a href=\"09_glossary.html#detection_rate\" target=\"_blank\" data-bs-toggle=\"tooltip\" data-bs-title=\"Detection rate: The frequency of independent detections within a specified time period.\"&gt;detection rates&lt;button type=\"button\" class=\"btn btn-bd-tip-info-hidden btn-sm position-relative\"&gt;.&lt;span class=\"position-absolute top-0 start-100 translate-middle\"&gt;{{ icon_info }}&lt;/span&gt;&lt;/button&gt;&lt;/a&gt;"</v>
      </c>
      <c r="R118" t="b" cm="1">
        <f t="array" ref="R118">SUMPRODUCT(--EXACT($J$2:$J$490,J118))&gt;1</f>
        <v>0</v>
      </c>
      <c r="S118" t="s">
        <v>4291</v>
      </c>
    </row>
    <row r="119" spans="1:19">
      <c r="A119" s="30">
        <v>3</v>
      </c>
      <c r="B119" s="30" t="s">
        <v>1393</v>
      </c>
      <c r="C119" s="30"/>
      <c r="D119" s="30" t="s">
        <v>1208</v>
      </c>
      <c r="E119" s="30" t="s">
        <v>984</v>
      </c>
      <c r="F119" s="30" t="s">
        <v>200</v>
      </c>
      <c r="G119" s="39" t="str">
        <f>VLOOKUP(F119,glossary!J:N,2,FALSE)</f>
        <v>Detection rate</v>
      </c>
      <c r="H119" s="34" t="s">
        <v>200</v>
      </c>
      <c r="I119" s="45" t="str">
        <f t="shared" si="3"/>
        <v>detection_rate_tu</v>
      </c>
      <c r="J119" s="42" t="s">
        <v>202</v>
      </c>
      <c r="K119" s="39" t="str">
        <f>VLOOKUP(F119,glossary!J:N,5,FALSE)</f>
        <v>The frequency of independent detections within a specified time period.</v>
      </c>
      <c r="L119" t="s">
        <v>1642</v>
      </c>
      <c r="M119" s="30" t="str">
        <f t="shared" si="4"/>
        <v>{{ detection_rate_tu }}</v>
      </c>
      <c r="N119" t="s">
        <v>896</v>
      </c>
      <c r="O119" s="13" t="s">
        <v>1816</v>
      </c>
      <c r="P119" t="s">
        <v>4081</v>
      </c>
      <c r="Q119" t="str">
        <f t="shared" si="5"/>
        <v xml:space="preserve">    detection_rate_tu: "&lt;a href=\"09_glossary.html#detection_rate\" target=\"_blank\" data-bs-toggle=\"tooltip\" data-bs-title=\"Detection rate: The frequency of independent detections within a specified time period.\"&gt;Detection rate&lt;button type=\"button\" class=\"btn btn-bd-tip-info-hidden btn-sm position-relative\"&gt;.&lt;span class=\"position-absolute top-0 start-100 translate-middle\"&gt;{{ icon_info }}&lt;/span&gt;&lt;/button&gt;&lt;/a&gt;"</v>
      </c>
      <c r="R119" t="b" cm="1">
        <f t="array" ref="R119">SUMPRODUCT(--EXACT($J$2:$J$490,J119))&gt;1</f>
        <v>0</v>
      </c>
      <c r="S119" t="s">
        <v>4292</v>
      </c>
    </row>
    <row r="120" spans="1:19">
      <c r="A120" s="30">
        <v>1</v>
      </c>
      <c r="B120" s="30" t="s">
        <v>1064</v>
      </c>
      <c r="C120" s="30" t="s">
        <v>0</v>
      </c>
      <c r="D120" s="30" t="s">
        <v>1208</v>
      </c>
      <c r="E120" s="30" t="s">
        <v>1758</v>
      </c>
      <c r="F120" s="30" t="s">
        <v>200</v>
      </c>
      <c r="G120" s="39" t="str">
        <f>VLOOKUP(F120,glossary!J:N,2,FALSE)</f>
        <v>Detection rate</v>
      </c>
      <c r="H120" s="30" t="s">
        <v>200</v>
      </c>
      <c r="I120" s="45" t="str">
        <f t="shared" si="3"/>
        <v>detection_rate_tu_pl</v>
      </c>
      <c r="J120" s="39" t="s">
        <v>1205</v>
      </c>
      <c r="K120" s="39" t="str">
        <f>VLOOKUP(F120,glossary!J:N,5,FALSE)</f>
        <v>The frequency of independent detections within a specified time period.</v>
      </c>
      <c r="L120" s="30" t="s">
        <v>1203</v>
      </c>
      <c r="M120" s="30" t="str">
        <f t="shared" si="4"/>
        <v>{{ detection_rate_tu_pl }}</v>
      </c>
      <c r="N120" t="s">
        <v>896</v>
      </c>
      <c r="O120" s="13" t="s">
        <v>1816</v>
      </c>
      <c r="P120" t="s">
        <v>4081</v>
      </c>
      <c r="Q120" t="str">
        <f t="shared" si="5"/>
        <v xml:space="preserve">    detection_rate_tu_pl: "&lt;a href=\"09_glossary.html#detection_rate\" target=\"_blank\" data-bs-toggle=\"tooltip\" data-bs-title=\"Detection rate: The frequency of independent detections within a specified time period.\"&gt;Detection rates&lt;button type=\"button\" class=\"btn btn-bd-tip-info-hidden btn-sm position-relative\"&gt;.&lt;span class=\"position-absolute top-0 start-100 translate-middle\"&gt;{{ icon_info }}&lt;/span&gt;&lt;/button&gt;&lt;/a&gt;"</v>
      </c>
      <c r="R120" t="b" cm="1">
        <f t="array" ref="R120">SUMPRODUCT(--EXACT($J$2:$J$490,J120))&gt;1</f>
        <v>0</v>
      </c>
      <c r="S120" t="s">
        <v>4293</v>
      </c>
    </row>
    <row r="121" spans="1:19">
      <c r="A121" s="30">
        <v>3</v>
      </c>
      <c r="B121" s="30" t="s">
        <v>1393</v>
      </c>
      <c r="C121" s="30"/>
      <c r="D121" s="30" t="s">
        <v>1207</v>
      </c>
      <c r="E121" s="30" t="s">
        <v>984</v>
      </c>
      <c r="F121" s="30" t="s">
        <v>197</v>
      </c>
      <c r="G121" s="39" t="str">
        <f>VLOOKUP(F121,glossary!J:N,2,FALSE)</f>
        <v>Detection zone</v>
      </c>
      <c r="H121" s="34" t="s">
        <v>197</v>
      </c>
      <c r="I121" s="45" t="str">
        <f t="shared" si="3"/>
        <v>detection_zone_tl</v>
      </c>
      <c r="J121" s="43" t="s">
        <v>918</v>
      </c>
      <c r="K121" s="39" t="str">
        <f>VLOOKUP(F121,glossary!J:N,5,FALSE)</f>
        <v>The area (conical in shape) in which a remote camera can detect the heat signature and motion of an object (Rovero &amp; Zimmermann, 2016) (Figure 5).</v>
      </c>
      <c r="L121" t="s">
        <v>1641</v>
      </c>
      <c r="M121" s="30" t="str">
        <f t="shared" si="4"/>
        <v>{{ detection_zone_tl }}</v>
      </c>
      <c r="N121" t="s">
        <v>896</v>
      </c>
      <c r="O121" s="13" t="s">
        <v>1816</v>
      </c>
      <c r="P121" t="s">
        <v>4081</v>
      </c>
      <c r="Q121" t="str">
        <f t="shared" si="5"/>
        <v xml:space="preserve">    detection_zone_tl: "&lt;a href=\"09_glossary.html#detection_zone\" target=\"_blank\" data-bs-toggle=\"tooltip\" data-bs-title=\"Detection zone: The area (conical in shape) in which a remote camera can detect the heat signature and motion of an object (Rovero &amp; Zimmermann, 2016) (Figure 5).\"&gt;detection zone&lt;button type=\"button\" class=\"btn btn-bd-tip-info-hidden btn-sm position-relative\"&gt;.&lt;span class=\"position-absolute top-0 start-100 translate-middle\"&gt;{{ icon_info }}&lt;/span&gt;&lt;/button&gt;&lt;/a&gt;"</v>
      </c>
      <c r="R121" t="b" cm="1">
        <f t="array" ref="R121">SUMPRODUCT(--EXACT($J$2:$J$490,J121))&gt;1</f>
        <v>0</v>
      </c>
      <c r="S121" t="s">
        <v>4294</v>
      </c>
    </row>
    <row r="122" spans="1:19">
      <c r="A122" s="30">
        <v>3</v>
      </c>
      <c r="B122" s="30" t="s">
        <v>1393</v>
      </c>
      <c r="C122" s="30"/>
      <c r="D122" s="30" t="s">
        <v>1208</v>
      </c>
      <c r="E122" s="30" t="s">
        <v>984</v>
      </c>
      <c r="F122" s="30" t="s">
        <v>197</v>
      </c>
      <c r="G122" s="39" t="str">
        <f>VLOOKUP(F122,glossary!J:N,2,FALSE)</f>
        <v>Detection zone</v>
      </c>
      <c r="H122" s="34" t="s">
        <v>197</v>
      </c>
      <c r="I122" s="45" t="str">
        <f t="shared" si="3"/>
        <v>detection_zone_tu</v>
      </c>
      <c r="J122" s="42" t="s">
        <v>199</v>
      </c>
      <c r="K122" s="39" t="str">
        <f>VLOOKUP(F122,glossary!J:N,5,FALSE)</f>
        <v>The area (conical in shape) in which a remote camera can detect the heat signature and motion of an object (Rovero &amp; Zimmermann, 2016) (Figure 5).</v>
      </c>
      <c r="L122" t="s">
        <v>1640</v>
      </c>
      <c r="M122" s="30" t="str">
        <f t="shared" si="4"/>
        <v>{{ detection_zone_tu }}</v>
      </c>
      <c r="N122" t="s">
        <v>896</v>
      </c>
      <c r="O122" s="13" t="s">
        <v>1816</v>
      </c>
      <c r="P122" t="s">
        <v>4081</v>
      </c>
      <c r="Q122" t="str">
        <f t="shared" si="5"/>
        <v xml:space="preserve">    detection_zone_tu: "&lt;a href=\"09_glossary.html#detection_zone\" target=\"_blank\" data-bs-toggle=\"tooltip\" data-bs-title=\"Detection zone: The area (conical in shape) in which a remote camera can detect the heat signature and motion of an object (Rovero &amp; Zimmermann, 2016) (Figure 5).\"&gt;Detection zone&lt;button type=\"button\" class=\"btn btn-bd-tip-info-hidden btn-sm position-relative\"&gt;.&lt;span class=\"position-absolute top-0 start-100 translate-middle\"&gt;{{ icon_info }}&lt;/span&gt;&lt;/button&gt;&lt;/a&gt;"</v>
      </c>
      <c r="R122" t="b" cm="1">
        <f t="array" ref="R122">SUMPRODUCT(--EXACT($J$2:$J$490,J122))&gt;1</f>
        <v>0</v>
      </c>
      <c r="S122" t="s">
        <v>4295</v>
      </c>
    </row>
    <row r="123" spans="1:19">
      <c r="B123" s="30" t="s">
        <v>768</v>
      </c>
      <c r="D123" s="30" t="s">
        <v>1207</v>
      </c>
      <c r="E123" s="30" t="s">
        <v>984</v>
      </c>
      <c r="F123" s="30" t="s">
        <v>1785</v>
      </c>
      <c r="G123" s="39" t="str">
        <f>VLOOKUP(F123,glossary!J:N,2,FALSE)</f>
        <v>Species distribution</v>
      </c>
      <c r="H123" s="30" t="s">
        <v>1785</v>
      </c>
      <c r="I123" s="45" t="str">
        <f t="shared" si="3"/>
        <v>distribution_species_tl</v>
      </c>
      <c r="J123" s="30" t="s">
        <v>1808</v>
      </c>
      <c r="K123" s="39" t="str">
        <f>VLOOKUP(F123,glossary!J:N,5,FALSE)</f>
        <v>the manner in which a species is spatially arranged. The geographic limits of a particular taxon's distribution is its range, often represented as shaded areas on a map.</v>
      </c>
      <c r="L123" s="30" t="s">
        <v>984</v>
      </c>
      <c r="M123" s="30" t="str">
        <f t="shared" si="4"/>
        <v>{{ distribution_species_tl }}</v>
      </c>
      <c r="N123" t="s">
        <v>896</v>
      </c>
      <c r="O123" s="13" t="s">
        <v>1816</v>
      </c>
      <c r="P123" t="s">
        <v>4081</v>
      </c>
      <c r="Q123" t="str">
        <f t="shared" si="5"/>
        <v xml:space="preserve">    distribution_species_tl: "&lt;a href=\"09_glossary.html#distribution_species\" target=\"_blank\" data-bs-toggle=\"tooltip\" data-bs-title=\"Species distribution: the manner in which a species is spatially arranged. The geographic limits of a particular taxon's distribution is its range, often represented as shaded areas on a map.\"&gt;species distribution&lt;button type=\"button\" class=\"btn btn-bd-tip-info-hidden btn-sm position-relative\"&gt;.&lt;span class=\"position-absolute top-0 start-100 translate-middle\"&gt;{{ icon_info }}&lt;/span&gt;&lt;/button&gt;&lt;/a&gt;"</v>
      </c>
      <c r="R123" t="b" cm="1">
        <f t="array" ref="R123">SUMPRODUCT(--EXACT($J$2:$J$490,J123))&gt;1</f>
        <v>0</v>
      </c>
      <c r="S123" t="s">
        <v>4296</v>
      </c>
    </row>
    <row r="124" spans="1:19">
      <c r="B124" s="30" t="s">
        <v>768</v>
      </c>
      <c r="D124" s="30" t="s">
        <v>1208</v>
      </c>
      <c r="E124" s="30" t="s">
        <v>984</v>
      </c>
      <c r="F124" s="30" t="s">
        <v>1785</v>
      </c>
      <c r="G124" s="39" t="str">
        <f>VLOOKUP(F124,glossary!J:N,2,FALSE)</f>
        <v>Species distribution</v>
      </c>
      <c r="H124" s="30" t="s">
        <v>1785</v>
      </c>
      <c r="I124" s="45" t="str">
        <f t="shared" si="3"/>
        <v>distribution_species_tu</v>
      </c>
      <c r="J124" s="30" t="s">
        <v>1272</v>
      </c>
      <c r="K124" s="39" t="str">
        <f>VLOOKUP(F124,glossary!J:N,5,FALSE)</f>
        <v>the manner in which a species is spatially arranged. The geographic limits of a particular taxon's distribution is its range, often represented as shaded areas on a map.</v>
      </c>
      <c r="L124" s="30" t="s">
        <v>984</v>
      </c>
      <c r="M124" s="30" t="str">
        <f t="shared" si="4"/>
        <v>{{ distribution_species_tu }}</v>
      </c>
      <c r="N124" t="s">
        <v>896</v>
      </c>
      <c r="O124" s="13" t="s">
        <v>1816</v>
      </c>
      <c r="P124" t="s">
        <v>4081</v>
      </c>
      <c r="Q124" t="str">
        <f t="shared" si="5"/>
        <v xml:space="preserve">    distribution_species_tu: "&lt;a href=\"09_glossary.html#distribution_species\" target=\"_blank\" data-bs-toggle=\"tooltip\" data-bs-title=\"Species distribution: the manner in which a species is spatially arranged. The geographic limits of a particular taxon's distribution is its range, often represented as shaded areas on a map.\"&gt;Species distribution&lt;button type=\"button\" class=\"btn btn-bd-tip-info-hidden btn-sm position-relative\"&gt;.&lt;span class=\"position-absolute top-0 start-100 translate-middle\"&gt;{{ icon_info }}&lt;/span&gt;&lt;/button&gt;&lt;/a&gt;"</v>
      </c>
      <c r="R124" t="b" cm="1">
        <f t="array" ref="R124">SUMPRODUCT(--EXACT($J$2:$J$490,J124))&gt;1</f>
        <v>0</v>
      </c>
      <c r="S124" t="s">
        <v>4297</v>
      </c>
    </row>
    <row r="125" spans="1:19">
      <c r="A125" s="30">
        <v>3</v>
      </c>
      <c r="B125" s="30" t="s">
        <v>1393</v>
      </c>
      <c r="C125" s="30"/>
      <c r="D125" s="30" t="s">
        <v>1208</v>
      </c>
      <c r="E125" s="30" t="s">
        <v>984</v>
      </c>
      <c r="F125" s="30" t="s">
        <v>1221</v>
      </c>
      <c r="G125" s="39" t="str">
        <f>VLOOKUP(F125,glossary!J:N,2,FALSE)</f>
        <v>Easting Camera Location</v>
      </c>
      <c r="H125" s="34" t="s">
        <v>1221</v>
      </c>
      <c r="I125" s="45" t="str">
        <f t="shared" si="3"/>
        <v>easting_cam_location_tu</v>
      </c>
      <c r="J125" s="42" t="s">
        <v>694</v>
      </c>
      <c r="K125" s="39" t="str">
        <f>VLOOKUP(F125,glossary!J:N,5,FALSE)</f>
        <v>The easting UTM coordinate of the camera location (e.g., '337875'). Record using the NAD83 datum. Leave blank if recording the Longitude instead.</v>
      </c>
      <c r="L125" t="s">
        <v>1639</v>
      </c>
      <c r="M125" s="30" t="str">
        <f t="shared" si="4"/>
        <v>{{ easting_cam_location_tu }}</v>
      </c>
      <c r="N125" t="s">
        <v>896</v>
      </c>
      <c r="O125" s="13" t="s">
        <v>1816</v>
      </c>
      <c r="P125" t="s">
        <v>4081</v>
      </c>
      <c r="Q125" t="str">
        <f t="shared" si="5"/>
        <v xml:space="preserve">    easting_cam_location_tu: "&lt;a href=\"09_glossary.html#easting_cam_location\" target=\"_blank\" data-bs-toggle=\"tooltip\" data-bs-title=\"Easting Camera Location: The easting UTM coordinate of the camera location (e.g., '337875'). Record using the NAD83 datum. Leave blank if recording the Longitude instead.\"&gt;Easting Camera Location&lt;button type=\"button\" class=\"btn btn-bd-tip-info-hidden btn-sm position-relative\"&gt;.&lt;span class=\"position-absolute top-0 start-100 translate-middle\"&gt;{{ icon_info }}&lt;/span&gt;&lt;/button&gt;&lt;/a&gt;"</v>
      </c>
      <c r="R125" t="b" cm="1">
        <f t="array" ref="R125">SUMPRODUCT(--EXACT($J$2:$J$490,J125))&gt;1</f>
        <v>0</v>
      </c>
      <c r="S125" t="s">
        <v>4298</v>
      </c>
    </row>
    <row r="126" spans="1:19">
      <c r="A126" s="30">
        <v>3</v>
      </c>
      <c r="B126" s="30" t="s">
        <v>1393</v>
      </c>
      <c r="C126" s="30"/>
      <c r="D126" s="30" t="s">
        <v>1207</v>
      </c>
      <c r="E126" s="30" t="s">
        <v>984</v>
      </c>
      <c r="F126" s="30" t="s">
        <v>193</v>
      </c>
      <c r="G126" s="39" t="str">
        <f>VLOOKUP(F126,glossary!J:N,2,FALSE)</f>
        <v>Effective detection distance</v>
      </c>
      <c r="H126" s="34" t="s">
        <v>193</v>
      </c>
      <c r="I126" s="45" t="str">
        <f t="shared" si="3"/>
        <v>effective_detection_distance_tl</v>
      </c>
      <c r="J126" s="43" t="s">
        <v>919</v>
      </c>
      <c r="K126" s="39" t="str">
        <f>VLOOKUP(F126,glossary!J:N,5,FALSE)</f>
        <v>The distance from a camera that would give the same number of detections if all animals up to that distance are perfectly detected, and no animals that are farther away are detected; Buckland, 1987, Becker et al., 2022).</v>
      </c>
      <c r="L126" t="s">
        <v>1638</v>
      </c>
      <c r="M126" s="30" t="str">
        <f t="shared" si="4"/>
        <v>{{ effective_detection_distance_tl }}</v>
      </c>
      <c r="N126" t="s">
        <v>896</v>
      </c>
      <c r="O126" s="13" t="s">
        <v>1816</v>
      </c>
      <c r="P126" t="s">
        <v>4081</v>
      </c>
      <c r="Q126" t="str">
        <f t="shared" si="5"/>
        <v xml:space="preserve">    effective_detection_distance_tl: "&lt;a href=\"09_glossary.html#effective_detection_distance\" target=\"_blank\" data-bs-toggle=\"tooltip\" data-bs-title=\"Effective detection distance: The distance from a camera that would give the same number of detections if all animals up to that distance are perfectly detected, and no animals that are farther away are detected; Buckland, 1987, Becker et al., 2022).\"&gt;effective detection distance&lt;button type=\"button\" class=\"btn btn-bd-tip-info-hidden btn-sm position-relative\"&gt;.&lt;span class=\"position-absolute top-0 start-100 translate-middle\"&gt;{{ icon_info }}&lt;/span&gt;&lt;/button&gt;&lt;/a&gt;"</v>
      </c>
      <c r="R126" t="b" cm="1">
        <f t="array" ref="R126">SUMPRODUCT(--EXACT($J$2:$J$490,J126))&gt;1</f>
        <v>0</v>
      </c>
      <c r="S126" t="s">
        <v>4299</v>
      </c>
    </row>
    <row r="127" spans="1:19">
      <c r="A127" s="30">
        <v>3</v>
      </c>
      <c r="B127" s="30" t="s">
        <v>1393</v>
      </c>
      <c r="C127" s="30"/>
      <c r="D127" s="30" t="s">
        <v>1208</v>
      </c>
      <c r="E127" s="30" t="s">
        <v>984</v>
      </c>
      <c r="F127" s="30" t="s">
        <v>193</v>
      </c>
      <c r="G127" s="39" t="str">
        <f>VLOOKUP(F127,glossary!J:N,2,FALSE)</f>
        <v>Effective detection distance</v>
      </c>
      <c r="H127" s="34" t="s">
        <v>193</v>
      </c>
      <c r="I127" s="45" t="str">
        <f t="shared" si="3"/>
        <v>effective_detection_distance_tu</v>
      </c>
      <c r="J127" s="42" t="s">
        <v>195</v>
      </c>
      <c r="K127" s="39" t="str">
        <f>VLOOKUP(F127,glossary!J:N,5,FALSE)</f>
        <v>The distance from a camera that would give the same number of detections if all animals up to that distance are perfectly detected, and no animals that are farther away are detected; Buckland, 1987, Becker et al., 2022).</v>
      </c>
      <c r="L127" t="s">
        <v>1637</v>
      </c>
      <c r="M127" s="30" t="str">
        <f t="shared" si="4"/>
        <v>{{ effective_detection_distance_tu }}</v>
      </c>
      <c r="N127" t="s">
        <v>896</v>
      </c>
      <c r="O127" s="13" t="s">
        <v>1816</v>
      </c>
      <c r="P127" t="s">
        <v>4081</v>
      </c>
      <c r="Q127" t="str">
        <f t="shared" si="5"/>
        <v xml:space="preserve">    effective_detection_distance_tu: "&lt;a href=\"09_glossary.html#effective_detection_distance\" target=\"_blank\" data-bs-toggle=\"tooltip\" data-bs-title=\"Effective detection distance: The distance from a camera that would give the same number of detections if all animals up to that distance are perfectly detected, and no animals that are farther away are detected; Buckland, 1987, Becker et al., 2022).\"&gt;Effective detection distance&lt;button type=\"button\" class=\"btn btn-bd-tip-info-hidden btn-sm position-relative\"&gt;.&lt;span class=\"position-absolute top-0 start-100 translate-middle\"&gt;{{ icon_info }}&lt;/span&gt;&lt;/button&gt;&lt;/a&gt;"</v>
      </c>
      <c r="R127" t="b" cm="1">
        <f t="array" ref="R127">SUMPRODUCT(--EXACT($J$2:$J$490,J127))&gt;1</f>
        <v>0</v>
      </c>
      <c r="S127" t="s">
        <v>4300</v>
      </c>
    </row>
    <row r="128" spans="1:19">
      <c r="A128" s="30">
        <v>3</v>
      </c>
      <c r="B128" s="30" t="s">
        <v>1393</v>
      </c>
      <c r="C128" s="30"/>
      <c r="D128" s="30" t="s">
        <v>1208</v>
      </c>
      <c r="E128" s="30" t="s">
        <v>984</v>
      </c>
      <c r="F128" s="30" t="s">
        <v>288</v>
      </c>
      <c r="G128" s="39" t="str">
        <f>VLOOKUP(F128,glossary!J:N,2,FALSE)</f>
        <v>Event Type</v>
      </c>
      <c r="H128" s="34" t="s">
        <v>288</v>
      </c>
      <c r="I128" s="45" t="str">
        <f t="shared" si="3"/>
        <v>event_type_tu</v>
      </c>
      <c r="J128" s="42" t="s">
        <v>695</v>
      </c>
      <c r="K128" s="39" t="str">
        <f>VLOOKUP(F128,glossary!J:N,5,FALSE)</f>
        <v>Whether detections were reported as an individual image captured by the camera ('Image'), a 'Sequence,' or 'Tag.'</v>
      </c>
      <c r="L128" t="s">
        <v>1636</v>
      </c>
      <c r="M128" s="30" t="str">
        <f t="shared" si="4"/>
        <v>{{ event_type_tu }}</v>
      </c>
      <c r="N128" t="s">
        <v>896</v>
      </c>
      <c r="O128" s="13" t="s">
        <v>1816</v>
      </c>
      <c r="P128" t="s">
        <v>4081</v>
      </c>
      <c r="Q128" t="str">
        <f t="shared" si="5"/>
        <v xml:space="preserve">    event_type_tu: "&lt;a href=\"09_glossary.html#event_type\" target=\"_blank\" data-bs-toggle=\"tooltip\" data-bs-title=\"Event Type: Whether detections were reported as an individual image captured by the camera ('Image'), a 'Sequence,' or 'Tag.'\"&gt;Event Type&lt;button type=\"button\" class=\"btn btn-bd-tip-info-hidden btn-sm position-relative\"&gt;.&lt;span class=\"position-absolute top-0 start-100 translate-middle\"&gt;{{ icon_info }}&lt;/span&gt;&lt;/button&gt;&lt;/a&gt;"</v>
      </c>
      <c r="R128" t="b" cm="1">
        <f t="array" ref="R128">SUMPRODUCT(--EXACT($J$2:$J$490,J128))&gt;1</f>
        <v>0</v>
      </c>
      <c r="S128" t="s">
        <v>4301</v>
      </c>
    </row>
    <row r="129" spans="1:19">
      <c r="A129" s="30">
        <v>3</v>
      </c>
      <c r="B129" s="30" t="s">
        <v>1393</v>
      </c>
      <c r="C129" s="30"/>
      <c r="D129" s="30" t="s">
        <v>1207</v>
      </c>
      <c r="E129" s="30" t="s">
        <v>984</v>
      </c>
      <c r="F129" s="30" t="s">
        <v>190</v>
      </c>
      <c r="G129" s="39" t="str">
        <f>VLOOKUP(F129,glossary!J:N,2,FALSE)</f>
        <v>False trigger</v>
      </c>
      <c r="H129" s="34" t="s">
        <v>190</v>
      </c>
      <c r="I129" s="45" t="str">
        <f t="shared" si="3"/>
        <v>false_trigger_tl</v>
      </c>
      <c r="J129" s="43" t="s">
        <v>920</v>
      </c>
      <c r="K129" s="39" t="str">
        <f>VLOOKUP(F129,glossary!J:N,5,FALSE)</f>
        <v>Blank images (no wildlife or human present). These images commonly occur when a camera is triggered by vegetation blowing in the wind.</v>
      </c>
      <c r="L129" t="s">
        <v>1635</v>
      </c>
      <c r="M129" s="30" t="str">
        <f t="shared" si="4"/>
        <v>{{ false_trigger_tl }}</v>
      </c>
      <c r="N129" t="s">
        <v>896</v>
      </c>
      <c r="O129" s="13" t="s">
        <v>1816</v>
      </c>
      <c r="P129" t="s">
        <v>4081</v>
      </c>
      <c r="Q129" t="str">
        <f t="shared" si="5"/>
        <v xml:space="preserve">    false_trigger_tl: "&lt;a href=\"09_glossary.html#false_trigger\" target=\"_blank\" data-bs-toggle=\"tooltip\" data-bs-title=\"False trigger: Blank images (no wildlife or human present). These images commonly occur when a camera is triggered by vegetation blowing in the wind.\"&gt;false trigger&lt;button type=\"button\" class=\"btn btn-bd-tip-info-hidden btn-sm position-relative\"&gt;.&lt;span class=\"position-absolute top-0 start-100 translate-middle\"&gt;{{ icon_info }}&lt;/span&gt;&lt;/button&gt;&lt;/a&gt;"</v>
      </c>
      <c r="R129" t="b" cm="1">
        <f t="array" ref="R129">SUMPRODUCT(--EXACT($J$2:$J$490,J129))&gt;1</f>
        <v>0</v>
      </c>
      <c r="S129" t="s">
        <v>4302</v>
      </c>
    </row>
    <row r="130" spans="1:19">
      <c r="A130" s="30">
        <v>1</v>
      </c>
      <c r="B130" s="30" t="s">
        <v>1064</v>
      </c>
      <c r="C130" s="30" t="s">
        <v>0</v>
      </c>
      <c r="D130" s="30" t="s">
        <v>1207</v>
      </c>
      <c r="E130" s="30" t="s">
        <v>1758</v>
      </c>
      <c r="F130" s="30" t="s">
        <v>190</v>
      </c>
      <c r="G130" s="39" t="str">
        <f>VLOOKUP(F130,glossary!J:N,2,FALSE)</f>
        <v>False trigger</v>
      </c>
      <c r="H130" s="30" t="s">
        <v>190</v>
      </c>
      <c r="I130" s="45" t="str">
        <f t="shared" ref="I130:I193" si="6">IF(D130="-","-",IF(E130&lt;&gt;"-",(H130&amp;"_"&amp;D130&amp;"_"&amp;E130),H130&amp;"_"&amp;D130))</f>
        <v>false_trigger_tl_pl</v>
      </c>
      <c r="J130" s="39" t="s">
        <v>1179</v>
      </c>
      <c r="K130" s="39" t="str">
        <f>VLOOKUP(F130,glossary!J:N,5,FALSE)</f>
        <v>Blank images (no wildlife or human present). These images commonly occur when a camera is triggered by vegetation blowing in the wind.</v>
      </c>
      <c r="L130" s="30" t="s">
        <v>1120</v>
      </c>
      <c r="M130" s="30" t="str">
        <f t="shared" ref="M130:M193" si="7">"{{ "&amp;I130&amp;" }}"</f>
        <v>{{ false_trigger_tl_pl }}</v>
      </c>
      <c r="N130" t="s">
        <v>896</v>
      </c>
      <c r="O130" s="13" t="s">
        <v>1816</v>
      </c>
      <c r="P130" t="s">
        <v>4081</v>
      </c>
      <c r="Q130" t="str">
        <f t="shared" ref="Q130:Q193" si="8">IF(K130&lt;&gt;"-",("    "&amp;I130&amp;": "&amp;""""&amp;"&lt;a href=\"&amp;""""&amp;"09_glossary.html#"&amp;H130&amp;N130&amp;G130&amp;": "&amp;K130&amp;O130&amp;J130&amp;P130&amp;""""),"-")</f>
        <v xml:space="preserve">    false_trigger_tl_pl: "&lt;a href=\"09_glossary.html#false_trigger\" target=\"_blank\" data-bs-toggle=\"tooltip\" data-bs-title=\"False trigger: Blank images (no wildlife or human present). These images commonly occur when a camera is triggered by vegetation blowing in the wind.\"&gt;false triggers&lt;button type=\"button\" class=\"btn btn-bd-tip-info-hidden btn-sm position-relative\"&gt;.&lt;span class=\"position-absolute top-0 start-100 translate-middle\"&gt;{{ icon_info }}&lt;/span&gt;&lt;/button&gt;&lt;/a&gt;"</v>
      </c>
      <c r="R130" t="b" cm="1">
        <f t="array" ref="R130">SUMPRODUCT(--EXACT($J$2:$J$490,J130))&gt;1</f>
        <v>0</v>
      </c>
      <c r="S130" t="s">
        <v>4303</v>
      </c>
    </row>
    <row r="131" spans="1:19">
      <c r="A131" s="30">
        <v>3</v>
      </c>
      <c r="B131" s="30" t="s">
        <v>1393</v>
      </c>
      <c r="C131" s="30"/>
      <c r="D131" s="30" t="s">
        <v>1208</v>
      </c>
      <c r="E131" s="30" t="s">
        <v>984</v>
      </c>
      <c r="F131" s="30" t="s">
        <v>190</v>
      </c>
      <c r="G131" s="39" t="str">
        <f>VLOOKUP(F131,glossary!J:N,2,FALSE)</f>
        <v>False trigger</v>
      </c>
      <c r="H131" s="34" t="s">
        <v>190</v>
      </c>
      <c r="I131" s="45" t="str">
        <f t="shared" si="6"/>
        <v>false_trigger_tu</v>
      </c>
      <c r="J131" s="42" t="s">
        <v>192</v>
      </c>
      <c r="K131" s="39" t="str">
        <f>VLOOKUP(F131,glossary!J:N,5,FALSE)</f>
        <v>Blank images (no wildlife or human present). These images commonly occur when a camera is triggered by vegetation blowing in the wind.</v>
      </c>
      <c r="L131" t="s">
        <v>1634</v>
      </c>
      <c r="M131" s="30" t="str">
        <f t="shared" si="7"/>
        <v>{{ false_trigger_tu }}</v>
      </c>
      <c r="N131" t="s">
        <v>896</v>
      </c>
      <c r="O131" s="13" t="s">
        <v>1816</v>
      </c>
      <c r="P131" t="s">
        <v>4081</v>
      </c>
      <c r="Q131" t="str">
        <f t="shared" si="8"/>
        <v xml:space="preserve">    false_trigger_tu: "&lt;a href=\"09_glossary.html#false_trigger\" target=\"_blank\" data-bs-toggle=\"tooltip\" data-bs-title=\"False trigger: Blank images (no wildlife or human present). These images commonly occur when a camera is triggered by vegetation blowing in the wind.\"&gt;False trigger&lt;button type=\"button\" class=\"btn btn-bd-tip-info-hidden btn-sm position-relative\"&gt;.&lt;span class=\"position-absolute top-0 start-100 translate-middle\"&gt;{{ icon_info }}&lt;/span&gt;&lt;/button&gt;&lt;/a&gt;"</v>
      </c>
      <c r="R131" t="b" cm="1">
        <f t="array" ref="R131">SUMPRODUCT(--EXACT($J$2:$J$490,J131))&gt;1</f>
        <v>0</v>
      </c>
      <c r="S131" t="s">
        <v>4304</v>
      </c>
    </row>
    <row r="132" spans="1:19">
      <c r="A132" s="30">
        <v>1</v>
      </c>
      <c r="B132" s="30" t="s">
        <v>1064</v>
      </c>
      <c r="C132" s="30" t="s">
        <v>0</v>
      </c>
      <c r="D132" s="30" t="s">
        <v>1208</v>
      </c>
      <c r="E132" s="30" t="s">
        <v>1758</v>
      </c>
      <c r="F132" s="30" t="s">
        <v>190</v>
      </c>
      <c r="G132" s="39" t="str">
        <f>VLOOKUP(F132,glossary!J:N,2,FALSE)</f>
        <v>False trigger</v>
      </c>
      <c r="H132" s="30" t="s">
        <v>190</v>
      </c>
      <c r="I132" s="45" t="str">
        <f t="shared" si="6"/>
        <v>false_trigger_tu_pl</v>
      </c>
      <c r="J132" s="39" t="s">
        <v>1164</v>
      </c>
      <c r="K132" s="39" t="str">
        <f>VLOOKUP(F132,glossary!J:N,5,FALSE)</f>
        <v>Blank images (no wildlife or human present). These images commonly occur when a camera is triggered by vegetation blowing in the wind.</v>
      </c>
      <c r="L132" s="30" t="s">
        <v>1103</v>
      </c>
      <c r="M132" s="30" t="str">
        <f t="shared" si="7"/>
        <v>{{ false_trigger_tu_pl }}</v>
      </c>
      <c r="N132" t="s">
        <v>896</v>
      </c>
      <c r="O132" s="13" t="s">
        <v>1816</v>
      </c>
      <c r="P132" t="s">
        <v>4081</v>
      </c>
      <c r="Q132" t="str">
        <f t="shared" si="8"/>
        <v xml:space="preserve">    false_trigger_tu_pl: "&lt;a href=\"09_glossary.html#false_trigger\" target=\"_blank\" data-bs-toggle=\"tooltip\" data-bs-title=\"False trigger: Blank images (no wildlife or human present). These images commonly occur when a camera is triggered by vegetation blowing in the wind.\"&gt;False triggers&lt;button type=\"button\" class=\"btn btn-bd-tip-info-hidden btn-sm position-relative\"&gt;.&lt;span class=\"position-absolute top-0 start-100 translate-middle\"&gt;{{ icon_info }}&lt;/span&gt;&lt;/button&gt;&lt;/a&gt;"</v>
      </c>
      <c r="R132" t="b" cm="1">
        <f t="array" ref="R132">SUMPRODUCT(--EXACT($J$2:$J$490,J132))&gt;1</f>
        <v>0</v>
      </c>
      <c r="S132" t="s">
        <v>4305</v>
      </c>
    </row>
    <row r="133" spans="1:19">
      <c r="A133" s="30">
        <v>3</v>
      </c>
      <c r="B133" s="30" t="s">
        <v>1393</v>
      </c>
      <c r="C133" s="30"/>
      <c r="D133" s="30" t="s">
        <v>1208</v>
      </c>
      <c r="E133" s="30" t="s">
        <v>984</v>
      </c>
      <c r="F133" s="30" t="s">
        <v>188</v>
      </c>
      <c r="G133" s="39" t="str">
        <f>VLOOKUP(F133,glossary!J:N,2,FALSE)</f>
        <v>Field of View (FOV)</v>
      </c>
      <c r="H133" s="34" t="s">
        <v>188</v>
      </c>
      <c r="I133" s="45" t="str">
        <f t="shared" si="6"/>
        <v>field_of_view_tu</v>
      </c>
      <c r="J133" s="42" t="s">
        <v>189</v>
      </c>
      <c r="K133" s="39" t="str">
        <f>VLOOKUP(F133,glossary!J:N,5,FALSE)</f>
        <v>The extent of a scene that is visible in an image; a large FOV is obtained by 'zooming out' from a scene, whilst 'zooming in' will result in a smaller FOV (Wearn &amp; Glover-Kapfer, 2017).</v>
      </c>
      <c r="L133" t="s">
        <v>1633</v>
      </c>
      <c r="M133" s="30" t="str">
        <f t="shared" si="7"/>
        <v>{{ field_of_view_tu }}</v>
      </c>
      <c r="N133" t="s">
        <v>896</v>
      </c>
      <c r="O133" s="13" t="s">
        <v>1816</v>
      </c>
      <c r="P133" t="s">
        <v>4081</v>
      </c>
      <c r="Q133" t="str">
        <f t="shared" si="8"/>
        <v xml:space="preserve">    field_of_view_tu: "&lt;a href=\"09_glossary.html#field_of_view\" target=\"_blank\" data-bs-toggle=\"tooltip\" data-bs-title=\"Field of View (FOV): The extent of a scene that is visible in an image; a large FOV is obtained by 'zooming out' from a scene, whilst 'zooming in' will result in a smaller FOV (Wearn &amp; Glover-Kapfer, 2017).\"&gt;Field of View (FOV)&lt;button type=\"button\" class=\"btn btn-bd-tip-info-hidden btn-sm position-relative\"&gt;.&lt;span class=\"position-absolute top-0 start-100 translate-middle\"&gt;{{ icon_info }}&lt;/span&gt;&lt;/button&gt;&lt;/a&gt;"</v>
      </c>
      <c r="R133" t="b" cm="1">
        <f t="array" ref="R133">SUMPRODUCT(--EXACT($J$2:$J$490,J133))&gt;1</f>
        <v>0</v>
      </c>
      <c r="S133" t="s">
        <v>4306</v>
      </c>
    </row>
    <row r="134" spans="1:19">
      <c r="A134" s="30">
        <v>1</v>
      </c>
      <c r="B134" s="30" t="s">
        <v>1064</v>
      </c>
      <c r="C134" s="30" t="s">
        <v>0</v>
      </c>
      <c r="D134" s="30" t="s">
        <v>1208</v>
      </c>
      <c r="E134" s="30" t="s">
        <v>1752</v>
      </c>
      <c r="F134" s="30" t="s">
        <v>188</v>
      </c>
      <c r="G134" s="39" t="str">
        <f>VLOOKUP(F134,glossary!J:N,2,FALSE)</f>
        <v>Field of View (FOV)</v>
      </c>
      <c r="H134" s="30" t="s">
        <v>188</v>
      </c>
      <c r="I134" s="45" t="str">
        <f t="shared" si="6"/>
        <v>field_of_view_tu_abrv</v>
      </c>
      <c r="J134" s="39" t="s">
        <v>1161</v>
      </c>
      <c r="K134" s="39" t="str">
        <f>VLOOKUP(F134,glossary!J:N,5,FALSE)</f>
        <v>The extent of a scene that is visible in an image; a large FOV is obtained by 'zooming out' from a scene, whilst 'zooming in' will result in a smaller FOV (Wearn &amp; Glover-Kapfer, 2017).</v>
      </c>
      <c r="L134" s="30" t="s">
        <v>1102</v>
      </c>
      <c r="M134" s="30" t="str">
        <f t="shared" si="7"/>
        <v>{{ field_of_view_tu_abrv }}</v>
      </c>
      <c r="N134" t="s">
        <v>896</v>
      </c>
      <c r="O134" s="13" t="s">
        <v>1816</v>
      </c>
      <c r="P134" t="s">
        <v>4081</v>
      </c>
      <c r="Q134" t="str">
        <f t="shared" si="8"/>
        <v xml:space="preserve">    field_of_view_tu_abrv: "&lt;a href=\"09_glossary.html#field_of_view\" target=\"_blank\" data-bs-toggle=\"tooltip\" data-bs-title=\"Field of View (FOV): The extent of a scene that is visible in an image; a large FOV is obtained by 'zooming out' from a scene, whilst 'zooming in' will result in a smaller FOV (Wearn &amp; Glover-Kapfer, 2017).\"&gt;FOV&lt;button type=\"button\" class=\"btn btn-bd-tip-info-hidden btn-sm position-relative\"&gt;.&lt;span class=\"position-absolute top-0 start-100 translate-middle\"&gt;{{ icon_info }}&lt;/span&gt;&lt;/button&gt;&lt;/a&gt;"</v>
      </c>
      <c r="R134" t="b" cm="1">
        <f t="array" ref="R134">SUMPRODUCT(--EXACT($J$2:$J$490,J134))&gt;1</f>
        <v>0</v>
      </c>
      <c r="S134" t="s">
        <v>4307</v>
      </c>
    </row>
    <row r="135" spans="1:19">
      <c r="A135" s="30">
        <v>3</v>
      </c>
      <c r="B135" s="30" t="s">
        <v>1393</v>
      </c>
      <c r="C135" s="30"/>
      <c r="D135" s="30" t="s">
        <v>1207</v>
      </c>
      <c r="E135" s="30" t="s">
        <v>984</v>
      </c>
      <c r="F135" s="30" t="s">
        <v>126</v>
      </c>
      <c r="G135" s="39" t="str">
        <f>VLOOKUP(F135,glossary!J:N,2,FALSE)</f>
        <v>Registration area</v>
      </c>
      <c r="H135" s="34" t="s">
        <v>126</v>
      </c>
      <c r="I135" s="45" t="str">
        <f t="shared" si="6"/>
        <v>fov_registration_area_tl</v>
      </c>
      <c r="J135" s="43" t="s">
        <v>945</v>
      </c>
      <c r="K135" s="39" t="str">
        <f>VLOOKUP(F135,glossary!J:N,5,FALSE)</f>
        <v>The area in which an animal entering has at least some probability of being captured on the image.</v>
      </c>
      <c r="L135" t="s">
        <v>1632</v>
      </c>
      <c r="M135" s="30" t="str">
        <f t="shared" si="7"/>
        <v>{{ fov_registration_area_tl }}</v>
      </c>
      <c r="N135" t="s">
        <v>896</v>
      </c>
      <c r="O135" s="13" t="s">
        <v>1816</v>
      </c>
      <c r="P135" t="s">
        <v>4081</v>
      </c>
      <c r="Q135" t="str">
        <f t="shared" si="8"/>
        <v xml:space="preserve">    fov_registration_area_tl: "&lt;a href=\"09_glossary.html#fov_registration_area\" target=\"_blank\" data-bs-toggle=\"tooltip\" data-bs-title=\"Registration area: The area in which an animal entering has at least some probability of being captured on the image.\"&gt;registration area&lt;button type=\"button\" class=\"btn btn-bd-tip-info-hidden btn-sm position-relative\"&gt;.&lt;span class=\"position-absolute top-0 start-100 translate-middle\"&gt;{{ icon_info }}&lt;/span&gt;&lt;/button&gt;&lt;/a&gt;"</v>
      </c>
      <c r="R135" t="b" cm="1">
        <f t="array" ref="R135">SUMPRODUCT(--EXACT($J$2:$J$490,J135))&gt;1</f>
        <v>0</v>
      </c>
      <c r="S135" t="s">
        <v>4308</v>
      </c>
    </row>
    <row r="136" spans="1:19">
      <c r="A136" s="30">
        <v>3</v>
      </c>
      <c r="B136" s="30" t="s">
        <v>1393</v>
      </c>
      <c r="C136" s="30"/>
      <c r="D136" s="30" t="s">
        <v>1208</v>
      </c>
      <c r="E136" s="30" t="s">
        <v>984</v>
      </c>
      <c r="F136" s="30" t="s">
        <v>126</v>
      </c>
      <c r="G136" s="39" t="str">
        <f>VLOOKUP(F136,glossary!J:N,2,FALSE)</f>
        <v>Registration area</v>
      </c>
      <c r="H136" s="34" t="s">
        <v>126</v>
      </c>
      <c r="I136" s="45" t="str">
        <f t="shared" si="6"/>
        <v>fov_registration_area_tu</v>
      </c>
      <c r="J136" s="42" t="s">
        <v>128</v>
      </c>
      <c r="K136" s="39" t="str">
        <f>VLOOKUP(F136,glossary!J:N,5,FALSE)</f>
        <v>The area in which an animal entering has at least some probability of being captured on the image.</v>
      </c>
      <c r="L136" t="s">
        <v>1631</v>
      </c>
      <c r="M136" s="30" t="str">
        <f t="shared" si="7"/>
        <v>{{ fov_registration_area_tu }}</v>
      </c>
      <c r="N136" t="s">
        <v>896</v>
      </c>
      <c r="O136" s="13" t="s">
        <v>1816</v>
      </c>
      <c r="P136" t="s">
        <v>4081</v>
      </c>
      <c r="Q136" t="str">
        <f t="shared" si="8"/>
        <v xml:space="preserve">    fov_registration_area_tu: "&lt;a href=\"09_glossary.html#fov_registration_area\" target=\"_blank\" data-bs-toggle=\"tooltip\" data-bs-title=\"Registration area: The area in which an animal entering has at least some probability of being captured on the image.\"&gt;Registration area&lt;button type=\"button\" class=\"btn btn-bd-tip-info-hidden btn-sm position-relative\"&gt;.&lt;span class=\"position-absolute top-0 start-100 translate-middle\"&gt;{{ icon_info }}&lt;/span&gt;&lt;/button&gt;&lt;/a&gt;"</v>
      </c>
      <c r="R136" t="b" cm="1">
        <f t="array" ref="R136">SUMPRODUCT(--EXACT($J$2:$J$490,J136))&gt;1</f>
        <v>0</v>
      </c>
      <c r="S136" t="s">
        <v>4309</v>
      </c>
    </row>
    <row r="137" spans="1:19">
      <c r="A137" s="30">
        <v>3</v>
      </c>
      <c r="B137" s="30" t="s">
        <v>1393</v>
      </c>
      <c r="C137" s="30"/>
      <c r="D137" s="30" t="s">
        <v>1208</v>
      </c>
      <c r="E137" s="30" t="s">
        <v>984</v>
      </c>
      <c r="F137" s="30" t="s">
        <v>286</v>
      </c>
      <c r="G137" s="39" t="str">
        <f>VLOOKUP(F137,glossary!J:N,2,FALSE)</f>
        <v>FOV Target Feature</v>
      </c>
      <c r="H137" s="34" t="s">
        <v>286</v>
      </c>
      <c r="I137" s="45" t="str">
        <f t="shared" si="6"/>
        <v>fov_target_tu</v>
      </c>
      <c r="J137" s="42" t="s">
        <v>696</v>
      </c>
      <c r="K137" s="39" t="str">
        <f>VLOOKUP(F137,glossary!J:N,5,FALSE)</f>
        <v>A specific man-made or natural feature at which the camera is aimed to maximize the detection of wildlife species or to measure the use of that feature. Record 'None' if a FOV Target Feature was not used and 'Unknown' if not known. If 'Other,' describe in the Camera Location Comments.</v>
      </c>
      <c r="L137" t="s">
        <v>1630</v>
      </c>
      <c r="M137" s="30" t="str">
        <f t="shared" si="7"/>
        <v>{{ fov_target_tu }}</v>
      </c>
      <c r="N137" t="s">
        <v>896</v>
      </c>
      <c r="O137" s="13" t="s">
        <v>1816</v>
      </c>
      <c r="P137" t="s">
        <v>4081</v>
      </c>
      <c r="Q137" t="str">
        <f t="shared" si="8"/>
        <v xml:space="preserve">    fov_target_tu: "&lt;a href=\"09_glossary.html#fov_target\" target=\"_blank\" data-bs-toggle=\"tooltip\" data-bs-title=\"FOV Target Feature: A specific man-made or natural feature at which the camera is aimed to maximize the detection of wildlife species or to measure the use of that feature. Record 'None' if a FOV Target Feature was not used and 'Unknown' if not known. If 'Other,' describe in the Camera Location Comments.\"&gt;FOV Target Feature&lt;button type=\"button\" class=\"btn btn-bd-tip-info-hidden btn-sm position-relative\"&gt;.&lt;span class=\"position-absolute top-0 start-100 translate-middle\"&gt;{{ icon_info }}&lt;/span&gt;&lt;/button&gt;&lt;/a&gt;"</v>
      </c>
      <c r="R137" t="b" cm="1">
        <f t="array" ref="R137">SUMPRODUCT(--EXACT($J$2:$J$490,J137))&gt;1</f>
        <v>0</v>
      </c>
      <c r="S137" t="s">
        <v>4310</v>
      </c>
    </row>
    <row r="138" spans="1:19">
      <c r="A138" s="30">
        <v>1</v>
      </c>
      <c r="B138" s="30" t="s">
        <v>1064</v>
      </c>
      <c r="C138" s="30" t="s">
        <v>0</v>
      </c>
      <c r="D138" s="30" t="s">
        <v>1208</v>
      </c>
      <c r="E138" s="30" t="s">
        <v>1757</v>
      </c>
      <c r="F138" s="30" t="s">
        <v>328</v>
      </c>
      <c r="G138" s="39" t="str">
        <f>VLOOKUP(F138,glossary!J:N,2,FALSE)</f>
        <v>FOV Target Feature Distance (m)</v>
      </c>
      <c r="H138" s="30" t="s">
        <v>328</v>
      </c>
      <c r="I138" s="45" t="str">
        <f t="shared" si="6"/>
        <v>fov_target_distance_tu_nu</v>
      </c>
      <c r="J138" s="39" t="s">
        <v>1080</v>
      </c>
      <c r="K138" s="39" t="str">
        <f>VLOOKUP(F138,glossary!J:N,5,FALSE)</f>
        <v>The distance from the camera to the FOV Target Feature (in metres; to the nearest 0.5 m). Leave blank if not applicable.</v>
      </c>
      <c r="L138" s="30" t="s">
        <v>1091</v>
      </c>
      <c r="M138" s="30" t="str">
        <f t="shared" si="7"/>
        <v>{{ fov_target_distance_tu_nu }}</v>
      </c>
      <c r="N138" t="s">
        <v>896</v>
      </c>
      <c r="O138" s="13" t="s">
        <v>1816</v>
      </c>
      <c r="P138" t="s">
        <v>4081</v>
      </c>
      <c r="Q138" t="str">
        <f t="shared" si="8"/>
        <v xml:space="preserve">    fov_target_distance_tu_nu: "&lt;a href=\"09_glossary.html#fov_target_distance\" target=\"_blank\" data-bs-toggle=\"tooltip\" data-bs-title=\"FOV Target Feature Distance (m): The distance from the camera to the FOV Target Feature (in metres; to the nearest 0.5 m). Leave blank if not applicable.\"&gt;FOV Target Feature Distance&lt;button type=\"button\" class=\"btn btn-bd-tip-info-hidden btn-sm position-relative\"&gt;.&lt;span class=\"position-absolute top-0 start-100 translate-middle\"&gt;{{ icon_info }}&lt;/span&gt;&lt;/button&gt;&lt;/a&gt;"</v>
      </c>
      <c r="R138" t="b" cm="1">
        <f t="array" ref="R138">SUMPRODUCT(--EXACT($J$2:$J$490,J138))&gt;1</f>
        <v>0</v>
      </c>
      <c r="S138" t="s">
        <v>4311</v>
      </c>
    </row>
    <row r="139" spans="1:19">
      <c r="A139" s="30">
        <v>3</v>
      </c>
      <c r="B139" s="30" t="s">
        <v>1393</v>
      </c>
      <c r="C139" s="30"/>
      <c r="D139" s="30" t="s">
        <v>1208</v>
      </c>
      <c r="E139" s="30" t="s">
        <v>1751</v>
      </c>
      <c r="F139" s="30" t="s">
        <v>328</v>
      </c>
      <c r="G139" s="39" t="str">
        <f>VLOOKUP(F139,glossary!J:N,2,FALSE)</f>
        <v>FOV Target Feature Distance (m)</v>
      </c>
      <c r="H139" s="34" t="s">
        <v>328</v>
      </c>
      <c r="I139" s="45" t="str">
        <f t="shared" si="6"/>
        <v>fov_target_distance_tu_u</v>
      </c>
      <c r="J139" s="42" t="s">
        <v>744</v>
      </c>
      <c r="K139" s="39" t="str">
        <f>VLOOKUP(F139,glossary!J:N,5,FALSE)</f>
        <v>The distance from the camera to the FOV Target Feature (in metres; to the nearest 0.5 m). Leave blank if not applicable.</v>
      </c>
      <c r="L139" t="s">
        <v>1629</v>
      </c>
      <c r="M139" s="30" t="str">
        <f t="shared" si="7"/>
        <v>{{ fov_target_distance_tu_u }}</v>
      </c>
      <c r="N139" t="s">
        <v>896</v>
      </c>
      <c r="O139" s="13" t="s">
        <v>1816</v>
      </c>
      <c r="P139" t="s">
        <v>4081</v>
      </c>
      <c r="Q139" t="str">
        <f t="shared" si="8"/>
        <v xml:space="preserve">    fov_target_distance_tu_u: "&lt;a href=\"09_glossary.html#fov_target_distance\" target=\"_blank\" data-bs-toggle=\"tooltip\" data-bs-title=\"FOV Target Feature Distance (m): The distance from the camera to the FOV Target Feature (in metres; to the nearest 0.5 m). Leave blank if not applicable.\"&gt;FOV Target Feature Distance (m)&lt;button type=\"button\" class=\"btn btn-bd-tip-info-hidden btn-sm position-relative\"&gt;.&lt;span class=\"position-absolute top-0 start-100 translate-middle\"&gt;{{ icon_info }}&lt;/span&gt;&lt;/button&gt;&lt;/a&gt;"</v>
      </c>
      <c r="R139" t="b" cm="1">
        <f t="array" ref="R139">SUMPRODUCT(--EXACT($J$2:$J$490,J139))&gt;1</f>
        <v>0</v>
      </c>
      <c r="S139" t="s">
        <v>4312</v>
      </c>
    </row>
    <row r="140" spans="1:19">
      <c r="A140" s="30">
        <v>2</v>
      </c>
      <c r="B140" s="30" t="s">
        <v>1400</v>
      </c>
      <c r="C140" s="30"/>
      <c r="D140" s="30" t="s">
        <v>1207</v>
      </c>
      <c r="E140" s="30" t="s">
        <v>984</v>
      </c>
      <c r="F140" s="30" t="s">
        <v>66</v>
      </c>
      <c r="G140" s="39" t="str">
        <f>VLOOKUP(F140,glossary!J:N,2,FALSE)</f>
        <v>Viewshed</v>
      </c>
      <c r="H140" s="30" t="s">
        <v>66</v>
      </c>
      <c r="I140" s="45" t="str">
        <f t="shared" si="6"/>
        <v>fov_viewshed_tl</v>
      </c>
      <c r="J140" s="39" t="s">
        <v>791</v>
      </c>
      <c r="K140" s="39" t="str">
        <f>VLOOKUP(F140,glossary!J:N,5,FALSE)</f>
        <v>The area visible to the camera as determined by its lens angle (in degrees) and trigger distance (Moeller et al., 2023).</v>
      </c>
      <c r="L140" s="30" t="s">
        <v>1628</v>
      </c>
      <c r="M140" s="30" t="str">
        <f t="shared" si="7"/>
        <v>{{ fov_viewshed_tl }}</v>
      </c>
      <c r="N140" t="s">
        <v>896</v>
      </c>
      <c r="O140" s="13" t="s">
        <v>1816</v>
      </c>
      <c r="P140" t="s">
        <v>4081</v>
      </c>
      <c r="Q140" t="str">
        <f t="shared" si="8"/>
        <v xml:space="preserve">    fov_viewshed_tl: "&lt;a href=\"09_glossary.html#fov_viewshed\" target=\"_blank\" data-bs-toggle=\"tooltip\" data-bs-title=\"Viewshed: The area visible to the camera as determined by its lens angle (in degrees) and trigger distance (Moeller et al., 2023).\"&gt;viewshed&lt;button type=\"button\" class=\"btn btn-bd-tip-info-hidden btn-sm position-relative\"&gt;.&lt;span class=\"position-absolute top-0 start-100 translate-middle\"&gt;{{ icon_info }}&lt;/span&gt;&lt;/button&gt;&lt;/a&gt;"</v>
      </c>
      <c r="R140" t="b" cm="1">
        <f t="array" ref="R140">SUMPRODUCT(--EXACT($J$2:$J$490,J140))&gt;1</f>
        <v>0</v>
      </c>
      <c r="S140" t="s">
        <v>4313</v>
      </c>
    </row>
    <row r="141" spans="1:19">
      <c r="A141" s="30">
        <v>2</v>
      </c>
      <c r="B141" s="30" t="s">
        <v>1400</v>
      </c>
      <c r="C141" s="30"/>
      <c r="D141" s="30" t="s">
        <v>1208</v>
      </c>
      <c r="E141" s="30" t="s">
        <v>984</v>
      </c>
      <c r="F141" s="30" t="s">
        <v>66</v>
      </c>
      <c r="G141" s="39" t="str">
        <f>VLOOKUP(F141,glossary!J:N,2,FALSE)</f>
        <v>Viewshed</v>
      </c>
      <c r="H141" s="30" t="s">
        <v>66</v>
      </c>
      <c r="I141" s="45" t="str">
        <f t="shared" si="6"/>
        <v>fov_viewshed_tu</v>
      </c>
      <c r="J141" s="39" t="s">
        <v>68</v>
      </c>
      <c r="K141" s="39" t="str">
        <f>VLOOKUP(F141,glossary!J:N,5,FALSE)</f>
        <v>The area visible to the camera as determined by its lens angle (in degrees) and trigger distance (Moeller et al., 2023).</v>
      </c>
      <c r="L141" s="30" t="s">
        <v>1627</v>
      </c>
      <c r="M141" s="30" t="str">
        <f t="shared" si="7"/>
        <v>{{ fov_viewshed_tu }}</v>
      </c>
      <c r="N141" t="s">
        <v>896</v>
      </c>
      <c r="O141" s="13" t="s">
        <v>1816</v>
      </c>
      <c r="P141" t="s">
        <v>4081</v>
      </c>
      <c r="Q141" t="str">
        <f t="shared" si="8"/>
        <v xml:space="preserve">    fov_viewshed_tu: "&lt;a href=\"09_glossary.html#fov_viewshed\" target=\"_blank\" data-bs-toggle=\"tooltip\" data-bs-title=\"Viewshed: The area visible to the camera as determined by its lens angle (in degrees) and trigger distance (Moeller et al., 2023).\"&gt;Viewshed&lt;button type=\"button\" class=\"btn btn-bd-tip-info-hidden btn-sm position-relative\"&gt;.&lt;span class=\"position-absolute top-0 start-100 translate-middle\"&gt;{{ icon_info }}&lt;/span&gt;&lt;/button&gt;&lt;/a&gt;"</v>
      </c>
      <c r="R141" t="b" cm="1">
        <f t="array" ref="R141">SUMPRODUCT(--EXACT($J$2:$J$490,J141))&gt;1</f>
        <v>0</v>
      </c>
      <c r="S141" t="s">
        <v>4314</v>
      </c>
    </row>
    <row r="142" spans="1:19">
      <c r="A142" s="30">
        <v>3</v>
      </c>
      <c r="B142" s="30" t="s">
        <v>1393</v>
      </c>
      <c r="C142" s="30"/>
      <c r="D142" s="30" t="s">
        <v>1207</v>
      </c>
      <c r="E142" s="30" t="s">
        <v>1758</v>
      </c>
      <c r="F142" s="30" t="s">
        <v>521</v>
      </c>
      <c r="G142" s="39" t="str">
        <f>VLOOKUP(F142,glossary!J:N,2,FALSE)</f>
        <v>Viewshed density estimators</v>
      </c>
      <c r="H142" s="34" t="s">
        <v>521</v>
      </c>
      <c r="I142" s="45" t="str">
        <f t="shared" si="6"/>
        <v>fov_viewshed_density_estimators_tl_pl</v>
      </c>
      <c r="J142" s="43" t="s">
        <v>967</v>
      </c>
      <c r="K142" s="39" t="str">
        <f>VLOOKUP(F142,glossary!J:N,5,FALSE)</f>
        <v>Methods used to estimate the abundance of unmarked populations from observations of animals that relate animal observations to the space directly sampled by each camera’s viewshed (Moeller et al., 2023); they result in viewshed density estimates that can be extrapolated to abundance within broader sampling frames (Gilbert et al., 2020; Moeller et al., 2023).</v>
      </c>
      <c r="L142" t="s">
        <v>1626</v>
      </c>
      <c r="M142" s="30" t="str">
        <f t="shared" si="7"/>
        <v>{{ fov_viewshed_density_estimators_tl_pl }}</v>
      </c>
      <c r="N142" t="s">
        <v>896</v>
      </c>
      <c r="O142" s="13" t="s">
        <v>1816</v>
      </c>
      <c r="P142" t="s">
        <v>4081</v>
      </c>
      <c r="Q142" t="str">
        <f t="shared" si="8"/>
        <v xml:space="preserve">    fov_viewshed_density_estimators_tl_pl: "&lt;a href=\"09_glossary.html#fov_viewshed_density_estimators\" target=\"_blank\" data-bs-toggle=\"tooltip\" data-bs-title=\"Viewshed density estimators: Methods used to estimate the abundance of unmarked populations from observations of animals that relate animal observations to the space directly sampled by each camera’s viewshed (Moeller et al., 2023); they result in viewshed density estimates that can be extrapolated to abundance within broader sampling frames (Gilbert et al., 2020; Moeller et al., 2023).\"&gt;viewshed density estimators&lt;button type=\"button\" class=\"btn btn-bd-tip-info-hidden btn-sm position-relative\"&gt;.&lt;span class=\"position-absolute top-0 start-100 translate-middle\"&gt;{{ icon_info }}&lt;/span&gt;&lt;/button&gt;&lt;/a&gt;"</v>
      </c>
      <c r="R142" t="b" cm="1">
        <f t="array" ref="R142">SUMPRODUCT(--EXACT($J$2:$J$490,J142))&gt;1</f>
        <v>0</v>
      </c>
      <c r="S142" t="s">
        <v>4315</v>
      </c>
    </row>
    <row r="143" spans="1:19">
      <c r="A143" s="30">
        <v>3</v>
      </c>
      <c r="B143" s="30" t="s">
        <v>1393</v>
      </c>
      <c r="C143" s="30"/>
      <c r="D143" s="30" t="s">
        <v>1208</v>
      </c>
      <c r="E143" s="30" t="s">
        <v>1758</v>
      </c>
      <c r="F143" s="30" t="s">
        <v>521</v>
      </c>
      <c r="G143" s="39" t="str">
        <f>VLOOKUP(F143,glossary!J:N,2,FALSE)</f>
        <v>Viewshed density estimators</v>
      </c>
      <c r="H143" s="34" t="s">
        <v>521</v>
      </c>
      <c r="I143" s="45" t="str">
        <f t="shared" si="6"/>
        <v>fov_viewshed_density_estimators_tu_pl</v>
      </c>
      <c r="J143" s="42" t="s">
        <v>522</v>
      </c>
      <c r="K143" s="39" t="str">
        <f>VLOOKUP(F143,glossary!J:N,5,FALSE)</f>
        <v>Methods used to estimate the abundance of unmarked populations from observations of animals that relate animal observations to the space directly sampled by each camera’s viewshed (Moeller et al., 2023); they result in viewshed density estimates that can be extrapolated to abundance within broader sampling frames (Gilbert et al., 2020; Moeller et al., 2023).</v>
      </c>
      <c r="L143" t="s">
        <v>1625</v>
      </c>
      <c r="M143" s="30" t="str">
        <f t="shared" si="7"/>
        <v>{{ fov_viewshed_density_estimators_tu_pl }}</v>
      </c>
      <c r="N143" t="s">
        <v>896</v>
      </c>
      <c r="O143" s="13" t="s">
        <v>1816</v>
      </c>
      <c r="P143" t="s">
        <v>4081</v>
      </c>
      <c r="Q143" t="str">
        <f t="shared" si="8"/>
        <v xml:space="preserve">    fov_viewshed_density_estimators_tu_pl: "&lt;a href=\"09_glossary.html#fov_viewshed_density_estimators\" target=\"_blank\" data-bs-toggle=\"tooltip\" data-bs-title=\"Viewshed density estimators: Methods used to estimate the abundance of unmarked populations from observations of animals that relate animal observations to the space directly sampled by each camera’s viewshed (Moeller et al., 2023); they result in viewshed density estimates that can be extrapolated to abundance within broader sampling frames (Gilbert et al., 2020; Moeller et al., 2023).\"&gt;Viewshed density estimators&lt;button type=\"button\" class=\"btn btn-bd-tip-info-hidden btn-sm position-relative\"&gt;.&lt;span class=\"position-absolute top-0 start-100 translate-middle\"&gt;{{ icon_info }}&lt;/span&gt;&lt;/button&gt;&lt;/a&gt;"</v>
      </c>
      <c r="R143" t="b" cm="1">
        <f t="array" ref="R143">SUMPRODUCT(--EXACT($J$2:$J$490,J143))&gt;1</f>
        <v>0</v>
      </c>
      <c r="S143" t="s">
        <v>4316</v>
      </c>
    </row>
    <row r="144" spans="1:19">
      <c r="A144" s="30">
        <v>1</v>
      </c>
      <c r="B144" s="30" t="s">
        <v>1064</v>
      </c>
      <c r="C144" s="30" t="s">
        <v>0</v>
      </c>
      <c r="D144" s="30" t="s">
        <v>1208</v>
      </c>
      <c r="E144" s="30" t="s">
        <v>1757</v>
      </c>
      <c r="F144" s="30" t="s">
        <v>285</v>
      </c>
      <c r="G144" s="39" t="str">
        <f>VLOOKUP(F144,glossary!J:N,2,FALSE)</f>
        <v xml:space="preserve">GPS Unit Accuracy (m) </v>
      </c>
      <c r="H144" s="30" t="s">
        <v>285</v>
      </c>
      <c r="I144" s="45" t="str">
        <f t="shared" si="6"/>
        <v>gps_unit_accuracy_tu_nu</v>
      </c>
      <c r="J144" s="39" t="s">
        <v>1079</v>
      </c>
      <c r="K144" s="39" t="str">
        <f>VLOOKUP(F144,glossary!J:N,5,FALSE)</f>
        <v xml:space="preserve">The margin of error of the GPS unit used to record spatial information (e.g., '5' [m]), such as the coordinates of the camera location. On most GPS units (e.g., 'Garmin') this information is provided on the unit’s satellite information page. </v>
      </c>
      <c r="L144" s="30" t="s">
        <v>1092</v>
      </c>
      <c r="M144" s="30" t="str">
        <f t="shared" si="7"/>
        <v>{{ gps_unit_accuracy_tu_nu }}</v>
      </c>
      <c r="N144" t="s">
        <v>896</v>
      </c>
      <c r="O144" s="13" t="s">
        <v>1816</v>
      </c>
      <c r="P144" t="s">
        <v>4081</v>
      </c>
      <c r="Q144" t="str">
        <f t="shared" si="8"/>
        <v xml:space="preserve">    gps_unit_accuracy_tu_nu: "&lt;a href=\"09_glossary.html#gps_unit_accuracy\" target=\"_blank\" data-bs-toggle=\"tooltip\" data-bs-title=\"GPS Unit Accuracy (m) : The margin of error of the GPS unit used to record spatial information (e.g., '5' [m]), such as the coordinates of the camera location. On most GPS units (e.g., 'Garmin') this information is provided on the unit’s satellite information page. \"&gt;GPS Unit Accuracy&lt;button type=\"button\" class=\"btn btn-bd-tip-info-hidden btn-sm position-relative\"&gt;.&lt;span class=\"position-absolute top-0 start-100 translate-middle\"&gt;{{ icon_info }}&lt;/span&gt;&lt;/button&gt;&lt;/a&gt;"</v>
      </c>
      <c r="R144" t="b" cm="1">
        <f t="array" ref="R144">SUMPRODUCT(--EXACT($J$2:$J$490,J144))&gt;1</f>
        <v>0</v>
      </c>
      <c r="S144" t="s">
        <v>4317</v>
      </c>
    </row>
    <row r="145" spans="1:19">
      <c r="A145" s="30">
        <v>3</v>
      </c>
      <c r="B145" s="30" t="s">
        <v>1393</v>
      </c>
      <c r="C145" s="30"/>
      <c r="D145" s="30" t="s">
        <v>1208</v>
      </c>
      <c r="E145" s="30" t="s">
        <v>1751</v>
      </c>
      <c r="F145" s="30" t="s">
        <v>285</v>
      </c>
      <c r="G145" s="39" t="str">
        <f>VLOOKUP(F145,glossary!J:N,2,FALSE)</f>
        <v xml:space="preserve">GPS Unit Accuracy (m) </v>
      </c>
      <c r="H145" s="34" t="s">
        <v>285</v>
      </c>
      <c r="I145" s="45" t="str">
        <f t="shared" si="6"/>
        <v>gps_unit_accuracy_tu_u</v>
      </c>
      <c r="J145" s="42" t="s">
        <v>697</v>
      </c>
      <c r="K145" s="39" t="str">
        <f>VLOOKUP(F145,glossary!J:N,5,FALSE)</f>
        <v xml:space="preserve">The margin of error of the GPS unit used to record spatial information (e.g., '5' [m]), such as the coordinates of the camera location. On most GPS units (e.g., 'Garmin') this information is provided on the unit’s satellite information page. </v>
      </c>
      <c r="L145" t="s">
        <v>1624</v>
      </c>
      <c r="M145" s="30" t="str">
        <f t="shared" si="7"/>
        <v>{{ gps_unit_accuracy_tu_u }}</v>
      </c>
      <c r="N145" t="s">
        <v>896</v>
      </c>
      <c r="O145" s="13" t="s">
        <v>1816</v>
      </c>
      <c r="P145" t="s">
        <v>4081</v>
      </c>
      <c r="Q145" t="str">
        <f t="shared" si="8"/>
        <v xml:space="preserve">    gps_unit_accuracy_tu_u: "&lt;a href=\"09_glossary.html#gps_unit_accuracy\" target=\"_blank\" data-bs-toggle=\"tooltip\" data-bs-title=\"GPS Unit Accuracy (m) : The margin of error of the GPS unit used to record spatial information (e.g., '5' [m]), such as the coordinates of the camera location. On most GPS units (e.g., 'Garmin') this information is provided on the unit’s satellite information page. \"&gt;GPS Unit Accuracy (m) &lt;button type=\"button\" class=\"btn btn-bd-tip-info-hidden btn-sm position-relative\"&gt;.&lt;span class=\"position-absolute top-0 start-100 translate-middle\"&gt;{{ icon_info }}&lt;/span&gt;&lt;/button&gt;&lt;/a&gt;"</v>
      </c>
      <c r="R145" t="b" cm="1">
        <f t="array" ref="R145">SUMPRODUCT(--EXACT($J$2:$J$490,J145))&gt;1</f>
        <v>0</v>
      </c>
      <c r="S145" t="s">
        <v>4318</v>
      </c>
    </row>
    <row r="146" spans="1:19">
      <c r="B146" s="30" t="s">
        <v>768</v>
      </c>
      <c r="D146" s="30" t="s">
        <v>1207</v>
      </c>
      <c r="E146" s="30" t="s">
        <v>984</v>
      </c>
      <c r="F146" s="30" t="s">
        <v>4113</v>
      </c>
      <c r="G146" s="39" t="str">
        <f>VLOOKUP(F146,glossary!J:N,2,FALSE)</f>
        <v>Home range</v>
      </c>
      <c r="H146" s="30" t="s">
        <v>4113</v>
      </c>
      <c r="I146" s="45" t="str">
        <f t="shared" si="6"/>
        <v>hr_tl</v>
      </c>
      <c r="J146" s="30" t="s">
        <v>1807</v>
      </c>
      <c r="K146" s="39" t="str">
        <f>VLOOKUP(F146,glossary!J:N,5,FALSE)</f>
        <v>the area within which an animal normally lives and finds what it needs to survive and reproduce.</v>
      </c>
      <c r="L146" s="30" t="s">
        <v>984</v>
      </c>
      <c r="M146" s="30" t="str">
        <f t="shared" si="7"/>
        <v>{{ hr_tl }}</v>
      </c>
      <c r="N146" t="s">
        <v>896</v>
      </c>
      <c r="O146" s="13" t="s">
        <v>1816</v>
      </c>
      <c r="P146" t="s">
        <v>4081</v>
      </c>
      <c r="Q146" t="str">
        <f t="shared" si="8"/>
        <v xml:space="preserve">    hr_tl: "&lt;a href=\"09_glossary.html#hr\" target=\"_blank\" data-bs-toggle=\"tooltip\" data-bs-title=\"Home range: the area within which an animal normally lives and finds what it needs to survive and reproduce.\"&gt;home range&lt;button type=\"button\" class=\"btn btn-bd-tip-info-hidden btn-sm position-relative\"&gt;.&lt;span class=\"position-absolute top-0 start-100 translate-middle\"&gt;{{ icon_info }}&lt;/span&gt;&lt;/button&gt;&lt;/a&gt;"</v>
      </c>
      <c r="R146" t="b" cm="1">
        <f t="array" ref="R146">SUMPRODUCT(--EXACT($J$2:$J$490,J146))&gt;1</f>
        <v>0</v>
      </c>
      <c r="S146" t="s">
        <v>4319</v>
      </c>
    </row>
    <row r="147" spans="1:19">
      <c r="B147" s="30" t="s">
        <v>768</v>
      </c>
      <c r="D147" s="30" t="s">
        <v>1207</v>
      </c>
      <c r="E147" s="30" t="s">
        <v>1758</v>
      </c>
      <c r="F147" s="30" t="s">
        <v>4113</v>
      </c>
      <c r="G147" s="39" t="str">
        <f>VLOOKUP(F147,glossary!J:N,2,FALSE)</f>
        <v>Home range</v>
      </c>
      <c r="H147" s="30" t="s">
        <v>4113</v>
      </c>
      <c r="I147" s="45" t="str">
        <f t="shared" si="6"/>
        <v>hr_tl_pl</v>
      </c>
      <c r="J147" s="30" t="s">
        <v>1814</v>
      </c>
      <c r="K147" s="39" t="str">
        <f>VLOOKUP(F147,glossary!J:N,5,FALSE)</f>
        <v>the area within which an animal normally lives and finds what it needs to survive and reproduce.</v>
      </c>
      <c r="L147" s="30" t="s">
        <v>984</v>
      </c>
      <c r="M147" s="30" t="str">
        <f t="shared" si="7"/>
        <v>{{ hr_tl_pl }}</v>
      </c>
      <c r="N147" t="s">
        <v>896</v>
      </c>
      <c r="O147" s="13" t="s">
        <v>1816</v>
      </c>
      <c r="P147" t="s">
        <v>4081</v>
      </c>
      <c r="Q147" t="str">
        <f t="shared" si="8"/>
        <v xml:space="preserve">    hr_tl_pl: "&lt;a href=\"09_glossary.html#hr\" target=\"_blank\" data-bs-toggle=\"tooltip\" data-bs-title=\"Home range: the area within which an animal normally lives and finds what it needs to survive and reproduce.\"&gt;home ranges&lt;button type=\"button\" class=\"btn btn-bd-tip-info-hidden btn-sm position-relative\"&gt;.&lt;span class=\"position-absolute top-0 start-100 translate-middle\"&gt;{{ icon_info }}&lt;/span&gt;&lt;/button&gt;&lt;/a&gt;"</v>
      </c>
      <c r="R147" t="b" cm="1">
        <f t="array" ref="R147">SUMPRODUCT(--EXACT($J$2:$J$490,J147))&gt;1</f>
        <v>0</v>
      </c>
      <c r="S147" t="s">
        <v>4320</v>
      </c>
    </row>
    <row r="148" spans="1:19">
      <c r="B148" s="30" t="s">
        <v>768</v>
      </c>
      <c r="D148" s="30" t="s">
        <v>1208</v>
      </c>
      <c r="E148" s="30" t="s">
        <v>984</v>
      </c>
      <c r="F148" s="30" t="s">
        <v>4113</v>
      </c>
      <c r="G148" s="39" t="str">
        <f>VLOOKUP(F148,glossary!J:N,2,FALSE)</f>
        <v>Home range</v>
      </c>
      <c r="H148" s="30" t="s">
        <v>4113</v>
      </c>
      <c r="I148" s="45" t="str">
        <f t="shared" si="6"/>
        <v>hr_tu</v>
      </c>
      <c r="J148" s="30" t="s">
        <v>669</v>
      </c>
      <c r="K148" s="39" t="str">
        <f>VLOOKUP(F148,glossary!J:N,5,FALSE)</f>
        <v>the area within which an animal normally lives and finds what it needs to survive and reproduce.</v>
      </c>
      <c r="L148" s="30" t="s">
        <v>984</v>
      </c>
      <c r="M148" s="30" t="str">
        <f t="shared" si="7"/>
        <v>{{ hr_tu }}</v>
      </c>
      <c r="N148" t="s">
        <v>896</v>
      </c>
      <c r="O148" s="13" t="s">
        <v>1816</v>
      </c>
      <c r="P148" t="s">
        <v>4081</v>
      </c>
      <c r="Q148" t="str">
        <f t="shared" si="8"/>
        <v xml:space="preserve">    hr_tu: "&lt;a href=\"09_glossary.html#hr\" target=\"_blank\" data-bs-toggle=\"tooltip\" data-bs-title=\"Home range: the area within which an animal normally lives and finds what it needs to survive and reproduce.\"&gt;Home range&lt;button type=\"button\" class=\"btn btn-bd-tip-info-hidden btn-sm position-relative\"&gt;.&lt;span class=\"position-absolute top-0 start-100 translate-middle\"&gt;{{ icon_info }}&lt;/span&gt;&lt;/button&gt;&lt;/a&gt;"</v>
      </c>
      <c r="R148" t="b" cm="1">
        <f t="array" ref="R148">SUMPRODUCT(--EXACT($J$2:$J$490,J148))&gt;1</f>
        <v>0</v>
      </c>
      <c r="S148" t="s">
        <v>4321</v>
      </c>
    </row>
    <row r="149" spans="1:19">
      <c r="B149" s="30" t="s">
        <v>768</v>
      </c>
      <c r="D149" s="30" t="s">
        <v>1208</v>
      </c>
      <c r="E149" s="30" t="s">
        <v>1758</v>
      </c>
      <c r="F149" s="30" t="s">
        <v>4113</v>
      </c>
      <c r="G149" s="39" t="str">
        <f>VLOOKUP(F149,glossary!J:N,2,FALSE)</f>
        <v>Home range</v>
      </c>
      <c r="H149" s="30" t="s">
        <v>4113</v>
      </c>
      <c r="I149" s="45" t="str">
        <f t="shared" si="6"/>
        <v>hr_tu_pl</v>
      </c>
      <c r="J149" s="30" t="s">
        <v>1370</v>
      </c>
      <c r="K149" s="39" t="str">
        <f>VLOOKUP(F149,glossary!J:N,5,FALSE)</f>
        <v>the area within which an animal normally lives and finds what it needs to survive and reproduce.</v>
      </c>
      <c r="L149" s="30" t="s">
        <v>984</v>
      </c>
      <c r="M149" s="30" t="str">
        <f t="shared" si="7"/>
        <v>{{ hr_tu_pl }}</v>
      </c>
      <c r="N149" t="s">
        <v>896</v>
      </c>
      <c r="O149" s="13" t="s">
        <v>1816</v>
      </c>
      <c r="P149" t="s">
        <v>4081</v>
      </c>
      <c r="Q149" t="str">
        <f t="shared" si="8"/>
        <v xml:space="preserve">    hr_tu_pl: "&lt;a href=\"09_glossary.html#hr\" target=\"_blank\" data-bs-toggle=\"tooltip\" data-bs-title=\"Home range: the area within which an animal normally lives and finds what it needs to survive and reproduce.\"&gt;Home ranges&lt;button type=\"button\" class=\"btn btn-bd-tip-info-hidden btn-sm position-relative\"&gt;.&lt;span class=\"position-absolute top-0 start-100 translate-middle\"&gt;{{ icon_info }}&lt;/span&gt;&lt;/button&gt;&lt;/a&gt;"</v>
      </c>
      <c r="R149" t="b" cm="1">
        <f t="array" ref="R149">SUMPRODUCT(--EXACT($J$2:$J$490,J149))&gt;1</f>
        <v>0</v>
      </c>
      <c r="S149" t="s">
        <v>4322</v>
      </c>
    </row>
    <row r="150" spans="1:19">
      <c r="A150" s="30">
        <v>3</v>
      </c>
      <c r="B150" s="30" t="s">
        <v>1393</v>
      </c>
      <c r="C150" s="30"/>
      <c r="D150" s="30" t="s">
        <v>1208</v>
      </c>
      <c r="E150" s="30" t="s">
        <v>984</v>
      </c>
      <c r="F150" s="30" t="s">
        <v>327</v>
      </c>
      <c r="G150" s="39" t="str">
        <f>VLOOKUP(F150,glossary!J:N,2,FALSE)</f>
        <v>Human Transport Mode/Activity</v>
      </c>
      <c r="H150" s="34" t="s">
        <v>327</v>
      </c>
      <c r="I150" s="45" t="str">
        <f t="shared" si="6"/>
        <v>human_transport_mode_activity_tu</v>
      </c>
      <c r="J150" s="42" t="s">
        <v>745</v>
      </c>
      <c r="K150" s="39" t="str">
        <f>VLOOKUP(F150,glossary!J:N,5,FALSE)</f>
        <v>The activity performed or mode of transportation used by a human observed (e.g., hiker, skier, off-highway vehicle, etc.). This categorical field should be populated when data on humans (in addition to wildlife) are collected. Leave blank if not applicable and record 'Unknown' if not known.</v>
      </c>
      <c r="L150" t="s">
        <v>1623</v>
      </c>
      <c r="M150" s="30" t="str">
        <f t="shared" si="7"/>
        <v>{{ human_transport_mode_activity_tu }}</v>
      </c>
      <c r="N150" t="s">
        <v>896</v>
      </c>
      <c r="O150" s="13" t="s">
        <v>1816</v>
      </c>
      <c r="P150" t="s">
        <v>4081</v>
      </c>
      <c r="Q150" t="str">
        <f t="shared" si="8"/>
        <v xml:space="preserve">    human_transport_mode_activity_tu: "&lt;a href=\"09_glossary.html#human_transport_mode_activity\" target=\"_blank\" data-bs-toggle=\"tooltip\" data-bs-title=\"Human Transport Mode/Activity: The activity performed or mode of transportation used by a human observed (e.g., hiker, skier, off-highway vehicle, etc.). This categorical field should be populated when data on humans (in addition to wildlife) are collected. Leave blank if not applicable and record 'Unknown' if not known.\"&gt;Human Transport Mode/Activity&lt;button type=\"button\" class=\"btn btn-bd-tip-info-hidden btn-sm position-relative\"&gt;.&lt;span class=\"position-absolute top-0 start-100 translate-middle\"&gt;{{ icon_info }}&lt;/span&gt;&lt;/button&gt;&lt;/a&gt;"</v>
      </c>
      <c r="R150" t="b" cm="1">
        <f t="array" ref="R150">SUMPRODUCT(--EXACT($J$2:$J$490,J150))&gt;1</f>
        <v>0</v>
      </c>
      <c r="S150" t="s">
        <v>4323</v>
      </c>
    </row>
    <row r="151" spans="1:19">
      <c r="A151" s="30">
        <v>2</v>
      </c>
      <c r="B151" s="30" t="s">
        <v>1400</v>
      </c>
      <c r="C151" s="30"/>
      <c r="D151" s="30" t="s">
        <v>1207</v>
      </c>
      <c r="E151" s="30" t="s">
        <v>984</v>
      </c>
      <c r="F151" s="30" t="s">
        <v>183</v>
      </c>
      <c r="G151" s="39" t="str">
        <f>VLOOKUP(F151,glossary!J:N,2,FALSE)</f>
        <v>Image</v>
      </c>
      <c r="H151" s="30" t="s">
        <v>183</v>
      </c>
      <c r="I151" s="45" t="str">
        <f t="shared" si="6"/>
        <v>image_tl</v>
      </c>
      <c r="J151" s="39" t="s">
        <v>183</v>
      </c>
      <c r="K151" s="39" t="str">
        <f>VLOOKUP(F151,glossary!J:N,5,FALSE)</f>
        <v>An individual image captured by a camera, which may be part of a multi-image sequence (recorded as 'Image Name').</v>
      </c>
      <c r="L151" s="30" t="s">
        <v>1622</v>
      </c>
      <c r="M151" s="30" t="str">
        <f t="shared" si="7"/>
        <v>{{ image_tl }}</v>
      </c>
      <c r="N151" t="s">
        <v>896</v>
      </c>
      <c r="O151" s="13" t="s">
        <v>1816</v>
      </c>
      <c r="P151" t="s">
        <v>4081</v>
      </c>
      <c r="Q151" t="str">
        <f t="shared" si="8"/>
        <v xml:space="preserve">    image_tl: "&lt;a href=\"09_glossary.html#image\" target=\"_blank\" data-bs-toggle=\"tooltip\" data-bs-title=\"Image: An individual image captured by a camera, which may be part of a multi-image sequence (recorded as 'Image Name').\"&gt;image&lt;button type=\"button\" class=\"btn btn-bd-tip-info-hidden btn-sm position-relative\"&gt;.&lt;span class=\"position-absolute top-0 start-100 translate-middle\"&gt;{{ icon_info }}&lt;/span&gt;&lt;/button&gt;&lt;/a&gt;"</v>
      </c>
      <c r="R151" t="b" cm="1">
        <f t="array" ref="R151">SUMPRODUCT(--EXACT($J$2:$J$490,J151))&gt;1</f>
        <v>0</v>
      </c>
      <c r="S151" t="s">
        <v>4324</v>
      </c>
    </row>
    <row r="152" spans="1:19">
      <c r="A152" s="30">
        <v>2</v>
      </c>
      <c r="B152" s="30" t="s">
        <v>1400</v>
      </c>
      <c r="C152" s="30"/>
      <c r="D152" s="30" t="s">
        <v>1208</v>
      </c>
      <c r="E152" s="30" t="s">
        <v>984</v>
      </c>
      <c r="F152" s="30" t="s">
        <v>183</v>
      </c>
      <c r="G152" s="39" t="str">
        <f>VLOOKUP(F152,glossary!J:N,2,FALSE)</f>
        <v>Image</v>
      </c>
      <c r="H152" s="30" t="s">
        <v>183</v>
      </c>
      <c r="I152" s="45" t="str">
        <f t="shared" si="6"/>
        <v>image_tu</v>
      </c>
      <c r="J152" s="39" t="s">
        <v>184</v>
      </c>
      <c r="K152" s="39" t="str">
        <f>VLOOKUP(F152,glossary!J:N,5,FALSE)</f>
        <v>An individual image captured by a camera, which may be part of a multi-image sequence (recorded as 'Image Name').</v>
      </c>
      <c r="L152" s="30" t="s">
        <v>1621</v>
      </c>
      <c r="M152" s="30" t="str">
        <f t="shared" si="7"/>
        <v>{{ image_tu }}</v>
      </c>
      <c r="N152" t="s">
        <v>896</v>
      </c>
      <c r="O152" s="13" t="s">
        <v>1816</v>
      </c>
      <c r="P152" t="s">
        <v>4081</v>
      </c>
      <c r="Q152" t="str">
        <f t="shared" si="8"/>
        <v xml:space="preserve">    image_tu: "&lt;a href=\"09_glossary.html#image\" target=\"_blank\" data-bs-toggle=\"tooltip\" data-bs-title=\"Image: An individual image captured by a camera, which may be part of a multi-image sequence (recorded as 'Image Name').\"&gt;Image&lt;button type=\"button\" class=\"btn btn-bd-tip-info-hidden btn-sm position-relative\"&gt;.&lt;span class=\"position-absolute top-0 start-100 translate-middle\"&gt;{{ icon_info }}&lt;/span&gt;&lt;/button&gt;&lt;/a&gt;"</v>
      </c>
      <c r="R152" t="b" cm="1">
        <f t="array" ref="R152">SUMPRODUCT(--EXACT($J$2:$J$490,J152))&gt;1</f>
        <v>0</v>
      </c>
      <c r="S152" t="s">
        <v>4325</v>
      </c>
    </row>
    <row r="153" spans="1:19">
      <c r="A153" s="30">
        <v>3</v>
      </c>
      <c r="B153" s="30" t="s">
        <v>1393</v>
      </c>
      <c r="C153" s="30"/>
      <c r="D153" s="30" t="s">
        <v>1207</v>
      </c>
      <c r="E153" s="30" t="s">
        <v>984</v>
      </c>
      <c r="F153" s="30" t="s">
        <v>1251</v>
      </c>
      <c r="G153" s="39" t="str">
        <f>VLOOKUP(F153,glossary!J:N,2,FALSE)</f>
        <v>Image classification</v>
      </c>
      <c r="H153" s="34" t="s">
        <v>1251</v>
      </c>
      <c r="I153" s="45" t="str">
        <f t="shared" si="6"/>
        <v>img_classification_tl</v>
      </c>
      <c r="J153" s="43" t="s">
        <v>923</v>
      </c>
      <c r="K153" s="39" t="str">
        <f>VLOOKUP(F153,glossary!J:N,5,FALSE)</f>
        <v>The process of assigning class labels to an image according to the wildlife species, other entities (e.g., human, vehicle), or conditions within the image. Image classification can be performed manually or automatically by an artificial intelligence (AI) algorithm. Image classification is sometimes used interchangeably with 'image tagging.'</v>
      </c>
      <c r="L153" t="s">
        <v>1620</v>
      </c>
      <c r="M153" s="30" t="str">
        <f t="shared" si="7"/>
        <v>{{ img_classification_tl }}</v>
      </c>
      <c r="N153" t="s">
        <v>896</v>
      </c>
      <c r="O153" s="13" t="s">
        <v>1816</v>
      </c>
      <c r="P153" t="s">
        <v>4081</v>
      </c>
      <c r="Q153" t="str">
        <f t="shared" si="8"/>
        <v xml:space="preserve">    img_classification_tl: "&lt;a href=\"09_glossary.html#img_classification\" target=\"_blank\" data-bs-toggle=\"tooltip\" data-bs-title=\"Image classification: The process of assigning class labels to an image according to the wildlife species, other entities (e.g., human, vehicle), or conditions within the image. Image classification can be performed manually or automatically by an artificial intelligence (AI) algorithm. Image classification is sometimes used interchangeably with 'image tagging.'\"&gt;image classification&lt;button type=\"button\" class=\"btn btn-bd-tip-info-hidden btn-sm position-relative\"&gt;.&lt;span class=\"position-absolute top-0 start-100 translate-middle\"&gt;{{ icon_info }}&lt;/span&gt;&lt;/button&gt;&lt;/a&gt;"</v>
      </c>
      <c r="R153" t="b" cm="1">
        <f t="array" ref="R153">SUMPRODUCT(--EXACT($J$2:$J$490,J153))&gt;1</f>
        <v>0</v>
      </c>
      <c r="S153" t="s">
        <v>4326</v>
      </c>
    </row>
    <row r="154" spans="1:19">
      <c r="A154" s="30">
        <v>3</v>
      </c>
      <c r="B154" s="30" t="s">
        <v>1393</v>
      </c>
      <c r="C154" s="30"/>
      <c r="D154" s="30" t="s">
        <v>1208</v>
      </c>
      <c r="E154" s="30" t="s">
        <v>984</v>
      </c>
      <c r="F154" s="30" t="s">
        <v>1251</v>
      </c>
      <c r="G154" s="39" t="str">
        <f>VLOOKUP(F154,glossary!J:N,2,FALSE)</f>
        <v>Image classification</v>
      </c>
      <c r="H154" s="34" t="s">
        <v>1251</v>
      </c>
      <c r="I154" s="45" t="str">
        <f t="shared" si="6"/>
        <v>img_classification_tu</v>
      </c>
      <c r="J154" s="42" t="s">
        <v>182</v>
      </c>
      <c r="K154" s="39" t="str">
        <f>VLOOKUP(F154,glossary!J:N,5,FALSE)</f>
        <v>The process of assigning class labels to an image according to the wildlife species, other entities (e.g., human, vehicle), or conditions within the image. Image classification can be performed manually or automatically by an artificial intelligence (AI) algorithm. Image classification is sometimes used interchangeably with 'image tagging.'</v>
      </c>
      <c r="L154" t="s">
        <v>1619</v>
      </c>
      <c r="M154" s="30" t="str">
        <f t="shared" si="7"/>
        <v>{{ img_classification_tu }}</v>
      </c>
      <c r="N154" t="s">
        <v>896</v>
      </c>
      <c r="O154" s="13" t="s">
        <v>1816</v>
      </c>
      <c r="P154" t="s">
        <v>4081</v>
      </c>
      <c r="Q154" t="str">
        <f t="shared" si="8"/>
        <v xml:space="preserve">    img_classification_tu: "&lt;a href=\"09_glossary.html#img_classification\" target=\"_blank\" data-bs-toggle=\"tooltip\" data-bs-title=\"Image classification: The process of assigning class labels to an image according to the wildlife species, other entities (e.g., human, vehicle), or conditions within the image. Image classification can be performed manually or automatically by an artificial intelligence (AI) algorithm. Image classification is sometimes used interchangeably with 'image tagging.'\"&gt;Image classification&lt;button type=\"button\" class=\"btn btn-bd-tip-info-hidden btn-sm position-relative\"&gt;.&lt;span class=\"position-absolute top-0 start-100 translate-middle\"&gt;{{ icon_info }}&lt;/span&gt;&lt;/button&gt;&lt;/a&gt;"</v>
      </c>
      <c r="R154" t="b" cm="1">
        <f t="array" ref="R154">SUMPRODUCT(--EXACT($J$2:$J$490,J154))&gt;1</f>
        <v>0</v>
      </c>
      <c r="S154" t="s">
        <v>4327</v>
      </c>
    </row>
    <row r="155" spans="1:19">
      <c r="A155" s="30">
        <v>3</v>
      </c>
      <c r="B155" s="30" t="s">
        <v>1393</v>
      </c>
      <c r="C155" s="30"/>
      <c r="D155" s="30" t="s">
        <v>1207</v>
      </c>
      <c r="E155" s="30" t="s">
        <v>984</v>
      </c>
      <c r="F155" s="30" t="s">
        <v>1252</v>
      </c>
      <c r="G155" s="39" t="str">
        <f>VLOOKUP(F155,glossary!J:N,2,FALSE)</f>
        <v xml:space="preserve">Image classification confidence </v>
      </c>
      <c r="H155" s="34" t="s">
        <v>1252</v>
      </c>
      <c r="I155" s="45" t="str">
        <f t="shared" si="6"/>
        <v>img_classification_confidence_tl</v>
      </c>
      <c r="J155" s="43" t="s">
        <v>924</v>
      </c>
      <c r="K155" s="39" t="str">
        <f>VLOOKUP(F155,glossary!J:N,5,FALSE)</f>
        <v>The likelihood of an image containing an object of a certain class (Fennell et al., 2022).</v>
      </c>
      <c r="L155" t="s">
        <v>1769</v>
      </c>
      <c r="M155" s="30" t="str">
        <f t="shared" si="7"/>
        <v>{{ img_classification_confidence_tl }}</v>
      </c>
      <c r="N155" t="s">
        <v>896</v>
      </c>
      <c r="O155" s="13" t="s">
        <v>1816</v>
      </c>
      <c r="P155" t="s">
        <v>4081</v>
      </c>
      <c r="Q155" t="str">
        <f t="shared" si="8"/>
        <v xml:space="preserve">    img_classification_confidence_tl: "&lt;a href=\"09_glossary.html#img_classification_confidence\" target=\"_blank\" data-bs-toggle=\"tooltip\" data-bs-title=\"Image classification confidence : The likelihood of an image containing an object of a certain class (Fennell et al., 2022).\"&gt;image classification confidence &lt;button type=\"button\" class=\"btn btn-bd-tip-info-hidden btn-sm position-relative\"&gt;.&lt;span class=\"position-absolute top-0 start-100 translate-middle\"&gt;{{ icon_info }}&lt;/span&gt;&lt;/button&gt;&lt;/a&gt;"</v>
      </c>
      <c r="R155" t="b" cm="1">
        <f t="array" ref="R155">SUMPRODUCT(--EXACT($J$2:$J$490,J155))&gt;1</f>
        <v>0</v>
      </c>
      <c r="S155" t="s">
        <v>4328</v>
      </c>
    </row>
    <row r="156" spans="1:19">
      <c r="A156" s="30">
        <v>3</v>
      </c>
      <c r="B156" s="30" t="s">
        <v>1393</v>
      </c>
      <c r="C156" s="30"/>
      <c r="D156" s="30" t="s">
        <v>1208</v>
      </c>
      <c r="E156" s="30" t="s">
        <v>984</v>
      </c>
      <c r="F156" s="30" t="s">
        <v>1252</v>
      </c>
      <c r="G156" s="39" t="str">
        <f>VLOOKUP(F156,glossary!J:N,2,FALSE)</f>
        <v xml:space="preserve">Image classification confidence </v>
      </c>
      <c r="H156" s="34" t="s">
        <v>1252</v>
      </c>
      <c r="I156" s="45" t="str">
        <f t="shared" si="6"/>
        <v>img_classification_confidence_tu</v>
      </c>
      <c r="J156" s="42" t="s">
        <v>181</v>
      </c>
      <c r="K156" s="39" t="str">
        <f>VLOOKUP(F156,glossary!J:N,5,FALSE)</f>
        <v>The likelihood of an image containing an object of a certain class (Fennell et al., 2022).</v>
      </c>
      <c r="L156" t="s">
        <v>1770</v>
      </c>
      <c r="M156" s="30" t="str">
        <f t="shared" si="7"/>
        <v>{{ img_classification_confidence_tu }}</v>
      </c>
      <c r="N156" t="s">
        <v>896</v>
      </c>
      <c r="O156" s="13" t="s">
        <v>1816</v>
      </c>
      <c r="P156" t="s">
        <v>4081</v>
      </c>
      <c r="Q156" t="str">
        <f t="shared" si="8"/>
        <v xml:space="preserve">    img_classification_confidence_tu: "&lt;a href=\"09_glossary.html#img_classification_confidence\" target=\"_blank\" data-bs-toggle=\"tooltip\" data-bs-title=\"Image classification confidence : The likelihood of an image containing an object of a certain class (Fennell et al., 2022).\"&gt;Image classification confidence &lt;button type=\"button\" class=\"btn btn-bd-tip-info-hidden btn-sm position-relative\"&gt;.&lt;span class=\"position-absolute top-0 start-100 translate-middle\"&gt;{{ icon_info }}&lt;/span&gt;&lt;/button&gt;&lt;/a&gt;"</v>
      </c>
      <c r="R156" t="b" cm="1">
        <f t="array" ref="R156">SUMPRODUCT(--EXACT($J$2:$J$490,J156))&gt;1</f>
        <v>0</v>
      </c>
      <c r="S156" t="s">
        <v>4329</v>
      </c>
    </row>
    <row r="157" spans="1:19">
      <c r="A157" s="30">
        <v>3</v>
      </c>
      <c r="B157" s="30" t="s">
        <v>1393</v>
      </c>
      <c r="C157" s="30"/>
      <c r="D157" s="30" t="s">
        <v>1208</v>
      </c>
      <c r="E157" s="30" t="s">
        <v>984</v>
      </c>
      <c r="F157" s="30" t="s">
        <v>1254</v>
      </c>
      <c r="G157" s="39" t="str">
        <f>VLOOKUP(F157,glossary!J:N,2,FALSE)</f>
        <v>Image Flash Output</v>
      </c>
      <c r="H157" s="34" t="s">
        <v>1254</v>
      </c>
      <c r="I157" s="45" t="str">
        <f t="shared" si="6"/>
        <v>img_flash_output_tu</v>
      </c>
      <c r="J157" s="42" t="s">
        <v>746</v>
      </c>
      <c r="K157" s="39" t="str">
        <f>VLOOKUP(F157,glossary!J:N,5,FALSE)</f>
        <v>The Image Flash Output is an image metadata field indicating the level of intensity of the flash [if enabled*/applicable]). Record as reported in the image Exif data (e.g., 'Flash Did Not Fire,' 'Auto'). This field is in text format; record 'Unknown' if not known; leave blank if not applicable.</v>
      </c>
      <c r="L157" t="s">
        <v>1618</v>
      </c>
      <c r="M157" s="30" t="str">
        <f t="shared" si="7"/>
        <v>{{ img_flash_output_tu }}</v>
      </c>
      <c r="N157" t="s">
        <v>896</v>
      </c>
      <c r="O157" s="13" t="s">
        <v>1816</v>
      </c>
      <c r="P157" t="s">
        <v>4081</v>
      </c>
      <c r="Q157" t="str">
        <f t="shared" si="8"/>
        <v xml:space="preserve">    img_flash_output_tu: "&lt;a href=\"09_glossary.html#img_flash_output\" target=\"_blank\" data-bs-toggle=\"tooltip\" data-bs-title=\"Image Flash Output: The Image Flash Output is an image metadata field indicating the level of intensity of the flash [if enabled*/applicable]). Record as reported in the image Exif data (e.g., 'Flash Did Not Fire,' 'Auto'). This field is in text format; record 'Unknown' if not known; leave blank if not applicable.\"&gt;Image Flash Output&lt;button type=\"button\" class=\"btn btn-bd-tip-info-hidden btn-sm position-relative\"&gt;.&lt;span class=\"position-absolute top-0 start-100 translate-middle\"&gt;{{ icon_info }}&lt;/span&gt;&lt;/button&gt;&lt;/a&gt;"</v>
      </c>
      <c r="R157" t="b" cm="1">
        <f t="array" ref="R157">SUMPRODUCT(--EXACT($J$2:$J$490,J157))&gt;1</f>
        <v>0</v>
      </c>
      <c r="S157" t="s">
        <v>4330</v>
      </c>
    </row>
    <row r="158" spans="1:19">
      <c r="A158" s="30">
        <v>3</v>
      </c>
      <c r="B158" s="30" t="s">
        <v>1393</v>
      </c>
      <c r="C158" s="30"/>
      <c r="D158" s="30" t="s">
        <v>1208</v>
      </c>
      <c r="E158" s="30" t="s">
        <v>984</v>
      </c>
      <c r="F158" s="30" t="s">
        <v>1255</v>
      </c>
      <c r="G158" s="39" t="str">
        <f>VLOOKUP(F158,glossary!J:N,2,FALSE)</f>
        <v>Image Infrared Illuminator</v>
      </c>
      <c r="H158" s="34" t="s">
        <v>1255</v>
      </c>
      <c r="I158" s="45" t="str">
        <f t="shared" si="6"/>
        <v>img_infrared_illuminator_tu</v>
      </c>
      <c r="J158" s="42" t="s">
        <v>747</v>
      </c>
      <c r="K158" s="39" t="str">
        <f>VLOOKUP(F158,glossary!J:N,5,FALSE)</f>
        <v>The Image Infrared Illuminator is an image metadata field indicating whether the infrared illuminator setting was enabled (if applicable; to obtain greater visibility at night by producing infrared light). Record as reported in the image Exif data (e.g., 'On' or 'Off'). This field is categorical; leave blank if not applicable and record 'Unknown' if not known.</v>
      </c>
      <c r="L158" t="s">
        <v>1617</v>
      </c>
      <c r="M158" s="30" t="str">
        <f t="shared" si="7"/>
        <v>{{ img_infrared_illuminator_tu }}</v>
      </c>
      <c r="N158" t="s">
        <v>896</v>
      </c>
      <c r="O158" s="13" t="s">
        <v>1816</v>
      </c>
      <c r="P158" t="s">
        <v>4081</v>
      </c>
      <c r="Q158" t="str">
        <f t="shared" si="8"/>
        <v xml:space="preserve">    img_infrared_illuminator_tu: "&lt;a href=\"09_glossary.html#img_infrared_illuminator\" target=\"_blank\" data-bs-toggle=\"tooltip\" data-bs-title=\"Image Infrared Illuminator: The Image Infrared Illuminator is an image metadata field indicating whether the infrared illuminator setting was enabled (if applicable; to obtain greater visibility at night by producing infrared light). Record as reported in the image Exif data (e.g., 'On' or 'Off'). This field is categorical; leave blank if not applicable and record 'Unknown' if not known.\"&gt;Image Infrared Illuminator&lt;button type=\"button\" class=\"btn btn-bd-tip-info-hidden btn-sm position-relative\"&gt;.&lt;span class=\"position-absolute top-0 start-100 translate-middle\"&gt;{{ icon_info }}&lt;/span&gt;&lt;/button&gt;&lt;/a&gt;"</v>
      </c>
      <c r="R158" t="b" cm="1">
        <f t="array" ref="R158">SUMPRODUCT(--EXACT($J$2:$J$490,J158))&gt;1</f>
        <v>0</v>
      </c>
      <c r="S158" t="s">
        <v>4331</v>
      </c>
    </row>
    <row r="159" spans="1:19">
      <c r="A159" s="30">
        <v>3</v>
      </c>
      <c r="B159" s="30" t="s">
        <v>1393</v>
      </c>
      <c r="C159" s="30"/>
      <c r="D159" s="30" t="s">
        <v>1208</v>
      </c>
      <c r="E159" s="30" t="s">
        <v>984</v>
      </c>
      <c r="F159" s="30" t="s">
        <v>1256</v>
      </c>
      <c r="G159" s="39" t="str">
        <f>VLOOKUP(F159,glossary!J:N,2,FALSE)</f>
        <v>Image Name</v>
      </c>
      <c r="H159" s="34" t="s">
        <v>1256</v>
      </c>
      <c r="I159" s="45" t="str">
        <f t="shared" si="6"/>
        <v>img_name_tu</v>
      </c>
      <c r="J159" s="42" t="s">
        <v>698</v>
      </c>
      <c r="K159" s="39" t="str">
        <f>VLOOKUP(F159,glossary!J:N,5,FALSE)</f>
        <v>A unique alphanumeric identifier for the image. It is important to include (at a minimum) the camera location, date, time, and image number when generating an Image Name to avoid duplicate file names (e.g., 'bh1_17-Jul-2018_P900FF04152022_22-Jul-2018 10:34:22_img_100' or 'bh1_17-Jul-2018_22-Jul-2018_10:34:22_img_100').</v>
      </c>
      <c r="L159" t="s">
        <v>1616</v>
      </c>
      <c r="M159" s="30" t="str">
        <f t="shared" si="7"/>
        <v>{{ img_name_tu }}</v>
      </c>
      <c r="N159" t="s">
        <v>896</v>
      </c>
      <c r="O159" s="13" t="s">
        <v>1816</v>
      </c>
      <c r="P159" t="s">
        <v>4081</v>
      </c>
      <c r="Q159" t="str">
        <f t="shared" si="8"/>
        <v xml:space="preserve">    img_name_tu: "&lt;a href=\"09_glossary.html#img_name\" target=\"_blank\" data-bs-toggle=\"tooltip\" data-bs-title=\"Image Name: A unique alphanumeric identifier for the image. It is important to include (at a minimum) the camera location, date, time, and image number when generating an Image Name to avoid duplicate file names (e.g., 'bh1_17-Jul-2018_P900FF04152022_22-Jul-2018 10:34:22_img_100' or 'bh1_17-Jul-2018_22-Jul-2018_10:34:22_img_100').\"&gt;Image Name&lt;button type=\"button\" class=\"btn btn-bd-tip-info-hidden btn-sm position-relative\"&gt;.&lt;span class=\"position-absolute top-0 start-100 translate-middle\"&gt;{{ icon_info }}&lt;/span&gt;&lt;/button&gt;&lt;/a&gt;"</v>
      </c>
      <c r="R159" t="b" cm="1">
        <f t="array" ref="R159">SUMPRODUCT(--EXACT($J$2:$J$490,J159))&gt;1</f>
        <v>0</v>
      </c>
      <c r="S159" t="s">
        <v>4332</v>
      </c>
    </row>
    <row r="160" spans="1:19">
      <c r="A160" s="30">
        <v>3</v>
      </c>
      <c r="B160" s="30" t="s">
        <v>1393</v>
      </c>
      <c r="C160" s="30"/>
      <c r="D160" s="30" t="s">
        <v>1207</v>
      </c>
      <c r="E160" s="30" t="s">
        <v>984</v>
      </c>
      <c r="F160" s="30" t="s">
        <v>1249</v>
      </c>
      <c r="G160" s="39" t="str">
        <f>VLOOKUP(F160,glossary!J:N,2,FALSE)</f>
        <v>Image processing</v>
      </c>
      <c r="H160" s="34" t="s">
        <v>1249</v>
      </c>
      <c r="I160" s="45" t="str">
        <f t="shared" si="6"/>
        <v>img_processing_tl</v>
      </c>
      <c r="J160" s="43" t="s">
        <v>925</v>
      </c>
      <c r="K160" s="39" t="str">
        <f>VLOOKUP(F160,glossary!J:N,5,FALSE)</f>
        <v>The series of operations that are taken to extract information from images. In the case of remote camera data, it can include loading the images into a processing platform, extracting information from the image metadata (e.g., the date and time the image was taken), running an artificial intelligence (AI) algorithm to identify empty images, classifying animals or other entities within the image.</v>
      </c>
      <c r="L160" t="s">
        <v>1615</v>
      </c>
      <c r="M160" s="30" t="str">
        <f t="shared" si="7"/>
        <v>{{ img_processing_tl }}</v>
      </c>
      <c r="N160" t="s">
        <v>896</v>
      </c>
      <c r="O160" s="13" t="s">
        <v>1816</v>
      </c>
      <c r="P160" t="s">
        <v>4081</v>
      </c>
      <c r="Q160" t="str">
        <f t="shared" si="8"/>
        <v xml:space="preserve">    img_processing_tl: "&lt;a href=\"09_glossary.html#img_processing\" target=\"_blank\" data-bs-toggle=\"tooltip\" data-bs-title=\"Image processing: The series of operations that are taken to extract information from images. In the case of remote camera data, it can include loading the images into a processing platform, extracting information from the image metadata (e.g., the date and time the image was taken), running an artificial intelligence (AI) algorithm to identify empty images, classifying animals or other entities within the image.\"&gt;image processing&lt;button type=\"button\" class=\"btn btn-bd-tip-info-hidden btn-sm position-relative\"&gt;.&lt;span class=\"position-absolute top-0 start-100 translate-middle\"&gt;{{ icon_info }}&lt;/span&gt;&lt;/button&gt;&lt;/a&gt;"</v>
      </c>
      <c r="R160" t="b" cm="1">
        <f t="array" ref="R160">SUMPRODUCT(--EXACT($J$2:$J$490,J160))&gt;1</f>
        <v>0</v>
      </c>
      <c r="S160" t="s">
        <v>4333</v>
      </c>
    </row>
    <row r="161" spans="1:19">
      <c r="A161" s="30">
        <v>3</v>
      </c>
      <c r="B161" s="30" t="s">
        <v>1393</v>
      </c>
      <c r="C161" s="30"/>
      <c r="D161" s="30" t="s">
        <v>1208</v>
      </c>
      <c r="E161" s="30" t="s">
        <v>984</v>
      </c>
      <c r="F161" s="30" t="s">
        <v>1249</v>
      </c>
      <c r="G161" s="39" t="str">
        <f>VLOOKUP(F161,glossary!J:N,2,FALSE)</f>
        <v>Image processing</v>
      </c>
      <c r="H161" s="34" t="s">
        <v>1249</v>
      </c>
      <c r="I161" s="45" t="str">
        <f t="shared" si="6"/>
        <v>img_processing_tu</v>
      </c>
      <c r="J161" s="42" t="s">
        <v>179</v>
      </c>
      <c r="K161" s="39" t="str">
        <f>VLOOKUP(F161,glossary!J:N,5,FALSE)</f>
        <v>The series of operations that are taken to extract information from images. In the case of remote camera data, it can include loading the images into a processing platform, extracting information from the image metadata (e.g., the date and time the image was taken), running an artificial intelligence (AI) algorithm to identify empty images, classifying animals or other entities within the image.</v>
      </c>
      <c r="L161" t="s">
        <v>1614</v>
      </c>
      <c r="M161" s="30" t="str">
        <f t="shared" si="7"/>
        <v>{{ img_processing_tu }}</v>
      </c>
      <c r="N161" t="s">
        <v>896</v>
      </c>
      <c r="O161" s="13" t="s">
        <v>1816</v>
      </c>
      <c r="P161" t="s">
        <v>4081</v>
      </c>
      <c r="Q161" t="str">
        <f t="shared" si="8"/>
        <v xml:space="preserve">    img_processing_tu: "&lt;a href=\"09_glossary.html#img_processing\" target=\"_blank\" data-bs-toggle=\"tooltip\" data-bs-title=\"Image processing: The series of operations that are taken to extract information from images. In the case of remote camera data, it can include loading the images into a processing platform, extracting information from the image metadata (e.g., the date and time the image was taken), running an artificial intelligence (AI) algorithm to identify empty images, classifying animals or other entities within the image.\"&gt;Image processing&lt;button type=\"button\" class=\"btn btn-bd-tip-info-hidden btn-sm position-relative\"&gt;.&lt;span class=\"position-absolute top-0 start-100 translate-middle\"&gt;{{ icon_info }}&lt;/span&gt;&lt;/button&gt;&lt;/a&gt;"</v>
      </c>
      <c r="R161" t="b" cm="1">
        <f t="array" ref="R161">SUMPRODUCT(--EXACT($J$2:$J$490,J161))&gt;1</f>
        <v>0</v>
      </c>
      <c r="S161" t="s">
        <v>4334</v>
      </c>
    </row>
    <row r="162" spans="1:19">
      <c r="A162" s="30">
        <v>3</v>
      </c>
      <c r="B162" s="30" t="s">
        <v>1393</v>
      </c>
      <c r="C162" s="30"/>
      <c r="D162" s="30" t="s">
        <v>1208</v>
      </c>
      <c r="E162" s="30" t="s">
        <v>984</v>
      </c>
      <c r="F162" s="30" t="s">
        <v>1257</v>
      </c>
      <c r="G162" s="39" t="str">
        <f>VLOOKUP(F162,glossary!J:N,2,FALSE)</f>
        <v>Image Sequence</v>
      </c>
      <c r="H162" s="34" t="s">
        <v>1257</v>
      </c>
      <c r="I162" s="45" t="str">
        <f t="shared" si="6"/>
        <v>img_sequence_tu</v>
      </c>
      <c r="J162" s="42" t="s">
        <v>177</v>
      </c>
      <c r="K162" s="39" t="str">
        <f>VLOOKUP(F162,glossary!J:N,5,FALSE)</f>
        <v>The order of the image in a rapid-fire sequence as reported in the image Exif data (text; e.g., '1 of 1' or '1 of 3'). Leave blank if not applicable.</v>
      </c>
      <c r="L162" t="s">
        <v>1613</v>
      </c>
      <c r="M162" s="30" t="str">
        <f t="shared" si="7"/>
        <v>{{ img_sequence_tu }}</v>
      </c>
      <c r="N162" t="s">
        <v>896</v>
      </c>
      <c r="O162" s="13" t="s">
        <v>1816</v>
      </c>
      <c r="P162" t="s">
        <v>4081</v>
      </c>
      <c r="Q162" t="str">
        <f t="shared" si="8"/>
        <v xml:space="preserve">    img_sequence_tu: "&lt;a href=\"09_glossary.html#img_sequence\" target=\"_blank\" data-bs-toggle=\"tooltip\" data-bs-title=\"Image Sequence: The order of the image in a rapid-fire sequence as reported in the image Exif data (text; e.g., '1 of 1' or '1 of 3'). Leave blank if not applicable.\"&gt;Image Sequence&lt;button type=\"button\" class=\"btn btn-bd-tip-info-hidden btn-sm position-relative\"&gt;.&lt;span class=\"position-absolute top-0 start-100 translate-middle\"&gt;{{ icon_info }}&lt;/span&gt;&lt;/button&gt;&lt;/a&gt;"</v>
      </c>
      <c r="R162" t="b" cm="1">
        <f t="array" ref="R162">SUMPRODUCT(--EXACT($J$2:$J$490,J162))&gt;1</f>
        <v>0</v>
      </c>
      <c r="S162" t="s">
        <v>4335</v>
      </c>
    </row>
    <row r="163" spans="1:19">
      <c r="A163" s="30">
        <v>3</v>
      </c>
      <c r="B163" s="30" t="s">
        <v>1393</v>
      </c>
      <c r="C163" s="30"/>
      <c r="D163" s="30" t="s">
        <v>1208</v>
      </c>
      <c r="E163" s="30" t="s">
        <v>984</v>
      </c>
      <c r="F163" s="30" t="s">
        <v>1258</v>
      </c>
      <c r="G163" s="39" t="str">
        <f>VLOOKUP(F163,glossary!J:N,2,FALSE)</f>
        <v>Image/Sequence Comments</v>
      </c>
      <c r="H163" s="34" t="s">
        <v>1258</v>
      </c>
      <c r="I163" s="45" t="str">
        <f t="shared" si="6"/>
        <v>img_sequence_comments_tu</v>
      </c>
      <c r="J163" s="42" t="s">
        <v>748</v>
      </c>
      <c r="K163" s="39" t="str">
        <f>VLOOKUP(F163,glossary!J:N,5,FALSE)</f>
        <v>Comments describing additional details about the image*/sequence.</v>
      </c>
      <c r="L163" t="s">
        <v>1612</v>
      </c>
      <c r="M163" s="30" t="str">
        <f t="shared" si="7"/>
        <v>{{ img_sequence_comments_tu }}</v>
      </c>
      <c r="N163" t="s">
        <v>896</v>
      </c>
      <c r="O163" s="13" t="s">
        <v>1816</v>
      </c>
      <c r="P163" t="s">
        <v>4081</v>
      </c>
      <c r="Q163" t="str">
        <f t="shared" si="8"/>
        <v xml:space="preserve">    img_sequence_comments_tu: "&lt;a href=\"09_glossary.html#img_sequence_comments\" target=\"_blank\" data-bs-toggle=\"tooltip\" data-bs-title=\"Image/Sequence Comments: Comments describing additional details about the image*/sequence.\"&gt;Image/Sequence Comments&lt;button type=\"button\" class=\"btn btn-bd-tip-info-hidden btn-sm position-relative\"&gt;.&lt;span class=\"position-absolute top-0 start-100 translate-middle\"&gt;{{ icon_info }}&lt;/span&gt;&lt;/button&gt;&lt;/a&gt;"</v>
      </c>
      <c r="R163" t="b" cm="1">
        <f t="array" ref="R163">SUMPRODUCT(--EXACT($J$2:$J$490,J163))&gt;1</f>
        <v>0</v>
      </c>
      <c r="S163" t="s">
        <v>4336</v>
      </c>
    </row>
    <row r="164" spans="1:19">
      <c r="A164" s="30">
        <v>1</v>
      </c>
      <c r="B164" s="30" t="s">
        <v>1064</v>
      </c>
      <c r="C164" s="30" t="s">
        <v>0</v>
      </c>
      <c r="D164" s="30" t="s">
        <v>1208</v>
      </c>
      <c r="E164" s="30" t="s">
        <v>1757</v>
      </c>
      <c r="F164" s="30" t="s">
        <v>1259</v>
      </c>
      <c r="G164" s="39" t="str">
        <f>VLOOKUP(F164,glossary!J:N,2,FALSE)</f>
        <v>Image/Sequence Date Time (DD-MMM-YYYY HH:MM:SS)</v>
      </c>
      <c r="H164" s="30" t="s">
        <v>1259</v>
      </c>
      <c r="I164" s="45" t="str">
        <f t="shared" si="6"/>
        <v>img_sequence_date_time_tu_nu</v>
      </c>
      <c r="J164" s="39" t="s">
        <v>1076</v>
      </c>
      <c r="K164" s="39" t="str">
        <f>VLOOKUP(F164,glossary!J:N,5,FALSE)</f>
        <v xml:space="preserve">The date and time of an image, or the image chosen to represent the sequence, recorded as 'DD-MMM-YYYY HH:MM:SS' (e.g., 22-Jul-2018 11:02:02).  &lt;br&gt; &lt;br&gt; Sequence date*/time information may be reported for a 'representative image' of a sequence (i.e., the image with the most information). For example, if three images were included in a sequence, but the Sex Class could only be discerned in the second image [all else remaining equal], the second image would be the best representative image of the sequence. &lt;br&gt; &lt;br&gt; The Image*/Sequence Date Time differs from the Image Set Start Date Time which refers to the first image or video collected during a deployment. </v>
      </c>
      <c r="L164" s="30" t="s">
        <v>1266</v>
      </c>
      <c r="M164" s="30" t="str">
        <f t="shared" si="7"/>
        <v>{{ img_sequence_date_time_tu_nu }}</v>
      </c>
      <c r="N164" t="s">
        <v>896</v>
      </c>
      <c r="O164" s="13" t="s">
        <v>1816</v>
      </c>
      <c r="P164" t="s">
        <v>4081</v>
      </c>
      <c r="Q164" t="str">
        <f t="shared" si="8"/>
        <v xml:space="preserve">    img_sequence_date_time_tu_nu: "&lt;a href=\"09_glossary.html#img_sequence_date_time\" target=\"_blank\" data-bs-toggle=\"tooltip\" data-bs-title=\"Image/Sequence Date Time (DD-MMM-YYYY HH:MM:SS): The date and time of an image, or the image chosen to represent the sequence, recorded as 'DD-MMM-YYYY HH:MM:SS' (e.g., 22-Jul-2018 11:02:02).  &lt;br&gt; &lt;br&gt; Sequence date*/time information may be reported for a 'representative image' of a sequence (i.e., the image with the most information). For example, if three images were included in a sequence, but the Sex Class could only be discerned in the second image [all else remaining equal], the second image would be the best representative image of the sequence. &lt;br&gt; &lt;br&gt; The Image*/Sequence Date Time differs from the Image Set Start Date Time which refers to the first image or video collected during a deployment. \"&gt;Image/Sequence Date Time&lt;button type=\"button\" class=\"btn btn-bd-tip-info-hidden btn-sm position-relative\"&gt;.&lt;span class=\"position-absolute top-0 start-100 translate-middle\"&gt;{{ icon_info }}&lt;/span&gt;&lt;/button&gt;&lt;/a&gt;"</v>
      </c>
      <c r="R164" t="b" cm="1">
        <f t="array" ref="R164">SUMPRODUCT(--EXACT($J$2:$J$490,J164))&gt;1</f>
        <v>0</v>
      </c>
      <c r="S164" t="s">
        <v>4337</v>
      </c>
    </row>
    <row r="165" spans="1:19">
      <c r="A165" s="30">
        <v>3</v>
      </c>
      <c r="B165" s="30" t="s">
        <v>1393</v>
      </c>
      <c r="C165" s="30"/>
      <c r="D165" s="30" t="s">
        <v>1208</v>
      </c>
      <c r="E165" s="30" t="s">
        <v>1751</v>
      </c>
      <c r="F165" s="30" t="s">
        <v>1259</v>
      </c>
      <c r="G165" s="39" t="str">
        <f>VLOOKUP(F165,glossary!J:N,2,FALSE)</f>
        <v>Image/Sequence Date Time (DD-MMM-YYYY HH:MM:SS)</v>
      </c>
      <c r="H165" s="34" t="s">
        <v>1259</v>
      </c>
      <c r="I165" s="45" t="str">
        <f t="shared" si="6"/>
        <v>img_sequence_date_time_tu_u</v>
      </c>
      <c r="J165" s="42" t="s">
        <v>699</v>
      </c>
      <c r="K165" s="39" t="str">
        <f>VLOOKUP(F165,glossary!J:N,5,FALSE)</f>
        <v xml:space="preserve">The date and time of an image, or the image chosen to represent the sequence, recorded as 'DD-MMM-YYYY HH:MM:SS' (e.g., 22-Jul-2018 11:02:02).  &lt;br&gt; &lt;br&gt; Sequence date*/time information may be reported for a 'representative image' of a sequence (i.e., the image with the most information). For example, if three images were included in a sequence, but the Sex Class could only be discerned in the second image [all else remaining equal], the second image would be the best representative image of the sequence. &lt;br&gt; &lt;br&gt; The Image*/Sequence Date Time differs from the Image Set Start Date Time which refers to the first image or video collected during a deployment. </v>
      </c>
      <c r="L165" t="s">
        <v>1611</v>
      </c>
      <c r="M165" s="30" t="str">
        <f t="shared" si="7"/>
        <v>{{ img_sequence_date_time_tu_u }}</v>
      </c>
      <c r="N165" t="s">
        <v>896</v>
      </c>
      <c r="O165" s="13" t="s">
        <v>1816</v>
      </c>
      <c r="P165" t="s">
        <v>4081</v>
      </c>
      <c r="Q165" t="str">
        <f t="shared" si="8"/>
        <v xml:space="preserve">    img_sequence_date_time_tu_u: "&lt;a href=\"09_glossary.html#img_sequence_date_time\" target=\"_blank\" data-bs-toggle=\"tooltip\" data-bs-title=\"Image/Sequence Date Time (DD-MMM-YYYY HH:MM:SS): The date and time of an image, or the image chosen to represent the sequence, recorded as 'DD-MMM-YYYY HH:MM:SS' (e.g., 22-Jul-2018 11:02:02).  &lt;br&gt; &lt;br&gt; Sequence date*/time information may be reported for a 'representative image' of a sequence (i.e., the image with the most information). For example, if three images were included in a sequence, but the Sex Class could only be discerned in the second image [all else remaining equal], the second image would be the best representative image of the sequence. &lt;br&gt; &lt;br&gt; The Image*/Sequence Date Time differs from the Image Set Start Date Time which refers to the first image or video collected during a deployment. \"&gt;Image/Sequence Date Time (DD-MMM-YYYY HH:MM:SS)&lt;button type=\"button\" class=\"btn btn-bd-tip-info-hidden btn-sm position-relative\"&gt;.&lt;span class=\"position-absolute top-0 start-100 translate-middle\"&gt;{{ icon_info }}&lt;/span&gt;&lt;/button&gt;&lt;/a&gt;"</v>
      </c>
      <c r="R165" t="b" cm="1">
        <f t="array" ref="R165">SUMPRODUCT(--EXACT($J$2:$J$490,J165))&gt;1</f>
        <v>0</v>
      </c>
      <c r="S165" t="s">
        <v>4338</v>
      </c>
    </row>
    <row r="166" spans="1:19">
      <c r="A166" s="30">
        <v>1</v>
      </c>
      <c r="B166" s="30" t="s">
        <v>1064</v>
      </c>
      <c r="C166" s="30" t="s">
        <v>0</v>
      </c>
      <c r="D166" s="30" t="s">
        <v>1208</v>
      </c>
      <c r="E166" s="30" t="s">
        <v>1757</v>
      </c>
      <c r="F166" s="30" t="s">
        <v>1261</v>
      </c>
      <c r="G166" s="39" t="str">
        <f>VLOOKUP(F166,glossary!J:N,2,FALSE)</f>
        <v>Image Set End Date Time (DD-MMM-YYYY HH:MM:SS)</v>
      </c>
      <c r="H166" s="30" t="s">
        <v>1261</v>
      </c>
      <c r="I166" s="45" t="str">
        <f t="shared" si="6"/>
        <v>img_set_end_date_time_tu_nu</v>
      </c>
      <c r="J166" s="39" t="s">
        <v>1078</v>
      </c>
      <c r="K166" s="39" t="str">
        <f>VLOOKUP(F166,glossary!J:N,5,FALSE)</f>
        <v>The date and time of the last image or video collected during a specific deployment (e.g., '17-Jan-2018 22:10:05').  &lt;br&gt; &lt;br&gt; The Image Set End Date Time may not coincide with the deployment end date time. Recording this field allows users to account for deployments that were conducted but for which no data was found and to confirm the last date and time a camera was active (if functioning) if no images or videos were captured prior to Service*/Retrieval (especially valuable if users did not collect Time-lapse images or if the camera malfunctioned).</v>
      </c>
      <c r="L166" s="30" t="s">
        <v>1267</v>
      </c>
      <c r="M166" s="30" t="str">
        <f t="shared" si="7"/>
        <v>{{ img_set_end_date_time_tu_nu }}</v>
      </c>
      <c r="N166" t="s">
        <v>896</v>
      </c>
      <c r="O166" s="13" t="s">
        <v>1816</v>
      </c>
      <c r="P166" t="s">
        <v>4081</v>
      </c>
      <c r="Q166" t="str">
        <f t="shared" si="8"/>
        <v xml:space="preserve">    img_set_end_date_time_tu_nu: "&lt;a href=\"09_glossary.html#img_set_end_date_time\" target=\"_blank\" data-bs-toggle=\"tooltip\" data-bs-title=\"Image Set End Date Time (DD-MMM-YYYY HH:MM:SS): The date and time of the last image or video collected during a specific deployment (e.g., '17-Jan-2018 22:10:05').  &lt;br&gt; &lt;br&gt; The Image Set End Date Time may not coincide with the deployment end date time. Recording this field allows users to account for deployments that were conducted but for which no data was found and to confirm the last date and time a camera was active (if functioning) if no images or videos were captured prior to Service*/Retrieval (especially valuable if users did not collect Time-lapse images or if the camera malfunctioned).\"&gt;Image Set End Date Time&lt;button type=\"button\" class=\"btn btn-bd-tip-info-hidden btn-sm position-relative\"&gt;.&lt;span class=\"position-absolute top-0 start-100 translate-middle\"&gt;{{ icon_info }}&lt;/span&gt;&lt;/button&gt;&lt;/a&gt;"</v>
      </c>
      <c r="R166" t="b" cm="1">
        <f t="array" ref="R166">SUMPRODUCT(--EXACT($J$2:$J$490,J166))&gt;1</f>
        <v>0</v>
      </c>
      <c r="S166" t="s">
        <v>4339</v>
      </c>
    </row>
    <row r="167" spans="1:19">
      <c r="A167" s="30">
        <v>3</v>
      </c>
      <c r="B167" s="30" t="s">
        <v>1393</v>
      </c>
      <c r="C167" s="30"/>
      <c r="D167" s="30" t="s">
        <v>1208</v>
      </c>
      <c r="E167" s="30" t="s">
        <v>1751</v>
      </c>
      <c r="F167" s="30" t="s">
        <v>1261</v>
      </c>
      <c r="G167" s="39" t="str">
        <f>VLOOKUP(F167,glossary!J:N,2,FALSE)</f>
        <v>Image Set End Date Time (DD-MMM-YYYY HH:MM:SS)</v>
      </c>
      <c r="H167" s="34" t="s">
        <v>1261</v>
      </c>
      <c r="I167" s="45" t="str">
        <f t="shared" si="6"/>
        <v>img_set_end_date_time_tu_u</v>
      </c>
      <c r="J167" s="42" t="s">
        <v>700</v>
      </c>
      <c r="K167" s="39" t="str">
        <f>VLOOKUP(F167,glossary!J:N,5,FALSE)</f>
        <v>The date and time of the last image or video collected during a specific deployment (e.g., '17-Jan-2018 22:10:05').  &lt;br&gt; &lt;br&gt; The Image Set End Date Time may not coincide with the deployment end date time. Recording this field allows users to account for deployments that were conducted but for which no data was found and to confirm the last date and time a camera was active (if functioning) if no images or videos were captured prior to Service*/Retrieval (especially valuable if users did not collect Time-lapse images or if the camera malfunctioned).</v>
      </c>
      <c r="L167" t="s">
        <v>1610</v>
      </c>
      <c r="M167" s="30" t="str">
        <f t="shared" si="7"/>
        <v>{{ img_set_end_date_time_tu_u }}</v>
      </c>
      <c r="N167" t="s">
        <v>896</v>
      </c>
      <c r="O167" s="13" t="s">
        <v>1816</v>
      </c>
      <c r="P167" t="s">
        <v>4081</v>
      </c>
      <c r="Q167" t="str">
        <f t="shared" si="8"/>
        <v xml:space="preserve">    img_set_end_date_time_tu_u: "&lt;a href=\"09_glossary.html#img_set_end_date_time\" target=\"_blank\" data-bs-toggle=\"tooltip\" data-bs-title=\"Image Set End Date Time (DD-MMM-YYYY HH:MM:SS): The date and time of the last image or video collected during a specific deployment (e.g., '17-Jan-2018 22:10:05').  &lt;br&gt; &lt;br&gt; The Image Set End Date Time may not coincide with the deployment end date time. Recording this field allows users to account for deployments that were conducted but for which no data was found and to confirm the last date and time a camera was active (if functioning) if no images or videos were captured prior to Service*/Retrieval (especially valuable if users did not collect Time-lapse images or if the camera malfunctioned).\"&gt;Image Set End Date Time (DD-MMM-YYYY HH:MM:SS)&lt;button type=\"button\" class=\"btn btn-bd-tip-info-hidden btn-sm position-relative\"&gt;.&lt;span class=\"position-absolute top-0 start-100 translate-middle\"&gt;{{ icon_info }}&lt;/span&gt;&lt;/button&gt;&lt;/a&gt;"</v>
      </c>
      <c r="R167" t="b" cm="1">
        <f t="array" ref="R167">SUMPRODUCT(--EXACT($J$2:$J$490,J167))&gt;1</f>
        <v>0</v>
      </c>
      <c r="S167" t="s">
        <v>4340</v>
      </c>
    </row>
    <row r="168" spans="1:19">
      <c r="A168" s="30">
        <v>1</v>
      </c>
      <c r="B168" s="30" t="s">
        <v>1064</v>
      </c>
      <c r="C168" s="30" t="s">
        <v>0</v>
      </c>
      <c r="D168" s="30" t="s">
        <v>1208</v>
      </c>
      <c r="E168" s="30" t="s">
        <v>1757</v>
      </c>
      <c r="F168" s="30" t="s">
        <v>1262</v>
      </c>
      <c r="G168" s="39" t="str">
        <f>VLOOKUP(F168,glossary!J:N,2,FALSE)</f>
        <v>Image Set Start Date Time (DD-MMM-YYYY HH:MM:SS)</v>
      </c>
      <c r="H168" s="30" t="s">
        <v>1262</v>
      </c>
      <c r="I168" s="45" t="str">
        <f t="shared" si="6"/>
        <v>img_set_start_date_time_tu_nu</v>
      </c>
      <c r="J168" s="39" t="s">
        <v>1077</v>
      </c>
      <c r="K168" s="39" t="str">
        <f>VLOOKUP(F168,glossary!J:N,5,FALSE)</f>
        <v>The date and time of the first image or video collected during a specific deployment (e.g., '17-Jan-2018 12:00:02'). &lt;br&gt;&lt;br&gt; The Image Set Start Date Time may not coincide with the Deployment Start Date Time. Recording this field allows users to confirm the first date and time a camera was active (reliable if Time-lapse images were collected; especially valuable if the user scheduled a start delay).</v>
      </c>
      <c r="L168" s="30" t="s">
        <v>1268</v>
      </c>
      <c r="M168" s="30" t="str">
        <f t="shared" si="7"/>
        <v>{{ img_set_start_date_time_tu_nu }}</v>
      </c>
      <c r="N168" t="s">
        <v>896</v>
      </c>
      <c r="O168" s="13" t="s">
        <v>1816</v>
      </c>
      <c r="P168" t="s">
        <v>4081</v>
      </c>
      <c r="Q168" t="str">
        <f t="shared" si="8"/>
        <v xml:space="preserve">    img_set_start_date_time_tu_nu: "&lt;a href=\"09_glossary.html#img_set_start_date_time\" target=\"_blank\" data-bs-toggle=\"tooltip\" data-bs-title=\"Image Set Start Date Time (DD-MMM-YYYY HH:MM:SS): The date and time of the first image or video collected during a specific deployment (e.g., '17-Jan-2018 12:00:02'). &lt;br&gt;&lt;br&gt; The Image Set Start Date Time may not coincide with the Deployment Start Date Time. Recording this field allows users to confirm the first date and time a camera was active (reliable if Time-lapse images were collected; especially valuable if the user scheduled a start delay).\"&gt;Image Set Start Date Time&lt;button type=\"button\" class=\"btn btn-bd-tip-info-hidden btn-sm position-relative\"&gt;.&lt;span class=\"position-absolute top-0 start-100 translate-middle\"&gt;{{ icon_info }}&lt;/span&gt;&lt;/button&gt;&lt;/a&gt;"</v>
      </c>
      <c r="R168" t="b" cm="1">
        <f t="array" ref="R168">SUMPRODUCT(--EXACT($J$2:$J$490,J168))&gt;1</f>
        <v>0</v>
      </c>
      <c r="S168" t="s">
        <v>4341</v>
      </c>
    </row>
    <row r="169" spans="1:19">
      <c r="A169" s="30">
        <v>3</v>
      </c>
      <c r="B169" s="30" t="s">
        <v>1393</v>
      </c>
      <c r="C169" s="30"/>
      <c r="D169" s="30" t="s">
        <v>1208</v>
      </c>
      <c r="E169" s="30" t="s">
        <v>1751</v>
      </c>
      <c r="F169" s="30" t="s">
        <v>1262</v>
      </c>
      <c r="G169" s="39" t="str">
        <f>VLOOKUP(F169,glossary!J:N,2,FALSE)</f>
        <v>Image Set Start Date Time (DD-MMM-YYYY HH:MM:SS)</v>
      </c>
      <c r="H169" s="34" t="s">
        <v>1262</v>
      </c>
      <c r="I169" s="45" t="str">
        <f t="shared" si="6"/>
        <v>img_set_start_date_time_tu_u</v>
      </c>
      <c r="J169" s="42" t="s">
        <v>701</v>
      </c>
      <c r="K169" s="39" t="str">
        <f>VLOOKUP(F169,glossary!J:N,5,FALSE)</f>
        <v>The date and time of the first image or video collected during a specific deployment (e.g., '17-Jan-2018 12:00:02'). &lt;br&gt;&lt;br&gt; The Image Set Start Date Time may not coincide with the Deployment Start Date Time. Recording this field allows users to confirm the first date and time a camera was active (reliable if Time-lapse images were collected; especially valuable if the user scheduled a start delay).</v>
      </c>
      <c r="L169" t="s">
        <v>1609</v>
      </c>
      <c r="M169" s="30" t="str">
        <f t="shared" si="7"/>
        <v>{{ img_set_start_date_time_tu_u }}</v>
      </c>
      <c r="N169" t="s">
        <v>896</v>
      </c>
      <c r="O169" s="13" t="s">
        <v>1816</v>
      </c>
      <c r="P169" t="s">
        <v>4081</v>
      </c>
      <c r="Q169" t="str">
        <f t="shared" si="8"/>
        <v xml:space="preserve">    img_set_start_date_time_tu_u: "&lt;a href=\"09_glossary.html#img_set_start_date_time\" target=\"_blank\" data-bs-toggle=\"tooltip\" data-bs-title=\"Image Set Start Date Time (DD-MMM-YYYY HH:MM:SS): The date and time of the first image or video collected during a specific deployment (e.g., '17-Jan-2018 12:00:02'). &lt;br&gt;&lt;br&gt; The Image Set Start Date Time may not coincide with the Deployment Start Date Time. Recording this field allows users to confirm the first date and time a camera was active (reliable if Time-lapse images were collected; especially valuable if the user scheduled a start delay).\"&gt;Image Set Start Date Time (DD-MMM-YYYY HH:MM:SS)&lt;button type=\"button\" class=\"btn btn-bd-tip-info-hidden btn-sm position-relative\"&gt;.&lt;span class=\"position-absolute top-0 start-100 translate-middle\"&gt;{{ icon_info }}&lt;/span&gt;&lt;/button&gt;&lt;/a&gt;"</v>
      </c>
      <c r="R169" t="b" cm="1">
        <f t="array" ref="R169">SUMPRODUCT(--EXACT($J$2:$J$490,J169))&gt;1</f>
        <v>0</v>
      </c>
      <c r="S169" t="s">
        <v>4342</v>
      </c>
    </row>
    <row r="170" spans="1:19">
      <c r="A170" s="30">
        <v>3</v>
      </c>
      <c r="B170" s="30" t="s">
        <v>1393</v>
      </c>
      <c r="C170" s="30"/>
      <c r="D170" s="30" t="s">
        <v>1207</v>
      </c>
      <c r="E170" s="30" t="s">
        <v>984</v>
      </c>
      <c r="F170" s="30" t="s">
        <v>1263</v>
      </c>
      <c r="G170" s="39" t="str">
        <f>VLOOKUP(F170,glossary!J:N,2,FALSE)</f>
        <v>Image tagging</v>
      </c>
      <c r="H170" s="34" t="s">
        <v>1263</v>
      </c>
      <c r="I170" s="45" t="str">
        <f t="shared" si="6"/>
        <v>img_tagging_tl</v>
      </c>
      <c r="J170" s="43" t="s">
        <v>926</v>
      </c>
      <c r="K170" s="39" t="str">
        <f>VLOOKUP(F170,glossary!J:N,5,FALSE)</f>
        <v>The process of classifying an image according to the wildlife species, other entities (e.g., human, vehicle), or conditions within the image. Image tagging may follow image classification to further classify characteristics of the individuals (e.g., age class, sex class, or behaviour) or entities within the image.</v>
      </c>
      <c r="L170" t="s">
        <v>1608</v>
      </c>
      <c r="M170" s="30" t="str">
        <f t="shared" si="7"/>
        <v>{{ img_tagging_tl }}</v>
      </c>
      <c r="N170" t="s">
        <v>896</v>
      </c>
      <c r="O170" s="13" t="s">
        <v>1816</v>
      </c>
      <c r="P170" t="s">
        <v>4081</v>
      </c>
      <c r="Q170" t="str">
        <f t="shared" si="8"/>
        <v xml:space="preserve">    img_tagging_tl: "&lt;a href=\"09_glossary.html#img_tagging\" target=\"_blank\" data-bs-toggle=\"tooltip\" data-bs-title=\"Image tagging: The process of classifying an image according to the wildlife species, other entities (e.g., human, vehicle), or conditions within the image. Image tagging may follow image classification to further classify characteristics of the individuals (e.g., age class, sex class, or behaviour) or entities within the image.\"&gt;image tagging&lt;button type=\"button\" class=\"btn btn-bd-tip-info-hidden btn-sm position-relative\"&gt;.&lt;span class=\"position-absolute top-0 start-100 translate-middle\"&gt;{{ icon_info }}&lt;/span&gt;&lt;/button&gt;&lt;/a&gt;"</v>
      </c>
      <c r="R170" t="b" cm="1">
        <f t="array" ref="R170">SUMPRODUCT(--EXACT($J$2:$J$490,J170))&gt;1</f>
        <v>0</v>
      </c>
      <c r="S170" t="s">
        <v>4343</v>
      </c>
    </row>
    <row r="171" spans="1:19">
      <c r="A171" s="30">
        <v>3</v>
      </c>
      <c r="B171" s="30" t="s">
        <v>1393</v>
      </c>
      <c r="C171" s="30"/>
      <c r="D171" s="30" t="s">
        <v>1208</v>
      </c>
      <c r="E171" s="30" t="s">
        <v>984</v>
      </c>
      <c r="F171" s="30" t="s">
        <v>1263</v>
      </c>
      <c r="G171" s="39" t="str">
        <f>VLOOKUP(F171,glossary!J:N,2,FALSE)</f>
        <v>Image tagging</v>
      </c>
      <c r="H171" s="34" t="s">
        <v>1263</v>
      </c>
      <c r="I171" s="45" t="str">
        <f t="shared" si="6"/>
        <v>img_tagging_tu</v>
      </c>
      <c r="J171" s="42" t="s">
        <v>176</v>
      </c>
      <c r="K171" s="39" t="str">
        <f>VLOOKUP(F171,glossary!J:N,5,FALSE)</f>
        <v>The process of classifying an image according to the wildlife species, other entities (e.g., human, vehicle), or conditions within the image. Image tagging may follow image classification to further classify characteristics of the individuals (e.g., age class, sex class, or behaviour) or entities within the image.</v>
      </c>
      <c r="L171" t="s">
        <v>1607</v>
      </c>
      <c r="M171" s="30" t="str">
        <f t="shared" si="7"/>
        <v>{{ img_tagging_tu }}</v>
      </c>
      <c r="N171" t="s">
        <v>896</v>
      </c>
      <c r="O171" s="13" t="s">
        <v>1816</v>
      </c>
      <c r="P171" t="s">
        <v>4081</v>
      </c>
      <c r="Q171" t="str">
        <f t="shared" si="8"/>
        <v xml:space="preserve">    img_tagging_tu: "&lt;a href=\"09_glossary.html#img_tagging\" target=\"_blank\" data-bs-toggle=\"tooltip\" data-bs-title=\"Image tagging: The process of classifying an image according to the wildlife species, other entities (e.g., human, vehicle), or conditions within the image. Image tagging may follow image classification to further classify characteristics of the individuals (e.g., age class, sex class, or behaviour) or entities within the image.\"&gt;Image tagging&lt;button type=\"button\" class=\"btn btn-bd-tip-info-hidden btn-sm position-relative\"&gt;.&lt;span class=\"position-absolute top-0 start-100 translate-middle\"&gt;{{ icon_info }}&lt;/span&gt;&lt;/button&gt;&lt;/a&gt;"</v>
      </c>
      <c r="R171" t="b" cm="1">
        <f t="array" ref="R171">SUMPRODUCT(--EXACT($J$2:$J$490,J171))&gt;1</f>
        <v>0</v>
      </c>
      <c r="S171" t="s">
        <v>4344</v>
      </c>
    </row>
    <row r="172" spans="1:19">
      <c r="A172" s="30">
        <v>3</v>
      </c>
      <c r="B172" s="30" t="s">
        <v>1393</v>
      </c>
      <c r="C172" s="30"/>
      <c r="D172" s="30" t="s">
        <v>1208</v>
      </c>
      <c r="E172" s="30" t="s">
        <v>984</v>
      </c>
      <c r="F172" s="30" t="s">
        <v>1264</v>
      </c>
      <c r="G172" s="39" t="str">
        <f>VLOOKUP(F172,glossary!J:N,2,FALSE)</f>
        <v>Image Trigger Mode</v>
      </c>
      <c r="H172" s="34" t="s">
        <v>1264</v>
      </c>
      <c r="I172" s="45" t="str">
        <f t="shared" si="6"/>
        <v>img_trigger_mode_tu</v>
      </c>
      <c r="J172" s="42" t="s">
        <v>749</v>
      </c>
      <c r="K172" s="39" t="str">
        <f>VLOOKUP(F172,glossary!J:N,5,FALSE)</f>
        <v>The type of trigger mode used to capture the image as reported in the image Exif data (e.g., 'Time Lapse,' 'Motion Detection,' 'CodeLoc Not Entered,' 'External Sensor'). Record 'Unknown' if not known.</v>
      </c>
      <c r="L172" t="s">
        <v>1606</v>
      </c>
      <c r="M172" s="30" t="str">
        <f t="shared" si="7"/>
        <v>{{ img_trigger_mode_tu }}</v>
      </c>
      <c r="N172" t="s">
        <v>896</v>
      </c>
      <c r="O172" s="13" t="s">
        <v>1816</v>
      </c>
      <c r="P172" t="s">
        <v>4081</v>
      </c>
      <c r="Q172" t="str">
        <f t="shared" si="8"/>
        <v xml:space="preserve">    img_trigger_mode_tu: "&lt;a href=\"09_glossary.html#img_trigger_mode\" target=\"_blank\" data-bs-toggle=\"tooltip\" data-bs-title=\"Image Trigger Mode: The type of trigger mode used to capture the image as reported in the image Exif data (e.g., 'Time Lapse,' 'Motion Detection,' 'CodeLoc Not Entered,' 'External Sensor'). Record 'Unknown' if not known.\"&gt;Image Trigger Mode&lt;button type=\"button\" class=\"btn btn-bd-tip-info-hidden btn-sm position-relative\"&gt;.&lt;span class=\"position-absolute top-0 start-100 translate-middle\"&gt;{{ icon_info }}&lt;/span&gt;&lt;/button&gt;&lt;/a&gt;"</v>
      </c>
      <c r="R172" t="b" cm="1">
        <f t="array" ref="R172">SUMPRODUCT(--EXACT($J$2:$J$490,J172))&gt;1</f>
        <v>0</v>
      </c>
      <c r="S172" t="s">
        <v>4345</v>
      </c>
    </row>
    <row r="173" spans="1:19">
      <c r="A173" s="30">
        <v>1</v>
      </c>
      <c r="B173" s="30" t="s">
        <v>1064</v>
      </c>
      <c r="C173" s="30" t="s">
        <v>0</v>
      </c>
      <c r="D173" s="30" t="s">
        <v>1208</v>
      </c>
      <c r="E173" s="30" t="s">
        <v>1758</v>
      </c>
      <c r="F173" s="30" t="s">
        <v>1264</v>
      </c>
      <c r="G173" s="39" t="str">
        <f>VLOOKUP(F173,glossary!J:N,2,FALSE)</f>
        <v>Image Trigger Mode</v>
      </c>
      <c r="H173" s="30" t="s">
        <v>1264</v>
      </c>
      <c r="I173" s="45" t="str">
        <f t="shared" si="6"/>
        <v>img_trigger_mode_tu_pl</v>
      </c>
      <c r="J173" s="39" t="s">
        <v>1165</v>
      </c>
      <c r="K173" s="39" t="str">
        <f>VLOOKUP(F173,glossary!J:N,5,FALSE)</f>
        <v>The type of trigger mode used to capture the image as reported in the image Exif data (e.g., 'Time Lapse,' 'Motion Detection,' 'CodeLoc Not Entered,' 'External Sensor'). Record 'Unknown' if not known.</v>
      </c>
      <c r="L173" s="30" t="s">
        <v>1269</v>
      </c>
      <c r="M173" s="30" t="str">
        <f t="shared" si="7"/>
        <v>{{ img_trigger_mode_tu_pl }}</v>
      </c>
      <c r="N173" t="s">
        <v>896</v>
      </c>
      <c r="O173" s="13" t="s">
        <v>1816</v>
      </c>
      <c r="P173" t="s">
        <v>4081</v>
      </c>
      <c r="Q173" t="str">
        <f t="shared" si="8"/>
        <v xml:space="preserve">    img_trigger_mode_tu_pl: "&lt;a href=\"09_glossary.html#img_trigger_mode\" target=\"_blank\" data-bs-toggle=\"tooltip\" data-bs-title=\"Image Trigger Mode: The type of trigger mode used to capture the image as reported in the image Exif data (e.g., 'Time Lapse,' 'Motion Detection,' 'CodeLoc Not Entered,' 'External Sensor'). Record 'Unknown' if not known.\"&gt;Image Trigger Modes&lt;button type=\"button\" class=\"btn btn-bd-tip-info-hidden btn-sm position-relative\"&gt;.&lt;span class=\"position-absolute top-0 start-100 translate-middle\"&gt;{{ icon_info }}&lt;/span&gt;&lt;/button&gt;&lt;/a&gt;"</v>
      </c>
      <c r="R173" t="b" cm="1">
        <f t="array" ref="R173">SUMPRODUCT(--EXACT($J$2:$J$490,J173))&gt;1</f>
        <v>0</v>
      </c>
      <c r="S173" t="s">
        <v>4346</v>
      </c>
    </row>
    <row r="174" spans="1:19">
      <c r="A174" s="30">
        <v>3</v>
      </c>
      <c r="B174" s="30" t="s">
        <v>1393</v>
      </c>
      <c r="C174" s="30"/>
      <c r="D174" s="30" t="s">
        <v>1207</v>
      </c>
      <c r="E174" s="30" t="s">
        <v>984</v>
      </c>
      <c r="F174" s="30" t="s">
        <v>173</v>
      </c>
      <c r="G174" s="39" t="str">
        <f>VLOOKUP(F174,glossary!J:N,2,FALSE)</f>
        <v>Imperfect detection</v>
      </c>
      <c r="H174" s="34" t="s">
        <v>173</v>
      </c>
      <c r="I174" s="45" t="str">
        <f t="shared" si="6"/>
        <v>imperfect_detection_tl</v>
      </c>
      <c r="J174" s="43" t="s">
        <v>927</v>
      </c>
      <c r="K174" s="39" t="str">
        <f>VLOOKUP(F174,glossary!J:N,5,FALSE)</f>
        <v>Species are often detected 'imperfectly,' meaning that they are not always detected when they are present (e.g., due to cover of vegetation, cryptic nature or small size) (MacKenzie et al., 2004).</v>
      </c>
      <c r="L174" t="s">
        <v>1605</v>
      </c>
      <c r="M174" s="30" t="str">
        <f t="shared" si="7"/>
        <v>{{ imperfect_detection_tl }}</v>
      </c>
      <c r="N174" t="s">
        <v>896</v>
      </c>
      <c r="O174" s="13" t="s">
        <v>1816</v>
      </c>
      <c r="P174" t="s">
        <v>4081</v>
      </c>
      <c r="Q174" t="str">
        <f t="shared" si="8"/>
        <v xml:space="preserve">    imperfect_detection_tl: "&lt;a href=\"09_glossary.html#imperfect_detection\" target=\"_blank\" data-bs-toggle=\"tooltip\" data-bs-title=\"Imperfect detection: Species are often detected 'imperfectly,' meaning that they are not always detected when they are present (e.g., due to cover of vegetation, cryptic nature or small size) (MacKenzie et al., 2004).\"&gt;imperfect detection&lt;button type=\"button\" class=\"btn btn-bd-tip-info-hidden btn-sm position-relative\"&gt;.&lt;span class=\"position-absolute top-0 start-100 translate-middle\"&gt;{{ icon_info }}&lt;/span&gt;&lt;/button&gt;&lt;/a&gt;"</v>
      </c>
      <c r="R174" t="b" cm="1">
        <f t="array" ref="R174">SUMPRODUCT(--EXACT($J$2:$J$490,J174))&gt;1</f>
        <v>0</v>
      </c>
      <c r="S174" t="s">
        <v>4347</v>
      </c>
    </row>
    <row r="175" spans="1:19">
      <c r="A175" s="30">
        <v>3</v>
      </c>
      <c r="B175" s="30" t="s">
        <v>1393</v>
      </c>
      <c r="C175" s="30"/>
      <c r="D175" s="30" t="s">
        <v>1208</v>
      </c>
      <c r="E175" s="30" t="s">
        <v>984</v>
      </c>
      <c r="F175" s="30" t="s">
        <v>173</v>
      </c>
      <c r="G175" s="39" t="str">
        <f>VLOOKUP(F175,glossary!J:N,2,FALSE)</f>
        <v>Imperfect detection</v>
      </c>
      <c r="H175" s="34" t="s">
        <v>173</v>
      </c>
      <c r="I175" s="45" t="str">
        <f t="shared" si="6"/>
        <v>imperfect_detection_tu</v>
      </c>
      <c r="J175" s="42" t="s">
        <v>174</v>
      </c>
      <c r="K175" s="39" t="str">
        <f>VLOOKUP(F175,glossary!J:N,5,FALSE)</f>
        <v>Species are often detected 'imperfectly,' meaning that they are not always detected when they are present (e.g., due to cover of vegetation, cryptic nature or small size) (MacKenzie et al., 2004).</v>
      </c>
      <c r="L175" t="s">
        <v>1604</v>
      </c>
      <c r="M175" s="30" t="str">
        <f t="shared" si="7"/>
        <v>{{ imperfect_detection_tu }}</v>
      </c>
      <c r="N175" t="s">
        <v>896</v>
      </c>
      <c r="O175" s="13" t="s">
        <v>1816</v>
      </c>
      <c r="P175" t="s">
        <v>4081</v>
      </c>
      <c r="Q175" t="str">
        <f t="shared" si="8"/>
        <v xml:space="preserve">    imperfect_detection_tu: "&lt;a href=\"09_glossary.html#imperfect_detection\" target=\"_blank\" data-bs-toggle=\"tooltip\" data-bs-title=\"Imperfect detection: Species are often detected 'imperfectly,' meaning that they are not always detected when they are present (e.g., due to cover of vegetation, cryptic nature or small size) (MacKenzie et al., 2004).\"&gt;Imperfect detection&lt;button type=\"button\" class=\"btn btn-bd-tip-info-hidden btn-sm position-relative\"&gt;.&lt;span class=\"position-absolute top-0 start-100 translate-middle\"&gt;{{ icon_info }}&lt;/span&gt;&lt;/button&gt;&lt;/a&gt;"</v>
      </c>
      <c r="R175" t="b" cm="1">
        <f t="array" ref="R175">SUMPRODUCT(--EXACT($J$2:$J$490,J175))&gt;1</f>
        <v>0</v>
      </c>
      <c r="S175" t="s">
        <v>4348</v>
      </c>
    </row>
    <row r="176" spans="1:19">
      <c r="A176" s="30">
        <v>3</v>
      </c>
      <c r="B176" s="30" t="s">
        <v>1393</v>
      </c>
      <c r="C176" s="30"/>
      <c r="D176" s="30" t="s">
        <v>1207</v>
      </c>
      <c r="E176" s="30" t="s">
        <v>1758</v>
      </c>
      <c r="F176" s="30" t="s">
        <v>170</v>
      </c>
      <c r="G176" s="39" t="str">
        <f>VLOOKUP(F176,glossary!J:N,2,FALSE)</f>
        <v>Independent detections</v>
      </c>
      <c r="H176" s="34" t="s">
        <v>170</v>
      </c>
      <c r="I176" s="45" t="str">
        <f t="shared" si="6"/>
        <v>independent_detections_tl_pl</v>
      </c>
      <c r="J176" s="43" t="s">
        <v>928</v>
      </c>
      <c r="K176" s="39" t="str">
        <f>VLOOKUP(F176,glossary!J:N,5,FALSE)</f>
        <v>Detections that are deemed to be independent based on a user-defined threshold (e.g., 30 minutes).</v>
      </c>
      <c r="L176" t="s">
        <v>1603</v>
      </c>
      <c r="M176" s="30" t="str">
        <f t="shared" si="7"/>
        <v>{{ independent_detections_tl_pl }}</v>
      </c>
      <c r="N176" t="s">
        <v>896</v>
      </c>
      <c r="O176" s="13" t="s">
        <v>1816</v>
      </c>
      <c r="P176" t="s">
        <v>4081</v>
      </c>
      <c r="Q176" t="str">
        <f t="shared" si="8"/>
        <v xml:space="preserve">    independent_detections_tl_pl: "&lt;a href=\"09_glossary.html#independent_detections\" target=\"_blank\" data-bs-toggle=\"tooltip\" data-bs-title=\"Independent detections: Detections that are deemed to be independent based on a user-defined threshold (e.g., 30 minutes).\"&gt;independent detections&lt;button type=\"button\" class=\"btn btn-bd-tip-info-hidden btn-sm position-relative\"&gt;.&lt;span class=\"position-absolute top-0 start-100 translate-middle\"&gt;{{ icon_info }}&lt;/span&gt;&lt;/button&gt;&lt;/a&gt;"</v>
      </c>
      <c r="R176" t="b" cm="1">
        <f t="array" ref="R176">SUMPRODUCT(--EXACT($J$2:$J$490,J176))&gt;1</f>
        <v>0</v>
      </c>
      <c r="S176" t="s">
        <v>4349</v>
      </c>
    </row>
    <row r="177" spans="1:19">
      <c r="A177" s="30">
        <v>1</v>
      </c>
      <c r="B177" s="30" t="s">
        <v>1064</v>
      </c>
      <c r="C177" s="30"/>
      <c r="D177" s="30" t="s">
        <v>1208</v>
      </c>
      <c r="E177" s="30" t="s">
        <v>1756</v>
      </c>
      <c r="F177" s="30" t="s">
        <v>170</v>
      </c>
      <c r="G177" s="39" t="str">
        <f>VLOOKUP(F177,glossary!J:N,2,FALSE)</f>
        <v>Independent detections</v>
      </c>
      <c r="H177" s="30" t="s">
        <v>170</v>
      </c>
      <c r="I177" s="45" t="str">
        <f t="shared" si="6"/>
        <v>independent_detections_tu_modtxt</v>
      </c>
      <c r="J177" s="39" t="s">
        <v>1601</v>
      </c>
      <c r="K177" s="39" t="str">
        <f>VLOOKUP(F177,glossary!J:N,5,FALSE)</f>
        <v>Detections that are deemed to be independent based on a user-defined threshold (e.g., 30 minutes).</v>
      </c>
      <c r="L177" s="30" t="s">
        <v>984</v>
      </c>
      <c r="M177" s="30" t="str">
        <f t="shared" si="7"/>
        <v>{{ independent_detections_tu_modtxt }}</v>
      </c>
      <c r="N177" t="s">
        <v>896</v>
      </c>
      <c r="O177" s="13" t="s">
        <v>1816</v>
      </c>
      <c r="P177" t="s">
        <v>4081</v>
      </c>
      <c r="Q177" t="str">
        <f t="shared" si="8"/>
        <v xml:space="preserve">    independent_detections_tu_modtxt: "&lt;a href=\"09_glossary.html#independent_detections\" target=\"_blank\" data-bs-toggle=\"tooltip\" data-bs-title=\"Independent detections: Detections that are deemed to be independent based on a user-defined threshold (e.g., 30 minutes).\"&gt;Detections are independent&lt;button type=\"button\" class=\"btn btn-bd-tip-info-hidden btn-sm position-relative\"&gt;.&lt;span class=\"position-absolute top-0 start-100 translate-middle\"&gt;{{ icon_info }}&lt;/span&gt;&lt;/button&gt;&lt;/a&gt;"</v>
      </c>
      <c r="R177" t="b" cm="1">
        <f t="array" ref="R177">SUMPRODUCT(--EXACT($J$2:$J$490,J177))&gt;1</f>
        <v>0</v>
      </c>
      <c r="S177" t="s">
        <v>4350</v>
      </c>
    </row>
    <row r="178" spans="1:19">
      <c r="A178" s="30">
        <v>3</v>
      </c>
      <c r="B178" s="30" t="s">
        <v>1393</v>
      </c>
      <c r="C178" s="30"/>
      <c r="D178" s="30" t="s">
        <v>1208</v>
      </c>
      <c r="E178" s="30" t="s">
        <v>1758</v>
      </c>
      <c r="F178" s="30" t="s">
        <v>170</v>
      </c>
      <c r="G178" s="39" t="str">
        <f>VLOOKUP(F178,glossary!J:N,2,FALSE)</f>
        <v>Independent detections</v>
      </c>
      <c r="H178" s="34" t="s">
        <v>170</v>
      </c>
      <c r="I178" s="45" t="str">
        <f t="shared" si="6"/>
        <v>independent_detections_tu_pl</v>
      </c>
      <c r="J178" s="42" t="s">
        <v>172</v>
      </c>
      <c r="K178" s="39" t="str">
        <f>VLOOKUP(F178,glossary!J:N,5,FALSE)</f>
        <v>Detections that are deemed to be independent based on a user-defined threshold (e.g., 30 minutes).</v>
      </c>
      <c r="L178" t="s">
        <v>1602</v>
      </c>
      <c r="M178" s="30" t="str">
        <f t="shared" si="7"/>
        <v>{{ independent_detections_tu_pl }}</v>
      </c>
      <c r="N178" t="s">
        <v>896</v>
      </c>
      <c r="O178" s="13" t="s">
        <v>1816</v>
      </c>
      <c r="P178" t="s">
        <v>4081</v>
      </c>
      <c r="Q178" t="str">
        <f t="shared" si="8"/>
        <v xml:space="preserve">    independent_detections_tu_pl: "&lt;a href=\"09_glossary.html#independent_detections\" target=\"_blank\" data-bs-toggle=\"tooltip\" data-bs-title=\"Independent detections: Detections that are deemed to be independent based on a user-defined threshold (e.g., 30 minutes).\"&gt;Independent detections&lt;button type=\"button\" class=\"btn btn-bd-tip-info-hidden btn-sm position-relative\"&gt;.&lt;span class=\"position-absolute top-0 start-100 translate-middle\"&gt;{{ icon_info }}&lt;/span&gt;&lt;/button&gt;&lt;/a&gt;"</v>
      </c>
      <c r="R178" t="b" cm="1">
        <f t="array" ref="R178">SUMPRODUCT(--EXACT($J$2:$J$490,J178))&gt;1</f>
        <v>0</v>
      </c>
      <c r="S178" t="s">
        <v>4351</v>
      </c>
    </row>
    <row r="179" spans="1:19">
      <c r="A179" s="30">
        <v>3</v>
      </c>
      <c r="B179" s="30" t="s">
        <v>1393</v>
      </c>
      <c r="C179" s="30"/>
      <c r="D179" s="30" t="s">
        <v>1208</v>
      </c>
      <c r="E179" s="30" t="s">
        <v>984</v>
      </c>
      <c r="F179" s="30" t="s">
        <v>283</v>
      </c>
      <c r="G179" s="39" t="str">
        <f>VLOOKUP(F179,glossary!J:N,2,FALSE)</f>
        <v>Individual Count</v>
      </c>
      <c r="H179" s="34" t="s">
        <v>283</v>
      </c>
      <c r="I179" s="45" t="str">
        <f t="shared" si="6"/>
        <v>individual_count_tu</v>
      </c>
      <c r="J179" s="42" t="s">
        <v>702</v>
      </c>
      <c r="K179" s="39" t="str">
        <f>VLOOKUP(F179,glossary!J:N,5,FALSE)</f>
        <v>The number of unique individuals being categorized. Depending on the Event Type, this may be recorded as the total number of individuals, or according to Age Class and*/or Sex Class.</v>
      </c>
      <c r="L179" t="s">
        <v>1600</v>
      </c>
      <c r="M179" s="30" t="str">
        <f t="shared" si="7"/>
        <v>{{ individual_count_tu }}</v>
      </c>
      <c r="N179" t="s">
        <v>896</v>
      </c>
      <c r="O179" s="13" t="s">
        <v>1816</v>
      </c>
      <c r="P179" t="s">
        <v>4081</v>
      </c>
      <c r="Q179" t="str">
        <f t="shared" si="8"/>
        <v xml:space="preserve">    individual_count_tu: "&lt;a href=\"09_glossary.html#individual_count\" target=\"_blank\" data-bs-toggle=\"tooltip\" data-bs-title=\"Individual Count: The number of unique individuals being categorized. Depending on the Event Type, this may be recorded as the total number of individuals, or according to Age Class and*/or Sex Class.\"&gt;Individual Count&lt;button type=\"button\" class=\"btn btn-bd-tip-info-hidden btn-sm position-relative\"&gt;.&lt;span class=\"position-absolute top-0 start-100 translate-middle\"&gt;{{ icon_info }}&lt;/span&gt;&lt;/button&gt;&lt;/a&gt;"</v>
      </c>
      <c r="R179" t="b" cm="1">
        <f t="array" ref="R179">SUMPRODUCT(--EXACT($J$2:$J$490,J179))&gt;1</f>
        <v>0</v>
      </c>
      <c r="S179" t="s">
        <v>4352</v>
      </c>
    </row>
    <row r="180" spans="1:19">
      <c r="A180" s="30">
        <v>3</v>
      </c>
      <c r="B180" s="30" t="s">
        <v>1393</v>
      </c>
      <c r="C180" s="30"/>
      <c r="D180" s="30" t="s">
        <v>1207</v>
      </c>
      <c r="E180" s="30" t="s">
        <v>984</v>
      </c>
      <c r="F180" s="30" t="s">
        <v>164</v>
      </c>
      <c r="G180" s="39" t="str">
        <f>VLOOKUP(F180,glossary!J:N,2,FALSE)</f>
        <v>Inter-detection interval</v>
      </c>
      <c r="H180" s="34" t="s">
        <v>164</v>
      </c>
      <c r="I180" s="45" t="str">
        <f t="shared" si="6"/>
        <v>inter_detection_interval_tl</v>
      </c>
      <c r="J180" s="43" t="s">
        <v>932</v>
      </c>
      <c r="K180" s="39" t="str">
        <f>VLOOKUP(F180,glossary!J:N,5,FALSE)</f>
        <v>A user-defined threshold used to define a single 'detection event' (i.e., independent 'events') for group of images or video clips (e.g., 30 minutes or 1 hour). The threshold should be recorded in the Survey Design Description.</v>
      </c>
      <c r="L180" t="s">
        <v>1599</v>
      </c>
      <c r="M180" s="30" t="str">
        <f t="shared" si="7"/>
        <v>{{ inter_detection_interval_tl }}</v>
      </c>
      <c r="N180" t="s">
        <v>896</v>
      </c>
      <c r="O180" s="13" t="s">
        <v>1816</v>
      </c>
      <c r="P180" t="s">
        <v>4081</v>
      </c>
      <c r="Q180" t="str">
        <f t="shared" si="8"/>
        <v xml:space="preserve">    inter_detection_interval_tl: "&lt;a href=\"09_glossary.html#inter_detection_interval\" target=\"_blank\" data-bs-toggle=\"tooltip\" data-bs-title=\"Inter-detection interval: A user-defined threshold used to define a single 'detection event' (i.e., independent 'events') for group of images or video clips (e.g., 30 minutes or 1 hour). The threshold should be recorded in the Survey Design Description.\"&gt;inter-detection interval&lt;button type=\"button\" class=\"btn btn-bd-tip-info-hidden btn-sm position-relative\"&gt;.&lt;span class=\"position-absolute top-0 start-100 translate-middle\"&gt;{{ icon_info }}&lt;/span&gt;&lt;/button&gt;&lt;/a&gt;"</v>
      </c>
      <c r="R180" t="b" cm="1">
        <f t="array" ref="R180">SUMPRODUCT(--EXACT($J$2:$J$490,J180))&gt;1</f>
        <v>0</v>
      </c>
      <c r="S180" t="s">
        <v>4353</v>
      </c>
    </row>
    <row r="181" spans="1:19">
      <c r="A181" s="30">
        <v>3</v>
      </c>
      <c r="B181" s="30" t="s">
        <v>1393</v>
      </c>
      <c r="C181" s="30"/>
      <c r="D181" s="30" t="s">
        <v>1208</v>
      </c>
      <c r="E181" s="30" t="s">
        <v>984</v>
      </c>
      <c r="F181" s="30" t="s">
        <v>164</v>
      </c>
      <c r="G181" s="39" t="str">
        <f>VLOOKUP(F181,glossary!J:N,2,FALSE)</f>
        <v>Inter-detection interval</v>
      </c>
      <c r="H181" s="34" t="s">
        <v>164</v>
      </c>
      <c r="I181" s="45" t="str">
        <f t="shared" si="6"/>
        <v>inter_detection_interval_tu</v>
      </c>
      <c r="J181" s="42" t="s">
        <v>165</v>
      </c>
      <c r="K181" s="39" t="str">
        <f>VLOOKUP(F181,glossary!J:N,5,FALSE)</f>
        <v>A user-defined threshold used to define a single 'detection event' (i.e., independent 'events') for group of images or video clips (e.g., 30 minutes or 1 hour). The threshold should be recorded in the Survey Design Description.</v>
      </c>
      <c r="L181" t="s">
        <v>1598</v>
      </c>
      <c r="M181" s="30" t="str">
        <f t="shared" si="7"/>
        <v>{{ inter_detection_interval_tu }}</v>
      </c>
      <c r="N181" t="s">
        <v>896</v>
      </c>
      <c r="O181" s="13" t="s">
        <v>1816</v>
      </c>
      <c r="P181" t="s">
        <v>4081</v>
      </c>
      <c r="Q181" t="str">
        <f t="shared" si="8"/>
        <v xml:space="preserve">    inter_detection_interval_tu: "&lt;a href=\"09_glossary.html#inter_detection_interval\" target=\"_blank\" data-bs-toggle=\"tooltip\" data-bs-title=\"Inter-detection interval: A user-defined threshold used to define a single 'detection event' (i.e., independent 'events') for group of images or video clips (e.g., 30 minutes or 1 hour). The threshold should be recorded in the Survey Design Description.\"&gt;Inter-detection interval&lt;button type=\"button\" class=\"btn btn-bd-tip-info-hidden btn-sm position-relative\"&gt;.&lt;span class=\"position-absolute top-0 start-100 translate-middle\"&gt;{{ icon_info }}&lt;/span&gt;&lt;/button&gt;&lt;/a&gt;"</v>
      </c>
      <c r="R181" t="b" cm="1">
        <f t="array" ref="R181">SUMPRODUCT(--EXACT($J$2:$J$490,J181))&gt;1</f>
        <v>0</v>
      </c>
      <c r="S181" t="s">
        <v>4354</v>
      </c>
    </row>
    <row r="182" spans="1:19">
      <c r="A182" s="30">
        <v>3</v>
      </c>
      <c r="B182" s="30" t="s">
        <v>1393</v>
      </c>
      <c r="C182" s="30"/>
      <c r="D182" s="30" t="s">
        <v>1207</v>
      </c>
      <c r="E182" s="30" t="s">
        <v>984</v>
      </c>
      <c r="F182" s="30" t="s">
        <v>519</v>
      </c>
      <c r="G182" s="39" t="str">
        <f>VLOOKUP(F182,glossary!J:N,2,FALSE)</f>
        <v>Kernel density estimator</v>
      </c>
      <c r="H182" s="34" t="s">
        <v>519</v>
      </c>
      <c r="I182" s="45" t="str">
        <f t="shared" si="6"/>
        <v>kernel_density_estimator_tl</v>
      </c>
      <c r="J182" s="43" t="s">
        <v>934</v>
      </c>
      <c r="K182" s="39" t="str">
        <f>VLOOKUP(F182,glossary!J:N,5,FALSE)</f>
        <v>The probability of 'utilization' (Jennrich &amp; Turner, 1969); describes the relative probability of use (Powell &amp; Mitchell, 2012).</v>
      </c>
      <c r="L182" t="s">
        <v>1597</v>
      </c>
      <c r="M182" s="30" t="str">
        <f t="shared" si="7"/>
        <v>{{ kernel_density_estimator_tl }}</v>
      </c>
      <c r="N182" t="s">
        <v>896</v>
      </c>
      <c r="O182" s="13" t="s">
        <v>1816</v>
      </c>
      <c r="P182" t="s">
        <v>4081</v>
      </c>
      <c r="Q182" t="str">
        <f t="shared" si="8"/>
        <v xml:space="preserve">    kernel_density_estimator_tl: "&lt;a href=\"09_glossary.html#kernel_density_estimator\" target=\"_blank\" data-bs-toggle=\"tooltip\" data-bs-title=\"Kernel density estimator: The probability of 'utilization' (Jennrich &amp; Turner, 1969); describes the relative probability of use (Powell &amp; Mitchell, 2012).\"&gt;kernel density estimator&lt;button type=\"button\" class=\"btn btn-bd-tip-info-hidden btn-sm position-relative\"&gt;.&lt;span class=\"position-absolute top-0 start-100 translate-middle\"&gt;{{ icon_info }}&lt;/span&gt;&lt;/button&gt;&lt;/a&gt;"</v>
      </c>
      <c r="R182" t="b" cm="1">
        <f t="array" ref="R182">SUMPRODUCT(--EXACT($J$2:$J$490,J182))&gt;1</f>
        <v>0</v>
      </c>
      <c r="S182" t="s">
        <v>4355</v>
      </c>
    </row>
    <row r="183" spans="1:19">
      <c r="A183" s="30">
        <v>3</v>
      </c>
      <c r="B183" s="30" t="s">
        <v>1393</v>
      </c>
      <c r="C183" s="30"/>
      <c r="D183" s="30" t="s">
        <v>1208</v>
      </c>
      <c r="E183" s="30" t="s">
        <v>984</v>
      </c>
      <c r="F183" s="30" t="s">
        <v>519</v>
      </c>
      <c r="G183" s="39" t="str">
        <f>VLOOKUP(F183,glossary!J:N,2,FALSE)</f>
        <v>Kernel density estimator</v>
      </c>
      <c r="H183" s="34" t="s">
        <v>519</v>
      </c>
      <c r="I183" s="45" t="str">
        <f t="shared" si="6"/>
        <v>kernel_density_estimator_tu</v>
      </c>
      <c r="J183" s="42" t="s">
        <v>520</v>
      </c>
      <c r="K183" s="39" t="str">
        <f>VLOOKUP(F183,glossary!J:N,5,FALSE)</f>
        <v>The probability of 'utilization' (Jennrich &amp; Turner, 1969); describes the relative probability of use (Powell &amp; Mitchell, 2012).</v>
      </c>
      <c r="L183" t="s">
        <v>1596</v>
      </c>
      <c r="M183" s="30" t="str">
        <f t="shared" si="7"/>
        <v>{{ kernel_density_estimator_tu }}</v>
      </c>
      <c r="N183" t="s">
        <v>896</v>
      </c>
      <c r="O183" s="13" t="s">
        <v>1816</v>
      </c>
      <c r="P183" t="s">
        <v>4081</v>
      </c>
      <c r="Q183" t="str">
        <f t="shared" si="8"/>
        <v xml:space="preserve">    kernel_density_estimator_tu: "&lt;a href=\"09_glossary.html#kernel_density_estimator\" target=\"_blank\" data-bs-toggle=\"tooltip\" data-bs-title=\"Kernel density estimator: The probability of 'utilization' (Jennrich &amp; Turner, 1969); describes the relative probability of use (Powell &amp; Mitchell, 2012).\"&gt;Kernel density estimator&lt;button type=\"button\" class=\"btn btn-bd-tip-info-hidden btn-sm position-relative\"&gt;.&lt;span class=\"position-absolute top-0 start-100 translate-middle\"&gt;{{ icon_info }}&lt;/span&gt;&lt;/button&gt;&lt;/a&gt;"</v>
      </c>
      <c r="R183" t="b" cm="1">
        <f t="array" ref="R183">SUMPRODUCT(--EXACT($J$2:$J$490,J183))&gt;1</f>
        <v>0</v>
      </c>
      <c r="S183" t="s">
        <v>4356</v>
      </c>
    </row>
    <row r="184" spans="1:19">
      <c r="A184" s="30">
        <v>3</v>
      </c>
      <c r="B184" s="30" t="s">
        <v>1393</v>
      </c>
      <c r="C184" s="30"/>
      <c r="D184" s="30" t="s">
        <v>1208</v>
      </c>
      <c r="E184" s="30" t="s">
        <v>984</v>
      </c>
      <c r="F184" s="30" t="s">
        <v>326</v>
      </c>
      <c r="G184" s="39" t="str">
        <f>VLOOKUP(F184,glossary!J:N,2,FALSE)</f>
        <v>Key ID</v>
      </c>
      <c r="H184" s="34" t="s">
        <v>326</v>
      </c>
      <c r="I184" s="45" t="str">
        <f t="shared" si="6"/>
        <v>key_id_tu</v>
      </c>
      <c r="J184" s="42" t="s">
        <v>750</v>
      </c>
      <c r="K184" s="39" t="str">
        <f>VLOOKUP(F184,glossary!J:N,5,FALSE)</f>
        <v>The unique ID for the specific key or set of keys used to lock*/secure the camera to the post, tree, etc.</v>
      </c>
      <c r="L184" t="s">
        <v>1595</v>
      </c>
      <c r="M184" s="30" t="str">
        <f t="shared" si="7"/>
        <v>{{ key_id_tu }}</v>
      </c>
      <c r="N184" t="s">
        <v>896</v>
      </c>
      <c r="O184" s="13" t="s">
        <v>1816</v>
      </c>
      <c r="P184" t="s">
        <v>4081</v>
      </c>
      <c r="Q184" t="str">
        <f t="shared" si="8"/>
        <v xml:space="preserve">    key_id_tu: "&lt;a href=\"09_glossary.html#key_id\" target=\"_blank\" data-bs-toggle=\"tooltip\" data-bs-title=\"Key ID: The unique ID for the specific key or set of keys used to lock*/secure the camera to the post, tree, etc.\"&gt;Key ID&lt;button type=\"button\" class=\"btn btn-bd-tip-info-hidden btn-sm position-relative\"&gt;.&lt;span class=\"position-absolute top-0 start-100 translate-middle\"&gt;{{ icon_info }}&lt;/span&gt;&lt;/button&gt;&lt;/a&gt;"</v>
      </c>
      <c r="R184" t="b" cm="1">
        <f t="array" ref="R184">SUMPRODUCT(--EXACT($J$2:$J$490,J184))&gt;1</f>
        <v>0</v>
      </c>
      <c r="S184" t="s">
        <v>4357</v>
      </c>
    </row>
    <row r="185" spans="1:19">
      <c r="A185" s="30">
        <v>3</v>
      </c>
      <c r="B185" s="30" t="s">
        <v>1393</v>
      </c>
      <c r="C185" s="30"/>
      <c r="D185" s="30" t="s">
        <v>1208</v>
      </c>
      <c r="E185" s="30" t="s">
        <v>984</v>
      </c>
      <c r="F185" s="30" t="s">
        <v>1222</v>
      </c>
      <c r="G185" s="39" t="str">
        <f>VLOOKUP(F185,glossary!J:N,2,FALSE)</f>
        <v>Latitude Camera Location</v>
      </c>
      <c r="H185" s="34" t="s">
        <v>1222</v>
      </c>
      <c r="I185" s="45" t="str">
        <f t="shared" si="6"/>
        <v>latitude_cam_location_tu</v>
      </c>
      <c r="J185" s="42" t="s">
        <v>703</v>
      </c>
      <c r="K185" s="39" t="str">
        <f>VLOOKUP(F185,glossary!J:N,5,FALSE)</f>
        <v>The latitude of the camera location in decimal degrees to five decimal places (e.g., '53.78136'). Leave blank if recording Northing instead.</v>
      </c>
      <c r="L185" t="s">
        <v>1594</v>
      </c>
      <c r="M185" s="30" t="str">
        <f t="shared" si="7"/>
        <v>{{ latitude_cam_location_tu }}</v>
      </c>
      <c r="N185" t="s">
        <v>896</v>
      </c>
      <c r="O185" s="13" t="s">
        <v>1816</v>
      </c>
      <c r="P185" t="s">
        <v>4081</v>
      </c>
      <c r="Q185" t="str">
        <f t="shared" si="8"/>
        <v xml:space="preserve">    latitude_cam_location_tu: "&lt;a href=\"09_glossary.html#latitude_cam_location\" target=\"_blank\" data-bs-toggle=\"tooltip\" data-bs-title=\"Latitude Camera Location: The latitude of the camera location in decimal degrees to five decimal places (e.g., '53.78136'). Leave blank if recording Northing instead.\"&gt;Latitude Camera Location&lt;button type=\"button\" class=\"btn btn-bd-tip-info-hidden btn-sm position-relative\"&gt;.&lt;span class=\"position-absolute top-0 start-100 translate-middle\"&gt;{{ icon_info }}&lt;/span&gt;&lt;/button&gt;&lt;/a&gt;"</v>
      </c>
      <c r="R185" t="b" cm="1">
        <f t="array" ref="R185">SUMPRODUCT(--EXACT($J$2:$J$490,J185))&gt;1</f>
        <v>0</v>
      </c>
      <c r="S185" t="s">
        <v>4358</v>
      </c>
    </row>
    <row r="186" spans="1:19">
      <c r="A186" s="30">
        <v>3</v>
      </c>
      <c r="B186" s="30" t="s">
        <v>1393</v>
      </c>
      <c r="C186" s="30"/>
      <c r="D186" s="30" t="s">
        <v>1208</v>
      </c>
      <c r="E186" s="30" t="s">
        <v>984</v>
      </c>
      <c r="F186" s="30" t="s">
        <v>1223</v>
      </c>
      <c r="G186" s="39" t="str">
        <f>VLOOKUP(F186,glossary!J:N,2,FALSE)</f>
        <v>Longitude Camera Location</v>
      </c>
      <c r="H186" s="34" t="s">
        <v>1223</v>
      </c>
      <c r="I186" s="45" t="str">
        <f t="shared" si="6"/>
        <v>longitude_cam_location_tu</v>
      </c>
      <c r="J186" s="42" t="s">
        <v>704</v>
      </c>
      <c r="K186" s="39" t="str">
        <f>VLOOKUP(F186,glossary!J:N,5,FALSE)</f>
        <v>The longitude of the camera location in decimal degrees to five decimal places (e.g., '-113.46067'). Leave blank if recording Easting instead.</v>
      </c>
      <c r="L186" t="s">
        <v>1593</v>
      </c>
      <c r="M186" s="30" t="str">
        <f t="shared" si="7"/>
        <v>{{ longitude_cam_location_tu }}</v>
      </c>
      <c r="N186" t="s">
        <v>896</v>
      </c>
      <c r="O186" s="13" t="s">
        <v>1816</v>
      </c>
      <c r="P186" t="s">
        <v>4081</v>
      </c>
      <c r="Q186" t="str">
        <f t="shared" si="8"/>
        <v xml:space="preserve">    longitude_cam_location_tu: "&lt;a href=\"09_glossary.html#longitude_cam_location\" target=\"_blank\" data-bs-toggle=\"tooltip\" data-bs-title=\"Longitude Camera Location: The longitude of the camera location in decimal degrees to five decimal places (e.g., '-113.46067'). Leave blank if recording Easting instead.\"&gt;Longitude Camera Location&lt;button type=\"button\" class=\"btn btn-bd-tip-info-hidden btn-sm position-relative\"&gt;.&lt;span class=\"position-absolute top-0 start-100 translate-middle\"&gt;{{ icon_info }}&lt;/span&gt;&lt;/button&gt;&lt;/a&gt;"</v>
      </c>
      <c r="R186" t="b" cm="1">
        <f t="array" ref="R186">SUMPRODUCT(--EXACT($J$2:$J$490,J186))&gt;1</f>
        <v>0</v>
      </c>
      <c r="S186" t="s">
        <v>4359</v>
      </c>
    </row>
    <row r="187" spans="1:19">
      <c r="A187" s="30">
        <v>2</v>
      </c>
      <c r="B187" s="30" t="s">
        <v>1400</v>
      </c>
      <c r="C187" s="30"/>
      <c r="D187" s="30" t="s">
        <v>1207</v>
      </c>
      <c r="E187" s="30" t="s">
        <v>984</v>
      </c>
      <c r="F187" s="30" t="s">
        <v>155</v>
      </c>
      <c r="G187" s="39" t="str">
        <f>VLOOKUP(F187,glossary!J:N,2,FALSE)</f>
        <v>Metadata</v>
      </c>
      <c r="H187" s="30" t="s">
        <v>155</v>
      </c>
      <c r="I187" s="45" t="str">
        <f t="shared" si="6"/>
        <v>metadata_tl</v>
      </c>
      <c r="J187" s="39" t="s">
        <v>155</v>
      </c>
      <c r="K187" s="39" t="str">
        <f>VLOOKUP(F187,glossary!J:N,5,FALSE)</f>
        <v>Data that provides information about other data (e.g., the number of images on an SD card).</v>
      </c>
      <c r="L187" s="30" t="s">
        <v>1592</v>
      </c>
      <c r="M187" s="30" t="str">
        <f t="shared" si="7"/>
        <v>{{ metadata_tl }}</v>
      </c>
      <c r="N187" t="s">
        <v>896</v>
      </c>
      <c r="O187" s="13" t="s">
        <v>1816</v>
      </c>
      <c r="P187" t="s">
        <v>4081</v>
      </c>
      <c r="Q187" t="str">
        <f t="shared" si="8"/>
        <v xml:space="preserve">    metadata_tl: "&lt;a href=\"09_glossary.html#metadata\" target=\"_blank\" data-bs-toggle=\"tooltip\" data-bs-title=\"Metadata: Data that provides information about other data (e.g., the number of images on an SD card).\"&gt;metadata&lt;button type=\"button\" class=\"btn btn-bd-tip-info-hidden btn-sm position-relative\"&gt;.&lt;span class=\"position-absolute top-0 start-100 translate-middle\"&gt;{{ icon_info }}&lt;/span&gt;&lt;/button&gt;&lt;/a&gt;"</v>
      </c>
      <c r="R187" t="b" cm="1">
        <f t="array" ref="R187">SUMPRODUCT(--EXACT($J$2:$J$490,J187))&gt;1</f>
        <v>0</v>
      </c>
      <c r="S187" t="s">
        <v>4360</v>
      </c>
    </row>
    <row r="188" spans="1:19">
      <c r="A188" s="30">
        <v>2</v>
      </c>
      <c r="B188" s="30" t="s">
        <v>1400</v>
      </c>
      <c r="C188" s="30"/>
      <c r="D188" s="30" t="s">
        <v>1208</v>
      </c>
      <c r="E188" s="30" t="s">
        <v>984</v>
      </c>
      <c r="F188" s="30" t="s">
        <v>155</v>
      </c>
      <c r="G188" s="39" t="str">
        <f>VLOOKUP(F188,glossary!J:N,2,FALSE)</f>
        <v>Metadata</v>
      </c>
      <c r="H188" s="30" t="s">
        <v>155</v>
      </c>
      <c r="I188" s="45" t="str">
        <f t="shared" si="6"/>
        <v>metadata_tu</v>
      </c>
      <c r="J188" s="39" t="s">
        <v>157</v>
      </c>
      <c r="K188" s="39" t="str">
        <f>VLOOKUP(F188,glossary!J:N,5,FALSE)</f>
        <v>Data that provides information about other data (e.g., the number of images on an SD card).</v>
      </c>
      <c r="L188" s="30" t="s">
        <v>1591</v>
      </c>
      <c r="M188" s="30" t="str">
        <f t="shared" si="7"/>
        <v>{{ metadata_tu }}</v>
      </c>
      <c r="N188" t="s">
        <v>896</v>
      </c>
      <c r="O188" s="13" t="s">
        <v>1816</v>
      </c>
      <c r="P188" t="s">
        <v>4081</v>
      </c>
      <c r="Q188" t="str">
        <f t="shared" si="8"/>
        <v xml:space="preserve">    metadata_tu: "&lt;a href=\"09_glossary.html#metadata\" target=\"_blank\" data-bs-toggle=\"tooltip\" data-bs-title=\"Metadata: Data that provides information about other data (e.g., the number of images on an SD card).\"&gt;Metadata&lt;button type=\"button\" class=\"btn btn-bd-tip-info-hidden btn-sm position-relative\"&gt;.&lt;span class=\"position-absolute top-0 start-100 translate-middle\"&gt;{{ icon_info }}&lt;/span&gt;&lt;/button&gt;&lt;/a&gt;"</v>
      </c>
      <c r="R188" t="b" cm="1">
        <f t="array" ref="R188">SUMPRODUCT(--EXACT($J$2:$J$490,J188))&gt;1</f>
        <v>0</v>
      </c>
      <c r="S188" t="s">
        <v>4361</v>
      </c>
    </row>
    <row r="189" spans="1:19">
      <c r="A189" s="30">
        <v>3</v>
      </c>
      <c r="B189" s="30" t="s">
        <v>1393</v>
      </c>
      <c r="C189" s="30"/>
      <c r="D189" s="30" t="s">
        <v>1208</v>
      </c>
      <c r="E189" s="30" t="s">
        <v>823</v>
      </c>
      <c r="F189" s="30" t="s">
        <v>21</v>
      </c>
      <c r="G189" s="39" t="str">
        <f>VLOOKUP(F189,glossary!J:N,2,FALSE)</f>
        <v>Spatial partial identity model (2-flank SPIM) (Augustine et al., 2018)</v>
      </c>
      <c r="H189" s="34" t="s">
        <v>21</v>
      </c>
      <c r="I189" s="45" t="str">
        <f t="shared" si="6"/>
        <v>mod_2flankspim_tu_ref</v>
      </c>
      <c r="J189" s="42" t="s">
        <v>104</v>
      </c>
      <c r="K189" s="39" t="str">
        <f>VLOOKUP(F189,glossary!J:N,5,FALSE)</f>
        <v>A method used to estimate the density of partially marked populations in which the 'spatial locations of where partial identity samples are captured to probabilistically resolve their complete identities' (Augustine et al., 2018). Paired sampling design is commonly used to capture both the right and left flanks of an animal to resolve individual identities (Augustine et al., 2018). 2-flank SPIM is an extension of the SCR model (Borchers &amp; Efford, 2008; Efford, 2004; Royle &amp; Young, 2008; Royle et al., 2009).</v>
      </c>
      <c r="L189" t="s">
        <v>1590</v>
      </c>
      <c r="M189" s="30" t="str">
        <f t="shared" si="7"/>
        <v>{{ mod_2flankspim_tu_ref }}</v>
      </c>
      <c r="N189" t="s">
        <v>896</v>
      </c>
      <c r="O189" s="13" t="s">
        <v>1816</v>
      </c>
      <c r="P189" t="s">
        <v>4081</v>
      </c>
      <c r="Q189" t="str">
        <f t="shared" si="8"/>
        <v xml:space="preserve">    mod_2flankspim_tu_ref: "&lt;a href=\"09_glossary.html#mod_2flankspim\" target=\"_blank\" data-bs-toggle=\"tooltip\" data-bs-title=\"Spatial partial identity model (2-flank SPIM) (Augustine et al., 2018): A method used to estimate the density of partially marked populations in which the 'spatial locations of where partial identity samples are captured to probabilistically resolve their complete identities' (Augustine et al., 2018). Paired sampling design is commonly used to capture both the right and left flanks of an animal to resolve individual identities (Augustine et al., 2018). 2-flank SPIM is an extension of the SCR model (Borchers &amp; Efford, 2008; Efford, 2004; Royle &amp; Young, 2008; Royle et al., 2009).\"&gt;Spatial partial identity model (2-flank SPIM) (Augustine et al., 2018)&lt;button type=\"button\" class=\"btn btn-bd-tip-info-hidden btn-sm position-relative\"&gt;.&lt;span class=\"position-absolute top-0 start-100 translate-middle\"&gt;{{ icon_info }}&lt;/span&gt;&lt;/button&gt;&lt;/a&gt;"</v>
      </c>
      <c r="R189" t="b" cm="1">
        <f t="array" ref="R189">SUMPRODUCT(--EXACT($J$2:$J$490,J189))&gt;1</f>
        <v>0</v>
      </c>
      <c r="S189" t="s">
        <v>4362</v>
      </c>
    </row>
    <row r="190" spans="1:19">
      <c r="A190" s="30">
        <v>3</v>
      </c>
      <c r="B190" s="30" t="s">
        <v>1393</v>
      </c>
      <c r="C190" s="30"/>
      <c r="D190" s="30" t="s">
        <v>1207</v>
      </c>
      <c r="E190" s="30" t="s">
        <v>984</v>
      </c>
      <c r="F190" s="30" t="s">
        <v>1371</v>
      </c>
      <c r="G190" s="39" t="str">
        <f>VLOOKUP(F190,glossary!J:N,2,FALSE)</f>
        <v>Modelling approach</v>
      </c>
      <c r="H190" s="34" t="s">
        <v>1371</v>
      </c>
      <c r="I190" s="45" t="str">
        <f t="shared" si="6"/>
        <v>mod_approach_tl</v>
      </c>
      <c r="J190" s="43" t="s">
        <v>937</v>
      </c>
      <c r="K190" s="39" t="str">
        <f>VLOOKUP(F190,glossary!J:N,5,FALSE)</f>
        <v>The method used to analyze the camera data, which should depend on the state variable, e.g., occupancy models [MacKenzie et al., 2002], spatially explicit capture recapture (SECR) for density estimation [Chandler &amp; Royle, 2013], etc. and the Target Species.</v>
      </c>
      <c r="L190" t="s">
        <v>1589</v>
      </c>
      <c r="M190" s="30" t="str">
        <f t="shared" si="7"/>
        <v>{{ mod_approach_tl }}</v>
      </c>
      <c r="N190" t="s">
        <v>896</v>
      </c>
      <c r="O190" s="13" t="s">
        <v>1816</v>
      </c>
      <c r="P190" t="s">
        <v>4081</v>
      </c>
      <c r="Q190" t="str">
        <f t="shared" si="8"/>
        <v xml:space="preserve">    mod_approach_tl: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Species.\"&gt;modelling approach&lt;button type=\"button\" class=\"btn btn-bd-tip-info-hidden btn-sm position-relative\"&gt;.&lt;span class=\"position-absolute top-0 start-100 translate-middle\"&gt;{{ icon_info }}&lt;/span&gt;&lt;/button&gt;&lt;/a&gt;"</v>
      </c>
      <c r="R190" t="b" cm="1">
        <f t="array" ref="R190">SUMPRODUCT(--EXACT($J$2:$J$490,J190))&gt;1</f>
        <v>0</v>
      </c>
      <c r="S190" t="s">
        <v>4363</v>
      </c>
    </row>
    <row r="191" spans="1:19">
      <c r="A191" s="30">
        <v>1</v>
      </c>
      <c r="B191" s="30" t="s">
        <v>1064</v>
      </c>
      <c r="C191" s="30" t="s">
        <v>429</v>
      </c>
      <c r="D191" s="30" t="s">
        <v>1207</v>
      </c>
      <c r="E191" s="30" t="s">
        <v>1752</v>
      </c>
      <c r="F191" s="30" t="s">
        <v>1371</v>
      </c>
      <c r="G191" s="39" t="str">
        <f>VLOOKUP(F191,glossary!J:N,2,FALSE)</f>
        <v>Modelling approach</v>
      </c>
      <c r="H191" s="30" t="s">
        <v>1371</v>
      </c>
      <c r="I191" s="45" t="str">
        <f t="shared" si="6"/>
        <v>mod_approach_tl_abrv</v>
      </c>
      <c r="J191" s="39" t="s">
        <v>4</v>
      </c>
      <c r="K191" s="39" t="str">
        <f>VLOOKUP(F191,glossary!J:N,5,FALSE)</f>
        <v>The method used to analyze the camera data, which should depend on the state variable, e.g., occupancy models [MacKenzie et al., 2002], spatially explicit capture recapture (SECR) for density estimation [Chandler &amp; Royle, 2013], etc. and the Target Species.</v>
      </c>
      <c r="L191" s="30" t="s">
        <v>1725</v>
      </c>
      <c r="M191" s="30" t="str">
        <f t="shared" si="7"/>
        <v>{{ mod_approach_tl_abrv }}</v>
      </c>
      <c r="N191" t="s">
        <v>896</v>
      </c>
      <c r="O191" s="13" t="s">
        <v>1816</v>
      </c>
      <c r="P191" t="s">
        <v>4081</v>
      </c>
      <c r="Q191" t="str">
        <f t="shared" si="8"/>
        <v xml:space="preserve">    mod_approach_tl_abrv: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Species.\"&gt;approach&lt;button type=\"button\" class=\"btn btn-bd-tip-info-hidden btn-sm position-relative\"&gt;.&lt;span class=\"position-absolute top-0 start-100 translate-middle\"&gt;{{ icon_info }}&lt;/span&gt;&lt;/button&gt;&lt;/a&gt;"</v>
      </c>
      <c r="R191" t="b" cm="1">
        <f t="array" ref="R191">SUMPRODUCT(--EXACT($J$2:$J$490,J191))&gt;1</f>
        <v>0</v>
      </c>
      <c r="S191" t="s">
        <v>4364</v>
      </c>
    </row>
    <row r="192" spans="1:19">
      <c r="A192" s="30">
        <v>1</v>
      </c>
      <c r="B192" s="30" t="s">
        <v>1064</v>
      </c>
      <c r="C192" s="30"/>
      <c r="D192" s="30" t="s">
        <v>1207</v>
      </c>
      <c r="E192" s="30" t="s">
        <v>1764</v>
      </c>
      <c r="F192" s="30" t="s">
        <v>1371</v>
      </c>
      <c r="G192" s="39" t="str">
        <f>VLOOKUP(F192,glossary!J:N,2,FALSE)</f>
        <v>Modelling approach</v>
      </c>
      <c r="H192" s="30" t="s">
        <v>1371</v>
      </c>
      <c r="I192" s="45" t="str">
        <f t="shared" si="6"/>
        <v>mod_approach_tl_es</v>
      </c>
      <c r="J192" s="39" t="s">
        <v>1391</v>
      </c>
      <c r="K192" s="39" t="str">
        <f>VLOOKUP(F192,glossary!J:N,5,FALSE)</f>
        <v>The method used to analyze the camera data, which should depend on the state variable, e.g., occupancy models [MacKenzie et al., 2002], spatially explicit capture recapture (SECR) for density estimation [Chandler &amp; Royle, 2013], etc. and the Target Species.</v>
      </c>
      <c r="L192" s="40" t="s">
        <v>1392</v>
      </c>
      <c r="M192" s="30" t="str">
        <f t="shared" si="7"/>
        <v>{{ mod_approach_tl_es }}</v>
      </c>
      <c r="N192" t="s">
        <v>896</v>
      </c>
      <c r="O192" s="13" t="s">
        <v>1816</v>
      </c>
      <c r="P192" t="s">
        <v>4081</v>
      </c>
      <c r="Q192" t="str">
        <f t="shared" si="8"/>
        <v xml:space="preserve">    mod_approach_tl_es: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Species.\"&gt;modelling approach(es)&lt;button type=\"button\" class=\"btn btn-bd-tip-info-hidden btn-sm position-relative\"&gt;.&lt;span class=\"position-absolute top-0 start-100 translate-middle\"&gt;{{ icon_info }}&lt;/span&gt;&lt;/button&gt;&lt;/a&gt;"</v>
      </c>
      <c r="R192" t="b" cm="1">
        <f t="array" ref="R192">SUMPRODUCT(--EXACT($J$2:$J$490,J192))&gt;1</f>
        <v>0</v>
      </c>
      <c r="S192" t="s">
        <v>4365</v>
      </c>
    </row>
    <row r="193" spans="1:19">
      <c r="A193" s="30">
        <v>1</v>
      </c>
      <c r="B193" s="30" t="s">
        <v>1064</v>
      </c>
      <c r="C193" s="30"/>
      <c r="D193" s="30" t="s">
        <v>1207</v>
      </c>
      <c r="E193" s="30" t="s">
        <v>1758</v>
      </c>
      <c r="F193" s="30" t="s">
        <v>1371</v>
      </c>
      <c r="G193" s="39" t="str">
        <f>VLOOKUP(F193,glossary!J:N,2,FALSE)</f>
        <v>Modelling approach</v>
      </c>
      <c r="H193" s="30" t="s">
        <v>1371</v>
      </c>
      <c r="I193" s="45" t="str">
        <f t="shared" si="6"/>
        <v>mod_approach_tl_pl</v>
      </c>
      <c r="J193" s="39" t="s">
        <v>1389</v>
      </c>
      <c r="K193" s="39" t="str">
        <f>VLOOKUP(F193,glossary!J:N,5,FALSE)</f>
        <v>The method used to analyze the camera data, which should depend on the state variable, e.g., occupancy models [MacKenzie et al., 2002], spatially explicit capture recapture (SECR) for density estimation [Chandler &amp; Royle, 2013], etc. and the Target Species.</v>
      </c>
      <c r="L193" s="30" t="s">
        <v>1390</v>
      </c>
      <c r="M193" s="30" t="str">
        <f t="shared" si="7"/>
        <v>{{ mod_approach_tl_pl }}</v>
      </c>
      <c r="N193" t="s">
        <v>896</v>
      </c>
      <c r="O193" s="13" t="s">
        <v>1816</v>
      </c>
      <c r="P193" t="s">
        <v>4081</v>
      </c>
      <c r="Q193" t="str">
        <f t="shared" si="8"/>
        <v xml:space="preserve">    mod_approach_tl_pl: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Species.\"&gt;modelling approaches&lt;button type=\"button\" class=\"btn btn-bd-tip-info-hidden btn-sm position-relative\"&gt;.&lt;span class=\"position-absolute top-0 start-100 translate-middle\"&gt;{{ icon_info }}&lt;/span&gt;&lt;/button&gt;&lt;/a&gt;"</v>
      </c>
      <c r="R193" t="b" cm="1">
        <f t="array" ref="R193">SUMPRODUCT(--EXACT($J$2:$J$490,J193))&gt;1</f>
        <v>0</v>
      </c>
      <c r="S193" t="s">
        <v>4366</v>
      </c>
    </row>
    <row r="194" spans="1:19">
      <c r="A194" s="30">
        <v>3</v>
      </c>
      <c r="B194" s="30" t="s">
        <v>1393</v>
      </c>
      <c r="C194" s="30"/>
      <c r="D194" s="30" t="s">
        <v>1208</v>
      </c>
      <c r="E194" s="30" t="s">
        <v>984</v>
      </c>
      <c r="F194" s="30" t="s">
        <v>1371</v>
      </c>
      <c r="G194" s="39" t="str">
        <f>VLOOKUP(F194,glossary!J:N,2,FALSE)</f>
        <v>Modelling approach</v>
      </c>
      <c r="H194" s="34" t="s">
        <v>1371</v>
      </c>
      <c r="I194" s="45" t="str">
        <f t="shared" ref="I194:I257" si="9">IF(D194="-","-",IF(E194&lt;&gt;"-",(H194&amp;"_"&amp;D194&amp;"_"&amp;E194),H194&amp;"_"&amp;D194))</f>
        <v>mod_approach_tu</v>
      </c>
      <c r="J194" s="42" t="s">
        <v>153</v>
      </c>
      <c r="K194" s="39" t="str">
        <f>VLOOKUP(F194,glossary!J:N,5,FALSE)</f>
        <v>The method used to analyze the camera data, which should depend on the state variable, e.g., occupancy models [MacKenzie et al., 2002], spatially explicit capture recapture (SECR) for density estimation [Chandler &amp; Royle, 2013], etc. and the Target Species.</v>
      </c>
      <c r="L194" t="s">
        <v>1588</v>
      </c>
      <c r="M194" s="30" t="str">
        <f t="shared" ref="M194:M257" si="10">"{{ "&amp;I194&amp;" }}"</f>
        <v>{{ mod_approach_tu }}</v>
      </c>
      <c r="N194" t="s">
        <v>896</v>
      </c>
      <c r="O194" s="13" t="s">
        <v>1816</v>
      </c>
      <c r="P194" t="s">
        <v>4081</v>
      </c>
      <c r="Q194" t="str">
        <f t="shared" ref="Q194:Q257" si="11">IF(K194&lt;&gt;"-",("    "&amp;I194&amp;": "&amp;""""&amp;"&lt;a href=\"&amp;""""&amp;"09_glossary.html#"&amp;H194&amp;N194&amp;G194&amp;": "&amp;K194&amp;O194&amp;J194&amp;P194&amp;""""),"-")</f>
        <v xml:space="preserve">    mod_approach_tu: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Species.\"&gt;Modelling approach&lt;button type=\"button\" class=\"btn btn-bd-tip-info-hidden btn-sm position-relative\"&gt;.&lt;span class=\"position-absolute top-0 start-100 translate-middle\"&gt;{{ icon_info }}&lt;/span&gt;&lt;/button&gt;&lt;/a&gt;"</v>
      </c>
      <c r="R194" t="b" cm="1">
        <f t="array" ref="R194">SUMPRODUCT(--EXACT($J$2:$J$490,J194))&gt;1</f>
        <v>0</v>
      </c>
      <c r="S194" t="s">
        <v>4367</v>
      </c>
    </row>
    <row r="195" spans="1:19">
      <c r="A195" s="30">
        <v>1</v>
      </c>
      <c r="B195" s="30" t="s">
        <v>1064</v>
      </c>
      <c r="C195" s="30"/>
      <c r="D195" s="30" t="s">
        <v>1208</v>
      </c>
      <c r="E195" s="30" t="s">
        <v>1764</v>
      </c>
      <c r="F195" s="30" t="s">
        <v>1371</v>
      </c>
      <c r="G195" s="39" t="str">
        <f>VLOOKUP(F195,glossary!J:N,2,FALSE)</f>
        <v>Modelling approach</v>
      </c>
      <c r="H195" s="30" t="s">
        <v>1371</v>
      </c>
      <c r="I195" s="45" t="str">
        <f t="shared" si="9"/>
        <v>mod_approach_tu_es</v>
      </c>
      <c r="J195" s="39" t="s">
        <v>1778</v>
      </c>
      <c r="K195" s="39" t="str">
        <f>VLOOKUP(F195,glossary!J:N,5,FALSE)</f>
        <v>The method used to analyze the camera data, which should depend on the state variable, e.g., occupancy models [MacKenzie et al., 2002], spatially explicit capture recapture (SECR) for density estimation [Chandler &amp; Royle, 2013], etc. and the Target Species.</v>
      </c>
      <c r="L195" s="30" t="s">
        <v>1392</v>
      </c>
      <c r="M195" s="30" t="str">
        <f t="shared" si="10"/>
        <v>{{ mod_approach_tu_es }}</v>
      </c>
      <c r="N195" t="s">
        <v>896</v>
      </c>
      <c r="O195" s="13" t="s">
        <v>1816</v>
      </c>
      <c r="P195" t="s">
        <v>4081</v>
      </c>
      <c r="Q195" t="str">
        <f t="shared" si="11"/>
        <v xml:space="preserve">    mod_approach_tu_es: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Species.\"&gt;Modelling approach(es)&lt;button type=\"button\" class=\"btn btn-bd-tip-info-hidden btn-sm position-relative\"&gt;.&lt;span class=\"position-absolute top-0 start-100 translate-middle\"&gt;{{ icon_info }}&lt;/span&gt;&lt;/button&gt;&lt;/a&gt;"</v>
      </c>
      <c r="R195" t="b" cm="1">
        <f t="array" ref="R195">SUMPRODUCT(--EXACT($J$2:$J$490,J195))&gt;1</f>
        <v>0</v>
      </c>
      <c r="S195" t="s">
        <v>4368</v>
      </c>
    </row>
    <row r="196" spans="1:19">
      <c r="A196" s="30">
        <v>1</v>
      </c>
      <c r="B196" s="30" t="s">
        <v>1064</v>
      </c>
      <c r="C196" s="30" t="s">
        <v>0</v>
      </c>
      <c r="D196" s="30" t="s">
        <v>1208</v>
      </c>
      <c r="E196" s="30" t="s">
        <v>1758</v>
      </c>
      <c r="F196" s="30" t="s">
        <v>1371</v>
      </c>
      <c r="G196" s="39" t="str">
        <f>VLOOKUP(F196,glossary!J:N,2,FALSE)</f>
        <v>Modelling approach</v>
      </c>
      <c r="H196" s="30" t="s">
        <v>1371</v>
      </c>
      <c r="I196" s="45" t="str">
        <f t="shared" si="9"/>
        <v>mod_approach_tu_pl</v>
      </c>
      <c r="J196" s="39" t="s">
        <v>1166</v>
      </c>
      <c r="K196" s="39" t="str">
        <f>VLOOKUP(F196,glossary!J:N,5,FALSE)</f>
        <v>The method used to analyze the camera data, which should depend on the state variable, e.g., occupancy models [MacKenzie et al., 2002], spatially explicit capture recapture (SECR) for density estimation [Chandler &amp; Royle, 2013], etc. and the Target Species.</v>
      </c>
      <c r="L196" s="30" t="s">
        <v>1724</v>
      </c>
      <c r="M196" s="30" t="str">
        <f t="shared" si="10"/>
        <v>{{ mod_approach_tu_pl }}</v>
      </c>
      <c r="N196" t="s">
        <v>896</v>
      </c>
      <c r="O196" s="13" t="s">
        <v>1816</v>
      </c>
      <c r="P196" t="s">
        <v>4081</v>
      </c>
      <c r="Q196" t="str">
        <f t="shared" si="11"/>
        <v xml:space="preserve">    mod_approach_tu_pl: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Species.\"&gt;Modelling approaches&lt;button type=\"button\" class=\"btn btn-bd-tip-info-hidden btn-sm position-relative\"&gt;.&lt;span class=\"position-absolute top-0 start-100 translate-middle\"&gt;{{ icon_info }}&lt;/span&gt;&lt;/button&gt;&lt;/a&gt;"</v>
      </c>
      <c r="R196" t="b" cm="1">
        <f t="array" ref="R196">SUMPRODUCT(--EXACT($J$2:$J$490,J196))&gt;1</f>
        <v>0</v>
      </c>
      <c r="S196" t="s">
        <v>4369</v>
      </c>
    </row>
    <row r="197" spans="1:19">
      <c r="A197" s="30">
        <v>3</v>
      </c>
      <c r="B197" s="30" t="s">
        <v>1393</v>
      </c>
      <c r="C197" s="30"/>
      <c r="D197" s="30" t="s">
        <v>1207</v>
      </c>
      <c r="E197" s="30" t="s">
        <v>984</v>
      </c>
      <c r="F197" s="30" t="s">
        <v>1372</v>
      </c>
      <c r="G197" s="39" t="str">
        <f>VLOOKUP(F197,glossary!J:N,2,FALSE)</f>
        <v>Model assumption</v>
      </c>
      <c r="H197" s="34" t="s">
        <v>1372</v>
      </c>
      <c r="I197" s="45" t="str">
        <f t="shared" si="9"/>
        <v>mod_assumption_tl</v>
      </c>
      <c r="J197" s="43" t="s">
        <v>936</v>
      </c>
      <c r="K197" s="39" t="str">
        <f>VLOOKUP(F197,glossary!J:N,5,FALSE)</f>
        <v>Explicitly stated (or implicitly premised) conventions, choices and other specifications (e.g., about the data, wildlife ecology*/behaviour, the relationships between variables, etc.) on which a particular modelling approach is based that allows the model to provide valid inference.</v>
      </c>
      <c r="L197" t="s">
        <v>1587</v>
      </c>
      <c r="M197" s="30" t="str">
        <f t="shared" si="10"/>
        <v>{{ mod_assumption_tl }}</v>
      </c>
      <c r="N197" t="s">
        <v>896</v>
      </c>
      <c r="O197" s="13" t="s">
        <v>1816</v>
      </c>
      <c r="P197" t="s">
        <v>4081</v>
      </c>
      <c r="Q197" t="str">
        <f t="shared" si="11"/>
        <v xml:space="preserve">    mod_assumption_tl: "&lt;a href=\"09_glossary.html#mod_assumption\" target=\"_blank\" data-bs-toggle=\"tooltip\" data-bs-title=\"Model assumption: Explicitly stated (or implicitly premised) conventions, choices and other specifications (e.g., about the data, wildlife ecology*/behaviour, the relationships between variables, etc.) on which a particular modelling approach is based that allows the model to provide valid inference.\"&gt;model assumption&lt;button type=\"button\" class=\"btn btn-bd-tip-info-hidden btn-sm position-relative\"&gt;.&lt;span class=\"position-absolute top-0 start-100 translate-middle\"&gt;{{ icon_info }}&lt;/span&gt;&lt;/button&gt;&lt;/a&gt;"</v>
      </c>
      <c r="R197" t="b" cm="1">
        <f t="array" ref="R197">SUMPRODUCT(--EXACT($J$2:$J$490,J197))&gt;1</f>
        <v>0</v>
      </c>
      <c r="S197" t="s">
        <v>4370</v>
      </c>
    </row>
    <row r="198" spans="1:19">
      <c r="A198" s="30">
        <v>1</v>
      </c>
      <c r="B198" s="30" t="s">
        <v>1064</v>
      </c>
      <c r="C198" s="30" t="s">
        <v>429</v>
      </c>
      <c r="D198" s="30" t="s">
        <v>1207</v>
      </c>
      <c r="E198" s="30" t="s">
        <v>1752</v>
      </c>
      <c r="F198" s="30" t="s">
        <v>1372</v>
      </c>
      <c r="G198" s="39" t="str">
        <f>VLOOKUP(F198,glossary!J:N,2,FALSE)</f>
        <v>Model assumption</v>
      </c>
      <c r="H198" s="30" t="s">
        <v>1372</v>
      </c>
      <c r="I198" s="45" t="str">
        <f t="shared" si="9"/>
        <v>mod_assumption_tl_abrv</v>
      </c>
      <c r="J198" s="39" t="s">
        <v>1722</v>
      </c>
      <c r="K198" s="39" t="str">
        <f>VLOOKUP(F198,glossary!J:N,5,FALSE)</f>
        <v>Explicitly stated (or implicitly premised) conventions, choices and other specifications (e.g., about the data, wildlife ecology*/behaviour, the relationships between variables, etc.) on which a particular modelling approach is based that allows the model to provide valid inference.</v>
      </c>
      <c r="L198" s="30" t="s">
        <v>1723</v>
      </c>
      <c r="M198" s="30" t="str">
        <f t="shared" si="10"/>
        <v>{{ mod_assumption_tl_abrv }}</v>
      </c>
      <c r="N198" t="s">
        <v>896</v>
      </c>
      <c r="O198" s="13" t="s">
        <v>1816</v>
      </c>
      <c r="P198" t="s">
        <v>4081</v>
      </c>
      <c r="Q198" t="str">
        <f t="shared" si="11"/>
        <v xml:space="preserve">    mod_assumption_tl_abrv: "&lt;a href=\"09_glossary.html#mod_assumption\" target=\"_blank\" data-bs-toggle=\"tooltip\" data-bs-title=\"Model assumption: Explicitly stated (or implicitly premised) conventions, choices and other specifications (e.g., about the data, wildlife ecology*/behaviour, the relationships between variables, etc.) on which a particular modelling approach is based that allows the model to provide valid inference.\"&gt;assumption&lt;button type=\"button\" class=\"btn btn-bd-tip-info-hidden btn-sm position-relative\"&gt;.&lt;span class=\"position-absolute top-0 start-100 translate-middle\"&gt;{{ icon_info }}&lt;/span&gt;&lt;/button&gt;&lt;/a&gt;"</v>
      </c>
      <c r="R198" t="b" cm="1">
        <f t="array" ref="R198">SUMPRODUCT(--EXACT($J$2:$J$490,J198))&gt;1</f>
        <v>0</v>
      </c>
      <c r="S198" t="s">
        <v>4371</v>
      </c>
    </row>
    <row r="199" spans="1:19">
      <c r="A199" s="30">
        <v>1</v>
      </c>
      <c r="B199" s="30" t="s">
        <v>1064</v>
      </c>
      <c r="C199" s="30"/>
      <c r="D199" s="30" t="s">
        <v>1207</v>
      </c>
      <c r="E199" s="30" t="s">
        <v>1759</v>
      </c>
      <c r="F199" s="30" t="s">
        <v>1372</v>
      </c>
      <c r="G199" s="39" t="str">
        <f>VLOOKUP(F199,glossary!J:N,2,FALSE)</f>
        <v>Model assumption</v>
      </c>
      <c r="H199" s="30" t="s">
        <v>1372</v>
      </c>
      <c r="I199" s="45" t="str">
        <f t="shared" si="9"/>
        <v>mod_assumption_tl_abrv_pl</v>
      </c>
      <c r="J199" s="39" t="s">
        <v>1195</v>
      </c>
      <c r="K199" s="39" t="str">
        <f>VLOOKUP(F199,glossary!J:N,5,FALSE)</f>
        <v>Explicitly stated (or implicitly premised) conventions, choices and other specifications (e.g., about the data, wildlife ecology*/behaviour, the relationships between variables, etc.) on which a particular modelling approach is based that allows the model to provide valid inference.</v>
      </c>
      <c r="L199" s="30" t="s">
        <v>1721</v>
      </c>
      <c r="M199" s="30" t="str">
        <f t="shared" si="10"/>
        <v>{{ mod_assumption_tl_abrv_pl }}</v>
      </c>
      <c r="N199" t="s">
        <v>896</v>
      </c>
      <c r="O199" s="13" t="s">
        <v>1816</v>
      </c>
      <c r="P199" t="s">
        <v>4081</v>
      </c>
      <c r="Q199" t="str">
        <f t="shared" si="11"/>
        <v xml:space="preserve">    mod_assumption_tl_abrv_pl: "&lt;a href=\"09_glossary.html#mod_assumption\" target=\"_blank\" data-bs-toggle=\"tooltip\" data-bs-title=\"Model assumption: Explicitly stated (or implicitly premised) conventions, choices and other specifications (e.g., about the data, wildlife ecology*/behaviour, the relationships between variables, etc.) on which a particular modelling approach is based that allows the model to provide valid inference.\"&gt;assumptions&lt;button type=\"button\" class=\"btn btn-bd-tip-info-hidden btn-sm position-relative\"&gt;.&lt;span class=\"position-absolute top-0 start-100 translate-middle\"&gt;{{ icon_info }}&lt;/span&gt;&lt;/button&gt;&lt;/a&gt;"</v>
      </c>
      <c r="R199" t="b" cm="1">
        <f t="array" ref="R199">SUMPRODUCT(--EXACT($J$2:$J$490,J199))&gt;1</f>
        <v>0</v>
      </c>
      <c r="S199" t="s">
        <v>4372</v>
      </c>
    </row>
    <row r="200" spans="1:19">
      <c r="A200" s="30">
        <v>3</v>
      </c>
      <c r="B200" s="30" t="s">
        <v>1393</v>
      </c>
      <c r="C200" s="30"/>
      <c r="D200" s="30" t="s">
        <v>1208</v>
      </c>
      <c r="E200" s="30" t="s">
        <v>984</v>
      </c>
      <c r="F200" s="30" t="s">
        <v>1372</v>
      </c>
      <c r="G200" s="39" t="str">
        <f>VLOOKUP(F200,glossary!J:N,2,FALSE)</f>
        <v>Model assumption</v>
      </c>
      <c r="H200" s="34" t="s">
        <v>1372</v>
      </c>
      <c r="I200" s="45" t="str">
        <f t="shared" si="9"/>
        <v>mod_assumption_tu</v>
      </c>
      <c r="J200" s="42" t="s">
        <v>154</v>
      </c>
      <c r="K200" s="39" t="str">
        <f>VLOOKUP(F200,glossary!J:N,5,FALSE)</f>
        <v>Explicitly stated (or implicitly premised) conventions, choices and other specifications (e.g., about the data, wildlife ecology*/behaviour, the relationships between variables, etc.) on which a particular modelling approach is based that allows the model to provide valid inference.</v>
      </c>
      <c r="L200" t="s">
        <v>1586</v>
      </c>
      <c r="M200" s="30" t="str">
        <f t="shared" si="10"/>
        <v>{{ mod_assumption_tu }}</v>
      </c>
      <c r="N200" t="s">
        <v>896</v>
      </c>
      <c r="O200" s="13" t="s">
        <v>1816</v>
      </c>
      <c r="P200" t="s">
        <v>4081</v>
      </c>
      <c r="Q200" t="str">
        <f t="shared" si="11"/>
        <v xml:space="preserve">    mod_assumption_tu: "&lt;a href=\"09_glossary.html#mod_assumption\" target=\"_blank\" data-bs-toggle=\"tooltip\" data-bs-title=\"Model assumption: Explicitly stated (or implicitly premised) conventions, choices and other specifications (e.g., about the data, wildlife ecology*/behaviour, the relationships between variables, etc.) on which a particular modelling approach is based that allows the model to provide valid inference.\"&gt;Model assumption&lt;button type=\"button\" class=\"btn btn-bd-tip-info-hidden btn-sm position-relative\"&gt;.&lt;span class=\"position-absolute top-0 start-100 translate-middle\"&gt;{{ icon_info }}&lt;/span&gt;&lt;/button&gt;&lt;/a&gt;"</v>
      </c>
      <c r="R200" t="b" cm="1">
        <f t="array" ref="R200">SUMPRODUCT(--EXACT($J$2:$J$490,J200))&gt;1</f>
        <v>0</v>
      </c>
      <c r="S200" t="s">
        <v>4373</v>
      </c>
    </row>
    <row r="201" spans="1:19">
      <c r="A201" s="30">
        <v>1</v>
      </c>
      <c r="B201" s="30" t="s">
        <v>1064</v>
      </c>
      <c r="C201" s="30"/>
      <c r="D201" s="30" t="s">
        <v>1208</v>
      </c>
      <c r="E201" s="30" t="s">
        <v>1759</v>
      </c>
      <c r="F201" s="30" t="s">
        <v>1372</v>
      </c>
      <c r="G201" s="39" t="str">
        <f>VLOOKUP(F201,glossary!J:N,2,FALSE)</f>
        <v>Model assumption</v>
      </c>
      <c r="H201" s="30" t="s">
        <v>1372</v>
      </c>
      <c r="I201" s="45" t="str">
        <f t="shared" si="9"/>
        <v>mod_assumption_tu_abrv_pl</v>
      </c>
      <c r="J201" s="39" t="s">
        <v>3979</v>
      </c>
      <c r="K201" s="39" t="str">
        <f>VLOOKUP(F201,glossary!J:N,5,FALSE)</f>
        <v>Explicitly stated (or implicitly premised) conventions, choices and other specifications (e.g., about the data, wildlife ecology*/behaviour, the relationships between variables, etc.) on which a particular modelling approach is based that allows the model to provide valid inference.</v>
      </c>
      <c r="L201" s="30" t="s">
        <v>1721</v>
      </c>
      <c r="M201" s="30" t="str">
        <f t="shared" si="10"/>
        <v>{{ mod_assumption_tu_abrv_pl }}</v>
      </c>
      <c r="N201" t="s">
        <v>896</v>
      </c>
      <c r="O201" s="13" t="s">
        <v>1816</v>
      </c>
      <c r="P201" t="s">
        <v>4081</v>
      </c>
      <c r="Q201" t="str">
        <f t="shared" si="11"/>
        <v xml:space="preserve">    mod_assumption_tu_abrv_pl: "&lt;a href=\"09_glossary.html#mod_assumption\" target=\"_blank\" data-bs-toggle=\"tooltip\" data-bs-title=\"Model assumption: Explicitly stated (or implicitly premised) conventions, choices and other specifications (e.g., about the data, wildlife ecology*/behaviour, the relationships between variables, etc.) on which a particular modelling approach is based that allows the model to provide valid inference.\"&gt;Assumptions&lt;button type=\"button\" class=\"btn btn-bd-tip-info-hidden btn-sm position-relative\"&gt;.&lt;span class=\"position-absolute top-0 start-100 translate-middle\"&gt;{{ icon_info }}&lt;/span&gt;&lt;/button&gt;&lt;/a&gt;"</v>
      </c>
      <c r="R201" t="b" cm="1">
        <f t="array" ref="R201">SUMPRODUCT(--EXACT($J$2:$J$490,J201))&gt;1</f>
        <v>0</v>
      </c>
      <c r="S201" t="s">
        <v>4374</v>
      </c>
    </row>
    <row r="202" spans="1:19">
      <c r="A202" s="30">
        <v>1</v>
      </c>
      <c r="B202" s="30" t="s">
        <v>1064</v>
      </c>
      <c r="C202" s="30" t="s">
        <v>0</v>
      </c>
      <c r="D202" s="30" t="s">
        <v>1208</v>
      </c>
      <c r="E202" s="30" t="s">
        <v>1758</v>
      </c>
      <c r="F202" s="30" t="s">
        <v>1372</v>
      </c>
      <c r="G202" s="39" t="str">
        <f>VLOOKUP(F202,glossary!J:N,2,FALSE)</f>
        <v>Model assumption</v>
      </c>
      <c r="H202" s="30" t="s">
        <v>1372</v>
      </c>
      <c r="I202" s="45" t="str">
        <f t="shared" si="9"/>
        <v>mod_assumption_tu_pl</v>
      </c>
      <c r="J202" s="39" t="s">
        <v>1167</v>
      </c>
      <c r="K202" s="39" t="str">
        <f>VLOOKUP(F202,glossary!J:N,5,FALSE)</f>
        <v>Explicitly stated (or implicitly premised) conventions, choices and other specifications (e.g., about the data, wildlife ecology*/behaviour, the relationships between variables, etc.) on which a particular modelling approach is based that allows the model to provide valid inference.</v>
      </c>
      <c r="L202" s="30" t="s">
        <v>1720</v>
      </c>
      <c r="M202" s="30" t="str">
        <f t="shared" si="10"/>
        <v>{{ mod_assumption_tu_pl }}</v>
      </c>
      <c r="N202" t="s">
        <v>896</v>
      </c>
      <c r="O202" s="13" t="s">
        <v>1816</v>
      </c>
      <c r="P202" t="s">
        <v>4081</v>
      </c>
      <c r="Q202" t="str">
        <f t="shared" si="11"/>
        <v xml:space="preserve">    mod_assumption_tu_pl: "&lt;a href=\"09_glossary.html#mod_assumption\" target=\"_blank\" data-bs-toggle=\"tooltip\" data-bs-title=\"Model assumption: Explicitly stated (or implicitly premised) conventions, choices and other specifications (e.g., about the data, wildlife ecology*/behaviour, the relationships between variables, etc.) on which a particular modelling approach is based that allows the model to provide valid inference.\"&gt;Model assumptions&lt;button type=\"button\" class=\"btn btn-bd-tip-info-hidden btn-sm position-relative\"&gt;.&lt;span class=\"position-absolute top-0 start-100 translate-middle\"&gt;{{ icon_info }}&lt;/span&gt;&lt;/button&gt;&lt;/a&gt;"</v>
      </c>
      <c r="R202" t="b" cm="1">
        <f t="array" ref="R202">SUMPRODUCT(--EXACT($J$2:$J$490,J202))&gt;1</f>
        <v>0</v>
      </c>
      <c r="S202" t="s">
        <v>4375</v>
      </c>
    </row>
    <row r="203" spans="1:19">
      <c r="A203" s="30">
        <v>1</v>
      </c>
      <c r="B203" s="30" t="s">
        <v>1064</v>
      </c>
      <c r="C203" s="30" t="s">
        <v>0</v>
      </c>
      <c r="D203" s="30" t="s">
        <v>1208</v>
      </c>
      <c r="E203" s="30" t="s">
        <v>1752</v>
      </c>
      <c r="F203" s="30" t="s">
        <v>22</v>
      </c>
      <c r="G203" s="39" t="str">
        <f>VLOOKUP(F203,glossary!J:N,2,FALSE)</f>
        <v>Categorical partial identity model (Categorical SPIM; catSPIM) (Augustine et al., 2019; Sun et al., 2022)</v>
      </c>
      <c r="H203" s="30" t="s">
        <v>22</v>
      </c>
      <c r="I203" s="45" t="str">
        <f t="shared" si="9"/>
        <v>mod_catspim_tu_abrv</v>
      </c>
      <c r="J203" s="39" t="s">
        <v>1069</v>
      </c>
      <c r="K203" s="39" t="str">
        <f>VLOOKUP(F203,glossary!J:N,5,FALSE)</f>
        <v>A method used to estimate the density of partially marked populations in which the 'spatial locations of where partial identity samples are captured to probabilistically resolve their complete identities' (Augustine et al., 2018, 2019). catSPIM models use partial identity traits (e.g., sex class, antler points) to help infer individual identities (Augustine et al., 2019; Sun et al., 2022). catSPIM is an extension of the SC model (Chandler &amp; Royle, 2013).</v>
      </c>
      <c r="L203" s="30" t="s">
        <v>1133</v>
      </c>
      <c r="M203" s="30" t="str">
        <f t="shared" si="10"/>
        <v>{{ mod_catspim_tu_abrv }}</v>
      </c>
      <c r="N203" t="s">
        <v>896</v>
      </c>
      <c r="O203" s="13" t="s">
        <v>1816</v>
      </c>
      <c r="P203" t="s">
        <v>4081</v>
      </c>
      <c r="Q203" t="str">
        <f t="shared" si="11"/>
        <v xml:space="preserve">    mod_catspim_tu_abrv: "&lt;a href=\"09_glossary.html#mod_catspim\" target=\"_blank\" data-bs-toggle=\"tooltip\" data-bs-title=\"Categorical partial identity model (Categorical SPIM; catSPIM) (Augustine et al., 2019; Sun et al., 2022): A method used to estimate the density of partially marked populations in which the 'spatial locations of where partial identity samples are captured to probabilistically resolve their complete identities' (Augustine et al., 2018, 2019). catSPIM models use partial identity traits (e.g., sex class, antler points) to help infer individual identities (Augustine et al., 2019; Sun et al., 2022). catSPIM is an extension of the SC model (Chandler &amp; Royle, 2013).\"&gt;catSPIM&lt;button type=\"button\" class=\"btn btn-bd-tip-info-hidden btn-sm position-relative\"&gt;.&lt;span class=\"position-absolute top-0 start-100 translate-middle\"&gt;{{ icon_info }}&lt;/span&gt;&lt;/button&gt;&lt;/a&gt;"</v>
      </c>
      <c r="R203" t="b" cm="1">
        <f t="array" ref="R203">SUMPRODUCT(--EXACT($J$2:$J$490,J203))&gt;1</f>
        <v>0</v>
      </c>
      <c r="S203" t="s">
        <v>4376</v>
      </c>
    </row>
    <row r="204" spans="1:19">
      <c r="A204" s="30">
        <v>3</v>
      </c>
      <c r="B204" s="30" t="s">
        <v>1393</v>
      </c>
      <c r="C204" s="30"/>
      <c r="D204" s="30" t="s">
        <v>1208</v>
      </c>
      <c r="E204" s="30" t="s">
        <v>823</v>
      </c>
      <c r="F204" s="30" t="s">
        <v>22</v>
      </c>
      <c r="G204" s="39" t="str">
        <f>VLOOKUP(F204,glossary!J:N,2,FALSE)</f>
        <v>Categorical partial identity model (Categorical SPIM; catSPIM) (Augustine et al., 2019; Sun et al., 2022)</v>
      </c>
      <c r="H204" s="34" t="s">
        <v>22</v>
      </c>
      <c r="I204" s="45" t="str">
        <f t="shared" si="9"/>
        <v>mod_catspim_tu_ref</v>
      </c>
      <c r="J204" s="42" t="s">
        <v>980</v>
      </c>
      <c r="K204" s="39" t="str">
        <f>VLOOKUP(F204,glossary!J:N,5,FALSE)</f>
        <v>A method used to estimate the density of partially marked populations in which the 'spatial locations of where partial identity samples are captured to probabilistically resolve their complete identities' (Augustine et al., 2018, 2019). catSPIM models use partial identity traits (e.g., sex class, antler points) to help infer individual identities (Augustine et al., 2019; Sun et al., 2022). catSPIM is an extension of the SC model (Chandler &amp; Royle, 2013).</v>
      </c>
      <c r="L204" t="s">
        <v>1585</v>
      </c>
      <c r="M204" s="30" t="str">
        <f t="shared" si="10"/>
        <v>{{ mod_catspim_tu_ref }}</v>
      </c>
      <c r="N204" t="s">
        <v>896</v>
      </c>
      <c r="O204" s="13" t="s">
        <v>1816</v>
      </c>
      <c r="P204" t="s">
        <v>4081</v>
      </c>
      <c r="Q204" t="str">
        <f t="shared" si="11"/>
        <v xml:space="preserve">    mod_catspim_tu_ref: "&lt;a href=\"09_glossary.html#mod_catspim\" target=\"_blank\" data-bs-toggle=\"tooltip\" data-bs-title=\"Categorical partial identity model (Categorical SPIM; catSPIM) (Augustine et al., 2019; Sun et al., 2022): A method used to estimate the density of partially marked populations in which the 'spatial locations of where partial identity samples are captured to probabilistically resolve their complete identities' (Augustine et al., 2018, 2019). catSPIM models use partial identity traits (e.g., sex class, antler points) to help infer individual identities (Augustine et al., 2019; Sun et al., 2022). catSPIM is an extension of the SC model (Chandler &amp; Royle, 2013).\"&gt;Categorical partial identity model (Categorical SPIM; catSPIM) (Augustine et al., 2019; Sun et al., 2022)&lt;button type=\"button\" class=\"btn btn-bd-tip-info-hidden btn-sm position-relative\"&gt;.&lt;span class=\"position-absolute top-0 start-100 translate-middle\"&gt;{{ icon_info }}&lt;/span&gt;&lt;/button&gt;&lt;/a&gt;"</v>
      </c>
      <c r="R204" t="b" cm="1">
        <f t="array" ref="R204">SUMPRODUCT(--EXACT($J$2:$J$490,J204))&gt;1</f>
        <v>0</v>
      </c>
      <c r="S204" t="s">
        <v>4377</v>
      </c>
    </row>
    <row r="205" spans="1:19">
      <c r="A205" s="30">
        <v>1</v>
      </c>
      <c r="B205" s="30" t="s">
        <v>1064</v>
      </c>
      <c r="C205" s="30" t="s">
        <v>0</v>
      </c>
      <c r="D205" s="30" t="s">
        <v>1208</v>
      </c>
      <c r="E205" s="30" t="s">
        <v>1752</v>
      </c>
      <c r="F205" s="30" t="s">
        <v>29</v>
      </c>
      <c r="G205" s="39" t="str">
        <f>VLOOKUP(F205,glossary!J:N,2,FALSE)</f>
        <v>Capture-recapture (CR) / Capture-mark-recapture (CMR) (Karanth, 1995; Karanth &amp; Nichols, 1998)</v>
      </c>
      <c r="H205" s="30" t="s">
        <v>1774</v>
      </c>
      <c r="I205" s="45" t="str">
        <f t="shared" si="9"/>
        <v>mod_cmr_tu_abrv</v>
      </c>
      <c r="J205" s="39" t="s">
        <v>1151</v>
      </c>
      <c r="K205" s="39" t="str">
        <f>VLOOKUP(F205,glossary!J:N,5,FALSE)</f>
        <v>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v>
      </c>
      <c r="L205" s="30" t="s">
        <v>1144</v>
      </c>
      <c r="M205" s="30" t="str">
        <f t="shared" si="10"/>
        <v>{{ mod_cmr_tu_abrv }}</v>
      </c>
      <c r="N205" t="s">
        <v>896</v>
      </c>
      <c r="O205" s="13" t="s">
        <v>1816</v>
      </c>
      <c r="P205" t="s">
        <v>4081</v>
      </c>
      <c r="Q205" t="str">
        <f t="shared" si="11"/>
        <v xml:space="preserve">    mod_cmr_tu_abrv: "&lt;a href=\"09_glossary.html#mod_cmr\" target=\"_blank\" data-bs-toggle=\"tooltip\" data-bs-title=\"Capture-recapture (CR) / Capture-mark-recapture (CMR) (Karanth, 1995; Karanth &amp; Nichols, 1998): 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2011).\"&gt;CMR&lt;button type=\"button\" class=\"btn btn-bd-tip-info-hidden btn-sm position-relative\"&gt;.&lt;span class=\"position-absolute top-0 start-100 translate-middle\"&gt;{{ icon_info }}&lt;/span&gt;&lt;/button&gt;&lt;/a&gt;"</v>
      </c>
      <c r="R205" t="b" cm="1">
        <f t="array" ref="R205">SUMPRODUCT(--EXACT($J$2:$J$490,J205))&gt;1</f>
        <v>0</v>
      </c>
      <c r="S205" t="s">
        <v>4378</v>
      </c>
    </row>
    <row r="206" spans="1:19">
      <c r="A206" s="30">
        <v>3</v>
      </c>
      <c r="B206" s="30" t="s">
        <v>1393</v>
      </c>
      <c r="C206" s="30"/>
      <c r="D206" s="30" t="s">
        <v>1208</v>
      </c>
      <c r="E206" s="30" t="s">
        <v>823</v>
      </c>
      <c r="F206" s="30" t="s">
        <v>29</v>
      </c>
      <c r="G206" s="39" t="str">
        <f>VLOOKUP(F206,glossary!J:N,2,FALSE)</f>
        <v>Capture-recapture (CR) / Capture-mark-recapture (CMR) (Karanth, 1995; Karanth &amp; Nichols, 1998)</v>
      </c>
      <c r="H206" s="34" t="s">
        <v>29</v>
      </c>
      <c r="I206" s="45" t="str">
        <f t="shared" si="9"/>
        <v>mod_cr_cmr_tu_ref</v>
      </c>
      <c r="J206" s="42" t="s">
        <v>978</v>
      </c>
      <c r="K206" s="39" t="str">
        <f>VLOOKUP(F206,glossary!J:N,5,FALSE)</f>
        <v>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v>
      </c>
      <c r="L206" t="s">
        <v>1584</v>
      </c>
      <c r="M206" s="30" t="str">
        <f t="shared" si="10"/>
        <v>{{ mod_cr_cmr_tu_ref }}</v>
      </c>
      <c r="N206" t="s">
        <v>896</v>
      </c>
      <c r="O206" s="13" t="s">
        <v>1816</v>
      </c>
      <c r="P206" t="s">
        <v>4081</v>
      </c>
      <c r="Q206" t="str">
        <f t="shared" si="11"/>
        <v xml:space="preserve">    mod_cr_cmr_tu_ref: "&lt;a href=\"09_glossary.html#mod_cr_cmr\" target=\"_blank\" data-bs-toggle=\"tooltip\" data-bs-title=\"Capture-recapture (CR) / Capture-mark-recapture (CMR) (Karanth, 1995; Karanth &amp; Nichols, 1998): 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2011).\"&gt;Capture-recapture (CR) / Capture-mark-recapture (CMR) (Karanth, 1995; Karanth &amp; Nichols, 1998)&lt;button type=\"button\" class=\"btn btn-bd-tip-info-hidden btn-sm position-relative\"&gt;.&lt;span class=\"position-absolute top-0 start-100 translate-middle\"&gt;{{ icon_info }}&lt;/span&gt;&lt;/button&gt;&lt;/a&gt;"</v>
      </c>
      <c r="R206" t="b" cm="1">
        <f t="array" ref="R206">SUMPRODUCT(--EXACT($J$2:$J$490,J206))&gt;1</f>
        <v>0</v>
      </c>
      <c r="S206" t="s">
        <v>4379</v>
      </c>
    </row>
    <row r="207" spans="1:19">
      <c r="A207" s="30">
        <v>1</v>
      </c>
      <c r="B207" s="30" t="s">
        <v>1064</v>
      </c>
      <c r="C207" s="30"/>
      <c r="D207" s="30" t="s">
        <v>1207</v>
      </c>
      <c r="E207" s="30" t="s">
        <v>1760</v>
      </c>
      <c r="F207" s="30" t="s">
        <v>29</v>
      </c>
      <c r="G207" s="39" t="str">
        <f>VLOOKUP(F207,glossary!J:N,2,FALSE)</f>
        <v>Capture-recapture (CR) / Capture-mark-recapture (CMR) (Karanth, 1995; Karanth &amp; Nichols, 1998)</v>
      </c>
      <c r="H207" s="30" t="s">
        <v>1775</v>
      </c>
      <c r="I207" s="45" t="str">
        <f t="shared" si="9"/>
        <v>mod_cr_tl_abrv_txt</v>
      </c>
      <c r="J207" s="39" t="s">
        <v>1387</v>
      </c>
      <c r="K207" s="39" t="str">
        <f>VLOOKUP(F207,glossary!J:N,5,FALSE)</f>
        <v>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v>
      </c>
      <c r="L207" s="30" t="s">
        <v>1388</v>
      </c>
      <c r="M207" s="30" t="str">
        <f t="shared" si="10"/>
        <v>{{ mod_cr_tl_abrv_txt }}</v>
      </c>
      <c r="N207" t="s">
        <v>896</v>
      </c>
      <c r="O207" s="13" t="s">
        <v>1816</v>
      </c>
      <c r="P207" t="s">
        <v>4081</v>
      </c>
      <c r="Q207" t="str">
        <f t="shared" si="11"/>
        <v xml:space="preserve">    mod_cr_tl_abrv_txt: "&lt;a href=\"09_glossary.html#mod_cr\" target=\"_blank\" data-bs-toggle=\"tooltip\" data-bs-title=\"Capture-recapture (CR) / Capture-mark-recapture (CMR) (Karanth, 1995; Karanth &amp; Nichols, 1998): 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2011).\"&gt;capture-recapture (CR)&lt;button type=\"button\" class=\"btn btn-bd-tip-info-hidden btn-sm position-relative\"&gt;.&lt;span class=\"position-absolute top-0 start-100 translate-middle\"&gt;{{ icon_info }}&lt;/span&gt;&lt;/button&gt;&lt;/a&gt;"</v>
      </c>
      <c r="R207" t="b" cm="1">
        <f t="array" ref="R207">SUMPRODUCT(--EXACT($J$2:$J$490,J207))&gt;1</f>
        <v>0</v>
      </c>
      <c r="S207" t="s">
        <v>4380</v>
      </c>
    </row>
    <row r="208" spans="1:19">
      <c r="A208" s="30">
        <v>1</v>
      </c>
      <c r="B208" s="30" t="s">
        <v>1064</v>
      </c>
      <c r="C208" s="30" t="s">
        <v>0</v>
      </c>
      <c r="D208" s="30" t="s">
        <v>1208</v>
      </c>
      <c r="E208" s="30" t="s">
        <v>1752</v>
      </c>
      <c r="F208" s="30" t="s">
        <v>29</v>
      </c>
      <c r="G208" s="39" t="str">
        <f>VLOOKUP(F208,glossary!J:N,2,FALSE)</f>
        <v>Capture-recapture (CR) / Capture-mark-recapture (CMR) (Karanth, 1995; Karanth &amp; Nichols, 1998)</v>
      </c>
      <c r="H208" s="30" t="s">
        <v>1775</v>
      </c>
      <c r="I208" s="45" t="str">
        <f t="shared" si="9"/>
        <v>mod_cr_tu_abrv</v>
      </c>
      <c r="J208" s="39" t="s">
        <v>1196</v>
      </c>
      <c r="K208" s="39" t="str">
        <f>VLOOKUP(F208,glossary!J:N,5,FALSE)</f>
        <v>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v>
      </c>
      <c r="L208" s="30" t="s">
        <v>1145</v>
      </c>
      <c r="M208" s="30" t="str">
        <f t="shared" si="10"/>
        <v>{{ mod_cr_tu_abrv }}</v>
      </c>
      <c r="N208" t="s">
        <v>896</v>
      </c>
      <c r="O208" s="13" t="s">
        <v>1816</v>
      </c>
      <c r="P208" t="s">
        <v>4081</v>
      </c>
      <c r="Q208" t="str">
        <f t="shared" si="11"/>
        <v xml:space="preserve">    mod_cr_tu_abrv: "&lt;a href=\"09_glossary.html#mod_cr\" target=\"_blank\" data-bs-toggle=\"tooltip\" data-bs-title=\"Capture-recapture (CR) / Capture-mark-recapture (CMR) (Karanth, 1995; Karanth &amp; Nichols, 1998): 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2011).\"&gt;CR&lt;button type=\"button\" class=\"btn btn-bd-tip-info-hidden btn-sm position-relative\"&gt;.&lt;span class=\"position-absolute top-0 start-100 translate-middle\"&gt;{{ icon_info }}&lt;/span&gt;&lt;/button&gt;&lt;/a&gt;"</v>
      </c>
      <c r="R208" t="b" cm="1">
        <f t="array" ref="R208">SUMPRODUCT(--EXACT($J$2:$J$490,J208))&gt;1</f>
        <v>0</v>
      </c>
      <c r="S208" t="s">
        <v>4381</v>
      </c>
    </row>
    <row r="209" spans="1:19">
      <c r="A209" s="30">
        <v>1</v>
      </c>
      <c r="B209" s="30" t="s">
        <v>1064</v>
      </c>
      <c r="C209" s="30" t="s">
        <v>0</v>
      </c>
      <c r="D209" s="30" t="s">
        <v>1208</v>
      </c>
      <c r="E209" s="30" t="s">
        <v>1760</v>
      </c>
      <c r="F209" s="30" t="s">
        <v>29</v>
      </c>
      <c r="G209" s="39" t="str">
        <f>VLOOKUP(F209,glossary!J:N,2,FALSE)</f>
        <v>Capture-recapture (CR) / Capture-mark-recapture (CMR) (Karanth, 1995; Karanth &amp; Nichols, 1998)</v>
      </c>
      <c r="H209" s="30" t="s">
        <v>1775</v>
      </c>
      <c r="I209" s="45" t="str">
        <f t="shared" si="9"/>
        <v>mod_cr_tu_abrv_txt</v>
      </c>
      <c r="J209" s="39" t="s">
        <v>1777</v>
      </c>
      <c r="K209" s="39" t="str">
        <f>VLOOKUP(F209,glossary!J:N,5,FALSE)</f>
        <v>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v>
      </c>
      <c r="L209" s="30" t="s">
        <v>1388</v>
      </c>
      <c r="M209" s="30" t="str">
        <f t="shared" si="10"/>
        <v>{{ mod_cr_tu_abrv_txt }}</v>
      </c>
      <c r="N209" t="s">
        <v>896</v>
      </c>
      <c r="O209" s="13" t="s">
        <v>1816</v>
      </c>
      <c r="P209" t="s">
        <v>4081</v>
      </c>
      <c r="Q209" t="str">
        <f t="shared" si="11"/>
        <v xml:space="preserve">    mod_cr_tu_abrv_txt: "&lt;a href=\"09_glossary.html#mod_cr\" target=\"_blank\" data-bs-toggle=\"tooltip\" data-bs-title=\"Capture-recapture (CR) / Capture-mark-recapture (CMR) (Karanth, 1995; Karanth &amp; Nichols, 1998): 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2011).\"&gt;Capture-recapture (CR)&lt;button type=\"button\" class=\"btn btn-bd-tip-info-hidden btn-sm position-relative\"&gt;.&lt;span class=\"position-absolute top-0 start-100 translate-middle\"&gt;{{ icon_info }}&lt;/span&gt;&lt;/button&gt;&lt;/a&gt;"</v>
      </c>
      <c r="R209" t="b" cm="1">
        <f t="array" ref="R209">SUMPRODUCT(--EXACT($J$2:$J$490,J209))&gt;1</f>
        <v>0</v>
      </c>
      <c r="S209" t="s">
        <v>4382</v>
      </c>
    </row>
    <row r="210" spans="1:19">
      <c r="A210" s="30">
        <v>3</v>
      </c>
      <c r="B210" s="30" t="s">
        <v>1393</v>
      </c>
      <c r="C210" s="30"/>
      <c r="D210" s="30" t="s">
        <v>1207</v>
      </c>
      <c r="E210" s="30" t="s">
        <v>1750</v>
      </c>
      <c r="F210" s="30" t="s">
        <v>434</v>
      </c>
      <c r="G210" s="39" t="str">
        <f>VLOOKUP(F210,glossary!J:N,2,FALSE)</f>
        <v>Alpha richness (α)</v>
      </c>
      <c r="H210" s="34" t="s">
        <v>434</v>
      </c>
      <c r="I210" s="45" t="str">
        <f t="shared" si="9"/>
        <v>mod_divers_rich_alpha_tl_simp</v>
      </c>
      <c r="J210" s="43" t="s">
        <v>901</v>
      </c>
      <c r="K210" s="39" t="str">
        <f>VLOOKUP(F210,glossary!J:N,5,FALSE)</f>
        <v>The number of species at the level of an individual camera location (Wearn &amp; Glover-Kapfer, 2017).</v>
      </c>
      <c r="L210" t="s">
        <v>1583</v>
      </c>
      <c r="M210" s="30" t="str">
        <f t="shared" si="10"/>
        <v>{{ mod_divers_rich_alpha_tl_simp }}</v>
      </c>
      <c r="N210" t="s">
        <v>896</v>
      </c>
      <c r="O210" s="13" t="s">
        <v>1816</v>
      </c>
      <c r="P210" t="s">
        <v>4081</v>
      </c>
      <c r="Q210" t="str">
        <f t="shared" si="11"/>
        <v xml:space="preserve">    mod_divers_rich_alpha_tl_simp: "&lt;a href=\"09_glossary.html#mod_divers_rich_alpha\" target=\"_blank\" data-bs-toggle=\"tooltip\" data-bs-title=\"Alpha richness (α): The number of species at the level of an individual camera location (Wearn &amp; Glover-Kapfer, 2017).\"&gt;alpha richness (α)&lt;button type=\"button\" class=\"btn btn-bd-tip-info-hidden btn-sm position-relative\"&gt;.&lt;span class=\"position-absolute top-0 start-100 translate-middle\"&gt;{{ icon_info }}&lt;/span&gt;&lt;/button&gt;&lt;/a&gt;"</v>
      </c>
      <c r="R210" t="b" cm="1">
        <f t="array" ref="R210">SUMPRODUCT(--EXACT($J$2:$J$490,J210))&gt;1</f>
        <v>0</v>
      </c>
      <c r="S210" t="s">
        <v>4383</v>
      </c>
    </row>
    <row r="211" spans="1:19">
      <c r="A211" s="30">
        <v>3</v>
      </c>
      <c r="B211" s="30" t="s">
        <v>1393</v>
      </c>
      <c r="C211" s="30"/>
      <c r="D211" s="30" t="s">
        <v>1208</v>
      </c>
      <c r="E211" s="30" t="s">
        <v>1750</v>
      </c>
      <c r="F211" s="30" t="s">
        <v>434</v>
      </c>
      <c r="G211" s="39" t="str">
        <f>VLOOKUP(F211,glossary!J:N,2,FALSE)</f>
        <v>Alpha richness (α)</v>
      </c>
      <c r="H211" s="34" t="s">
        <v>434</v>
      </c>
      <c r="I211" s="45" t="str">
        <f t="shared" si="9"/>
        <v>mod_divers_rich_alpha_tu_simp</v>
      </c>
      <c r="J211" s="39" t="s">
        <v>621</v>
      </c>
      <c r="K211" s="39" t="str">
        <f>VLOOKUP(F211,glossary!J:N,5,FALSE)</f>
        <v>The number of species at the level of an individual camera location (Wearn &amp; Glover-Kapfer, 2017).</v>
      </c>
      <c r="L211" t="s">
        <v>1582</v>
      </c>
      <c r="M211" s="30" t="str">
        <f t="shared" si="10"/>
        <v>{{ mod_divers_rich_alpha_tu_simp }}</v>
      </c>
      <c r="N211" t="s">
        <v>896</v>
      </c>
      <c r="O211" s="13" t="s">
        <v>1816</v>
      </c>
      <c r="P211" t="s">
        <v>4081</v>
      </c>
      <c r="Q211" t="str">
        <f t="shared" si="11"/>
        <v xml:space="preserve">    mod_divers_rich_alpha_tu_simp: "&lt;a href=\"09_glossary.html#mod_divers_rich_alpha\" target=\"_blank\" data-bs-toggle=\"tooltip\" data-bs-title=\"Alpha richness (α): The number of species at the level of an individual camera location (Wearn &amp; Glover-Kapfer, 2017).\"&gt;Alpha richness (α)&lt;button type=\"button\" class=\"btn btn-bd-tip-info-hidden btn-sm position-relative\"&gt;.&lt;span class=\"position-absolute top-0 start-100 translate-middle\"&gt;{{ icon_info }}&lt;/span&gt;&lt;/button&gt;&lt;/a&gt;"</v>
      </c>
      <c r="R211" t="b" cm="1">
        <f t="array" ref="R211">SUMPRODUCT(--EXACT($J$2:$J$490,J211))&gt;1</f>
        <v>0</v>
      </c>
      <c r="S211" t="s">
        <v>4384</v>
      </c>
    </row>
    <row r="212" spans="1:19">
      <c r="A212" s="30">
        <v>3</v>
      </c>
      <c r="B212" s="30" t="s">
        <v>1393</v>
      </c>
      <c r="C212" s="30"/>
      <c r="D212" s="30" t="s">
        <v>1207</v>
      </c>
      <c r="E212" s="30" t="s">
        <v>1750</v>
      </c>
      <c r="F212" s="30" t="s">
        <v>433</v>
      </c>
      <c r="G212" s="39" t="str">
        <f>VLOOKUP(F212,glossary!J:N,2,FALSE)</f>
        <v>Beta-diversity (β)</v>
      </c>
      <c r="H212" s="34" t="s">
        <v>433</v>
      </c>
      <c r="I212" s="45" t="str">
        <f t="shared" si="9"/>
        <v>mod_divers_rich_beta_tl_simp</v>
      </c>
      <c r="J212" s="43" t="s">
        <v>904</v>
      </c>
      <c r="K212" s="39" t="str">
        <f>VLOOKUP(F212,glossary!J:N,5,FALSE)</f>
        <v>The differences between the communities or, more formally, the variance among the communities  (Wearn &amp; Glover-Kapfer, 2017).</v>
      </c>
      <c r="L212" t="s">
        <v>1581</v>
      </c>
      <c r="M212" s="30" t="str">
        <f t="shared" si="10"/>
        <v>{{ mod_divers_rich_beta_tl_simp }}</v>
      </c>
      <c r="N212" t="s">
        <v>896</v>
      </c>
      <c r="O212" s="13" t="s">
        <v>1816</v>
      </c>
      <c r="P212" t="s">
        <v>4081</v>
      </c>
      <c r="Q212" t="str">
        <f t="shared" si="11"/>
        <v xml:space="preserve">    mod_divers_rich_beta_tl_simp: "&lt;a href=\"09_glossary.html#mod_divers_rich_beta\" target=\"_blank\" data-bs-toggle=\"tooltip\" data-bs-title=\"Beta-diversity (β): The differences between the communities or, more formally, the variance among the communities  (Wearn &amp; Glover-Kapfer, 2017).\"&gt;beta-diversity (β)&lt;button type=\"button\" class=\"btn btn-bd-tip-info-hidden btn-sm position-relative\"&gt;.&lt;span class=\"position-absolute top-0 start-100 translate-middle\"&gt;{{ icon_info }}&lt;/span&gt;&lt;/button&gt;&lt;/a&gt;"</v>
      </c>
      <c r="R212" t="b" cm="1">
        <f t="array" ref="R212">SUMPRODUCT(--EXACT($J$2:$J$490,J212))&gt;1</f>
        <v>0</v>
      </c>
      <c r="S212" t="s">
        <v>4385</v>
      </c>
    </row>
    <row r="213" spans="1:19">
      <c r="A213" s="30">
        <v>3</v>
      </c>
      <c r="B213" s="30" t="s">
        <v>1393</v>
      </c>
      <c r="C213" s="30"/>
      <c r="D213" s="30" t="s">
        <v>1208</v>
      </c>
      <c r="E213" s="30" t="s">
        <v>1750</v>
      </c>
      <c r="F213" s="30" t="s">
        <v>433</v>
      </c>
      <c r="G213" s="39" t="str">
        <f>VLOOKUP(F213,glossary!J:N,2,FALSE)</f>
        <v>Beta-diversity (β)</v>
      </c>
      <c r="H213" s="34" t="s">
        <v>433</v>
      </c>
      <c r="I213" s="45" t="str">
        <f t="shared" si="9"/>
        <v>mod_divers_rich_beta_tu_simp</v>
      </c>
      <c r="J213" s="39" t="s">
        <v>620</v>
      </c>
      <c r="K213" s="39" t="str">
        <f>VLOOKUP(F213,glossary!J:N,5,FALSE)</f>
        <v>The differences between the communities or, more formally, the variance among the communities  (Wearn &amp; Glover-Kapfer, 2017).</v>
      </c>
      <c r="L213" t="s">
        <v>1580</v>
      </c>
      <c r="M213" s="30" t="str">
        <f t="shared" si="10"/>
        <v>{{ mod_divers_rich_beta_tu_simp }}</v>
      </c>
      <c r="N213" t="s">
        <v>896</v>
      </c>
      <c r="O213" s="13" t="s">
        <v>1816</v>
      </c>
      <c r="P213" t="s">
        <v>4081</v>
      </c>
      <c r="Q213" t="str">
        <f t="shared" si="11"/>
        <v xml:space="preserve">    mod_divers_rich_beta_tu_simp: "&lt;a href=\"09_glossary.html#mod_divers_rich_beta\" target=\"_blank\" data-bs-toggle=\"tooltip\" data-bs-title=\"Beta-diversity (β): The differences between the communities or, more formally, the variance among the communities  (Wearn &amp; Glover-Kapfer, 2017).\"&gt;Beta-diversity (β)&lt;button type=\"button\" class=\"btn btn-bd-tip-info-hidden btn-sm position-relative\"&gt;.&lt;span class=\"position-absolute top-0 start-100 translate-middle\"&gt;{{ icon_info }}&lt;/span&gt;&lt;/button&gt;&lt;/a&gt;"</v>
      </c>
      <c r="R213" t="b" cm="1">
        <f t="array" ref="R213">SUMPRODUCT(--EXACT($J$2:$J$490,J213))&gt;1</f>
        <v>0</v>
      </c>
      <c r="S213" t="s">
        <v>4386</v>
      </c>
    </row>
    <row r="214" spans="1:19">
      <c r="A214" s="30">
        <v>3</v>
      </c>
      <c r="B214" s="30" t="s">
        <v>1393</v>
      </c>
      <c r="C214" s="30"/>
      <c r="D214" s="30" t="s">
        <v>1207</v>
      </c>
      <c r="E214" s="30" t="s">
        <v>984</v>
      </c>
      <c r="F214" s="30" t="s">
        <v>538</v>
      </c>
      <c r="G214" s="39" t="str">
        <f>VLOOKUP(F214,glossary!J:N,2,FALSE)</f>
        <v>Species diversity</v>
      </c>
      <c r="H214" s="34" t="s">
        <v>538</v>
      </c>
      <c r="I214" s="45" t="str">
        <f t="shared" si="9"/>
        <v>mod_divers_rich_divers_tl</v>
      </c>
      <c r="J214" s="43" t="s">
        <v>951</v>
      </c>
      <c r="K214" s="39" t="str">
        <f>VLOOKUP(F214,glossary!J:N,5,FALSE)</f>
        <v>A measure of diversity that incorporates both the number of species in an assemblage and some measure of their relative abundances.' (Gotelli &amp; Chao, 2013)</v>
      </c>
      <c r="L214" t="s">
        <v>1579</v>
      </c>
      <c r="M214" s="30" t="str">
        <f t="shared" si="10"/>
        <v>{{ mod_divers_rich_divers_tl }}</v>
      </c>
      <c r="N214" t="s">
        <v>896</v>
      </c>
      <c r="O214" s="13" t="s">
        <v>1816</v>
      </c>
      <c r="P214" t="s">
        <v>4081</v>
      </c>
      <c r="Q214" t="str">
        <f t="shared" si="11"/>
        <v xml:space="preserve">    mod_divers_rich_divers_tl: "&lt;a href=\"09_glossary.html#mod_divers_rich_divers\" target=\"_blank\" data-bs-toggle=\"tooltip\" data-bs-title=\"Species diversity: A measure of diversity that incorporates both the number of species in an assemblage and some measure of their relative abundances.' (Gotelli &amp; Chao, 2013)\"&gt;species diversity&lt;button type=\"button\" class=\"btn btn-bd-tip-info-hidden btn-sm position-relative\"&gt;.&lt;span class=\"position-absolute top-0 start-100 translate-middle\"&gt;{{ icon_info }}&lt;/span&gt;&lt;/button&gt;&lt;/a&gt;"</v>
      </c>
      <c r="R214" t="b" cm="1">
        <f t="array" ref="R214">SUMPRODUCT(--EXACT($J$2:$J$490,J214))&gt;1</f>
        <v>0</v>
      </c>
      <c r="S214" t="s">
        <v>4387</v>
      </c>
    </row>
    <row r="215" spans="1:19">
      <c r="A215" s="30">
        <v>3</v>
      </c>
      <c r="B215" s="30" t="s">
        <v>1393</v>
      </c>
      <c r="C215" s="30"/>
      <c r="D215" s="30" t="s">
        <v>1208</v>
      </c>
      <c r="E215" s="30" t="s">
        <v>984</v>
      </c>
      <c r="F215" s="30" t="s">
        <v>538</v>
      </c>
      <c r="G215" s="39" t="str">
        <f>VLOOKUP(F215,glossary!J:N,2,FALSE)</f>
        <v>Species diversity</v>
      </c>
      <c r="H215" s="34" t="s">
        <v>538</v>
      </c>
      <c r="I215" s="45" t="str">
        <f t="shared" si="9"/>
        <v>mod_divers_rich_divers_tu</v>
      </c>
      <c r="J215" s="42" t="s">
        <v>443</v>
      </c>
      <c r="K215" s="39" t="str">
        <f>VLOOKUP(F215,glossary!J:N,5,FALSE)</f>
        <v>A measure of diversity that incorporates both the number of species in an assemblage and some measure of their relative abundances.' (Gotelli &amp; Chao, 2013)</v>
      </c>
      <c r="L215" t="s">
        <v>1578</v>
      </c>
      <c r="M215" s="30" t="str">
        <f t="shared" si="10"/>
        <v>{{ mod_divers_rich_divers_tu }}</v>
      </c>
      <c r="N215" t="s">
        <v>896</v>
      </c>
      <c r="O215" s="13" t="s">
        <v>1816</v>
      </c>
      <c r="P215" t="s">
        <v>4081</v>
      </c>
      <c r="Q215" t="str">
        <f t="shared" si="11"/>
        <v xml:space="preserve">    mod_divers_rich_divers_tu: "&lt;a href=\"09_glossary.html#mod_divers_rich_divers\" target=\"_blank\" data-bs-toggle=\"tooltip\" data-bs-title=\"Species diversity: A measure of diversity that incorporates both the number of species in an assemblage and some measure of their relative abundances.' (Gotelli &amp; Chao, 2013)\"&gt;Species diversity&lt;button type=\"button\" class=\"btn btn-bd-tip-info-hidden btn-sm position-relative\"&gt;.&lt;span class=\"position-absolute top-0 start-100 translate-middle\"&gt;{{ icon_info }}&lt;/span&gt;&lt;/button&gt;&lt;/a&gt;"</v>
      </c>
      <c r="R215" t="b" cm="1">
        <f t="array" ref="R215">SUMPRODUCT(--EXACT($J$2:$J$490,J215))&gt;1</f>
        <v>0</v>
      </c>
      <c r="S215" t="s">
        <v>4388</v>
      </c>
    </row>
    <row r="216" spans="1:19">
      <c r="A216" s="30">
        <v>3</v>
      </c>
      <c r="B216" s="30" t="s">
        <v>1393</v>
      </c>
      <c r="C216" s="30"/>
      <c r="D216" s="30" t="s">
        <v>1207</v>
      </c>
      <c r="E216" s="30" t="s">
        <v>1750</v>
      </c>
      <c r="F216" s="30" t="s">
        <v>435</v>
      </c>
      <c r="G216" s="39" t="str">
        <f>VLOOKUP(F216,glossary!J:N,2,FALSE)</f>
        <v>Gamma richness (γ)</v>
      </c>
      <c r="H216" s="34" t="s">
        <v>435</v>
      </c>
      <c r="I216" s="45" t="str">
        <f t="shared" si="9"/>
        <v>mod_divers_rich_gamma_tl_simp</v>
      </c>
      <c r="J216" s="43" t="s">
        <v>922</v>
      </c>
      <c r="K216" s="39" t="str">
        <f>VLOOKUP(F216,glossary!J:N,5,FALSE)</f>
        <v>The number of species across a whole study area (Wearn &amp; Glover-Kapfer, 2017).</v>
      </c>
      <c r="L216" t="s">
        <v>1577</v>
      </c>
      <c r="M216" s="30" t="str">
        <f t="shared" si="10"/>
        <v>{{ mod_divers_rich_gamma_tl_simp }}</v>
      </c>
      <c r="N216" t="s">
        <v>896</v>
      </c>
      <c r="O216" s="13" t="s">
        <v>1816</v>
      </c>
      <c r="P216" t="s">
        <v>4081</v>
      </c>
      <c r="Q216" t="str">
        <f t="shared" si="11"/>
        <v xml:space="preserve">    mod_divers_rich_gamma_tl_simp: "&lt;a href=\"09_glossary.html#mod_divers_rich_gamma\" target=\"_blank\" data-bs-toggle=\"tooltip\" data-bs-title=\"Gamma richness (γ): The number of species across a whole study area (Wearn &amp; Glover-Kapfer, 2017).\"&gt;gamma richness (γ)&lt;button type=\"button\" class=\"btn btn-bd-tip-info-hidden btn-sm position-relative\"&gt;.&lt;span class=\"position-absolute top-0 start-100 translate-middle\"&gt;{{ icon_info }}&lt;/span&gt;&lt;/button&gt;&lt;/a&gt;"</v>
      </c>
      <c r="R216" t="b" cm="1">
        <f t="array" ref="R216">SUMPRODUCT(--EXACT($J$2:$J$490,J216))&gt;1</f>
        <v>0</v>
      </c>
      <c r="S216" t="s">
        <v>4389</v>
      </c>
    </row>
    <row r="217" spans="1:19">
      <c r="A217" s="30">
        <v>3</v>
      </c>
      <c r="B217" s="30" t="s">
        <v>1393</v>
      </c>
      <c r="C217" s="30"/>
      <c r="D217" s="30" t="s">
        <v>1208</v>
      </c>
      <c r="E217" s="30" t="s">
        <v>1750</v>
      </c>
      <c r="F217" s="30" t="s">
        <v>435</v>
      </c>
      <c r="G217" s="39" t="str">
        <f>VLOOKUP(F217,glossary!J:N,2,FALSE)</f>
        <v>Gamma richness (γ)</v>
      </c>
      <c r="H217" s="34" t="s">
        <v>435</v>
      </c>
      <c r="I217" s="45" t="str">
        <f t="shared" si="9"/>
        <v>mod_divers_rich_gamma_tu_simp</v>
      </c>
      <c r="J217" s="39" t="s">
        <v>619</v>
      </c>
      <c r="K217" s="39" t="str">
        <f>VLOOKUP(F217,glossary!J:N,5,FALSE)</f>
        <v>The number of species across a whole study area (Wearn &amp; Glover-Kapfer, 2017).</v>
      </c>
      <c r="L217" t="s">
        <v>1576</v>
      </c>
      <c r="M217" s="30" t="str">
        <f t="shared" si="10"/>
        <v>{{ mod_divers_rich_gamma_tu_simp }}</v>
      </c>
      <c r="N217" t="s">
        <v>896</v>
      </c>
      <c r="O217" s="13" t="s">
        <v>1816</v>
      </c>
      <c r="P217" t="s">
        <v>4081</v>
      </c>
      <c r="Q217" t="str">
        <f t="shared" si="11"/>
        <v xml:space="preserve">    mod_divers_rich_gamma_tu_simp: "&lt;a href=\"09_glossary.html#mod_divers_rich_gamma\" target=\"_blank\" data-bs-toggle=\"tooltip\" data-bs-title=\"Gamma richness (γ): The number of species across a whole study area (Wearn &amp; Glover-Kapfer, 2017).\"&gt;Gamma richness (γ)&lt;button type=\"button\" class=\"btn btn-bd-tip-info-hidden btn-sm position-relative\"&gt;.&lt;span class=\"position-absolute top-0 start-100 translate-middle\"&gt;{{ icon_info }}&lt;/span&gt;&lt;/button&gt;&lt;/a&gt;"</v>
      </c>
      <c r="R217" t="b" cm="1">
        <f t="array" ref="R217">SUMPRODUCT(--EXACT($J$2:$J$490,J217))&gt;1</f>
        <v>0</v>
      </c>
      <c r="S217" t="s">
        <v>4390</v>
      </c>
    </row>
    <row r="218" spans="1:19">
      <c r="A218" s="30">
        <v>3</v>
      </c>
      <c r="B218" s="30" t="s">
        <v>1393</v>
      </c>
      <c r="C218" s="30"/>
      <c r="D218" s="30" t="s">
        <v>1207</v>
      </c>
      <c r="E218" s="30" t="s">
        <v>984</v>
      </c>
      <c r="F218" s="30" t="s">
        <v>451</v>
      </c>
      <c r="G218" s="39" t="str">
        <f>VLOOKUP(F218,glossary!J:N,2,FALSE)</f>
        <v>Species richness</v>
      </c>
      <c r="H218" s="34" t="s">
        <v>451</v>
      </c>
      <c r="I218" s="45" t="str">
        <f t="shared" si="9"/>
        <v>mod_divers_rich_rich_tl</v>
      </c>
      <c r="J218" s="43" t="s">
        <v>953</v>
      </c>
      <c r="K218" s="39" t="str">
        <f>VLOOKUP(F218,glossary!J:N,5,FALSE)</f>
        <v>The total number of species in an assemblage or a sample' (Gotelli &amp; Chao, 2013).</v>
      </c>
      <c r="L218" t="s">
        <v>1575</v>
      </c>
      <c r="M218" s="30" t="str">
        <f t="shared" si="10"/>
        <v>{{ mod_divers_rich_rich_tl }}</v>
      </c>
      <c r="N218" t="s">
        <v>896</v>
      </c>
      <c r="O218" s="13" t="s">
        <v>1816</v>
      </c>
      <c r="P218" t="s">
        <v>4081</v>
      </c>
      <c r="Q218" t="str">
        <f t="shared" si="11"/>
        <v xml:space="preserve">    mod_divers_rich_rich_tl: "&lt;a href=\"09_glossary.html#mod_divers_rich_rich\" target=\"_blank\" data-bs-toggle=\"tooltip\" data-bs-title=\"Species richness: The total number of species in an assemblage or a sample' (Gotelli &amp; Chao, 2013).\"&gt;species richness&lt;button type=\"button\" class=\"btn btn-bd-tip-info-hidden btn-sm position-relative\"&gt;.&lt;span class=\"position-absolute top-0 start-100 translate-middle\"&gt;{{ icon_info }}&lt;/span&gt;&lt;/button&gt;&lt;/a&gt;"</v>
      </c>
      <c r="R218" t="b" cm="1">
        <f t="array" ref="R218">SUMPRODUCT(--EXACT($J$2:$J$490,J218))&gt;1</f>
        <v>1</v>
      </c>
      <c r="S218" t="s">
        <v>4391</v>
      </c>
    </row>
    <row r="219" spans="1:19">
      <c r="A219" s="30">
        <v>3</v>
      </c>
      <c r="B219" s="30" t="s">
        <v>1393</v>
      </c>
      <c r="C219" s="30"/>
      <c r="D219" s="30" t="s">
        <v>1208</v>
      </c>
      <c r="E219" s="30" t="s">
        <v>984</v>
      </c>
      <c r="F219" s="30" t="s">
        <v>451</v>
      </c>
      <c r="G219" s="39" t="str">
        <f>VLOOKUP(F219,glossary!J:N,2,FALSE)</f>
        <v>Species richness</v>
      </c>
      <c r="H219" s="34" t="s">
        <v>451</v>
      </c>
      <c r="I219" s="45" t="str">
        <f t="shared" si="9"/>
        <v>mod_divers_rich_rich_tu</v>
      </c>
      <c r="J219" s="42" t="s">
        <v>442</v>
      </c>
      <c r="K219" s="39" t="str">
        <f>VLOOKUP(F219,glossary!J:N,5,FALSE)</f>
        <v>The total number of species in an assemblage or a sample' (Gotelli &amp; Chao, 2013).</v>
      </c>
      <c r="L219" t="s">
        <v>1574</v>
      </c>
      <c r="M219" s="30" t="str">
        <f t="shared" si="10"/>
        <v>{{ mod_divers_rich_rich_tu }}</v>
      </c>
      <c r="N219" t="s">
        <v>896</v>
      </c>
      <c r="O219" s="13" t="s">
        <v>1816</v>
      </c>
      <c r="P219" t="s">
        <v>4081</v>
      </c>
      <c r="Q219" t="str">
        <f t="shared" si="11"/>
        <v xml:space="preserve">    mod_divers_rich_rich_tu: "&lt;a href=\"09_glossary.html#mod_divers_rich_rich\" target=\"_blank\" data-bs-toggle=\"tooltip\" data-bs-title=\"Species richness: The total number of species in an assemblage or a sample' (Gotelli &amp; Chao, 2013).\"&gt;Species richness&lt;button type=\"button\" class=\"btn btn-bd-tip-info-hidden btn-sm position-relative\"&gt;.&lt;span class=\"position-absolute top-0 start-100 translate-middle\"&gt;{{ icon_info }}&lt;/span&gt;&lt;/button&gt;&lt;/a&gt;"</v>
      </c>
      <c r="R219" t="b">
        <v>0</v>
      </c>
      <c r="S219" t="s">
        <v>4392</v>
      </c>
    </row>
    <row r="220" spans="1:19">
      <c r="B220" s="30" t="s">
        <v>768</v>
      </c>
      <c r="D220" s="30" t="s">
        <v>1207</v>
      </c>
      <c r="E220" s="30" t="s">
        <v>984</v>
      </c>
      <c r="F220" s="2" t="s">
        <v>1784</v>
      </c>
      <c r="G220" s="39" t="str">
        <f>VLOOKUP(F220,glossary!J:N,2,FALSE)</f>
        <v>Estimated species richness</v>
      </c>
      <c r="H220" s="2" t="s">
        <v>1784</v>
      </c>
      <c r="I220" s="45" t="str">
        <f t="shared" si="9"/>
        <v>mod_divers_rich_rich_est_tl</v>
      </c>
      <c r="J220" s="30" t="s">
        <v>1813</v>
      </c>
      <c r="K220" s="39" t="str">
        <f>VLOOKUP(F220,glossary!J:N,5,FALSE)</f>
        <v>when the 'sum of the number of species seen' is adjusted based on corrections for 'imperfect detection' (i.e. the fact that some species in a given sample may have been missed)' (Wearn &amp; Glover-Kapfer, 2017)</v>
      </c>
      <c r="L220" s="30" t="s">
        <v>984</v>
      </c>
      <c r="M220" s="30" t="str">
        <f t="shared" si="10"/>
        <v>{{ mod_divers_rich_rich_est_tl }}</v>
      </c>
      <c r="N220" t="s">
        <v>896</v>
      </c>
      <c r="O220" s="13" t="s">
        <v>1816</v>
      </c>
      <c r="P220" t="s">
        <v>4081</v>
      </c>
      <c r="Q220" t="str">
        <f t="shared" si="11"/>
        <v xml:space="preserve">    mod_divers_rich_rich_est_tl: "&lt;a href=\"09_glossary.html#mod_divers_rich_rich_est\" target=\"_blank\" data-bs-toggle=\"tooltip\" data-bs-title=\"Estimated species richness: when the 'sum of the number of species seen' is adjusted based on corrections for 'imperfect detection' (i.e. the fact that some species in a given sample may have been missed)' (Wearn &amp; Glover-Kapfer, 2017)\"&gt;estimated species richness&lt;button type=\"button\" class=\"btn btn-bd-tip-info-hidden btn-sm position-relative\"&gt;.&lt;span class=\"position-absolute top-0 start-100 translate-middle\"&gt;{{ icon_info }}&lt;/span&gt;&lt;/button&gt;&lt;/a&gt;"</v>
      </c>
      <c r="R220" t="b" cm="1">
        <f t="array" ref="R220">SUMPRODUCT(--EXACT($J$2:$J$490,J220))&gt;1</f>
        <v>0</v>
      </c>
      <c r="S220" t="s">
        <v>4393</v>
      </c>
    </row>
    <row r="221" spans="1:19">
      <c r="B221" s="30" t="s">
        <v>768</v>
      </c>
      <c r="D221" s="30" t="s">
        <v>1208</v>
      </c>
      <c r="E221" s="30" t="s">
        <v>984</v>
      </c>
      <c r="F221" s="2" t="s">
        <v>1784</v>
      </c>
      <c r="G221" s="39" t="str">
        <f>VLOOKUP(F221,glossary!J:N,2,FALSE)</f>
        <v>Estimated species richness</v>
      </c>
      <c r="H221" s="2" t="s">
        <v>1784</v>
      </c>
      <c r="I221" s="45" t="str">
        <f t="shared" si="9"/>
        <v>mod_divers_rich_rich_est_tu</v>
      </c>
      <c r="J221" s="30" t="s">
        <v>1217</v>
      </c>
      <c r="K221" s="39" t="str">
        <f>VLOOKUP(F221,glossary!J:N,5,FALSE)</f>
        <v>when the 'sum of the number of species seen' is adjusted based on corrections for 'imperfect detection' (i.e. the fact that some species in a given sample may have been missed)' (Wearn &amp; Glover-Kapfer, 2017)</v>
      </c>
      <c r="L221" s="30" t="s">
        <v>984</v>
      </c>
      <c r="M221" s="30" t="str">
        <f t="shared" si="10"/>
        <v>{{ mod_divers_rich_rich_est_tu }}</v>
      </c>
      <c r="N221" t="s">
        <v>896</v>
      </c>
      <c r="O221" s="13" t="s">
        <v>1816</v>
      </c>
      <c r="P221" t="s">
        <v>4081</v>
      </c>
      <c r="Q221" t="str">
        <f t="shared" si="11"/>
        <v xml:space="preserve">    mod_divers_rich_rich_est_tu: "&lt;a href=\"09_glossary.html#mod_divers_rich_rich_est\" target=\"_blank\" data-bs-toggle=\"tooltip\" data-bs-title=\"Estimated species richness: when the 'sum of the number of species seen' is adjusted based on corrections for 'imperfect detection' (i.e. the fact that some species in a given sample may have been missed)' (Wearn &amp; Glover-Kapfer, 2017)\"&gt;Estimated species richness&lt;button type=\"button\" class=\"btn btn-bd-tip-info-hidden btn-sm position-relative\"&gt;.&lt;span class=\"position-absolute top-0 start-100 translate-middle\"&gt;{{ icon_info }}&lt;/span&gt;&lt;/button&gt;&lt;/a&gt;"</v>
      </c>
      <c r="R221" t="b" cm="1">
        <f t="array" ref="R221">SUMPRODUCT(--EXACT($J$2:$J$490,J221))&gt;1</f>
        <v>0</v>
      </c>
      <c r="S221" t="s">
        <v>4394</v>
      </c>
    </row>
    <row r="222" spans="1:19">
      <c r="B222" s="30" t="s">
        <v>768</v>
      </c>
      <c r="D222" s="30" t="s">
        <v>1207</v>
      </c>
      <c r="E222" s="30" t="s">
        <v>984</v>
      </c>
      <c r="F222" s="30" t="s">
        <v>1783</v>
      </c>
      <c r="G222" s="39" t="str">
        <f>VLOOKUP(F222,glossary!J:N,2,FALSE)</f>
        <v>Observed species richness</v>
      </c>
      <c r="H222" s="30" t="s">
        <v>1783</v>
      </c>
      <c r="I222" s="45" t="str">
        <f t="shared" si="9"/>
        <v>mod_divers_rich_rich_obs_tl</v>
      </c>
      <c r="J222" s="30" t="s">
        <v>1810</v>
      </c>
      <c r="K222" s="39" t="str">
        <f>VLOOKUP(F222,glossary!J:N,5,FALSE)</f>
        <v>the sum of the number of species seen' (e.g., Kitamura et al., 2010; Pettorelli et al., 2010; Ahumada et al., 2011; Aamejima et al., 2012)</v>
      </c>
      <c r="L222" s="30" t="s">
        <v>984</v>
      </c>
      <c r="M222" s="30" t="str">
        <f t="shared" si="10"/>
        <v>{{ mod_divers_rich_rich_obs_tl }}</v>
      </c>
      <c r="N222" t="s">
        <v>896</v>
      </c>
      <c r="O222" s="13" t="s">
        <v>1816</v>
      </c>
      <c r="P222" t="s">
        <v>4081</v>
      </c>
      <c r="Q222" t="str">
        <f t="shared" si="11"/>
        <v xml:space="preserve">    mod_divers_rich_rich_obs_tl: "&lt;a href=\"09_glossary.html#mod_divers_rich_rich_obs\" target=\"_blank\" data-bs-toggle=\"tooltip\" data-bs-title=\"Observed species richness: the sum of the number of species seen' (e.g., Kitamura et al., 2010; Pettorelli et al., 2010; Ahumada et al., 2011; Aamejima et al., 2012)\"&gt;observed species richness&lt;button type=\"button\" class=\"btn btn-bd-tip-info-hidden btn-sm position-relative\"&gt;.&lt;span class=\"position-absolute top-0 start-100 translate-middle\"&gt;{{ icon_info }}&lt;/span&gt;&lt;/button&gt;&lt;/a&gt;"</v>
      </c>
      <c r="R222" t="b" cm="1">
        <f t="array" ref="R222">SUMPRODUCT(--EXACT($J$2:$J$490,J222))&gt;1</f>
        <v>0</v>
      </c>
      <c r="S222" t="s">
        <v>4395</v>
      </c>
    </row>
    <row r="223" spans="1:19">
      <c r="B223" s="30" t="s">
        <v>768</v>
      </c>
      <c r="D223" s="30" t="s">
        <v>1208</v>
      </c>
      <c r="E223" s="30" t="s">
        <v>984</v>
      </c>
      <c r="F223" s="30" t="s">
        <v>1783</v>
      </c>
      <c r="G223" s="39" t="str">
        <f>VLOOKUP(F223,glossary!J:N,2,FALSE)</f>
        <v>Observed species richness</v>
      </c>
      <c r="H223" s="30" t="s">
        <v>1783</v>
      </c>
      <c r="I223" s="45" t="str">
        <f t="shared" si="9"/>
        <v>mod_divers_rich_rich_obs_tu</v>
      </c>
      <c r="J223" s="30" t="s">
        <v>1216</v>
      </c>
      <c r="K223" s="39" t="str">
        <f>VLOOKUP(F223,glossary!J:N,5,FALSE)</f>
        <v>the sum of the number of species seen' (e.g., Kitamura et al., 2010; Pettorelli et al., 2010; Ahumada et al., 2011; Aamejima et al., 2012)</v>
      </c>
      <c r="L223" s="30" t="s">
        <v>984</v>
      </c>
      <c r="M223" s="30" t="str">
        <f t="shared" si="10"/>
        <v>{{ mod_divers_rich_rich_obs_tu }}</v>
      </c>
      <c r="N223" t="s">
        <v>896</v>
      </c>
      <c r="O223" s="13" t="s">
        <v>1816</v>
      </c>
      <c r="P223" t="s">
        <v>4081</v>
      </c>
      <c r="Q223" t="str">
        <f t="shared" si="11"/>
        <v xml:space="preserve">    mod_divers_rich_rich_obs_tu: "&lt;a href=\"09_glossary.html#mod_divers_rich_rich_obs\" target=\"_blank\" data-bs-toggle=\"tooltip\" data-bs-title=\"Observed species richness: the sum of the number of species seen' (e.g., Kitamura et al., 2010; Pettorelli et al., 2010; Ahumada et al., 2011; Aamejima et al., 2012)\"&gt;Observed species richness&lt;button type=\"button\" class=\"btn btn-bd-tip-info-hidden btn-sm position-relative\"&gt;.&lt;span class=\"position-absolute top-0 start-100 translate-middle\"&gt;{{ icon_info }}&lt;/span&gt;&lt;/button&gt;&lt;/a&gt;"</v>
      </c>
      <c r="R223" t="b" cm="1">
        <f t="array" ref="R223">SUMPRODUCT(--EXACT($J$2:$J$490,J223))&gt;1</f>
        <v>0</v>
      </c>
      <c r="S223" t="s">
        <v>4396</v>
      </c>
    </row>
    <row r="224" spans="1:19">
      <c r="A224" s="30">
        <v>2</v>
      </c>
      <c r="B224" s="30" t="s">
        <v>1400</v>
      </c>
      <c r="C224" s="30"/>
      <c r="D224" s="30" t="s">
        <v>1207</v>
      </c>
      <c r="E224" s="30" t="s">
        <v>984</v>
      </c>
      <c r="F224" s="30" t="s">
        <v>591</v>
      </c>
      <c r="G224" s="39" t="e">
        <f>VLOOKUP(F224,glossary!J:N,2,FALSE)</f>
        <v>#N/A</v>
      </c>
      <c r="H224" s="30" t="s">
        <v>591</v>
      </c>
      <c r="I224" s="45" t="str">
        <f t="shared" si="9"/>
        <v>mod_divers_rich_rich2_tl</v>
      </c>
      <c r="J224" s="39" t="s">
        <v>953</v>
      </c>
      <c r="K224" s="39" t="e">
        <f>VLOOKUP(F224,glossary!J:N,5,FALSE)</f>
        <v>#N/A</v>
      </c>
      <c r="L224" s="30" t="s">
        <v>984</v>
      </c>
      <c r="M224" s="30" t="str">
        <f t="shared" si="10"/>
        <v>{{ mod_divers_rich_rich2_tl }}</v>
      </c>
      <c r="N224" t="s">
        <v>896</v>
      </c>
      <c r="O224" s="13" t="s">
        <v>1816</v>
      </c>
      <c r="P224" t="s">
        <v>4081</v>
      </c>
      <c r="Q224" t="e">
        <f t="shared" si="11"/>
        <v>#N/A</v>
      </c>
      <c r="R224" t="b" cm="1">
        <f t="array" ref="R224">SUMPRODUCT(--EXACT($J$2:$J$490,J224))&gt;1</f>
        <v>1</v>
      </c>
      <c r="S224" t="s">
        <v>4397</v>
      </c>
    </row>
    <row r="225" spans="1:19">
      <c r="A225" s="30">
        <v>2</v>
      </c>
      <c r="B225" s="30" t="s">
        <v>1400</v>
      </c>
      <c r="C225" s="30"/>
      <c r="D225" s="30" t="s">
        <v>1208</v>
      </c>
      <c r="E225" s="30" t="s">
        <v>984</v>
      </c>
      <c r="F225" s="30" t="s">
        <v>591</v>
      </c>
      <c r="G225" s="39" t="e">
        <f>VLOOKUP(F225,glossary!J:N,2,FALSE)</f>
        <v>#N/A</v>
      </c>
      <c r="H225" s="30" t="s">
        <v>591</v>
      </c>
      <c r="I225" s="45" t="str">
        <f t="shared" si="9"/>
        <v>mod_divers_rich_rich2_tu</v>
      </c>
      <c r="J225" s="39" t="s">
        <v>442</v>
      </c>
      <c r="K225" s="39" t="e">
        <f>VLOOKUP(F225,glossary!J:N,5,FALSE)</f>
        <v>#N/A</v>
      </c>
      <c r="L225" s="30" t="s">
        <v>984</v>
      </c>
      <c r="M225" s="30" t="str">
        <f t="shared" si="10"/>
        <v>{{ mod_divers_rich_rich2_tu }}</v>
      </c>
      <c r="N225" t="s">
        <v>896</v>
      </c>
      <c r="O225" s="13" t="s">
        <v>1816</v>
      </c>
      <c r="P225" t="s">
        <v>4081</v>
      </c>
      <c r="Q225" t="e">
        <f t="shared" si="11"/>
        <v>#N/A</v>
      </c>
      <c r="R225" t="b">
        <v>0</v>
      </c>
      <c r="S225" t="s">
        <v>4398</v>
      </c>
    </row>
    <row r="226" spans="1:19">
      <c r="A226" s="30">
        <v>3</v>
      </c>
      <c r="B226" s="30" t="s">
        <v>1393</v>
      </c>
      <c r="C226" s="30"/>
      <c r="D226" s="30" t="s">
        <v>1208</v>
      </c>
      <c r="E226" s="30" t="s">
        <v>823</v>
      </c>
      <c r="F226" s="30" t="s">
        <v>10</v>
      </c>
      <c r="G226" s="39" t="str">
        <f>VLOOKUP(F226,glossary!J:N,2,FALSE)</f>
        <v>Distance sampling (DS) model (Howe et al., 2017)</v>
      </c>
      <c r="H226" s="34" t="s">
        <v>10</v>
      </c>
      <c r="I226" s="45" t="str">
        <f t="shared" si="9"/>
        <v>mod_ds_tu_ref</v>
      </c>
      <c r="J226" s="42" t="s">
        <v>196</v>
      </c>
      <c r="K226" s="39" t="str">
        <f>VLOOKUP(F226,glossary!J:N,5,FALSE)</f>
        <v>A method to estimate abundance by using distances at which animals are detected (from survey lines or points) to model abundance as a function of decreasing detection probability with animal distance from the camera (using a decay function) (Cappelle et al., 2021; Howe et al., 2017).</v>
      </c>
      <c r="L226" t="s">
        <v>1573</v>
      </c>
      <c r="M226" s="30" t="str">
        <f t="shared" si="10"/>
        <v>{{ mod_ds_tu_ref }}</v>
      </c>
      <c r="N226" t="s">
        <v>896</v>
      </c>
      <c r="O226" s="13" t="s">
        <v>1816</v>
      </c>
      <c r="P226" t="s">
        <v>4081</v>
      </c>
      <c r="Q226" t="str">
        <f t="shared" si="11"/>
        <v xml:space="preserve">    mod_ds_tu_ref: "&lt;a href=\"09_glossary.html#mod_ds\" target=\"_blank\" data-bs-toggle=\"tooltip\" data-bs-title=\"Distance sampling (DS) model (Howe et al., 2017): A method to estimate abundance by using distances at which animals are detected (from survey lines or points) to model abundance as a function of decreasing detection probability with animal distance from the camera (using a decay function) (Cappelle et al., 2021; Howe et al., 2017).\"&gt;Distance sampling (DS) model (Howe et al., 2017)&lt;button type=\"button\" class=\"btn btn-bd-tip-info-hidden btn-sm position-relative\"&gt;.&lt;span class=\"position-absolute top-0 start-100 translate-middle\"&gt;{{ icon_info }}&lt;/span&gt;&lt;/button&gt;&lt;/a&gt;"</v>
      </c>
      <c r="R226" t="b" cm="1">
        <f t="array" ref="R226">SUMPRODUCT(--EXACT($J$2:$J$490,J226))&gt;1</f>
        <v>0</v>
      </c>
      <c r="S226" t="s">
        <v>4399</v>
      </c>
    </row>
    <row r="227" spans="1:19">
      <c r="A227" s="30">
        <v>2</v>
      </c>
      <c r="B227" s="30" t="s">
        <v>1400</v>
      </c>
      <c r="C227" s="30"/>
      <c r="D227" s="30" t="s">
        <v>1207</v>
      </c>
      <c r="E227" s="30" t="s">
        <v>1752</v>
      </c>
      <c r="F227" s="30" t="s">
        <v>38</v>
      </c>
      <c r="G227" s="39" t="str">
        <f>VLOOKUP(F227,glossary!J:N,2,FALSE)</f>
        <v>Inventory</v>
      </c>
      <c r="H227" s="30" t="s">
        <v>38</v>
      </c>
      <c r="I227" s="45" t="str">
        <f t="shared" si="9"/>
        <v>mod_inventory_tl_abrv</v>
      </c>
      <c r="J227" s="39" t="s">
        <v>933</v>
      </c>
      <c r="K227" s="39" t="str">
        <f>VLOOKUP(F227,glossary!J:N,5,FALSE)</f>
        <v>Rapid assessment surveys used to determine what species are present in a given area at a given point in time; there is no attempt made to quantify aspects of communities or populations (Wearn &amp; Glover-Kapfer, 2017).</v>
      </c>
      <c r="L227" s="30" t="s">
        <v>1572</v>
      </c>
      <c r="M227" s="30" t="str">
        <f t="shared" si="10"/>
        <v>{{ mod_inventory_tl_abrv }}</v>
      </c>
      <c r="N227" t="s">
        <v>896</v>
      </c>
      <c r="O227" s="13" t="s">
        <v>1816</v>
      </c>
      <c r="P227" t="s">
        <v>4081</v>
      </c>
      <c r="Q227" t="str">
        <f t="shared" si="11"/>
        <v xml:space="preserve">    mod_inventory_tl_abrv: "&lt;a href=\"09_glossary.html#mod_inventory\" target=\"_blank\" data-bs-toggle=\"tooltip\" data-bs-title=\"Inventory: Rapid assessment surveys used to determine what species are present in a given area at a given point in time; there is no attempt made to quantify aspects of communities or populations (Wearn &amp; Glover-Kapfer, 2017).\"&gt;inventory&lt;button type=\"button\" class=\"btn btn-bd-tip-info-hidden btn-sm position-relative\"&gt;.&lt;span class=\"position-absolute top-0 start-100 translate-middle\"&gt;{{ icon_info }}&lt;/span&gt;&lt;/button&gt;&lt;/a&gt;"</v>
      </c>
      <c r="R227" t="b" cm="1">
        <f t="array" ref="R227">SUMPRODUCT(--EXACT($J$2:$J$490,J227))&gt;1</f>
        <v>0</v>
      </c>
      <c r="S227" t="s">
        <v>4400</v>
      </c>
    </row>
    <row r="228" spans="1:19">
      <c r="A228" s="30">
        <v>2</v>
      </c>
      <c r="B228" s="30" t="s">
        <v>1400</v>
      </c>
      <c r="C228" s="30"/>
      <c r="D228" s="30" t="s">
        <v>1208</v>
      </c>
      <c r="E228" s="30" t="s">
        <v>1752</v>
      </c>
      <c r="F228" s="30" t="s">
        <v>38</v>
      </c>
      <c r="G228" s="39" t="str">
        <f>VLOOKUP(F228,glossary!J:N,2,FALSE)</f>
        <v>Inventory</v>
      </c>
      <c r="H228" s="30" t="s">
        <v>38</v>
      </c>
      <c r="I228" s="45" t="str">
        <f t="shared" si="9"/>
        <v>mod_inventory_tu_abrv</v>
      </c>
      <c r="J228" s="39" t="s">
        <v>163</v>
      </c>
      <c r="K228" s="39" t="str">
        <f>VLOOKUP(F228,glossary!J:N,5,FALSE)</f>
        <v>Rapid assessment surveys used to determine what species are present in a given area at a given point in time; there is no attempt made to quantify aspects of communities or populations (Wearn &amp; Glover-Kapfer, 2017).</v>
      </c>
      <c r="L228" s="30" t="s">
        <v>1571</v>
      </c>
      <c r="M228" s="30" t="str">
        <f t="shared" si="10"/>
        <v>{{ mod_inventory_tu_abrv }}</v>
      </c>
      <c r="N228" t="s">
        <v>896</v>
      </c>
      <c r="O228" s="13" t="s">
        <v>1816</v>
      </c>
      <c r="P228" t="s">
        <v>4081</v>
      </c>
      <c r="Q228" t="str">
        <f t="shared" si="11"/>
        <v xml:space="preserve">    mod_inventory_tu_abrv: "&lt;a href=\"09_glossary.html#mod_inventory\" target=\"_blank\" data-bs-toggle=\"tooltip\" data-bs-title=\"Inventory: Rapid assessment surveys used to determine what species are present in a given area at a given point in time; there is no attempt made to quantify aspects of communities or populations (Wearn &amp; Glover-Kapfer, 2017).\"&gt;Inventory&lt;button type=\"button\" class=\"btn btn-bd-tip-info-hidden btn-sm position-relative\"&gt;.&lt;span class=\"position-absolute top-0 start-100 translate-middle\"&gt;{{ icon_info }}&lt;/span&gt;&lt;/button&gt;&lt;/a&gt;"</v>
      </c>
      <c r="R228" t="b" cm="1">
        <f t="array" ref="R228">SUMPRODUCT(--EXACT($J$2:$J$490,J228))&gt;1</f>
        <v>0</v>
      </c>
      <c r="S228" t="s">
        <v>4401</v>
      </c>
    </row>
    <row r="229" spans="1:19">
      <c r="A229" s="30">
        <v>3</v>
      </c>
      <c r="B229" s="30" t="s">
        <v>1393</v>
      </c>
      <c r="C229" s="30"/>
      <c r="D229" s="30" t="s">
        <v>1208</v>
      </c>
      <c r="E229" s="30" t="s">
        <v>823</v>
      </c>
      <c r="F229" s="30" t="s">
        <v>3</v>
      </c>
      <c r="G229" s="39" t="str">
        <f>VLOOKUP(F229,glossary!J:N,2,FALSE)</f>
        <v>Instantaneous sampling (IS) model (Moeller et al., 2018)</v>
      </c>
      <c r="H229" s="34" t="s">
        <v>3</v>
      </c>
      <c r="I229" s="45" t="str">
        <f t="shared" si="9"/>
        <v>mod_is_tu_ref</v>
      </c>
      <c r="J229" s="42" t="s">
        <v>899</v>
      </c>
      <c r="K229" s="39" t="str">
        <f>VLOOKUP(F229,glossary!J:N,5,FALSE)</f>
        <v>A method used to estimate abundance or density from time-lapse images from randomly deployed cameras; the number of unique individuals (the count) is needed (Moeller et al., 2018).</v>
      </c>
      <c r="L229" t="s">
        <v>1570</v>
      </c>
      <c r="M229" s="30" t="str">
        <f t="shared" si="10"/>
        <v>{{ mod_is_tu_ref }}</v>
      </c>
      <c r="N229" t="s">
        <v>896</v>
      </c>
      <c r="O229" s="13" t="s">
        <v>1816</v>
      </c>
      <c r="P229" t="s">
        <v>4081</v>
      </c>
      <c r="Q229" t="str">
        <f t="shared" si="11"/>
        <v xml:space="preserve">    mod_is_tu_ref: "&lt;a href=\"09_glossary.html#mod_is\" target=\"_blank\" data-bs-toggle=\"tooltip\" data-bs-title=\"Instantaneous sampling (IS) model (Moeller et al., 2018): A method used to estimate abundance or density from time-lapse images from randomly deployed cameras; the number of unique individuals (the count) is needed (Moeller et al., 2018).\"&gt;Instantaneous sampling (IS) model (Moeller et al., 2018)&lt;button type=\"button\" class=\"btn btn-bd-tip-info-hidden btn-sm position-relative\"&gt;.&lt;span class=\"position-absolute top-0 start-100 translate-middle\"&gt;{{ icon_info }}&lt;/span&gt;&lt;/button&gt;&lt;/a&gt;"</v>
      </c>
      <c r="R229" t="b" cm="1">
        <f t="array" ref="R229">SUMPRODUCT(--EXACT($J$2:$J$490,J229))&gt;1</f>
        <v>0</v>
      </c>
      <c r="S229" t="s">
        <v>4402</v>
      </c>
    </row>
    <row r="230" spans="1:19">
      <c r="A230" s="30">
        <v>3</v>
      </c>
      <c r="B230" s="30" t="s">
        <v>1393</v>
      </c>
      <c r="C230" s="30"/>
      <c r="D230" s="30" t="s">
        <v>1208</v>
      </c>
      <c r="E230" s="30" t="s">
        <v>823</v>
      </c>
      <c r="F230" s="30" t="s">
        <v>27</v>
      </c>
      <c r="G230" s="39" t="str">
        <f>VLOOKUP(F230,glossary!J:N,2,FALSE)</f>
        <v>Mark-resight (MR) model (Arnason et al., 1991; McClintock et al., 2009)</v>
      </c>
      <c r="H230" s="34" t="s">
        <v>27</v>
      </c>
      <c r="I230" s="45" t="str">
        <f t="shared" si="9"/>
        <v>mod_mr_tu_ref</v>
      </c>
      <c r="J230" s="42" t="s">
        <v>158</v>
      </c>
      <c r="K230" s="39" t="str">
        <f>VLOOKUP(F230,glossary!J:N,5,FALSE)</f>
        <v>A method used to estimate the abundance of partially marked populations using the number of marked individuals, the number of unmarked individuals, and the detection probability from marked animals (Wearn &amp; Glover-Kapfer, 2017). MR is similar to capture-recapture (CR; Karanth, 1995; Karanth &amp; Nichols, 1998) models, except only a portion of animals are individually identified.</v>
      </c>
      <c r="L230" t="s">
        <v>1569</v>
      </c>
      <c r="M230" s="30" t="str">
        <f t="shared" si="10"/>
        <v>{{ mod_mr_tu_ref }}</v>
      </c>
      <c r="N230" t="s">
        <v>896</v>
      </c>
      <c r="O230" s="13" t="s">
        <v>1816</v>
      </c>
      <c r="P230" t="s">
        <v>4081</v>
      </c>
      <c r="Q230" t="str">
        <f t="shared" si="11"/>
        <v xml:space="preserve">    mod_mr_tu_ref: "&lt;a href=\"09_glossary.html#mod_mr\" target=\"_blank\" data-bs-toggle=\"tooltip\" data-bs-title=\"Mark-resight (MR) model (Arnason et al., 1991; McClintock et al., 2009): A method used to estimate the abundance of partially marked populations using the number of marked individuals, the number of unmarked individuals, and the detection probability from marked animals (Wearn &amp; Glover-Kapfer, 2017). MR is similar to capture-recapture (CR; Karanth, 1995; Karanth &amp; Nichols, 1998) models, except only a portion of animals are individually identified.\"&gt;Mark-resight (MR) model (Arnason et al., 1991; McClintock et al., 2009)&lt;button type=\"button\" class=\"btn btn-bd-tip-info-hidden btn-sm position-relative\"&gt;.&lt;span class=\"position-absolute top-0 start-100 translate-middle\"&gt;{{ icon_info }}&lt;/span&gt;&lt;/button&gt;&lt;/a&gt;"</v>
      </c>
      <c r="R230" t="b" cm="1">
        <f t="array" ref="R230">SUMPRODUCT(--EXACT($J$2:$J$490,J230))&gt;1</f>
        <v>0</v>
      </c>
      <c r="S230" t="s">
        <v>4403</v>
      </c>
    </row>
    <row r="231" spans="1:19">
      <c r="A231" s="30">
        <v>1</v>
      </c>
      <c r="B231" s="30" t="s">
        <v>1064</v>
      </c>
      <c r="C231" s="30" t="s">
        <v>0</v>
      </c>
      <c r="D231" s="30" t="s">
        <v>1207</v>
      </c>
      <c r="E231" s="30" t="s">
        <v>1752</v>
      </c>
      <c r="F231" s="30" t="s">
        <v>459</v>
      </c>
      <c r="G231" s="39" t="str">
        <f>VLOOKUP(F231,glossary!J:N,2,FALSE)</f>
        <v>N-mixture models</v>
      </c>
      <c r="H231" s="30" t="s">
        <v>459</v>
      </c>
      <c r="I231" s="45" t="str">
        <f t="shared" si="9"/>
        <v>mod_n_mixture_tl_abrv</v>
      </c>
      <c r="J231" s="39" t="s">
        <v>938</v>
      </c>
      <c r="K231" s="39" t="str">
        <f>VLOOKUP(F231,glossary!J:N,5,FALSE)</f>
        <v>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v>
      </c>
      <c r="L231" s="30" t="s">
        <v>1719</v>
      </c>
      <c r="M231" s="30" t="str">
        <f t="shared" si="10"/>
        <v>{{ mod_n_mixture_tl_abrv }}</v>
      </c>
      <c r="N231" t="s">
        <v>896</v>
      </c>
      <c r="O231" s="13" t="s">
        <v>1816</v>
      </c>
      <c r="P231" t="s">
        <v>4081</v>
      </c>
      <c r="Q231" t="str">
        <f t="shared" si="11"/>
        <v xml:space="preserve">    mod_n_mixture_tl_abrv: "&lt;a href=\"09_glossary.html#mod_n_mixture\" target=\"_blank\" data-bs-toggle=\"tooltip\" data-bs-title=\"N-mixture models: 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2023]).\"&gt;n-mixture&lt;button type=\"button\" class=\"btn btn-bd-tip-info-hidden btn-sm position-relative\"&gt;.&lt;span class=\"position-absolute top-0 start-100 translate-middle\"&gt;{{ icon_info }}&lt;/span&gt;&lt;/button&gt;&lt;/a&gt;"</v>
      </c>
      <c r="R231" t="b" cm="1">
        <f t="array" ref="R231">SUMPRODUCT(--EXACT($J$2:$J$490,J231))&gt;1</f>
        <v>0</v>
      </c>
      <c r="S231" t="s">
        <v>4404</v>
      </c>
    </row>
    <row r="232" spans="1:19">
      <c r="A232" s="30">
        <v>3</v>
      </c>
      <c r="B232" s="30" t="s">
        <v>1393</v>
      </c>
      <c r="C232" s="30"/>
      <c r="D232" s="30" t="s">
        <v>1207</v>
      </c>
      <c r="E232" s="30" t="s">
        <v>1758</v>
      </c>
      <c r="F232" s="30" t="s">
        <v>459</v>
      </c>
      <c r="G232" s="39" t="str">
        <f>VLOOKUP(F232,glossary!J:N,2,FALSE)</f>
        <v>N-mixture models</v>
      </c>
      <c r="H232" s="34" t="s">
        <v>459</v>
      </c>
      <c r="I232" s="45" t="str">
        <f t="shared" si="9"/>
        <v>mod_n_mixture_tl_pl</v>
      </c>
      <c r="J232" s="43" t="s">
        <v>939</v>
      </c>
      <c r="K232" s="39" t="str">
        <f>VLOOKUP(F232,glossary!J:N,5,FALSE)</f>
        <v>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v>
      </c>
      <c r="L232" t="s">
        <v>1568</v>
      </c>
      <c r="M232" s="30" t="str">
        <f t="shared" si="10"/>
        <v>{{ mod_n_mixture_tl_pl }}</v>
      </c>
      <c r="N232" t="s">
        <v>896</v>
      </c>
      <c r="O232" s="13" t="s">
        <v>1816</v>
      </c>
      <c r="P232" t="s">
        <v>4081</v>
      </c>
      <c r="Q232" t="str">
        <f t="shared" si="11"/>
        <v xml:space="preserve">    mod_n_mixture_tl_pl: "&lt;a href=\"09_glossary.html#mod_n_mixture\" target=\"_blank\" data-bs-toggle=\"tooltip\" data-bs-title=\"N-mixture models: 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2023]).\"&gt;n-mixture models&lt;button type=\"button\" class=\"btn btn-bd-tip-info-hidden btn-sm position-relative\"&gt;.&lt;span class=\"position-absolute top-0 start-100 translate-middle\"&gt;{{ icon_info }}&lt;/span&gt;&lt;/button&gt;&lt;/a&gt;"</v>
      </c>
      <c r="R232" t="b" cm="1">
        <f t="array" ref="R232">SUMPRODUCT(--EXACT($J$2:$J$490,J232))&gt;1</f>
        <v>0</v>
      </c>
      <c r="S232" t="s">
        <v>4405</v>
      </c>
    </row>
    <row r="233" spans="1:19">
      <c r="A233" s="30">
        <v>1</v>
      </c>
      <c r="B233" s="30" t="s">
        <v>1064</v>
      </c>
      <c r="C233" s="30" t="s">
        <v>0</v>
      </c>
      <c r="D233" s="30" t="s">
        <v>1208</v>
      </c>
      <c r="E233" s="30" t="s">
        <v>1752</v>
      </c>
      <c r="F233" s="30" t="s">
        <v>459</v>
      </c>
      <c r="G233" s="39" t="str">
        <f>VLOOKUP(F233,glossary!J:N,2,FALSE)</f>
        <v>N-mixture models</v>
      </c>
      <c r="H233" s="30" t="s">
        <v>459</v>
      </c>
      <c r="I233" s="45" t="str">
        <f t="shared" si="9"/>
        <v>mod_n_mixture_tu_abrv</v>
      </c>
      <c r="J233" s="39" t="s">
        <v>17</v>
      </c>
      <c r="K233" s="39" t="str">
        <f>VLOOKUP(F233,glossary!J:N,5,FALSE)</f>
        <v>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v>
      </c>
      <c r="L233" s="30" t="s">
        <v>1134</v>
      </c>
      <c r="M233" s="30" t="str">
        <f t="shared" si="10"/>
        <v>{{ mod_n_mixture_tu_abrv }}</v>
      </c>
      <c r="N233" t="s">
        <v>896</v>
      </c>
      <c r="O233" s="13" t="s">
        <v>1816</v>
      </c>
      <c r="P233" t="s">
        <v>4081</v>
      </c>
      <c r="Q233" t="str">
        <f t="shared" si="11"/>
        <v xml:space="preserve">    mod_n_mixture_tu_abrv: "&lt;a href=\"09_glossary.html#mod_n_mixture\" target=\"_blank\" data-bs-toggle=\"tooltip\" data-bs-title=\"N-mixture models: 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2023]).\"&gt;N-mixture&lt;button type=\"button\" class=\"btn btn-bd-tip-info-hidden btn-sm position-relative\"&gt;.&lt;span class=\"position-absolute top-0 start-100 translate-middle\"&gt;{{ icon_info }}&lt;/span&gt;&lt;/button&gt;&lt;/a&gt;"</v>
      </c>
      <c r="R233" t="b" cm="1">
        <f t="array" ref="R233">SUMPRODUCT(--EXACT($J$2:$J$490,J233))&gt;1</f>
        <v>0</v>
      </c>
      <c r="S233" t="s">
        <v>4406</v>
      </c>
    </row>
    <row r="234" spans="1:19">
      <c r="A234" s="30">
        <v>3</v>
      </c>
      <c r="B234" s="30" t="s">
        <v>1393</v>
      </c>
      <c r="C234" s="30"/>
      <c r="D234" s="30" t="s">
        <v>1208</v>
      </c>
      <c r="E234" s="30" t="s">
        <v>1758</v>
      </c>
      <c r="F234" s="30" t="s">
        <v>459</v>
      </c>
      <c r="G234" s="39" t="str">
        <f>VLOOKUP(F234,glossary!J:N,2,FALSE)</f>
        <v>N-mixture models</v>
      </c>
      <c r="H234" s="34" t="s">
        <v>459</v>
      </c>
      <c r="I234" s="45" t="str">
        <f t="shared" si="9"/>
        <v>mod_n_mixture_tu_pl</v>
      </c>
      <c r="J234" s="42" t="s">
        <v>150</v>
      </c>
      <c r="K234" s="39" t="str">
        <f>VLOOKUP(F234,glossary!J:N,5,FALSE)</f>
        <v>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v>
      </c>
      <c r="L234" t="s">
        <v>1567</v>
      </c>
      <c r="M234" s="30" t="str">
        <f t="shared" si="10"/>
        <v>{{ mod_n_mixture_tu_pl }}</v>
      </c>
      <c r="N234" t="s">
        <v>896</v>
      </c>
      <c r="O234" s="13" t="s">
        <v>1816</v>
      </c>
      <c r="P234" t="s">
        <v>4081</v>
      </c>
      <c r="Q234" t="str">
        <f t="shared" si="11"/>
        <v xml:space="preserve">    mod_n_mixture_tu_pl: "&lt;a href=\"09_glossary.html#mod_n_mixture\" target=\"_blank\" data-bs-toggle=\"tooltip\" data-bs-title=\"N-mixture models: 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2023]).\"&gt;N-mixture models&lt;button type=\"button\" class=\"btn btn-bd-tip-info-hidden btn-sm position-relative\"&gt;.&lt;span class=\"position-absolute top-0 start-100 translate-middle\"&gt;{{ icon_info }}&lt;/span&gt;&lt;/button&gt;&lt;/a&gt;"</v>
      </c>
      <c r="R234" t="b" cm="1">
        <f t="array" ref="R234">SUMPRODUCT(--EXACT($J$2:$J$490,J234))&gt;1</f>
        <v>0</v>
      </c>
      <c r="S234" t="s">
        <v>4407</v>
      </c>
    </row>
    <row r="235" spans="1:19">
      <c r="A235" s="30">
        <v>1</v>
      </c>
      <c r="B235" s="30" t="s">
        <v>1064</v>
      </c>
      <c r="C235" s="30"/>
      <c r="D235" s="30" t="s">
        <v>1207</v>
      </c>
      <c r="E235" s="30" t="s">
        <v>1759</v>
      </c>
      <c r="F235" s="30" t="s">
        <v>34</v>
      </c>
      <c r="G235" s="39" t="str">
        <f>VLOOKUP(F235,glossary!J:N,2,FALSE)</f>
        <v>Occupancy model (MacKenzie et al., 2002)</v>
      </c>
      <c r="H235" s="30" t="s">
        <v>34</v>
      </c>
      <c r="I235" s="45" t="str">
        <f t="shared" si="9"/>
        <v>mod_occupancy_tl_abrv_pl</v>
      </c>
      <c r="J235" s="39" t="s">
        <v>1385</v>
      </c>
      <c r="K235" s="39" t="str">
        <f>VLOOKUP(F235,glossary!J:N,5,FALSE)</f>
        <v>A modelling approach used to account for imperfect detection by first evaluating the detection probability of a species via detection histories (i.e., present or absent) to determine the probability of the true presence or absence of a species at a site (MacKenzie et al., 2002).</v>
      </c>
      <c r="L235" s="30" t="s">
        <v>1386</v>
      </c>
      <c r="M235" s="30" t="str">
        <f t="shared" si="10"/>
        <v>{{ mod_occupancy_tl_abrv_pl }}</v>
      </c>
      <c r="N235" t="s">
        <v>896</v>
      </c>
      <c r="O235" s="13" t="s">
        <v>1816</v>
      </c>
      <c r="P235" t="s">
        <v>4081</v>
      </c>
      <c r="Q235" t="str">
        <f t="shared" si="11"/>
        <v xml:space="preserve">    mod_occupancy_tl_abrv_pl: "&lt;a href=\"09_glossary.html#mod_occupancy\" target=\"_blank\" data-bs-toggle=\"tooltip\" data-bs-title=\"Occupancy model (MacKenzie et al., 2002): A modelling approach used to account for imperfect detection by first evaluating the detection probability of a species via detection histories (i.e., present or absent) to determine the probability of the true presence or absence of a species at a site (MacKenzie et al., 2002).\"&gt;occupancy models&lt;button type=\"button\" class=\"btn btn-bd-tip-info-hidden btn-sm position-relative\"&gt;.&lt;span class=\"position-absolute top-0 start-100 translate-middle\"&gt;{{ icon_info }}&lt;/span&gt;&lt;/button&gt;&lt;/a&gt;"</v>
      </c>
      <c r="R235" t="b" cm="1">
        <f t="array" ref="R235">SUMPRODUCT(--EXACT($J$2:$J$490,J235))&gt;1</f>
        <v>0</v>
      </c>
      <c r="S235" t="s">
        <v>4408</v>
      </c>
    </row>
    <row r="236" spans="1:19">
      <c r="A236" s="30">
        <v>1</v>
      </c>
      <c r="B236" s="30" t="s">
        <v>1064</v>
      </c>
      <c r="C236" s="30" t="s">
        <v>0</v>
      </c>
      <c r="D236" s="30" t="s">
        <v>1208</v>
      </c>
      <c r="E236" s="30" t="s">
        <v>1758</v>
      </c>
      <c r="F236" s="30" t="s">
        <v>34</v>
      </c>
      <c r="G236" s="39" t="str">
        <f>VLOOKUP(F236,glossary!J:N,2,FALSE)</f>
        <v>Occupancy model (MacKenzie et al., 2002)</v>
      </c>
      <c r="H236" s="30" t="s">
        <v>34</v>
      </c>
      <c r="I236" s="45" t="str">
        <f t="shared" si="9"/>
        <v>mod_occupancy_tu_pl</v>
      </c>
      <c r="J236" s="39" t="s">
        <v>1168</v>
      </c>
      <c r="K236" s="39" t="str">
        <f>VLOOKUP(F236,glossary!J:N,5,FALSE)</f>
        <v>A modelling approach used to account for imperfect detection by first evaluating the detection probability of a species via detection histories (i.e., present or absent) to determine the probability of the true presence or absence of a species at a site (MacKenzie et al., 2002).</v>
      </c>
      <c r="L236" s="30" t="s">
        <v>1132</v>
      </c>
      <c r="M236" s="30" t="str">
        <f t="shared" si="10"/>
        <v>{{ mod_occupancy_tu_pl }}</v>
      </c>
      <c r="N236" t="s">
        <v>896</v>
      </c>
      <c r="O236" s="13" t="s">
        <v>1816</v>
      </c>
      <c r="P236" t="s">
        <v>4081</v>
      </c>
      <c r="Q236" t="str">
        <f t="shared" si="11"/>
        <v xml:space="preserve">    mod_occupancy_tu_pl: "&lt;a href=\"09_glossary.html#mod_occupancy\" target=\"_blank\" data-bs-toggle=\"tooltip\" data-bs-title=\"Occupancy model (MacKenzie et al., 2002): A modelling approach used to account for imperfect detection by first evaluating the detection probability of a species via detection histories (i.e., present or absent) to determine the probability of the true presence or absence of a species at a site (MacKenzie et al., 2002).\"&gt;Occupancy models (MacKenzie et al., 2002)&lt;button type=\"button\" class=\"btn btn-bd-tip-info-hidden btn-sm position-relative\"&gt;.&lt;span class=\"position-absolute top-0 start-100 translate-middle\"&gt;{{ icon_info }}&lt;/span&gt;&lt;/button&gt;&lt;/a&gt;"</v>
      </c>
      <c r="R236" t="b" cm="1">
        <f t="array" ref="R236">SUMPRODUCT(--EXACT($J$2:$J$490,J236))&gt;1</f>
        <v>0</v>
      </c>
      <c r="S236" t="s">
        <v>4409</v>
      </c>
    </row>
    <row r="237" spans="1:19">
      <c r="A237" s="30">
        <v>3</v>
      </c>
      <c r="B237" s="30" t="s">
        <v>1393</v>
      </c>
      <c r="C237" s="30"/>
      <c r="D237" s="30" t="s">
        <v>1208</v>
      </c>
      <c r="E237" s="30" t="s">
        <v>823</v>
      </c>
      <c r="F237" s="30" t="s">
        <v>34</v>
      </c>
      <c r="G237" s="39" t="str">
        <f>VLOOKUP(F237,glossary!J:N,2,FALSE)</f>
        <v>Occupancy model (MacKenzie et al., 2002)</v>
      </c>
      <c r="H237" s="34" t="s">
        <v>34</v>
      </c>
      <c r="I237" s="45" t="str">
        <f t="shared" si="9"/>
        <v>mod_occupancy_tu_ref</v>
      </c>
      <c r="J237" s="42" t="s">
        <v>148</v>
      </c>
      <c r="K237" s="39" t="str">
        <f>VLOOKUP(F237,glossary!J:N,5,FALSE)</f>
        <v>A modelling approach used to account for imperfect detection by first evaluating the detection probability of a species via detection histories (i.e., present or absent) to determine the probability of the true presence or absence of a species at a site (MacKenzie et al., 2002).</v>
      </c>
      <c r="L237" t="s">
        <v>1566</v>
      </c>
      <c r="M237" s="30" t="str">
        <f t="shared" si="10"/>
        <v>{{ mod_occupancy_tu_ref }}</v>
      </c>
      <c r="N237" t="s">
        <v>896</v>
      </c>
      <c r="O237" s="13" t="s">
        <v>1816</v>
      </c>
      <c r="P237" t="s">
        <v>4081</v>
      </c>
      <c r="Q237" t="str">
        <f t="shared" si="11"/>
        <v xml:space="preserve">    mod_occupancy_tu_ref: "&lt;a href=\"09_glossary.html#mod_occupancy\" target=\"_blank\" data-bs-toggle=\"tooltip\" data-bs-title=\"Occupancy model (MacKenzie et al., 2002): A modelling approach used to account for imperfect detection by first evaluating the detection probability of a species via detection histories (i.e., present or absent) to determine the probability of the true presence or absence of a species at a site (MacKenzie et al., 2002).\"&gt;Occupancy model (MacKenzie et al., 2002)&lt;button type=\"button\" class=\"btn btn-bd-tip-info-hidden btn-sm position-relative\"&gt;.&lt;span class=\"position-absolute top-0 start-100 translate-middle\"&gt;{{ icon_info }}&lt;/span&gt;&lt;/button&gt;&lt;/a&gt;"</v>
      </c>
      <c r="R237" t="b" cm="1">
        <f t="array" ref="R237">SUMPRODUCT(--EXACT($J$2:$J$490,J237))&gt;1</f>
        <v>0</v>
      </c>
      <c r="S237" t="s">
        <v>4410</v>
      </c>
    </row>
    <row r="238" spans="1:19">
      <c r="A238" s="30">
        <v>2</v>
      </c>
      <c r="B238" s="30" t="s">
        <v>1400</v>
      </c>
      <c r="C238" s="30"/>
      <c r="D238" s="30" t="s">
        <v>1207</v>
      </c>
      <c r="E238" s="30" t="s">
        <v>984</v>
      </c>
      <c r="F238" s="30" t="s">
        <v>460</v>
      </c>
      <c r="G238" s="39" t="str">
        <f>VLOOKUP(F238,glossary!J:N,2,FALSE)</f>
        <v>Overdispersion</v>
      </c>
      <c r="H238" s="30" t="s">
        <v>460</v>
      </c>
      <c r="I238" s="45" t="str">
        <f t="shared" si="9"/>
        <v>mod_overdispersion_tl</v>
      </c>
      <c r="J238" s="39" t="s">
        <v>464</v>
      </c>
      <c r="K238" s="39" t="str">
        <f>VLOOKUP(F238,glossary!J:N,5,FALSE)</f>
        <v>A variance significantly larger than the mean (Bliss &amp; Fisher, 1953); greater variability in a set of data than predicted by the error structure of the model (Harrison et al., 2018); excess variability can be caused by zero inflation, non-independence of counts, or both (Zurr et al., 2009).</v>
      </c>
      <c r="L238" s="30" t="s">
        <v>1565</v>
      </c>
      <c r="M238" s="30" t="str">
        <f t="shared" si="10"/>
        <v>{{ mod_overdispersion_tl }}</v>
      </c>
      <c r="N238" t="s">
        <v>896</v>
      </c>
      <c r="O238" s="13" t="s">
        <v>1816</v>
      </c>
      <c r="P238" t="s">
        <v>4081</v>
      </c>
      <c r="Q238" t="str">
        <f t="shared" si="11"/>
        <v xml:space="preserve">    mod_overdispersion_tl: "&lt;a href=\"09_glossary.html#mod_overdispersion\" target=\"_blank\" data-bs-toggle=\"tooltip\" data-bs-title=\"Overdispersion: A variance significantly larger than the mean (Bliss &amp; Fisher, 1953); greater variability in a set of data than predicted by the error structure of the model (Harrison et al., 2018); excess variability can be caused by zero inflation, non-independence of counts, or both (Zurr et al., 2009).\"&gt;overdispersion&lt;button type=\"button\" class=\"btn btn-bd-tip-info-hidden btn-sm position-relative\"&gt;.&lt;span class=\"position-absolute top-0 start-100 translate-middle\"&gt;{{ icon_info }}&lt;/span&gt;&lt;/button&gt;&lt;/a&gt;"</v>
      </c>
      <c r="R238" t="b" cm="1">
        <f t="array" ref="R238">SUMPRODUCT(--EXACT($J$2:$J$490,J238))&gt;1</f>
        <v>0</v>
      </c>
      <c r="S238" t="s">
        <v>4411</v>
      </c>
    </row>
    <row r="239" spans="1:19">
      <c r="A239" s="30">
        <v>2</v>
      </c>
      <c r="B239" s="30" t="s">
        <v>1400</v>
      </c>
      <c r="C239" s="30"/>
      <c r="D239" s="30" t="s">
        <v>1208</v>
      </c>
      <c r="E239" s="30" t="s">
        <v>984</v>
      </c>
      <c r="F239" s="30" t="s">
        <v>460</v>
      </c>
      <c r="G239" s="39" t="str">
        <f>VLOOKUP(F239,glossary!J:N,2,FALSE)</f>
        <v>Overdispersion</v>
      </c>
      <c r="H239" s="30" t="s">
        <v>460</v>
      </c>
      <c r="I239" s="45" t="str">
        <f t="shared" si="9"/>
        <v>mod_overdispersion_tu</v>
      </c>
      <c r="J239" s="39" t="s">
        <v>146</v>
      </c>
      <c r="K239" s="39" t="str">
        <f>VLOOKUP(F239,glossary!J:N,5,FALSE)</f>
        <v>A variance significantly larger than the mean (Bliss &amp; Fisher, 1953); greater variability in a set of data than predicted by the error structure of the model (Harrison et al., 2018); excess variability can be caused by zero inflation, non-independence of counts, or both (Zurr et al., 2009).</v>
      </c>
      <c r="L239" s="30" t="s">
        <v>1564</v>
      </c>
      <c r="M239" s="30" t="str">
        <f t="shared" si="10"/>
        <v>{{ mod_overdispersion_tu }}</v>
      </c>
      <c r="N239" t="s">
        <v>896</v>
      </c>
      <c r="O239" s="13" t="s">
        <v>1816</v>
      </c>
      <c r="P239" t="s">
        <v>4081</v>
      </c>
      <c r="Q239" t="str">
        <f t="shared" si="11"/>
        <v xml:space="preserve">    mod_overdispersion_tu: "&lt;a href=\"09_glossary.html#mod_overdispersion\" target=\"_blank\" data-bs-toggle=\"tooltip\" data-bs-title=\"Overdispersion: A variance significantly larger than the mean (Bliss &amp; Fisher, 1953); greater variability in a set of data than predicted by the error structure of the model (Harrison et al., 2018); excess variability can be caused by zero inflation, non-independence of counts, or both (Zurr et al., 2009).\"&gt;Overdispersion&lt;button type=\"button\" class=\"btn btn-bd-tip-info-hidden btn-sm position-relative\"&gt;.&lt;span class=\"position-absolute top-0 start-100 translate-middle\"&gt;{{ icon_info }}&lt;/span&gt;&lt;/button&gt;&lt;/a&gt;"</v>
      </c>
      <c r="R239" t="b" cm="1">
        <f t="array" ref="R239">SUMPRODUCT(--EXACT($J$2:$J$490,J239))&gt;1</f>
        <v>0</v>
      </c>
      <c r="S239" t="s">
        <v>4412</v>
      </c>
    </row>
    <row r="240" spans="1:19">
      <c r="A240" s="30">
        <v>1</v>
      </c>
      <c r="B240" s="30" t="s">
        <v>1064</v>
      </c>
      <c r="C240" s="30"/>
      <c r="D240" s="30" t="s">
        <v>1207</v>
      </c>
      <c r="E240" s="30" t="s">
        <v>1755</v>
      </c>
      <c r="F240" s="30" t="s">
        <v>33</v>
      </c>
      <c r="G240" s="39" t="str">
        <f>VLOOKUP(F240,glossary!J:N,2,FALSE)</f>
        <v>Relative abundance indices</v>
      </c>
      <c r="H240" s="30" t="s">
        <v>33</v>
      </c>
      <c r="I240" s="45" t="str">
        <f t="shared" si="9"/>
        <v>mod_rai_tl_mod</v>
      </c>
      <c r="J240" s="39" t="s">
        <v>1826</v>
      </c>
      <c r="K240" s="39" t="str">
        <f>VLOOKUP(F240,glossary!J:N,5,FALSE)</f>
        <v>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v>
      </c>
      <c r="L240" s="30" t="s">
        <v>984</v>
      </c>
      <c r="M240" s="30" t="str">
        <f t="shared" si="10"/>
        <v>{{ mod_rai_tl_mod }}</v>
      </c>
      <c r="N240" t="s">
        <v>896</v>
      </c>
      <c r="O240" s="13" t="s">
        <v>1816</v>
      </c>
      <c r="P240" t="s">
        <v>4081</v>
      </c>
      <c r="Q240" t="str">
        <f t="shared" si="11"/>
        <v xml:space="preserve">    mod_rai_tl_mod: "&lt;a href=\"09_glossary.html#mod_rai\" target=\"_blank\" data-bs-toggle=\"tooltip\" data-bs-title=\"Relative abundance indices: 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2011).\"&gt;relative abundance index&lt;button type=\"button\" class=\"btn btn-bd-tip-info-hidden btn-sm position-relative\"&gt;.&lt;span class=\"position-absolute top-0 start-100 translate-middle\"&gt;{{ icon_info }}&lt;/span&gt;&lt;/button&gt;&lt;/a&gt;"</v>
      </c>
      <c r="R240" t="b" cm="1">
        <f t="array" ref="R240">SUMPRODUCT(--EXACT($J$2:$J$490,J240))&gt;1</f>
        <v>0</v>
      </c>
      <c r="S240" t="s">
        <v>4413</v>
      </c>
    </row>
    <row r="241" spans="1:19">
      <c r="A241" s="30">
        <v>3</v>
      </c>
      <c r="B241" s="30" t="s">
        <v>1393</v>
      </c>
      <c r="C241" s="30"/>
      <c r="D241" s="30" t="s">
        <v>1207</v>
      </c>
      <c r="E241" s="30" t="s">
        <v>1758</v>
      </c>
      <c r="F241" s="30" t="s">
        <v>33</v>
      </c>
      <c r="G241" s="39" t="str">
        <f>VLOOKUP(F241,glossary!J:N,2,FALSE)</f>
        <v>Relative abundance indices</v>
      </c>
      <c r="H241" s="34" t="s">
        <v>33</v>
      </c>
      <c r="I241" s="45" t="str">
        <f t="shared" si="9"/>
        <v>mod_rai_tl_pl</v>
      </c>
      <c r="J241" s="43" t="s">
        <v>947</v>
      </c>
      <c r="K241" s="39" t="str">
        <f>VLOOKUP(F241,glossary!J:N,5,FALSE)</f>
        <v>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v>
      </c>
      <c r="L241" t="s">
        <v>1384</v>
      </c>
      <c r="M241" s="30" t="str">
        <f t="shared" si="10"/>
        <v>{{ mod_rai_tl_pl }}</v>
      </c>
      <c r="N241" t="s">
        <v>896</v>
      </c>
      <c r="O241" s="13" t="s">
        <v>1816</v>
      </c>
      <c r="P241" t="s">
        <v>4081</v>
      </c>
      <c r="Q241" t="str">
        <f t="shared" si="11"/>
        <v xml:space="preserve">    mod_rai_tl_pl: "&lt;a href=\"09_glossary.html#mod_rai\" target=\"_blank\" data-bs-toggle=\"tooltip\" data-bs-title=\"Relative abundance indices: 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2011).\"&gt;relative abundance indices&lt;button type=\"button\" class=\"btn btn-bd-tip-info-hidden btn-sm position-relative\"&gt;.&lt;span class=\"position-absolute top-0 start-100 translate-middle\"&gt;{{ icon_info }}&lt;/span&gt;&lt;/button&gt;&lt;/a&gt;"</v>
      </c>
      <c r="R241" t="b" cm="1">
        <f t="array" ref="R241">SUMPRODUCT(--EXACT($J$2:$J$490,J241))&gt;1</f>
        <v>0</v>
      </c>
      <c r="S241" t="s">
        <v>4414</v>
      </c>
    </row>
    <row r="242" spans="1:19">
      <c r="A242" s="30">
        <v>1</v>
      </c>
      <c r="B242" s="30" t="s">
        <v>1064</v>
      </c>
      <c r="C242" s="30"/>
      <c r="D242" s="30" t="s">
        <v>1208</v>
      </c>
      <c r="E242" s="30" t="s">
        <v>1755</v>
      </c>
      <c r="F242" s="30" t="s">
        <v>33</v>
      </c>
      <c r="G242" s="39" t="str">
        <f>VLOOKUP(F242,glossary!J:N,2,FALSE)</f>
        <v>Relative abundance indices</v>
      </c>
      <c r="H242" s="30" t="s">
        <v>33</v>
      </c>
      <c r="I242" s="45" t="str">
        <f t="shared" si="9"/>
        <v>mod_rai_tu_mod</v>
      </c>
      <c r="J242" s="39" t="s">
        <v>1827</v>
      </c>
      <c r="K242" s="39" t="str">
        <f>VLOOKUP(F242,glossary!J:N,5,FALSE)</f>
        <v>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v>
      </c>
      <c r="L242" s="30" t="s">
        <v>984</v>
      </c>
      <c r="M242" s="30" t="str">
        <f t="shared" si="10"/>
        <v>{{ mod_rai_tu_mod }}</v>
      </c>
      <c r="N242" t="s">
        <v>896</v>
      </c>
      <c r="O242" s="13" t="s">
        <v>1816</v>
      </c>
      <c r="P242" t="s">
        <v>4081</v>
      </c>
      <c r="Q242" t="str">
        <f t="shared" si="11"/>
        <v xml:space="preserve">    mod_rai_tu_mod: "&lt;a href=\"09_glossary.html#mod_rai\" target=\"_blank\" data-bs-toggle=\"tooltip\" data-bs-title=\"Relative abundance indices: 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2011).\"&gt;Relative abundance index&lt;button type=\"button\" class=\"btn btn-bd-tip-info-hidden btn-sm position-relative\"&gt;.&lt;span class=\"position-absolute top-0 start-100 translate-middle\"&gt;{{ icon_info }}&lt;/span&gt;&lt;/button&gt;&lt;/a&gt;"</v>
      </c>
      <c r="R242" t="b" cm="1">
        <f t="array" ref="R242">SUMPRODUCT(--EXACT($J$2:$J$490,J242))&gt;1</f>
        <v>0</v>
      </c>
      <c r="S242" t="s">
        <v>4415</v>
      </c>
    </row>
    <row r="243" spans="1:19">
      <c r="A243" s="30">
        <v>3</v>
      </c>
      <c r="B243" s="30" t="s">
        <v>1393</v>
      </c>
      <c r="C243" s="30"/>
      <c r="D243" s="30" t="s">
        <v>1208</v>
      </c>
      <c r="E243" s="30" t="s">
        <v>1758</v>
      </c>
      <c r="F243" s="30" t="s">
        <v>33</v>
      </c>
      <c r="G243" s="39" t="str">
        <f>VLOOKUP(F243,glossary!J:N,2,FALSE)</f>
        <v>Relative abundance indices</v>
      </c>
      <c r="H243" s="34" t="s">
        <v>33</v>
      </c>
      <c r="I243" s="45" t="str">
        <f t="shared" si="9"/>
        <v>mod_rai_tu_pl</v>
      </c>
      <c r="J243" s="42" t="s">
        <v>32</v>
      </c>
      <c r="K243" s="39" t="str">
        <f>VLOOKUP(F243,glossary!J:N,5,FALSE)</f>
        <v>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v>
      </c>
      <c r="L243" t="s">
        <v>1563</v>
      </c>
      <c r="M243" s="30" t="str">
        <f t="shared" si="10"/>
        <v>{{ mod_rai_tu_pl }}</v>
      </c>
      <c r="N243" t="s">
        <v>896</v>
      </c>
      <c r="O243" s="13" t="s">
        <v>1816</v>
      </c>
      <c r="P243" t="s">
        <v>4081</v>
      </c>
      <c r="Q243" t="str">
        <f t="shared" si="11"/>
        <v xml:space="preserve">    mod_rai_tu_pl: "&lt;a href=\"09_glossary.html#mod_rai\" target=\"_blank\" data-bs-toggle=\"tooltip\" data-bs-title=\"Relative abundance indices: 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2011).\"&gt;Relative abundance indices&lt;button type=\"button\" class=\"btn btn-bd-tip-info-hidden btn-sm position-relative\"&gt;.&lt;span class=\"position-absolute top-0 start-100 translate-middle\"&gt;{{ icon_info }}&lt;/span&gt;&lt;/button&gt;&lt;/a&gt;"</v>
      </c>
      <c r="R243" t="b" cm="1">
        <f t="array" ref="R243">SUMPRODUCT(--EXACT($J$2:$J$490,J243))&gt;1</f>
        <v>0</v>
      </c>
      <c r="S243" t="s">
        <v>4416</v>
      </c>
    </row>
    <row r="244" spans="1:19">
      <c r="A244" s="30">
        <v>3</v>
      </c>
      <c r="B244" s="30" t="s">
        <v>1393</v>
      </c>
      <c r="C244" s="30"/>
      <c r="D244" s="30" t="s">
        <v>1208</v>
      </c>
      <c r="E244" s="30" t="s">
        <v>823</v>
      </c>
      <c r="F244" s="30" t="s">
        <v>446</v>
      </c>
      <c r="G244" s="39" t="str">
        <f>VLOOKUP(F244,glossary!J:N,2,FALSE)</f>
        <v>Hurdle model (Mullahy, 1986; Heilbron 1994)</v>
      </c>
      <c r="H244" s="34" t="s">
        <v>446</v>
      </c>
      <c r="I244" s="45" t="str">
        <f t="shared" si="9"/>
        <v>mod_rai_hurdle_tu_ref</v>
      </c>
      <c r="J244" s="42" t="s">
        <v>1397</v>
      </c>
      <c r="K244" s="39" t="str">
        <f>VLOOKUP(F244,glossary!J:N,5,FALSE)</f>
        <v>A regression model used in the setting of excess zeros (zero-inflation) and overdispersion (Mullahy, 1986). Hurdle models (aka 'zero-altered' models) differ from zero-inflation models in that they are two-part models, and the zero and non-zero counts are modelling separately (thus, they are only adequate when the counting process cannot generate a zero value) (Blasco-Moreno et al., 2019). [relative abundance indices]</v>
      </c>
      <c r="L244" t="s">
        <v>1562</v>
      </c>
      <c r="M244" s="30" t="str">
        <f t="shared" si="10"/>
        <v>{{ mod_rai_hurdle_tu_ref }}</v>
      </c>
      <c r="N244" t="s">
        <v>896</v>
      </c>
      <c r="O244" s="13" t="s">
        <v>1816</v>
      </c>
      <c r="P244" t="s">
        <v>4081</v>
      </c>
      <c r="Q244" t="str">
        <f t="shared" si="11"/>
        <v xml:space="preserve">    mod_rai_hurdle_tu_ref: "&lt;a href=\"09_glossary.html#mod_rai_hurdle\" target=\"_blank\" data-bs-toggle=\"tooltip\" data-bs-title=\"Hurdle model (Mullahy, 1986; Heilbron 1994): A regression model used in the setting of excess zeros (zero-inflation) and overdispersion (Mullahy, 1986). Hurdle models (aka 'zero-altered' models) differ from zero-inflation models in that they are two-part models, and the zero and non-zero counts are modelling separately (thus, they are only adequate when the counting process cannot generate a zero value) (Blasco-Moreno et al., 2019). [relative abundance indices]\"&gt;Hurdle model (Mullahy, 1986; Heilbron 1994)&lt;button type=\"button\" class=\"btn btn-bd-tip-info-hidden btn-sm position-relative\"&gt;.&lt;span class=\"position-absolute top-0 start-100 translate-middle\"&gt;{{ icon_info }}&lt;/span&gt;&lt;/button&gt;&lt;/a&gt;"</v>
      </c>
      <c r="R244" t="b" cm="1">
        <f t="array" ref="R244">SUMPRODUCT(--EXACT($J$2:$J$490,J244))&gt;1</f>
        <v>0</v>
      </c>
      <c r="S244" t="s">
        <v>4417</v>
      </c>
    </row>
    <row r="245" spans="1:19">
      <c r="A245" s="30">
        <v>3</v>
      </c>
      <c r="B245" s="30" t="s">
        <v>1393</v>
      </c>
      <c r="C245" s="30"/>
      <c r="D245" s="30" t="s">
        <v>1208</v>
      </c>
      <c r="E245" s="30" t="s">
        <v>823</v>
      </c>
      <c r="F245" s="30" t="s">
        <v>449</v>
      </c>
      <c r="G245" s="39" t="str">
        <f>VLOOKUP(F245,glossary!J:N,2,FALSE)</f>
        <v>Negative binomial (NB) regression (Mullahy, 1986)</v>
      </c>
      <c r="H245" s="34" t="s">
        <v>449</v>
      </c>
      <c r="I245" s="45" t="str">
        <f t="shared" si="9"/>
        <v>mod_rai_nb_tu_ref</v>
      </c>
      <c r="J245" s="42" t="s">
        <v>152</v>
      </c>
      <c r="K245" s="39" t="str">
        <f>VLOOKUP(F245,glossary!J:N,5,FALSE)</f>
        <v>A regression model used for count data with overdispersion but without zero-inflation. [relative abundance indices]</v>
      </c>
      <c r="L245" t="s">
        <v>1561</v>
      </c>
      <c r="M245" s="30" t="str">
        <f t="shared" si="10"/>
        <v>{{ mod_rai_nb_tu_ref }}</v>
      </c>
      <c r="N245" t="s">
        <v>896</v>
      </c>
      <c r="O245" s="13" t="s">
        <v>1816</v>
      </c>
      <c r="P245" t="s">
        <v>4081</v>
      </c>
      <c r="Q245" t="str">
        <f t="shared" si="11"/>
        <v xml:space="preserve">    mod_rai_nb_tu_ref: "&lt;a href=\"09_glossary.html#mod_rai_nb\" target=\"_blank\" data-bs-toggle=\"tooltip\" data-bs-title=\"Negative binomial (NB) regression (Mullahy, 1986): A regression model used for count data with overdispersion but without zero-inflation. [relative abundance indices]\"&gt;Negative binomial (NB) regression (Mullahy, 1986)&lt;button type=\"button\" class=\"btn btn-bd-tip-info-hidden btn-sm position-relative\"&gt;.&lt;span class=\"position-absolute top-0 start-100 translate-middle\"&gt;{{ icon_info }}&lt;/span&gt;&lt;/button&gt;&lt;/a&gt;"</v>
      </c>
      <c r="R245" t="b" cm="1">
        <f t="array" ref="R245">SUMPRODUCT(--EXACT($J$2:$J$490,J245))&gt;1</f>
        <v>0</v>
      </c>
      <c r="S245" t="s">
        <v>4418</v>
      </c>
    </row>
    <row r="246" spans="1:19">
      <c r="A246" s="30">
        <v>3</v>
      </c>
      <c r="B246" s="30" t="s">
        <v>1393</v>
      </c>
      <c r="C246" s="30"/>
      <c r="D246" s="30" t="s">
        <v>1207</v>
      </c>
      <c r="E246" s="30" t="s">
        <v>984</v>
      </c>
      <c r="F246" s="30" t="s">
        <v>432</v>
      </c>
      <c r="G246" s="39" t="str">
        <f>VLOOKUP(F246,glossary!J:N,2,FALSE)</f>
        <v>Poisson regression</v>
      </c>
      <c r="H246" s="34" t="s">
        <v>432</v>
      </c>
      <c r="I246" s="45" t="str">
        <f t="shared" si="9"/>
        <v>mod_rai_poisson_tl</v>
      </c>
      <c r="J246" s="43" t="s">
        <v>941</v>
      </c>
      <c r="K246" s="39" t="str">
        <f>VLOOKUP(F246,glossary!J:N,5,FALSE)</f>
        <v>A regression model for count data used when data are not overdispersed or zero-inflated (Lambert, 1992). [relative abundance indices]</v>
      </c>
      <c r="L246" t="s">
        <v>1560</v>
      </c>
      <c r="M246" s="30" t="str">
        <f t="shared" si="10"/>
        <v>{{ mod_rai_poisson_tl }}</v>
      </c>
      <c r="N246" t="s">
        <v>896</v>
      </c>
      <c r="O246" s="13" t="s">
        <v>1816</v>
      </c>
      <c r="P246" t="s">
        <v>4081</v>
      </c>
      <c r="Q246" t="str">
        <f t="shared" si="11"/>
        <v xml:space="preserve">    mod_rai_poisson_tl: "&lt;a href=\"09_glossary.html#mod_rai_poisson\" target=\"_blank\" data-bs-toggle=\"tooltip\" data-bs-title=\"Poisson regression: A regression model for count data used when data are not overdispersed or zero-inflated (Lambert, 1992). [relative abundance indices]\"&gt;poisson regression&lt;button type=\"button\" class=\"btn btn-bd-tip-info-hidden btn-sm position-relative\"&gt;.&lt;span class=\"position-absolute top-0 start-100 translate-middle\"&gt;{{ icon_info }}&lt;/span&gt;&lt;/button&gt;&lt;/a&gt;"</v>
      </c>
      <c r="R246" t="b" cm="1">
        <f t="array" ref="R246">SUMPRODUCT(--EXACT($J$2:$J$490,J246))&gt;1</f>
        <v>0</v>
      </c>
      <c r="S246" t="s">
        <v>4419</v>
      </c>
    </row>
    <row r="247" spans="1:19">
      <c r="A247" s="30">
        <v>3</v>
      </c>
      <c r="B247" s="30" t="s">
        <v>1393</v>
      </c>
      <c r="C247" s="30"/>
      <c r="D247" s="30" t="s">
        <v>1208</v>
      </c>
      <c r="E247" s="30" t="s">
        <v>984</v>
      </c>
      <c r="F247" s="30" t="s">
        <v>432</v>
      </c>
      <c r="G247" s="39" t="str">
        <f>VLOOKUP(F247,glossary!J:N,2,FALSE)</f>
        <v>Poisson regression</v>
      </c>
      <c r="H247" s="34" t="s">
        <v>432</v>
      </c>
      <c r="I247" s="45" t="str">
        <f t="shared" si="9"/>
        <v>mod_rai_poisson_tu</v>
      </c>
      <c r="J247" s="42" t="s">
        <v>142</v>
      </c>
      <c r="K247" s="39" t="str">
        <f>VLOOKUP(F247,glossary!J:N,5,FALSE)</f>
        <v>A regression model for count data used when data are not overdispersed or zero-inflated (Lambert, 1992). [relative abundance indices]</v>
      </c>
      <c r="L247" t="s">
        <v>1559</v>
      </c>
      <c r="M247" s="30" t="str">
        <f t="shared" si="10"/>
        <v>{{ mod_rai_poisson_tu }}</v>
      </c>
      <c r="N247" t="s">
        <v>896</v>
      </c>
      <c r="O247" s="13" t="s">
        <v>1816</v>
      </c>
      <c r="P247" t="s">
        <v>4081</v>
      </c>
      <c r="Q247" t="str">
        <f t="shared" si="11"/>
        <v xml:space="preserve">    mod_rai_poisson_tu: "&lt;a href=\"09_glossary.html#mod_rai_poisson\" target=\"_blank\" data-bs-toggle=\"tooltip\" data-bs-title=\"Poisson regression: A regression model for count data used when data are not overdispersed or zero-inflated (Lambert, 1992). [relative abundance indices]\"&gt;Poisson regression&lt;button type=\"button\" class=\"btn btn-bd-tip-info-hidden btn-sm position-relative\"&gt;.&lt;span class=\"position-absolute top-0 start-100 translate-middle\"&gt;{{ icon_info }}&lt;/span&gt;&lt;/button&gt;&lt;/a&gt;"</v>
      </c>
      <c r="R247" t="b" cm="1">
        <f t="array" ref="R247">SUMPRODUCT(--EXACT($J$2:$J$490,J247))&gt;1</f>
        <v>0</v>
      </c>
      <c r="S247" t="s">
        <v>4420</v>
      </c>
    </row>
    <row r="248" spans="1:19">
      <c r="A248" s="30">
        <v>1</v>
      </c>
      <c r="B248" s="30" t="s">
        <v>1064</v>
      </c>
      <c r="C248" s="30" t="s">
        <v>0</v>
      </c>
      <c r="D248" s="30" t="s">
        <v>1208</v>
      </c>
      <c r="E248" s="30" t="s">
        <v>1752</v>
      </c>
      <c r="F248" s="30" t="s">
        <v>432</v>
      </c>
      <c r="G248" s="39" t="str">
        <f>VLOOKUP(F248,glossary!J:N,2,FALSE)</f>
        <v>Poisson regression</v>
      </c>
      <c r="H248" s="30" t="s">
        <v>432</v>
      </c>
      <c r="I248" s="45" t="str">
        <f t="shared" si="9"/>
        <v>mod_rai_poisson_tu_abrv</v>
      </c>
      <c r="J248" s="39" t="s">
        <v>444</v>
      </c>
      <c r="K248" s="39" t="str">
        <f>VLOOKUP(F248,glossary!J:N,5,FALSE)</f>
        <v>A regression model for count data used when data are not overdispersed or zero-inflated (Lambert, 1992). [relative abundance indices]</v>
      </c>
      <c r="L248" s="30" t="s">
        <v>1146</v>
      </c>
      <c r="M248" s="30" t="str">
        <f t="shared" si="10"/>
        <v>{{ mod_rai_poisson_tu_abrv }}</v>
      </c>
      <c r="N248" t="s">
        <v>896</v>
      </c>
      <c r="O248" s="13" t="s">
        <v>1816</v>
      </c>
      <c r="P248" t="s">
        <v>4081</v>
      </c>
      <c r="Q248" t="str">
        <f t="shared" si="11"/>
        <v xml:space="preserve">    mod_rai_poisson_tu_abrv: "&lt;a href=\"09_glossary.html#mod_rai_poisson\" target=\"_blank\" data-bs-toggle=\"tooltip\" data-bs-title=\"Poisson regression: A regression model for count data used when data are not overdispersed or zero-inflated (Lambert, 1992). [relative abundance indices]\"&gt;Poisson&lt;button type=\"button\" class=\"btn btn-bd-tip-info-hidden btn-sm position-relative\"&gt;.&lt;span class=\"position-absolute top-0 start-100 translate-middle\"&gt;{{ icon_info }}&lt;/span&gt;&lt;/button&gt;&lt;/a&gt;"</v>
      </c>
      <c r="R248" t="b" cm="1">
        <f t="array" ref="R248">SUMPRODUCT(--EXACT($J$2:$J$490,J248))&gt;1</f>
        <v>0</v>
      </c>
      <c r="S248" t="s">
        <v>4421</v>
      </c>
    </row>
    <row r="249" spans="1:19">
      <c r="A249" s="30">
        <v>1</v>
      </c>
      <c r="B249" s="30" t="s">
        <v>1064</v>
      </c>
      <c r="C249" s="30" t="s">
        <v>0</v>
      </c>
      <c r="D249" s="30" t="s">
        <v>1208</v>
      </c>
      <c r="E249" s="30" t="s">
        <v>1752</v>
      </c>
      <c r="F249" s="30" t="s">
        <v>447</v>
      </c>
      <c r="G249" s="39" t="str">
        <f>VLOOKUP(F249,glossary!J:N,2,FALSE)</f>
        <v>Zero-inflated negative binomial (ZINB) regression (McCullagh &amp; Nelder, 1989)</v>
      </c>
      <c r="H249" s="30" t="s">
        <v>447</v>
      </c>
      <c r="I249" s="45" t="str">
        <f t="shared" si="9"/>
        <v>mod_rai_zinb_tu_abrv</v>
      </c>
      <c r="J249" s="39" t="s">
        <v>1152</v>
      </c>
      <c r="K249" s="39" t="str">
        <f>VLOOKUP(F249,glossary!J:N,5,FALSE)</f>
        <v>A regression model used in the setting of excess zeros (zero-inflation) and overdispersion. This approach is a two-part model, where the zero-inflation is modelled separately from the counts and assumes that the count (abundance) is 'conditional' on the zero-inflation model (occurrence) model. [relative abundance indices]</v>
      </c>
      <c r="L249" s="30" t="s">
        <v>1135</v>
      </c>
      <c r="M249" s="30" t="str">
        <f t="shared" si="10"/>
        <v>{{ mod_rai_zinb_tu_abrv }}</v>
      </c>
      <c r="N249" t="s">
        <v>896</v>
      </c>
      <c r="O249" s="13" t="s">
        <v>1816</v>
      </c>
      <c r="P249" t="s">
        <v>4081</v>
      </c>
      <c r="Q249" t="str">
        <f t="shared" si="11"/>
        <v xml:space="preserve">    mod_rai_zinb_tu_abrv: "&lt;a href=\"09_glossary.html#mod_rai_zinb\" target=\"_blank\" data-bs-toggle=\"tooltip\" data-bs-title=\"Zero-inflated negative binomial (ZINB) regression (McCullagh &amp; Nelder, 1989): A regression model used in the setting of excess zeros (zero-inflation) and overdispersion. This approach is a two-part model, where the zero-inflation is modelled separately from the counts and assumes that the count (abundance) is 'conditional' on the zero-inflation model (occurrence) model. [relative abundance indices]\"&gt;ZINB&lt;button type=\"button\" class=\"btn btn-bd-tip-info-hidden btn-sm position-relative\"&gt;.&lt;span class=\"position-absolute top-0 start-100 translate-middle\"&gt;{{ icon_info }}&lt;/span&gt;&lt;/button&gt;&lt;/a&gt;"</v>
      </c>
      <c r="R249" t="b" cm="1">
        <f t="array" ref="R249">SUMPRODUCT(--EXACT($J$2:$J$490,J249))&gt;1</f>
        <v>0</v>
      </c>
      <c r="S249" t="s">
        <v>4422</v>
      </c>
    </row>
    <row r="250" spans="1:19">
      <c r="A250" s="30">
        <v>3</v>
      </c>
      <c r="B250" s="30" t="s">
        <v>1393</v>
      </c>
      <c r="C250" s="30"/>
      <c r="D250" s="30" t="s">
        <v>1208</v>
      </c>
      <c r="E250" s="30" t="s">
        <v>823</v>
      </c>
      <c r="F250" s="30" t="s">
        <v>447</v>
      </c>
      <c r="G250" s="39" t="str">
        <f>VLOOKUP(F250,glossary!J:N,2,FALSE)</f>
        <v>Zero-inflated negative binomial (ZINB) regression (McCullagh &amp; Nelder, 1989)</v>
      </c>
      <c r="H250" s="34" t="s">
        <v>447</v>
      </c>
      <c r="I250" s="45" t="str">
        <f t="shared" si="9"/>
        <v>mod_rai_zinb_tu_ref</v>
      </c>
      <c r="J250" s="42" t="s">
        <v>55</v>
      </c>
      <c r="K250" s="39" t="str">
        <f>VLOOKUP(F250,glossary!J:N,5,FALSE)</f>
        <v>A regression model used in the setting of excess zeros (zero-inflation) and overdispersion. This approach is a two-part model, where the zero-inflation is modelled separately from the counts and assumes that the count (abundance) is 'conditional' on the zero-inflation model (occurrence) model. [relative abundance indices]</v>
      </c>
      <c r="L250" t="s">
        <v>1558</v>
      </c>
      <c r="M250" s="30" t="str">
        <f t="shared" si="10"/>
        <v>{{ mod_rai_zinb_tu_ref }}</v>
      </c>
      <c r="N250" t="s">
        <v>896</v>
      </c>
      <c r="O250" s="13" t="s">
        <v>1816</v>
      </c>
      <c r="P250" t="s">
        <v>4081</v>
      </c>
      <c r="Q250" t="str">
        <f t="shared" si="11"/>
        <v xml:space="preserve">    mod_rai_zinb_tu_ref: "&lt;a href=\"09_glossary.html#mod_rai_zinb\" target=\"_blank\" data-bs-toggle=\"tooltip\" data-bs-title=\"Zero-inflated negative binomial (ZINB) regression (McCullagh &amp; Nelder, 1989): A regression model used in the setting of excess zeros (zero-inflation) and overdispersion. This approach is a two-part model, where the zero-inflation is modelled separately from the counts and assumes that the count (abundance) is 'conditional' on the zero-inflation model (occurrence) model. [relative abundance indices]\"&gt;Zero-inflated negative binomial (ZINB) regression (McCullagh &amp; Nelder, 1989)&lt;button type=\"button\" class=\"btn btn-bd-tip-info-hidden btn-sm position-relative\"&gt;.&lt;span class=\"position-absolute top-0 start-100 translate-middle\"&gt;{{ icon_info }}&lt;/span&gt;&lt;/button&gt;&lt;/a&gt;"</v>
      </c>
      <c r="R250" t="b" cm="1">
        <f t="array" ref="R250">SUMPRODUCT(--EXACT($J$2:$J$490,J250))&gt;1</f>
        <v>0</v>
      </c>
      <c r="S250" t="s">
        <v>4423</v>
      </c>
    </row>
    <row r="251" spans="1:19">
      <c r="A251" s="30">
        <v>1</v>
      </c>
      <c r="B251" s="30" t="s">
        <v>1064</v>
      </c>
      <c r="C251" s="30" t="s">
        <v>0</v>
      </c>
      <c r="D251" s="30" t="s">
        <v>1208</v>
      </c>
      <c r="E251" s="30" t="s">
        <v>1752</v>
      </c>
      <c r="F251" s="30" t="s">
        <v>450</v>
      </c>
      <c r="G251" s="39" t="str">
        <f>VLOOKUP(F251,glossary!J:N,2,FALSE)</f>
        <v>Zero-inflated Poisson (ZIP) regression (Lambert, 1992)</v>
      </c>
      <c r="H251" s="30" t="s">
        <v>450</v>
      </c>
      <c r="I251" s="45" t="str">
        <f t="shared" si="9"/>
        <v>mod_rai_zip_tu_abrv</v>
      </c>
      <c r="J251" s="39" t="s">
        <v>1153</v>
      </c>
      <c r="K251" s="39" t="str">
        <f>VLOOKUP(F251,glossary!J:N,5,FALSE)</f>
        <v>A regression model for count data that both follows the Poisson distribution and contains excess zeros (Lambert, 1992). ZIP models are only appropriate for data for which the overdispersion is not solely due to zero-inflation. [relative abundance indices]</v>
      </c>
      <c r="L251" s="30" t="s">
        <v>1136</v>
      </c>
      <c r="M251" s="30" t="str">
        <f t="shared" si="10"/>
        <v>{{ mod_rai_zip_tu_abrv }}</v>
      </c>
      <c r="N251" t="s">
        <v>896</v>
      </c>
      <c r="O251" s="13" t="s">
        <v>1816</v>
      </c>
      <c r="P251" t="s">
        <v>4081</v>
      </c>
      <c r="Q251" t="str">
        <f t="shared" si="11"/>
        <v xml:space="preserve">    mod_rai_zip_tu_abrv: "&lt;a href=\"09_glossary.html#mod_rai_zip\" target=\"_blank\" data-bs-toggle=\"tooltip\" data-bs-title=\"Zero-inflated Poisson (ZIP) regression (Lambert, 1992): A regression model for count data that both follows the Poisson distribution and contains excess zeros (Lambert, 1992). ZIP models are only appropriate for data for which the overdispersion is not solely due to zero-inflation. [relative abundance indices]\"&gt;ZIP&lt;button type=\"button\" class=\"btn btn-bd-tip-info-hidden btn-sm position-relative\"&gt;.&lt;span class=\"position-absolute top-0 start-100 translate-middle\"&gt;{{ icon_info }}&lt;/span&gt;&lt;/button&gt;&lt;/a&gt;"</v>
      </c>
      <c r="R251" t="b" cm="1">
        <f t="array" ref="R251">SUMPRODUCT(--EXACT($J$2:$J$490,J251))&gt;1</f>
        <v>0</v>
      </c>
      <c r="S251" t="s">
        <v>4424</v>
      </c>
    </row>
    <row r="252" spans="1:19">
      <c r="A252" s="30">
        <v>3</v>
      </c>
      <c r="B252" s="30" t="s">
        <v>1393</v>
      </c>
      <c r="C252" s="30"/>
      <c r="D252" s="30" t="s">
        <v>1208</v>
      </c>
      <c r="E252" s="30" t="s">
        <v>823</v>
      </c>
      <c r="F252" s="30" t="s">
        <v>450</v>
      </c>
      <c r="G252" s="39" t="str">
        <f>VLOOKUP(F252,glossary!J:N,2,FALSE)</f>
        <v>Zero-inflated Poisson (ZIP) regression (Lambert, 1992)</v>
      </c>
      <c r="H252" s="34" t="s">
        <v>450</v>
      </c>
      <c r="I252" s="45" t="str">
        <f t="shared" si="9"/>
        <v>mod_rai_zip_tu_ref</v>
      </c>
      <c r="J252" s="42" t="s">
        <v>54</v>
      </c>
      <c r="K252" s="39" t="str">
        <f>VLOOKUP(F252,glossary!J:N,5,FALSE)</f>
        <v>A regression model for count data that both follows the Poisson distribution and contains excess zeros (Lambert, 1992). ZIP models are only appropriate for data for which the overdispersion is not solely due to zero-inflation. [relative abundance indices]</v>
      </c>
      <c r="L252" t="s">
        <v>1557</v>
      </c>
      <c r="M252" s="30" t="str">
        <f t="shared" si="10"/>
        <v>{{ mod_rai_zip_tu_ref }}</v>
      </c>
      <c r="N252" t="s">
        <v>896</v>
      </c>
      <c r="O252" s="13" t="s">
        <v>1816</v>
      </c>
      <c r="P252" t="s">
        <v>4081</v>
      </c>
      <c r="Q252" t="str">
        <f t="shared" si="11"/>
        <v xml:space="preserve">    mod_rai_zip_tu_ref: "&lt;a href=\"09_glossary.html#mod_rai_zip\" target=\"_blank\" data-bs-toggle=\"tooltip\" data-bs-title=\"Zero-inflated Poisson (ZIP) regression (Lambert, 1992): A regression model for count data that both follows the Poisson distribution and contains excess zeros (Lambert, 1992). ZIP models are only appropriate for data for which the overdispersion is not solely due to zero-inflation. [relative abundance indices]\"&gt;Zero-inflated Poisson (ZIP) regression (Lambert, 1992)&lt;button type=\"button\" class=\"btn btn-bd-tip-info-hidden btn-sm position-relative\"&gt;.&lt;span class=\"position-absolute top-0 start-100 translate-middle\"&gt;{{ icon_info }}&lt;/span&gt;&lt;/button&gt;&lt;/a&gt;"</v>
      </c>
      <c r="R252" t="b" cm="1">
        <f t="array" ref="R252">SUMPRODUCT(--EXACT($J$2:$J$490,J252))&gt;1</f>
        <v>0</v>
      </c>
      <c r="S252" t="s">
        <v>4425</v>
      </c>
    </row>
    <row r="253" spans="1:19">
      <c r="A253" s="30">
        <v>1</v>
      </c>
      <c r="B253" s="30" t="s">
        <v>1064</v>
      </c>
      <c r="C253" s="30" t="s">
        <v>0</v>
      </c>
      <c r="D253" s="30" t="s">
        <v>1208</v>
      </c>
      <c r="E253" s="30" t="s">
        <v>1752</v>
      </c>
      <c r="F253" s="30" t="s">
        <v>16</v>
      </c>
      <c r="G253" s="39" t="str">
        <f>VLOOKUP(F253,glossary!J:N,2,FALSE)</f>
        <v>Random encounter model (REM) (Rowcliffe et al., 2008, 2013)</v>
      </c>
      <c r="H253" s="30" t="s">
        <v>16</v>
      </c>
      <c r="I253" s="45" t="str">
        <f t="shared" si="9"/>
        <v>mod_rem_tu_abrv</v>
      </c>
      <c r="J253" s="39" t="s">
        <v>1154</v>
      </c>
      <c r="K253" s="39" t="str">
        <f>VLOOKUP(F253,glossary!J:N,5,FALSE)</f>
        <v>A method used to estimate the density of unmarked populations; uses the rate of independent captures, an estimate of movement rate, average group size, and the area sampled by the remote camera.</v>
      </c>
      <c r="L253" s="30" t="s">
        <v>1137</v>
      </c>
      <c r="M253" s="30" t="str">
        <f t="shared" si="10"/>
        <v>{{ mod_rem_tu_abrv }}</v>
      </c>
      <c r="N253" t="s">
        <v>896</v>
      </c>
      <c r="O253" s="13" t="s">
        <v>1816</v>
      </c>
      <c r="P253" t="s">
        <v>4081</v>
      </c>
      <c r="Q253" t="str">
        <f t="shared" si="11"/>
        <v xml:space="preserve">    mod_rem_tu_abrv: "&lt;a href=\"09_glossary.html#mod_rem\" target=\"_blank\" data-bs-toggle=\"tooltip\" data-bs-title=\"Random encounter model (REM) (Rowcliffe et al., 2008, 2013): A method used to estimate the density of unmarked populations; uses the rate of independent captures, an estimate of movement rate, average group size, and the area sampled by the remote camera.\"&gt;REM&lt;button type=\"button\" class=\"btn btn-bd-tip-info-hidden btn-sm position-relative\"&gt;.&lt;span class=\"position-absolute top-0 start-100 translate-middle\"&gt;{{ icon_info }}&lt;/span&gt;&lt;/button&gt;&lt;/a&gt;"</v>
      </c>
      <c r="R253" t="b" cm="1">
        <f t="array" ref="R253">SUMPRODUCT(--EXACT($J$2:$J$490,J253))&gt;1</f>
        <v>0</v>
      </c>
      <c r="S253" t="s">
        <v>4426</v>
      </c>
    </row>
    <row r="254" spans="1:19">
      <c r="A254" s="30">
        <v>3</v>
      </c>
      <c r="B254" s="30" t="s">
        <v>1393</v>
      </c>
      <c r="C254" s="30"/>
      <c r="D254" s="30" t="s">
        <v>1208</v>
      </c>
      <c r="E254" s="30" t="s">
        <v>823</v>
      </c>
      <c r="F254" s="30" t="s">
        <v>16</v>
      </c>
      <c r="G254" s="39" t="str">
        <f>VLOOKUP(F254,glossary!J:N,2,FALSE)</f>
        <v>Random encounter model (REM) (Rowcliffe et al., 2008, 2013)</v>
      </c>
      <c r="H254" s="34" t="s">
        <v>16</v>
      </c>
      <c r="I254" s="45" t="str">
        <f t="shared" si="9"/>
        <v>mod_rem_tu_ref</v>
      </c>
      <c r="J254" s="42" t="s">
        <v>132</v>
      </c>
      <c r="K254" s="39" t="str">
        <f>VLOOKUP(F254,glossary!J:N,5,FALSE)</f>
        <v>A method used to estimate the density of unmarked populations; uses the rate of independent captures, an estimate of movement rate, average group size, and the area sampled by the remote camera.</v>
      </c>
      <c r="L254" t="s">
        <v>1556</v>
      </c>
      <c r="M254" s="30" t="str">
        <f t="shared" si="10"/>
        <v>{{ mod_rem_tu_ref }}</v>
      </c>
      <c r="N254" t="s">
        <v>896</v>
      </c>
      <c r="O254" s="13" t="s">
        <v>1816</v>
      </c>
      <c r="P254" t="s">
        <v>4081</v>
      </c>
      <c r="Q254" t="str">
        <f t="shared" si="11"/>
        <v xml:space="preserve">    mod_rem_tu_ref: "&lt;a href=\"09_glossary.html#mod_rem\" target=\"_blank\" data-bs-toggle=\"tooltip\" data-bs-title=\"Random encounter model (REM) (Rowcliffe et al., 2008, 2013): A method used to estimate the density of unmarked populations; uses the rate of independent captures, an estimate of movement rate, average group size, and the area sampled by the remote camera.\"&gt;Random encounter model (REM) (Rowcliffe et al., 2008, 2013)&lt;button type=\"button\" class=\"btn btn-bd-tip-info-hidden btn-sm position-relative\"&gt;.&lt;span class=\"position-absolute top-0 start-100 translate-middle\"&gt;{{ icon_info }}&lt;/span&gt;&lt;/button&gt;&lt;/a&gt;"</v>
      </c>
      <c r="R254" t="b" cm="1">
        <f t="array" ref="R254">SUMPRODUCT(--EXACT($J$2:$J$490,J254))&gt;1</f>
        <v>0</v>
      </c>
      <c r="S254" t="s">
        <v>4427</v>
      </c>
    </row>
    <row r="255" spans="1:19">
      <c r="A255" s="30">
        <v>1</v>
      </c>
      <c r="B255" s="30" t="s">
        <v>1064</v>
      </c>
      <c r="C255" s="30" t="s">
        <v>429</v>
      </c>
      <c r="D255" s="30" t="s">
        <v>1208</v>
      </c>
      <c r="E255" s="30" t="s">
        <v>1752</v>
      </c>
      <c r="F255" s="30" t="s">
        <v>14</v>
      </c>
      <c r="G255" s="39" t="str">
        <f>VLOOKUP(F255,glossary!J:N,2,FALSE)</f>
        <v>Random encounter and staying time (REST) model (Nakashima et al., 2018)</v>
      </c>
      <c r="H255" s="30" t="s">
        <v>14</v>
      </c>
      <c r="I255" s="45" t="str">
        <f t="shared" si="9"/>
        <v>mod_rest_tu_abrv</v>
      </c>
      <c r="J255" s="39" t="s">
        <v>1155</v>
      </c>
      <c r="K255" s="39" t="str">
        <f>VLOOKUP(F255,glossary!J:N,5,FALSE)</f>
        <v>A recent modification of the REM (Nakashima et al., 2018) that substitutes staying time (i.e., the cumulative time in the cameras' detection zone) for movement speed (staying time and movement speed are inversely proportional) (Cappelle et al., 2021).</v>
      </c>
      <c r="L255" s="30" t="s">
        <v>1138</v>
      </c>
      <c r="M255" s="30" t="str">
        <f t="shared" si="10"/>
        <v>{{ mod_rest_tu_abrv }}</v>
      </c>
      <c r="N255" t="s">
        <v>896</v>
      </c>
      <c r="O255" s="13" t="s">
        <v>1816</v>
      </c>
      <c r="P255" t="s">
        <v>4081</v>
      </c>
      <c r="Q255" t="str">
        <f t="shared" si="11"/>
        <v xml:space="preserve">    mod_rest_tu_abrv: "&lt;a href=\"09_glossary.html#mod_rest\" target=\"_blank\" data-bs-toggle=\"tooltip\" data-bs-title=\"Random encounter and staying time (REST) model (Nakashima et al., 2018): A recent modification of the REM (Nakashima et al., 2018) that substitutes staying time (i.e., the cumulative time in the cameras' detection zone) for movement speed (staying time and movement speed are inversely proportional) (Cappelle et al., 2021).\"&gt;REST&lt;button type=\"button\" class=\"btn btn-bd-tip-info-hidden btn-sm position-relative\"&gt;.&lt;span class=\"position-absolute top-0 start-100 translate-middle\"&gt;{{ icon_info }}&lt;/span&gt;&lt;/button&gt;&lt;/a&gt;"</v>
      </c>
      <c r="R255" t="b" cm="1">
        <f t="array" ref="R255">SUMPRODUCT(--EXACT($J$2:$J$490,J255))&gt;1</f>
        <v>0</v>
      </c>
      <c r="S255" t="s">
        <v>4428</v>
      </c>
    </row>
    <row r="256" spans="1:19">
      <c r="A256" s="30">
        <v>3</v>
      </c>
      <c r="B256" s="30" t="s">
        <v>1393</v>
      </c>
      <c r="C256" s="30"/>
      <c r="D256" s="30" t="s">
        <v>1208</v>
      </c>
      <c r="E256" s="30" t="s">
        <v>823</v>
      </c>
      <c r="F256" s="30" t="s">
        <v>14</v>
      </c>
      <c r="G256" s="39" t="str">
        <f>VLOOKUP(F256,glossary!J:N,2,FALSE)</f>
        <v>Random encounter and staying time (REST) model (Nakashima et al., 2018)</v>
      </c>
      <c r="H256" s="34" t="s">
        <v>14</v>
      </c>
      <c r="I256" s="45" t="str">
        <f t="shared" si="9"/>
        <v>mod_rest_tu_ref</v>
      </c>
      <c r="J256" s="42" t="s">
        <v>1396</v>
      </c>
      <c r="K256" s="39" t="str">
        <f>VLOOKUP(F256,glossary!J:N,5,FALSE)</f>
        <v>A recent modification of the REM (Nakashima et al., 2018) that substitutes staying time (i.e., the cumulative time in the cameras' detection zone) for movement speed (staying time and movement speed are inversely proportional) (Cappelle et al., 2021).</v>
      </c>
      <c r="L256" t="s">
        <v>1555</v>
      </c>
      <c r="M256" s="30" t="str">
        <f t="shared" si="10"/>
        <v>{{ mod_rest_tu_ref }}</v>
      </c>
      <c r="N256" t="s">
        <v>896</v>
      </c>
      <c r="O256" s="13" t="s">
        <v>1816</v>
      </c>
      <c r="P256" t="s">
        <v>4081</v>
      </c>
      <c r="Q256" t="str">
        <f t="shared" si="11"/>
        <v xml:space="preserve">    mod_rest_tu_ref: "&lt;a href=\"09_glossary.html#mod_rest\" target=\"_blank\" data-bs-toggle=\"tooltip\" data-bs-title=\"Random encounter and staying time (REST) model (Nakashima et al., 2018): A recent modification of the REM (Nakashima et al., 2018) that substitutes staying time (i.e., the cumulative time in the cameras' detection zone) for movement speed (staying time and movement speed are inversely proportional) (Cappelle et al., 2021).\"&gt;Random encounter and staying time (REST) model (Nakashima et al., 2018)&lt;button type=\"button\" class=\"btn btn-bd-tip-info-hidden btn-sm position-relative\"&gt;.&lt;span class=\"position-absolute top-0 start-100 translate-middle\"&gt;{{ icon_info }}&lt;/span&gt;&lt;/button&gt;&lt;/a&gt;"</v>
      </c>
      <c r="R256" t="b" cm="1">
        <f t="array" ref="R256">SUMPRODUCT(--EXACT($J$2:$J$490,J256))&gt;1</f>
        <v>0</v>
      </c>
      <c r="S256" t="s">
        <v>4429</v>
      </c>
    </row>
    <row r="257" spans="1:19">
      <c r="A257" s="30">
        <v>3</v>
      </c>
      <c r="B257" s="30" t="s">
        <v>1393</v>
      </c>
      <c r="C257" s="30"/>
      <c r="D257" s="30" t="s">
        <v>1208</v>
      </c>
      <c r="E257" s="30" t="s">
        <v>823</v>
      </c>
      <c r="F257" s="30" t="s">
        <v>461</v>
      </c>
      <c r="G257" s="39" t="str">
        <f>VLOOKUP(F257,glossary!J:N,2,FALSE)</f>
        <v>Royle-Nichols model (Royle &amp; Nichols, 2003; MacKenzie et al., 2006)</v>
      </c>
      <c r="H257" s="34" t="s">
        <v>461</v>
      </c>
      <c r="I257" s="45" t="str">
        <f t="shared" si="9"/>
        <v>mod_royle_nichols_tu_ref</v>
      </c>
      <c r="J257" s="42" t="s">
        <v>124</v>
      </c>
      <c r="K257" s="39" t="str">
        <f>VLOOKUP(F257,glossary!J:N,5,FALSE)</f>
        <v>A method used to estimate population abundance or density, which assumes that individuals are counted only once per sampling occasion (Royle, 2004), but that does not require all individuals to be marked. Royle-Nichols models are a type of site-structured model (i.e., that 'treat each camera as though it samples... [a] distinct population within a larger meta-population' [Clarke et al., 2023]).</v>
      </c>
      <c r="L257" t="s">
        <v>1554</v>
      </c>
      <c r="M257" s="30" t="str">
        <f t="shared" si="10"/>
        <v>{{ mod_royle_nichols_tu_ref }}</v>
      </c>
      <c r="N257" t="s">
        <v>896</v>
      </c>
      <c r="O257" s="13" t="s">
        <v>1816</v>
      </c>
      <c r="P257" t="s">
        <v>4081</v>
      </c>
      <c r="Q257" t="str">
        <f t="shared" si="11"/>
        <v xml:space="preserve">    mod_royle_nichols_tu_ref: "&lt;a href=\"09_glossary.html#mod_royle_nichols\" target=\"_blank\" data-bs-toggle=\"tooltip\" data-bs-title=\"Royle-Nichols model (Royle &amp; Nichols, 2003; MacKenzie et al., 2006): A method used to estimate population abundance or density, which assumes that individuals are counted only once per sampling occasion (Royle, 2004), but that does not require all individuals to be marked. Royle-Nichols models are a type of site-structured model (i.e., that 'treat each camera as though it samples... [a] distinct population within a larger meta-population' [Clarke et al., 2023]).\"&gt;Royle-Nichols model (Royle &amp; Nichols, 2003; MacKenzie et al., 2006)&lt;button type=\"button\" class=\"btn btn-bd-tip-info-hidden btn-sm position-relative\"&gt;.&lt;span class=\"position-absolute top-0 start-100 translate-middle\"&gt;{{ icon_info }}&lt;/span&gt;&lt;/button&gt;&lt;/a&gt;"</v>
      </c>
      <c r="R257" t="b" cm="1">
        <f t="array" ref="R257">SUMPRODUCT(--EXACT($J$2:$J$490,J257))&gt;1</f>
        <v>0</v>
      </c>
      <c r="S257" t="s">
        <v>4430</v>
      </c>
    </row>
    <row r="258" spans="1:19">
      <c r="A258" s="30">
        <v>1</v>
      </c>
      <c r="B258" s="30" t="s">
        <v>1064</v>
      </c>
      <c r="C258" s="30" t="s">
        <v>0</v>
      </c>
      <c r="D258" s="30" t="s">
        <v>1208</v>
      </c>
      <c r="E258" s="30" t="s">
        <v>1752</v>
      </c>
      <c r="F258" s="30" t="s">
        <v>23</v>
      </c>
      <c r="G258" s="39" t="str">
        <f>VLOOKUP(F258,glossary!J:N,2,FALSE)</f>
        <v>Spatial count (SC) model / Unmarked spatial capture-recapture (Chandler &amp; Royle, 2013)</v>
      </c>
      <c r="H258" s="30" t="s">
        <v>23</v>
      </c>
      <c r="I258" s="45" t="str">
        <f t="shared" ref="I258:I321" si="12">IF(D258="-","-",IF(E258&lt;&gt;"-",(H258&amp;"_"&amp;D258&amp;"_"&amp;E258),H258&amp;"_"&amp;D258))</f>
        <v>mod_sc_tu_abrv</v>
      </c>
      <c r="J258" s="39" t="s">
        <v>1156</v>
      </c>
      <c r="K258" s="39" t="str">
        <f>VLOOKUP(F258,glossary!J:N,5,FALSE)</f>
        <v>A method used to estimate the density of unmarked populations; similar to SECR (Borchers &amp; Efford, 2008; Efford, 2004; Royle &amp; Young, 2008; Royle et al., 2009); however, SC models account for individuals' unknown identities using the spatial pattern of detections (Chandler &amp; Royle, 2013; Sun et al., 2022). SC uses trap-specific counts to estimate the location and number of activity centres to estimate density.</v>
      </c>
      <c r="L258" s="30" t="s">
        <v>1139</v>
      </c>
      <c r="M258" s="30" t="str">
        <f t="shared" ref="M258:M310" si="13">"{{ "&amp;I258&amp;" }}"</f>
        <v>{{ mod_sc_tu_abrv }}</v>
      </c>
      <c r="N258" t="s">
        <v>896</v>
      </c>
      <c r="O258" s="13" t="s">
        <v>1816</v>
      </c>
      <c r="P258" t="s">
        <v>4081</v>
      </c>
      <c r="Q258" t="str">
        <f t="shared" ref="Q258:Q310" si="14">IF(K258&lt;&gt;"-",("    "&amp;I258&amp;": "&amp;""""&amp;"&lt;a href=\"&amp;""""&amp;"09_glossary.html#"&amp;H258&amp;N258&amp;G258&amp;": "&amp;K258&amp;O258&amp;J258&amp;P258&amp;""""),"-")</f>
        <v xml:space="preserve">    mod_sc_tu_abrv: "&lt;a href=\"09_glossary.html#mod_sc\" target=\"_blank\" data-bs-toggle=\"tooltip\" data-bs-title=\"Spatial count (SC) model / Unmarked spatial capture-recapture (Chandler &amp; Royle, 2013): A method used to estimate the density of unmarked populations; similar to SECR (Borchers &amp; Efford, 2008; Efford, 2004; Royle &amp; Young, 2008; Royle et al., 2009); however, SC models account for individuals' unknown identities using the spatial pattern of detections (Chandler &amp; Royle, 2013; Sun et al., 2022). SC uses trap-specific counts to estimate the location and number of activity centres to estimate density.\"&gt;SC&lt;button type=\"button\" class=\"btn btn-bd-tip-info-hidden btn-sm position-relative\"&gt;.&lt;span class=\"position-absolute top-0 start-100 translate-middle\"&gt;{{ icon_info }}&lt;/span&gt;&lt;/button&gt;&lt;/a&gt;"</v>
      </c>
      <c r="R258" t="b" cm="1">
        <f t="array" ref="R258">SUMPRODUCT(--EXACT($J$2:$J$490,J258))&gt;1</f>
        <v>0</v>
      </c>
      <c r="S258" t="s">
        <v>4431</v>
      </c>
    </row>
    <row r="259" spans="1:19">
      <c r="A259" s="30">
        <v>3</v>
      </c>
      <c r="B259" s="30" t="s">
        <v>1393</v>
      </c>
      <c r="C259" s="30"/>
      <c r="D259" s="30" t="s">
        <v>1208</v>
      </c>
      <c r="E259" s="30" t="s">
        <v>823</v>
      </c>
      <c r="F259" s="30" t="s">
        <v>23</v>
      </c>
      <c r="G259" s="39" t="str">
        <f>VLOOKUP(F259,glossary!J:N,2,FALSE)</f>
        <v>Spatial count (SC) model / Unmarked spatial capture-recapture (Chandler &amp; Royle, 2013)</v>
      </c>
      <c r="H259" s="34" t="s">
        <v>23</v>
      </c>
      <c r="I259" s="45" t="str">
        <f t="shared" si="12"/>
        <v>mod_sc_tu_ref</v>
      </c>
      <c r="J259" s="42" t="s">
        <v>441</v>
      </c>
      <c r="K259" s="39" t="str">
        <f>VLOOKUP(F259,glossary!J:N,5,FALSE)</f>
        <v>A method used to estimate the density of unmarked populations; similar to SECR (Borchers &amp; Efford, 2008; Efford, 2004; Royle &amp; Young, 2008; Royle et al., 2009); however, SC models account for individuals' unknown identities using the spatial pattern of detections (Chandler &amp; Royle, 2013; Sun et al., 2022). SC uses trap-specific counts to estimate the location and number of activity centres to estimate density.</v>
      </c>
      <c r="L259" t="s">
        <v>1553</v>
      </c>
      <c r="M259" s="30" t="str">
        <f t="shared" si="13"/>
        <v>{{ mod_sc_tu_ref }}</v>
      </c>
      <c r="N259" t="s">
        <v>896</v>
      </c>
      <c r="O259" s="13" t="s">
        <v>1816</v>
      </c>
      <c r="P259" t="s">
        <v>4081</v>
      </c>
      <c r="Q259" t="str">
        <f t="shared" si="14"/>
        <v xml:space="preserve">    mod_sc_tu_ref: "&lt;a href=\"09_glossary.html#mod_sc\" target=\"_blank\" data-bs-toggle=\"tooltip\" data-bs-title=\"Spatial count (SC) model / Unmarked spatial capture-recapture (Chandler &amp; Royle, 2013): A method used to estimate the density of unmarked populations; similar to SECR (Borchers &amp; Efford, 2008; Efford, 2004; Royle &amp; Young, 2008; Royle et al., 2009); however, SC models account for individuals' unknown identities using the spatial pattern of detections (Chandler &amp; Royle, 2013; Sun et al., 2022). SC uses trap-specific counts to estimate the location and number of activity centres to estimate density.\"&gt;Spatial count (SC) model / Unmarked spatial capture-recapture (Chandler &amp; Royle, 2013)&lt;button type=\"button\" class=\"btn btn-bd-tip-info-hidden btn-sm position-relative\"&gt;.&lt;span class=\"position-absolute top-0 start-100 translate-middle\"&gt;{{ icon_info }}&lt;/span&gt;&lt;/button&gt;&lt;/a&gt;"</v>
      </c>
      <c r="R259" t="b" cm="1">
        <f t="array" ref="R259">SUMPRODUCT(--EXACT($J$2:$J$490,J259))&gt;1</f>
        <v>0</v>
      </c>
      <c r="S259" t="s">
        <v>4432</v>
      </c>
    </row>
    <row r="260" spans="1:19">
      <c r="A260" s="30">
        <v>3</v>
      </c>
      <c r="B260" s="30" t="s">
        <v>1393</v>
      </c>
      <c r="C260" s="30"/>
      <c r="D260" s="30" t="s">
        <v>1208</v>
      </c>
      <c r="E260" s="30" t="s">
        <v>823</v>
      </c>
      <c r="F260" s="30" t="s">
        <v>28</v>
      </c>
      <c r="G260" s="39" t="str">
        <f>VLOOKUP(F260,glossary!J:N,2,FALSE)</f>
        <v>Spatially explicit capture-recapture (SECR) / Spatial capture-recapture (SCR) (Borchers &amp; Efford, 2008; Efford, 2004; Royle &amp; Young, 2008; Royle et al., 2009)</v>
      </c>
      <c r="H260" s="34" t="s">
        <v>28</v>
      </c>
      <c r="I260" s="45" t="str">
        <f t="shared" si="12"/>
        <v>mod_scr_secr_tu_ref</v>
      </c>
      <c r="J260" s="42" t="s">
        <v>550</v>
      </c>
      <c r="K260" s="39" t="str">
        <f>VLOOKUP(F260,glossary!J:N,5,FALSE)</f>
        <v>The SECR (or SCR) method is used to estimate the 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v>
      </c>
      <c r="L260" t="s">
        <v>1552</v>
      </c>
      <c r="M260" s="30" t="str">
        <f t="shared" si="13"/>
        <v>{{ mod_scr_secr_tu_ref }}</v>
      </c>
      <c r="N260" t="s">
        <v>896</v>
      </c>
      <c r="O260" s="13" t="s">
        <v>1816</v>
      </c>
      <c r="P260" t="s">
        <v>4081</v>
      </c>
      <c r="Q260" t="str">
        <f t="shared" si="14"/>
        <v xml:space="preserve">    mod_scr_secr_tu_ref: "&lt;a href=\"09_glossary.html#mod_scr_secr\" target=\"_blank\" data-bs-toggle=\"tooltip\" data-bs-title=\"Spatially explicit capture-recapture (SECR) / Spatial capture-recapture (SCR) (Borchers &amp; Efford, 2008; Efford, 2004; Royle &amp; Young, 2008; Royle et al., 2009): The SECR (or SCR) method is used to estimate the 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2022).\"&gt;Spatially explicit capture-recapture (SECR) / Spatial capture-recapture (SCR) (Borchers &amp; Efford, 2008; Efford, 2004; Royle &amp; Young, 2008; Royle et al., 2009)&lt;button type=\"button\" class=\"btn btn-bd-tip-info-hidden btn-sm position-relative\"&gt;.&lt;span class=\"position-absolute top-0 start-100 translate-middle\"&gt;{{ icon_info }}&lt;/span&gt;&lt;/button&gt;&lt;/a&gt;"</v>
      </c>
      <c r="R260" t="b" cm="1">
        <f t="array" ref="R260">SUMPRODUCT(--EXACT($J$2:$J$490,J260))&gt;1</f>
        <v>0</v>
      </c>
      <c r="S260" t="s">
        <v>4433</v>
      </c>
    </row>
    <row r="261" spans="1:19">
      <c r="A261" s="30">
        <v>1</v>
      </c>
      <c r="B261" s="30" t="s">
        <v>1064</v>
      </c>
      <c r="C261" s="30" t="s">
        <v>429</v>
      </c>
      <c r="D261" s="30" t="s">
        <v>1208</v>
      </c>
      <c r="E261" s="30" t="s">
        <v>1752</v>
      </c>
      <c r="F261" s="30" t="s">
        <v>28</v>
      </c>
      <c r="G261" s="39" t="str">
        <f>VLOOKUP(F261,glossary!J:N,2,FALSE)</f>
        <v>Spatially explicit capture-recapture (SECR) / Spatial capture-recapture (SCR) (Borchers &amp; Efford, 2008; Efford, 2004; Royle &amp; Young, 2008; Royle et al., 2009)</v>
      </c>
      <c r="H261" s="30" t="s">
        <v>1772</v>
      </c>
      <c r="I261" s="45" t="str">
        <f t="shared" si="12"/>
        <v>mod_scr_tu_abrv</v>
      </c>
      <c r="J261" s="39" t="s">
        <v>1718</v>
      </c>
      <c r="K261" s="39" t="str">
        <f>VLOOKUP(F261,glossary!J:N,5,FALSE)</f>
        <v>The SECR (or SCR) method is used to estimate the 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v>
      </c>
      <c r="L261" s="30" t="s">
        <v>1141</v>
      </c>
      <c r="M261" s="30" t="str">
        <f t="shared" si="13"/>
        <v>{{ mod_scr_tu_abrv }}</v>
      </c>
      <c r="N261" t="s">
        <v>896</v>
      </c>
      <c r="O261" s="13" t="s">
        <v>1816</v>
      </c>
      <c r="P261" t="s">
        <v>4081</v>
      </c>
      <c r="Q261" t="str">
        <f t="shared" si="14"/>
        <v xml:space="preserve">    mod_scr_tu_abrv: "&lt;a href=\"09_glossary.html#mod_scr\" target=\"_blank\" data-bs-toggle=\"tooltip\" data-bs-title=\"Spatially explicit capture-recapture (SECR) / Spatial capture-recapture (SCR) (Borchers &amp; Efford, 2008; Efford, 2004; Royle &amp; Young, 2008; Royle et al., 2009): The SECR (or SCR) method is used to estimate the 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2022).\"&gt;SCR&lt;button type=\"button\" class=\"btn btn-bd-tip-info-hidden btn-sm position-relative\"&gt;.&lt;span class=\"position-absolute top-0 start-100 translate-middle\"&gt;{{ icon_info }}&lt;/span&gt;&lt;/button&gt;&lt;/a&gt;"</v>
      </c>
      <c r="R261" t="b" cm="1">
        <f t="array" ref="R261">SUMPRODUCT(--EXACT($J$2:$J$490,J261))&gt;1</f>
        <v>0</v>
      </c>
      <c r="S261" t="s">
        <v>4434</v>
      </c>
    </row>
    <row r="262" spans="1:19">
      <c r="A262" s="30">
        <v>1</v>
      </c>
      <c r="B262" s="30" t="s">
        <v>1064</v>
      </c>
      <c r="C262" s="30"/>
      <c r="D262" s="30" t="s">
        <v>1207</v>
      </c>
      <c r="E262" s="30" t="s">
        <v>1756</v>
      </c>
      <c r="F262" s="30" t="s">
        <v>28</v>
      </c>
      <c r="G262" s="39" t="str">
        <f>VLOOKUP(F262,glossary!J:N,2,FALSE)</f>
        <v>Spatially explicit capture-recapture (SECR) / Spatial capture-recapture (SCR) (Borchers &amp; Efford, 2008; Efford, 2004; Royle &amp; Young, 2008; Royle et al., 2009)</v>
      </c>
      <c r="H262" s="30" t="s">
        <v>1773</v>
      </c>
      <c r="I262" s="45" t="str">
        <f t="shared" si="12"/>
        <v>mod_secr_tl_modtxt</v>
      </c>
      <c r="J262" s="39" t="s">
        <v>1381</v>
      </c>
      <c r="K262" s="39" t="str">
        <f>VLOOKUP(F262,glossary!J:N,5,FALSE)</f>
        <v>The SECR (or SCR) method is used to estimate the 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v>
      </c>
      <c r="L262" s="31" t="s">
        <v>1382</v>
      </c>
      <c r="M262" s="30" t="str">
        <f t="shared" si="13"/>
        <v>{{ mod_secr_tl_modtxt }}</v>
      </c>
      <c r="N262" t="s">
        <v>896</v>
      </c>
      <c r="O262" s="13" t="s">
        <v>1816</v>
      </c>
      <c r="P262" t="s">
        <v>4081</v>
      </c>
      <c r="Q262" t="str">
        <f t="shared" si="14"/>
        <v xml:space="preserve">    mod_secr_tl_modtxt: "&lt;a href=\"09_glossary.html#mod_secr\" target=\"_blank\" data-bs-toggle=\"tooltip\" data-bs-title=\"Spatially explicit capture-recapture (SECR) / Spatial capture-recapture (SCR) (Borchers &amp; Efford, 2008; Efford, 2004; Royle &amp; Young, 2008; Royle et al., 2009): The SECR (or SCR) method is used to estimate the 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2022).\"&gt;spatially explicit capture-recapture (SECR) models&lt;button type=\"button\" class=\"btn btn-bd-tip-info-hidden btn-sm position-relative\"&gt;.&lt;span class=\"position-absolute top-0 start-100 translate-middle\"&gt;{{ icon_info }}&lt;/span&gt;&lt;/button&gt;&lt;/a&gt;"</v>
      </c>
      <c r="R262" t="b" cm="1">
        <f t="array" ref="R262">SUMPRODUCT(--EXACT($J$2:$J$490,J262))&gt;1</f>
        <v>0</v>
      </c>
      <c r="S262" t="s">
        <v>4435</v>
      </c>
    </row>
    <row r="263" spans="1:19">
      <c r="A263" s="30">
        <v>1</v>
      </c>
      <c r="B263" s="30" t="s">
        <v>1064</v>
      </c>
      <c r="C263" s="30" t="s">
        <v>0</v>
      </c>
      <c r="D263" s="30" t="s">
        <v>1208</v>
      </c>
      <c r="E263" s="30" t="s">
        <v>1752</v>
      </c>
      <c r="F263" s="30" t="s">
        <v>28</v>
      </c>
      <c r="G263" s="39" t="str">
        <f>VLOOKUP(F263,glossary!J:N,2,FALSE)</f>
        <v>Spatially explicit capture-recapture (SECR) / Spatial capture-recapture (SCR) (Borchers &amp; Efford, 2008; Efford, 2004; Royle &amp; Young, 2008; Royle et al., 2009)</v>
      </c>
      <c r="H263" s="30" t="s">
        <v>1773</v>
      </c>
      <c r="I263" s="45" t="str">
        <f t="shared" si="12"/>
        <v>mod_secr_tu_abrv</v>
      </c>
      <c r="J263" s="39" t="s">
        <v>1157</v>
      </c>
      <c r="K263" s="39" t="str">
        <f>VLOOKUP(F263,glossary!J:N,5,FALSE)</f>
        <v>The SECR (or SCR) method is used to estimate the 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v>
      </c>
      <c r="L263" s="30" t="s">
        <v>1140</v>
      </c>
      <c r="M263" s="30" t="str">
        <f t="shared" si="13"/>
        <v>{{ mod_secr_tu_abrv }}</v>
      </c>
      <c r="N263" t="s">
        <v>896</v>
      </c>
      <c r="O263" s="13" t="s">
        <v>1816</v>
      </c>
      <c r="P263" t="s">
        <v>4081</v>
      </c>
      <c r="Q263" t="str">
        <f t="shared" si="14"/>
        <v xml:space="preserve">    mod_secr_tu_abrv: "&lt;a href=\"09_glossary.html#mod_secr\" target=\"_blank\" data-bs-toggle=\"tooltip\" data-bs-title=\"Spatially explicit capture-recapture (SECR) / Spatial capture-recapture (SCR) (Borchers &amp; Efford, 2008; Efford, 2004; Royle &amp; Young, 2008; Royle et al., 2009): The SECR (or SCR) method is used to estimate the 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2022).\"&gt;SECR&lt;button type=\"button\" class=\"btn btn-bd-tip-info-hidden btn-sm position-relative\"&gt;.&lt;span class=\"position-absolute top-0 start-100 translate-middle\"&gt;{{ icon_info }}&lt;/span&gt;&lt;/button&gt;&lt;/a&gt;"</v>
      </c>
      <c r="R263" t="b" cm="1">
        <f t="array" ref="R263">SUMPRODUCT(--EXACT($J$2:$J$490,J263))&gt;1</f>
        <v>0</v>
      </c>
      <c r="S263" t="s">
        <v>4436</v>
      </c>
    </row>
    <row r="264" spans="1:19">
      <c r="A264" s="30">
        <v>1</v>
      </c>
      <c r="B264" s="30" t="s">
        <v>1064</v>
      </c>
      <c r="C264" s="30" t="s">
        <v>429</v>
      </c>
      <c r="D264" s="30" t="s">
        <v>1208</v>
      </c>
      <c r="E264" s="30" t="s">
        <v>1752</v>
      </c>
      <c r="F264" s="30" t="s">
        <v>25</v>
      </c>
      <c r="G264" s="39" t="str">
        <f>VLOOKUP(F264,glossary!J:N,2,FALSE)</f>
        <v>Spatial mark-resight (SMR) (Chandler &amp; Royle, 2013; Sollmann et al., 2013a, 2013b)</v>
      </c>
      <c r="H264" s="30" t="s">
        <v>25</v>
      </c>
      <c r="I264" s="45" t="str">
        <f t="shared" si="12"/>
        <v>mod_smr_tu_abrv</v>
      </c>
      <c r="J264" s="39" t="s">
        <v>1158</v>
      </c>
      <c r="K264" s="39" t="str">
        <f>VLOOKUP(F264,glossary!J:N,5,FALSE)</f>
        <v>A method used to estimate the density of 'partially marked populations by combining... [detection] histories of marked [individuals] and counts of unmarked [individuals]' (Doran-Myers, 2018) over several occasions (Sollman et al., 2013a; Rich et al., 2014; Whittington et al., 2018). SMR models can be implemented using different statistical frameworks, including Bayesian estimation (Royle and Young, 2008; Morin et al., 2022).</v>
      </c>
      <c r="L264" s="30" t="s">
        <v>1142</v>
      </c>
      <c r="M264" s="30" t="str">
        <f t="shared" si="13"/>
        <v>{{ mod_smr_tu_abrv }}</v>
      </c>
      <c r="N264" t="s">
        <v>896</v>
      </c>
      <c r="O264" s="13" t="s">
        <v>1816</v>
      </c>
      <c r="P264" t="s">
        <v>4081</v>
      </c>
      <c r="Q264" t="str">
        <f t="shared" si="14"/>
        <v xml:space="preserve">    mod_smr_tu_abrv: "&lt;a href=\"09_glossary.html#mod_smr\" target=\"_blank\" data-bs-toggle=\"tooltip\" data-bs-title=\"Spatial mark-resight (SMR) (Chandler &amp; Royle, 2013; Sollmann et al., 2013a, 2013b): A method used to estimate the density of 'partially marked populations by combining... [detection] histories of marked [individuals] and counts of unmarked [individuals]' (Doran-Myers, 2018) over several occasions (Sollman et al., 2013a; Rich et al., 2014; Whittington et al., 2018). SMR models can be implemented using different statistical frameworks, including Bayesian estimation (Royle and Young, 2008; Morin et al., 2022).\"&gt;SMR&lt;button type=\"button\" class=\"btn btn-bd-tip-info-hidden btn-sm position-relative\"&gt;.&lt;span class=\"position-absolute top-0 start-100 translate-middle\"&gt;{{ icon_info }}&lt;/span&gt;&lt;/button&gt;&lt;/a&gt;"</v>
      </c>
      <c r="R264" t="b" cm="1">
        <f t="array" ref="R264">SUMPRODUCT(--EXACT($J$2:$J$490,J264))&gt;1</f>
        <v>0</v>
      </c>
      <c r="S264" t="s">
        <v>4437</v>
      </c>
    </row>
    <row r="265" spans="1:19">
      <c r="A265" s="30">
        <v>3</v>
      </c>
      <c r="B265" s="30" t="s">
        <v>1393</v>
      </c>
      <c r="C265" s="30"/>
      <c r="D265" s="30" t="s">
        <v>1208</v>
      </c>
      <c r="E265" s="30" t="s">
        <v>823</v>
      </c>
      <c r="F265" s="30" t="s">
        <v>25</v>
      </c>
      <c r="G265" s="39" t="str">
        <f>VLOOKUP(F265,glossary!J:N,2,FALSE)</f>
        <v>Spatial mark-resight (SMR) (Chandler &amp; Royle, 2013; Sollmann et al., 2013a, 2013b)</v>
      </c>
      <c r="H265" s="34" t="s">
        <v>25</v>
      </c>
      <c r="I265" s="45" t="str">
        <f t="shared" si="12"/>
        <v>mod_smr_tu_ref</v>
      </c>
      <c r="J265" s="42" t="s">
        <v>105</v>
      </c>
      <c r="K265" s="39" t="str">
        <f>VLOOKUP(F265,glossary!J:N,5,FALSE)</f>
        <v>A method used to estimate the density of 'partially marked populations by combining... [detection] histories of marked [individuals] and counts of unmarked [individuals]' (Doran-Myers, 2018) over several occasions (Sollman et al., 2013a; Rich et al., 2014; Whittington et al., 2018). SMR models can be implemented using different statistical frameworks, including Bayesian estimation (Royle and Young, 2008; Morin et al., 2022).</v>
      </c>
      <c r="L265" t="s">
        <v>1551</v>
      </c>
      <c r="M265" s="30" t="str">
        <f t="shared" si="13"/>
        <v>{{ mod_smr_tu_ref }}</v>
      </c>
      <c r="N265" t="s">
        <v>896</v>
      </c>
      <c r="O265" s="13" t="s">
        <v>1816</v>
      </c>
      <c r="P265" t="s">
        <v>4081</v>
      </c>
      <c r="Q265" t="str">
        <f t="shared" si="14"/>
        <v xml:space="preserve">    mod_smr_tu_ref: "&lt;a href=\"09_glossary.html#mod_smr\" target=\"_blank\" data-bs-toggle=\"tooltip\" data-bs-title=\"Spatial mark-resight (SMR) (Chandler &amp; Royle, 2013; Sollmann et al., 2013a, 2013b): A method used to estimate the density of 'partially marked populations by combining... [detection] histories of marked [individuals] and counts of unmarked [individuals]' (Doran-Myers, 2018) over several occasions (Sollman et al., 2013a; Rich et al., 2014; Whittington et al., 2018). SMR models can be implemented using different statistical frameworks, including Bayesian estimation (Royle and Young, 2008; Morin et al., 2022).\"&gt;Spatial mark-resight (SMR) (Chandler &amp; Royle, 2013; Sollmann et al., 2013a, 2013b)&lt;button type=\"button\" class=\"btn btn-bd-tip-info-hidden btn-sm position-relative\"&gt;.&lt;span class=\"position-absolute top-0 start-100 translate-middle\"&gt;{{ icon_info }}&lt;/span&gt;&lt;/button&gt;&lt;/a&gt;"</v>
      </c>
      <c r="R265" t="b" cm="1">
        <f t="array" ref="R265">SUMPRODUCT(--EXACT($J$2:$J$490,J265))&gt;1</f>
        <v>0</v>
      </c>
      <c r="S265" t="s">
        <v>4438</v>
      </c>
    </row>
    <row r="266" spans="1:19">
      <c r="A266" s="30">
        <v>3</v>
      </c>
      <c r="B266" s="30" t="s">
        <v>1393</v>
      </c>
      <c r="C266" s="30"/>
      <c r="D266" s="30" t="s">
        <v>1208</v>
      </c>
      <c r="E266" s="30" t="s">
        <v>823</v>
      </c>
      <c r="F266" s="30" t="s">
        <v>6</v>
      </c>
      <c r="G266" s="39" t="str">
        <f>VLOOKUP(F266,glossary!J:N,2,FALSE)</f>
        <v>Space-to-event (STE) model (Moeller et al., 2018)</v>
      </c>
      <c r="H266" s="34" t="s">
        <v>6</v>
      </c>
      <c r="I266" s="45" t="str">
        <f t="shared" si="12"/>
        <v>mod_ste_tu_ref</v>
      </c>
      <c r="J266" s="42" t="s">
        <v>109</v>
      </c>
      <c r="K266" s="39" t="str">
        <f>VLOOKUP(F266,glossary!J:N,5,FALSE)</f>
        <v>A method used to estimate abundance or density that accounts for variable detection probability through the use of time-lapse images and is unaffected by animal movement rates (collapses sampling intervals to an instant in time, and thus estimates are unaffected by animal movement rates) (Moeller et al., 2018).</v>
      </c>
      <c r="L266" t="s">
        <v>1550</v>
      </c>
      <c r="M266" s="30" t="str">
        <f t="shared" si="13"/>
        <v>{{ mod_ste_tu_ref }}</v>
      </c>
      <c r="N266" t="s">
        <v>896</v>
      </c>
      <c r="O266" s="13" t="s">
        <v>1816</v>
      </c>
      <c r="P266" t="s">
        <v>4081</v>
      </c>
      <c r="Q266" t="str">
        <f t="shared" si="14"/>
        <v xml:space="preserve">    mod_ste_tu_ref: "&lt;a href=\"09_glossary.html#mod_ste\" target=\"_blank\" data-bs-toggle=\"tooltip\" data-bs-title=\"Space-to-event (STE) model (Moeller et al., 2018): A method used to estimate abundance or density that accounts for variable detection probability through the use of time-lapse images and is unaffected by animal movement rates (collapses sampling intervals to an instant in time, and thus estimates are unaffected by animal movement rates) (Moeller et al., 2018).\"&gt;Space-to-event (STE) model (Moeller et al., 2018)&lt;button type=\"button\" class=\"btn btn-bd-tip-info-hidden btn-sm position-relative\"&gt;.&lt;span class=\"position-absolute top-0 start-100 translate-middle\"&gt;{{ icon_info }}&lt;/span&gt;&lt;/button&gt;&lt;/a&gt;"</v>
      </c>
      <c r="R266" t="b" cm="1">
        <f t="array" ref="R266">SUMPRODUCT(--EXACT($J$2:$J$490,J266))&gt;1</f>
        <v>0</v>
      </c>
      <c r="S266" t="s">
        <v>4439</v>
      </c>
    </row>
    <row r="267" spans="1:19">
      <c r="A267" s="30">
        <v>3</v>
      </c>
      <c r="B267" s="30" t="s">
        <v>1393</v>
      </c>
      <c r="C267" s="30"/>
      <c r="D267" s="30" t="s">
        <v>1208</v>
      </c>
      <c r="E267" s="30" t="s">
        <v>823</v>
      </c>
      <c r="F267" s="30" t="s">
        <v>12</v>
      </c>
      <c r="G267" s="39" t="str">
        <f>VLOOKUP(F267,glossary!J:N,2,FALSE)</f>
        <v>Time in front of the camera (TIFC) (Huggard, 2018; Warbington &amp; Boyce, 2020; tested in Becker et al., 2022)</v>
      </c>
      <c r="H267" s="34" t="s">
        <v>12</v>
      </c>
      <c r="I267" s="45" t="str">
        <f t="shared" si="12"/>
        <v>mod_tifc_tu_ref</v>
      </c>
      <c r="J267" s="42" t="s">
        <v>81</v>
      </c>
      <c r="K267" s="39" t="str">
        <f>VLOOKUP(F267,glossary!J:N,5,FALSE)</f>
        <v>A method used to estimate density that treats camera image data as quadrat samples (Becker et al., 2022).</v>
      </c>
      <c r="L267" t="s">
        <v>1549</v>
      </c>
      <c r="M267" s="30" t="str">
        <f t="shared" si="13"/>
        <v>{{ mod_tifc_tu_ref }}</v>
      </c>
      <c r="N267" t="s">
        <v>896</v>
      </c>
      <c r="O267" s="13" t="s">
        <v>1816</v>
      </c>
      <c r="P267" t="s">
        <v>4081</v>
      </c>
      <c r="Q267" t="str">
        <f t="shared" si="14"/>
        <v xml:space="preserve">    mod_tifc_tu_ref: "&lt;a href=\"09_glossary.html#mod_tifc\" target=\"_blank\" data-bs-toggle=\"tooltip\" data-bs-title=\"Time in front of the camera (TIFC) (Huggard, 2018; Warbington &amp; Boyce, 2020; tested in Becker et al., 2022): A method used to estimate density that treats camera image data as quadrat samples (Becker et al., 2022).\"&gt;Time in front of the camera (TIFC) (Huggard, 2018; Warbington &amp; Boyce, 2020; tested in Becker et al., 2022)&lt;button type=\"button\" class=\"btn btn-bd-tip-info-hidden btn-sm position-relative\"&gt;.&lt;span class=\"position-absolute top-0 start-100 translate-middle\"&gt;{{ icon_info }}&lt;/span&gt;&lt;/button&gt;&lt;/a&gt;"</v>
      </c>
      <c r="R267" t="b" cm="1">
        <f t="array" ref="R267">SUMPRODUCT(--EXACT($J$2:$J$490,J267))&gt;1</f>
        <v>0</v>
      </c>
      <c r="S267" t="s">
        <v>4440</v>
      </c>
    </row>
    <row r="268" spans="1:19">
      <c r="A268" s="30">
        <v>3</v>
      </c>
      <c r="B268" s="30" t="s">
        <v>1393</v>
      </c>
      <c r="C268" s="30"/>
      <c r="D268" s="30" t="s">
        <v>1208</v>
      </c>
      <c r="E268" s="30" t="s">
        <v>823</v>
      </c>
      <c r="F268" s="30" t="s">
        <v>8</v>
      </c>
      <c r="G268" s="39" t="str">
        <f>VLOOKUP(F268,glossary!J:N,2,FALSE)</f>
        <v>Time-to-event (TTE) model (Moeller et al., 2018)</v>
      </c>
      <c r="H268" s="34" t="s">
        <v>8</v>
      </c>
      <c r="I268" s="45" t="str">
        <f t="shared" si="12"/>
        <v>mod_tte_tu_ref</v>
      </c>
      <c r="J268" s="42" t="s">
        <v>78</v>
      </c>
      <c r="K268" s="39" t="str">
        <f>VLOOKUP(F268,glossary!J:N,5,FALSE)</f>
        <v>A method used to estimate abundance or density from the detection rate while accounting for animal movement rates (Moeller et al., 2018). The TTE model assumes perfect detection (though there is a model extension to account for imperfect detection that requires further testing).</v>
      </c>
      <c r="L268" t="s">
        <v>1548</v>
      </c>
      <c r="M268" s="30" t="str">
        <f t="shared" si="13"/>
        <v>{{ mod_tte_tu_ref }}</v>
      </c>
      <c r="N268" t="s">
        <v>896</v>
      </c>
      <c r="O268" s="13" t="s">
        <v>1816</v>
      </c>
      <c r="P268" t="s">
        <v>4081</v>
      </c>
      <c r="Q268" t="str">
        <f t="shared" si="14"/>
        <v xml:space="preserve">    mod_tte_tu_ref: "&lt;a href=\"09_glossary.html#mod_tte\" target=\"_blank\" data-bs-toggle=\"tooltip\" data-bs-title=\"Time-to-event (TTE) model (Moeller et al., 2018): A method used to estimate abundance or density from the detection rate while accounting for animal movement rates (Moeller et al., 2018). The TTE model assumes perfect detection (though there is a model extension to account for imperfect detection that requires further testing).\"&gt;Time-to-event (TTE) model (Moeller et al., 2018)&lt;button type=\"button\" class=\"btn btn-bd-tip-info-hidden btn-sm position-relative\"&gt;.&lt;span class=\"position-absolute top-0 start-100 translate-middle\"&gt;{{ icon_info }}&lt;/span&gt;&lt;/button&gt;&lt;/a&gt;"</v>
      </c>
      <c r="R268" t="b" cm="1">
        <f t="array" ref="R268">SUMPRODUCT(--EXACT($J$2:$J$490,J268))&gt;1</f>
        <v>0</v>
      </c>
      <c r="S268" t="s">
        <v>4441</v>
      </c>
    </row>
    <row r="269" spans="1:19">
      <c r="A269" s="30">
        <v>3</v>
      </c>
      <c r="B269" s="30" t="s">
        <v>1393</v>
      </c>
      <c r="C269" s="30"/>
      <c r="D269" s="30" t="s">
        <v>1207</v>
      </c>
      <c r="E269" s="30" t="s">
        <v>984</v>
      </c>
      <c r="F269" s="30" t="s">
        <v>462</v>
      </c>
      <c r="G269" s="39" t="str">
        <f>VLOOKUP(F269,glossary!J:N,2,FALSE)</f>
        <v>Zero-inflation</v>
      </c>
      <c r="H269" s="34" t="s">
        <v>462</v>
      </c>
      <c r="I269" s="45" t="str">
        <f t="shared" si="12"/>
        <v>mod_zero_inflation_tl</v>
      </c>
      <c r="J269" s="43" t="s">
        <v>971</v>
      </c>
      <c r="K269" s="39" t="str">
        <f>VLOOKUP(F269,glossary!J:N,5,FALSE)</f>
        <v>An excess of zeros that is 'so large that those expected in standard distributions (e.g., normal, Poisson, binomial, negative binomial and beta)' (Heilbron, 1994) violate the assumptions of such distributions (Martin et al., 2005). Excess zeroes can be a result of ecological effects ('true' zeros) or due to sampling or observer error ('false zeros') (Martin et al., 2005). Excess zeroes contribute to overdispersion, but they don't necessarily account for all excess variability (Blasco-Moreno et al., 2019).</v>
      </c>
      <c r="L269" t="s">
        <v>1547</v>
      </c>
      <c r="M269" s="30" t="str">
        <f t="shared" si="13"/>
        <v>{{ mod_zero_inflation_tl }}</v>
      </c>
      <c r="N269" t="s">
        <v>896</v>
      </c>
      <c r="O269" s="13" t="s">
        <v>1816</v>
      </c>
      <c r="P269" t="s">
        <v>4081</v>
      </c>
      <c r="Q269" t="str">
        <f t="shared" si="14"/>
        <v xml:space="preserve">    mod_zero_inflation_tl: "&lt;a href=\"09_glossary.html#mod_zero_inflation\" target=\"_blank\" data-bs-toggle=\"tooltip\" data-bs-title=\"Zero-inflation: An excess of zeros that is 'so large that those expected in standard distributions (e.g., normal, Poisson, binomial, negative binomial and beta)' (Heilbron, 1994) violate the assumptions of such distributions (Martin et al., 2005). Excess zeroes can be a result of ecological effects ('true' zeros) or due to sampling or observer error ('false zeros') (Martin et al., 2005). Excess zeroes contribute to overdispersion, but they don't necessarily account for all excess variability (Blasco-Moreno et al., 2019).\"&gt;zero-inflation&lt;button type=\"button\" class=\"btn btn-bd-tip-info-hidden btn-sm position-relative\"&gt;.&lt;span class=\"position-absolute top-0 start-100 translate-middle\"&gt;{{ icon_info }}&lt;/span&gt;&lt;/button&gt;&lt;/a&gt;"</v>
      </c>
      <c r="R269" t="b" cm="1">
        <f t="array" ref="R269">SUMPRODUCT(--EXACT($J$2:$J$490,J269))&gt;1</f>
        <v>0</v>
      </c>
      <c r="S269" t="s">
        <v>4442</v>
      </c>
    </row>
    <row r="270" spans="1:19">
      <c r="A270" s="30">
        <v>3</v>
      </c>
      <c r="B270" s="30" t="s">
        <v>1393</v>
      </c>
      <c r="C270" s="30"/>
      <c r="D270" s="30" t="s">
        <v>1208</v>
      </c>
      <c r="E270" s="30" t="s">
        <v>984</v>
      </c>
      <c r="F270" s="30" t="s">
        <v>462</v>
      </c>
      <c r="G270" s="39" t="str">
        <f>VLOOKUP(F270,glossary!J:N,2,FALSE)</f>
        <v>Zero-inflation</v>
      </c>
      <c r="H270" s="34" t="s">
        <v>462</v>
      </c>
      <c r="I270" s="45" t="str">
        <f t="shared" si="12"/>
        <v>mod_zero_inflation_tu</v>
      </c>
      <c r="J270" s="42" t="s">
        <v>52</v>
      </c>
      <c r="K270" s="39" t="str">
        <f>VLOOKUP(F270,glossary!J:N,5,FALSE)</f>
        <v>An excess of zeros that is 'so large that those expected in standard distributions (e.g., normal, Poisson, binomial, negative binomial and beta)' (Heilbron, 1994) violate the assumptions of such distributions (Martin et al., 2005). Excess zeroes can be a result of ecological effects ('true' zeros) or due to sampling or observer error ('false zeros') (Martin et al., 2005). Excess zeroes contribute to overdispersion, but they don't necessarily account for all excess variability (Blasco-Moreno et al., 2019).</v>
      </c>
      <c r="L270" t="s">
        <v>1546</v>
      </c>
      <c r="M270" s="30" t="str">
        <f t="shared" si="13"/>
        <v>{{ mod_zero_inflation_tu }}</v>
      </c>
      <c r="N270" t="s">
        <v>896</v>
      </c>
      <c r="O270" s="13" t="s">
        <v>1816</v>
      </c>
      <c r="P270" t="s">
        <v>4081</v>
      </c>
      <c r="Q270" t="str">
        <f t="shared" si="14"/>
        <v xml:space="preserve">    mod_zero_inflation_tu: "&lt;a href=\"09_glossary.html#mod_zero_inflation\" target=\"_blank\" data-bs-toggle=\"tooltip\" data-bs-title=\"Zero-inflation: An excess of zeros that is 'so large that those expected in standard distributions (e.g., normal, Poisson, binomial, negative binomial and beta)' (Heilbron, 1994) violate the assumptions of such distributions (Martin et al., 2005). Excess zeroes can be a result of ecological effects ('true' zeros) or due to sampling or observer error ('false zeros') (Martin et al., 2005). Excess zeroes contribute to overdispersion, but they don't necessarily account for all excess variability (Blasco-Moreno et al., 2019).\"&gt;Zero-inflation&lt;button type=\"button\" class=\"btn btn-bd-tip-info-hidden btn-sm position-relative\"&gt;.&lt;span class=\"position-absolute top-0 start-100 translate-middle\"&gt;{{ icon_info }}&lt;/span&gt;&lt;/button&gt;&lt;/a&gt;"</v>
      </c>
      <c r="R270" t="b" cm="1">
        <f t="array" ref="R270">SUMPRODUCT(--EXACT($J$2:$J$490,J270))&gt;1</f>
        <v>0</v>
      </c>
      <c r="S270" t="s">
        <v>4443</v>
      </c>
    </row>
    <row r="271" spans="1:19">
      <c r="A271" s="30">
        <v>3</v>
      </c>
      <c r="B271" s="30" t="s">
        <v>1393</v>
      </c>
      <c r="C271" s="30"/>
      <c r="D271" s="30" t="s">
        <v>1208</v>
      </c>
      <c r="E271" s="30" t="s">
        <v>984</v>
      </c>
      <c r="F271" s="30" t="s">
        <v>1224</v>
      </c>
      <c r="G271" s="39" t="str">
        <f>VLOOKUP(F271,glossary!J:N,2,FALSE)</f>
        <v>Northing Camera Location</v>
      </c>
      <c r="H271" s="34" t="s">
        <v>1224</v>
      </c>
      <c r="I271" s="45" t="str">
        <f t="shared" si="12"/>
        <v>northing_cam_location_tu</v>
      </c>
      <c r="J271" s="42" t="s">
        <v>705</v>
      </c>
      <c r="K271" s="39" t="str">
        <f>VLOOKUP(F271,glossary!J:N,5,FALSE)</f>
        <v>The northing UTM coordinate of the camera location (e.g., '5962006'). Record using the NAD83 datum. Leave blank if recording the Latitude instead.</v>
      </c>
      <c r="L271" t="s">
        <v>1545</v>
      </c>
      <c r="M271" s="30" t="str">
        <f t="shared" si="13"/>
        <v>{{ northing_cam_location_tu }}</v>
      </c>
      <c r="N271" t="s">
        <v>896</v>
      </c>
      <c r="O271" s="13" t="s">
        <v>1816</v>
      </c>
      <c r="P271" t="s">
        <v>4081</v>
      </c>
      <c r="Q271" t="str">
        <f t="shared" si="14"/>
        <v xml:space="preserve">    northing_cam_location_tu: "&lt;a href=\"09_glossary.html#northing_cam_location\" target=\"_blank\" data-bs-toggle=\"tooltip\" data-bs-title=\"Northing Camera Location: The northing UTM coordinate of the camera location (e.g., '5962006'). Record using the NAD83 datum. Leave blank if recording the Latitude instead.\"&gt;Northing Camera Location&lt;button type=\"button\" class=\"btn btn-bd-tip-info-hidden btn-sm position-relative\"&gt;.&lt;span class=\"position-absolute top-0 start-100 translate-middle\"&gt;{{ icon_info }}&lt;/span&gt;&lt;/button&gt;&lt;/a&gt;"</v>
      </c>
      <c r="R271" t="b" cm="1">
        <f t="array" ref="R271">SUMPRODUCT(--EXACT($J$2:$J$490,J271))&gt;1</f>
        <v>0</v>
      </c>
      <c r="S271" t="s">
        <v>4444</v>
      </c>
    </row>
    <row r="272" spans="1:19">
      <c r="A272" s="30">
        <v>3</v>
      </c>
      <c r="B272" s="30" t="s">
        <v>1393</v>
      </c>
      <c r="C272" s="30"/>
      <c r="D272" s="30" t="s">
        <v>1208</v>
      </c>
      <c r="E272" s="30" t="s">
        <v>984</v>
      </c>
      <c r="F272" s="30" t="s">
        <v>345</v>
      </c>
      <c r="G272" s="39" t="str">
        <f>VLOOKUP(F272,glossary!J:N,2,FALSE)</f>
        <v># Of Images</v>
      </c>
      <c r="H272" s="34" t="s">
        <v>345</v>
      </c>
      <c r="I272" s="45" t="str">
        <f t="shared" si="12"/>
        <v>number_of_images_tu</v>
      </c>
      <c r="J272" s="42" t="s">
        <v>751</v>
      </c>
      <c r="K272" s="39" t="str">
        <f>VLOOKUP(F272,glossary!J:N,5,FALSE)</f>
        <v>The number of images on an SD card.</v>
      </c>
      <c r="L272" t="s">
        <v>1544</v>
      </c>
      <c r="M272" s="30" t="str">
        <f t="shared" si="13"/>
        <v>{{ number_of_images_tu }}</v>
      </c>
      <c r="N272" t="s">
        <v>896</v>
      </c>
      <c r="O272" s="13" t="s">
        <v>1816</v>
      </c>
      <c r="P272" t="s">
        <v>4081</v>
      </c>
      <c r="Q272" t="str">
        <f t="shared" si="14"/>
        <v xml:space="preserve">    number_of_images_tu: "&lt;a href=\"09_glossary.html#number_of_images\" target=\"_blank\" data-bs-toggle=\"tooltip\" data-bs-title=\"# Of Images: The number of images on an SD card.\"&gt;# Of Images&lt;button type=\"button\" class=\"btn btn-bd-tip-info-hidden btn-sm position-relative\"&gt;.&lt;span class=\"position-absolute top-0 start-100 translate-middle\"&gt;{{ icon_info }}&lt;/span&gt;&lt;/button&gt;&lt;/a&gt;"</v>
      </c>
      <c r="R272" t="b" cm="1">
        <f t="array" ref="R272">SUMPRODUCT(--EXACT($J$2:$J$490,J272))&gt;1</f>
        <v>0</v>
      </c>
      <c r="S272" t="s">
        <v>4445</v>
      </c>
    </row>
    <row r="273" spans="1:19">
      <c r="A273" s="30">
        <v>1</v>
      </c>
      <c r="B273" s="30" t="s">
        <v>1064</v>
      </c>
      <c r="C273" s="30" t="s">
        <v>429</v>
      </c>
      <c r="D273" s="30" t="s">
        <v>1207</v>
      </c>
      <c r="E273" s="30" t="s">
        <v>1753</v>
      </c>
      <c r="F273" s="30" t="s">
        <v>43</v>
      </c>
      <c r="G273" s="39" t="str">
        <f>VLOOKUP(F273,glossary!J:N,2,FALSE)</f>
        <v>Absolute abundance / Population size</v>
      </c>
      <c r="H273" s="30" t="s">
        <v>43</v>
      </c>
      <c r="I273" s="45" t="str">
        <f t="shared" si="12"/>
        <v>obj_abundance_tl_abrv2</v>
      </c>
      <c r="J273" s="39" t="s">
        <v>777</v>
      </c>
      <c r="K273" s="39" t="str">
        <f>VLOOKUP(F273,glossary!J:N,5,FALSE)</f>
        <v>The number of individuals in a population (Wearn &amp; Glover-Kapfer, 2017).</v>
      </c>
      <c r="L273" s="30" t="s">
        <v>1818</v>
      </c>
      <c r="M273" s="30" t="str">
        <f t="shared" si="13"/>
        <v>{{ obj_abundance_tl_abrv2 }}</v>
      </c>
      <c r="N273" t="s">
        <v>896</v>
      </c>
      <c r="O273" s="13" t="s">
        <v>1816</v>
      </c>
      <c r="P273" t="s">
        <v>4081</v>
      </c>
      <c r="Q273" t="str">
        <f t="shared" si="14"/>
        <v xml:space="preserve">    obj_abundance_tl_abrv2: "&lt;a href=\"09_glossary.html#obj_abundance\" target=\"_blank\" data-bs-toggle=\"tooltip\" data-bs-title=\"Absolute abundance / Population size: The number of individuals in a population (Wearn &amp; Glover-Kapfer, 2017).\"&gt;abundance&lt;button type=\"button\" class=\"btn btn-bd-tip-info-hidden btn-sm position-relative\"&gt;.&lt;span class=\"position-absolute top-0 start-100 translate-middle\"&gt;{{ icon_info }}&lt;/span&gt;&lt;/button&gt;&lt;/a&gt;"</v>
      </c>
      <c r="R273" t="b" cm="1">
        <f t="array" ref="R273">SUMPRODUCT(--EXACT($J$2:$J$490,J273))&gt;1</f>
        <v>0</v>
      </c>
      <c r="S273" t="s">
        <v>4446</v>
      </c>
    </row>
    <row r="274" spans="1:19">
      <c r="A274" s="30">
        <v>3</v>
      </c>
      <c r="B274" s="30" t="s">
        <v>1393</v>
      </c>
      <c r="C274" s="30"/>
      <c r="D274" s="30" t="s">
        <v>1207</v>
      </c>
      <c r="E274" s="30" t="s">
        <v>1763</v>
      </c>
      <c r="F274" s="30" t="s">
        <v>43</v>
      </c>
      <c r="G274" s="39" t="str">
        <f>VLOOKUP(F274,glossary!J:N,2,FALSE)</f>
        <v>Absolute abundance / Population size</v>
      </c>
      <c r="H274" s="34" t="s">
        <v>43</v>
      </c>
      <c r="I274" s="45" t="str">
        <f t="shared" si="12"/>
        <v>obj_abundance_tl_or</v>
      </c>
      <c r="J274" s="43" t="s">
        <v>975</v>
      </c>
      <c r="K274" s="39" t="str">
        <f>VLOOKUP(F274,glossary!J:N,5,FALSE)</f>
        <v>The number of individuals in a population (Wearn &amp; Glover-Kapfer, 2017).</v>
      </c>
      <c r="L274" t="s">
        <v>1543</v>
      </c>
      <c r="M274" s="30" t="str">
        <f t="shared" si="13"/>
        <v>{{ obj_abundance_tl_or }}</v>
      </c>
      <c r="N274" t="s">
        <v>896</v>
      </c>
      <c r="O274" s="13" t="s">
        <v>1816</v>
      </c>
      <c r="P274" t="s">
        <v>4081</v>
      </c>
      <c r="Q274" t="str">
        <f t="shared" si="14"/>
        <v xml:space="preserve">    obj_abundance_tl_or: "&lt;a href=\"09_glossary.html#obj_abundance\" target=\"_blank\" data-bs-toggle=\"tooltip\" data-bs-title=\"Absolute abundance / Population size: The number of individuals in a population (Wearn &amp; Glover-Kapfer, 2017).\"&gt;absolute abundance / population size&lt;button type=\"button\" class=\"btn btn-bd-tip-info-hidden btn-sm position-relative\"&gt;.&lt;span class=\"position-absolute top-0 start-100 translate-middle\"&gt;{{ icon_info }}&lt;/span&gt;&lt;/button&gt;&lt;/a&gt;"</v>
      </c>
      <c r="R274" t="b" cm="1">
        <f t="array" ref="R274">SUMPRODUCT(--EXACT($J$2:$J$490,J274))&gt;1</f>
        <v>0</v>
      </c>
      <c r="S274" t="s">
        <v>4447</v>
      </c>
    </row>
    <row r="275" spans="1:19">
      <c r="A275" s="30">
        <v>1</v>
      </c>
      <c r="B275" s="30" t="s">
        <v>1064</v>
      </c>
      <c r="C275" s="30" t="s">
        <v>429</v>
      </c>
      <c r="D275" s="30" t="s">
        <v>1208</v>
      </c>
      <c r="E275" s="30" t="s">
        <v>1752</v>
      </c>
      <c r="F275" s="30" t="s">
        <v>43</v>
      </c>
      <c r="G275" s="39" t="str">
        <f>VLOOKUP(F275,glossary!J:N,2,FALSE)</f>
        <v>Absolute abundance / Population size</v>
      </c>
      <c r="H275" s="30" t="s">
        <v>43</v>
      </c>
      <c r="I275" s="45" t="str">
        <f t="shared" si="12"/>
        <v>obj_abundance_tu_abrv</v>
      </c>
      <c r="J275" s="39" t="s">
        <v>822</v>
      </c>
      <c r="K275" s="39" t="str">
        <f>VLOOKUP(F275,glossary!J:N,5,FALSE)</f>
        <v>The number of individuals in a population (Wearn &amp; Glover-Kapfer, 2017).</v>
      </c>
      <c r="L275" s="30" t="s">
        <v>1147</v>
      </c>
      <c r="M275" s="30" t="str">
        <f t="shared" si="13"/>
        <v>{{ obj_abundance_tu_abrv }}</v>
      </c>
      <c r="N275" t="s">
        <v>896</v>
      </c>
      <c r="O275" s="13" t="s">
        <v>1816</v>
      </c>
      <c r="P275" t="s">
        <v>4081</v>
      </c>
      <c r="Q275" t="str">
        <f t="shared" si="14"/>
        <v xml:space="preserve">    obj_abundance_tu_abrv: "&lt;a href=\"09_glossary.html#obj_abundance\" target=\"_blank\" data-bs-toggle=\"tooltip\" data-bs-title=\"Absolute abundance / Population size: The number of individuals in a population (Wearn &amp; Glover-Kapfer, 2017).\"&gt;Absolute abundance&lt;button type=\"button\" class=\"btn btn-bd-tip-info-hidden btn-sm position-relative\"&gt;.&lt;span class=\"position-absolute top-0 start-100 translate-middle\"&gt;{{ icon_info }}&lt;/span&gt;&lt;/button&gt;&lt;/a&gt;"</v>
      </c>
      <c r="R275" t="b" cm="1">
        <f t="array" ref="R275">SUMPRODUCT(--EXACT($J$2:$J$490,J275))&gt;1</f>
        <v>0</v>
      </c>
      <c r="S275" t="s">
        <v>4448</v>
      </c>
    </row>
    <row r="276" spans="1:19">
      <c r="A276" s="30">
        <v>1</v>
      </c>
      <c r="B276" s="30" t="s">
        <v>1064</v>
      </c>
      <c r="C276" s="30" t="s">
        <v>429</v>
      </c>
      <c r="D276" s="30" t="s">
        <v>1208</v>
      </c>
      <c r="E276" s="30" t="s">
        <v>1753</v>
      </c>
      <c r="F276" s="30" t="s">
        <v>43</v>
      </c>
      <c r="G276" s="39" t="str">
        <f>VLOOKUP(F276,glossary!J:N,2,FALSE)</f>
        <v>Absolute abundance / Population size</v>
      </c>
      <c r="H276" s="30" t="s">
        <v>43</v>
      </c>
      <c r="I276" s="45" t="str">
        <f t="shared" si="12"/>
        <v>obj_abundance_tu_abrv2</v>
      </c>
      <c r="J276" s="39" t="s">
        <v>627</v>
      </c>
      <c r="K276" s="39" t="str">
        <f>VLOOKUP(F276,glossary!J:N,5,FALSE)</f>
        <v>The number of individuals in a population (Wearn &amp; Glover-Kapfer, 2017).</v>
      </c>
      <c r="L276" s="30" t="s">
        <v>1817</v>
      </c>
      <c r="M276" s="30" t="str">
        <f t="shared" si="13"/>
        <v>{{ obj_abundance_tu_abrv2 }}</v>
      </c>
      <c r="N276" t="s">
        <v>896</v>
      </c>
      <c r="O276" s="13" t="s">
        <v>1816</v>
      </c>
      <c r="P276" t="s">
        <v>4081</v>
      </c>
      <c r="Q276" t="str">
        <f t="shared" si="14"/>
        <v xml:space="preserve">    obj_abundance_tu_abrv2: "&lt;a href=\"09_glossary.html#obj_abundance\" target=\"_blank\" data-bs-toggle=\"tooltip\" data-bs-title=\"Absolute abundance / Population size: The number of individuals in a population (Wearn &amp; Glover-Kapfer, 2017).\"&gt;Abundance&lt;button type=\"button\" class=\"btn btn-bd-tip-info-hidden btn-sm position-relative\"&gt;.&lt;span class=\"position-absolute top-0 start-100 translate-middle\"&gt;{{ icon_info }}&lt;/span&gt;&lt;/button&gt;&lt;/a&gt;"</v>
      </c>
      <c r="R276" t="b" cm="1">
        <f t="array" ref="R276">SUMPRODUCT(--EXACT($J$2:$J$490,J276))&gt;1</f>
        <v>0</v>
      </c>
      <c r="S276" t="s">
        <v>4449</v>
      </c>
    </row>
    <row r="277" spans="1:19">
      <c r="A277" s="30">
        <v>3</v>
      </c>
      <c r="B277" s="30" t="s">
        <v>1393</v>
      </c>
      <c r="C277" s="30"/>
      <c r="D277" s="30" t="s">
        <v>1208</v>
      </c>
      <c r="E277" s="30" t="s">
        <v>1763</v>
      </c>
      <c r="F277" s="30" t="s">
        <v>43</v>
      </c>
      <c r="G277" s="39" t="str">
        <f>VLOOKUP(F277,glossary!J:N,2,FALSE)</f>
        <v>Absolute abundance / Population size</v>
      </c>
      <c r="H277" s="34" t="s">
        <v>43</v>
      </c>
      <c r="I277" s="45" t="str">
        <f t="shared" si="12"/>
        <v>obj_abundance_tu_or</v>
      </c>
      <c r="J277" s="39" t="s">
        <v>564</v>
      </c>
      <c r="K277" s="39" t="str">
        <f>VLOOKUP(F277,glossary!J:N,5,FALSE)</f>
        <v>The number of individuals in a population (Wearn &amp; Glover-Kapfer, 2017).</v>
      </c>
      <c r="L277" t="s">
        <v>1542</v>
      </c>
      <c r="M277" s="30" t="str">
        <f t="shared" si="13"/>
        <v>{{ obj_abundance_tu_or }}</v>
      </c>
      <c r="N277" t="s">
        <v>896</v>
      </c>
      <c r="O277" s="13" t="s">
        <v>1816</v>
      </c>
      <c r="P277" t="s">
        <v>4081</v>
      </c>
      <c r="Q277" t="str">
        <f t="shared" si="14"/>
        <v xml:space="preserve">    obj_abundance_tu_or: "&lt;a href=\"09_glossary.html#obj_abundance\" target=\"_blank\" data-bs-toggle=\"tooltip\" data-bs-title=\"Absolute abundance / Population size: The number of individuals in a population (Wearn &amp; Glover-Kapfer, 2017).\"&gt;Absolute abundance / Population size&lt;button type=\"button\" class=\"btn btn-bd-tip-info-hidden btn-sm position-relative\"&gt;.&lt;span class=\"position-absolute top-0 start-100 translate-middle\"&gt;{{ icon_info }}&lt;/span&gt;&lt;/button&gt;&lt;/a&gt;"</v>
      </c>
      <c r="R277" t="b" cm="1">
        <f t="array" ref="R277">SUMPRODUCT(--EXACT($J$2:$J$490,J277))&gt;1</f>
        <v>0</v>
      </c>
      <c r="S277" t="s">
        <v>4450</v>
      </c>
    </row>
    <row r="278" spans="1:19">
      <c r="A278" s="30">
        <v>2</v>
      </c>
      <c r="B278" s="30" t="s">
        <v>1400</v>
      </c>
      <c r="C278" s="30"/>
      <c r="D278" s="30" t="s">
        <v>1207</v>
      </c>
      <c r="E278" s="30" t="s">
        <v>984</v>
      </c>
      <c r="F278" s="30" t="s">
        <v>39</v>
      </c>
      <c r="G278" s="39" t="str">
        <f>VLOOKUP(F278,glossary!J:N,2,FALSE)</f>
        <v>Behaviour</v>
      </c>
      <c r="H278" s="30" t="s">
        <v>39</v>
      </c>
      <c r="I278" s="45" t="str">
        <f t="shared" si="12"/>
        <v>obj_behaviour_tl</v>
      </c>
      <c r="J278" s="39" t="s">
        <v>339</v>
      </c>
      <c r="K278" s="39" t="str">
        <f>VLOOKUP(F278,glossary!J:N,5,FALSE)</f>
        <v>Behaviour focused objectives vary greatly; they may be qualitative or quantitative (e.g., diel activity patterns, mating, boldness, predation, foraging, activity patterns, vigilance, parental care (Caravaggi et al., 2020; Wearn &amp; Glover-Kapfer, 2017).</v>
      </c>
      <c r="L278" s="30" t="s">
        <v>1541</v>
      </c>
      <c r="M278" s="30" t="str">
        <f t="shared" si="13"/>
        <v>{{ obj_behaviour_tl }}</v>
      </c>
      <c r="N278" t="s">
        <v>896</v>
      </c>
      <c r="O278" s="13" t="s">
        <v>1816</v>
      </c>
      <c r="P278" t="s">
        <v>4081</v>
      </c>
      <c r="Q278" t="str">
        <f t="shared" si="14"/>
        <v xml:space="preserve">    obj_behaviour_tl: "&lt;a href=\"09_glossary.html#obj_behaviour\" target=\"_blank\" data-bs-toggle=\"tooltip\" data-bs-title=\"Behaviour: Behaviour focused objectives vary greatly; they may be qualitative or quantitative (e.g., diel activity patterns, mating, boldness, predation, foraging, activity patterns, vigilance, parental care (Caravaggi et al., 2020; Wearn &amp; Glover-Kapfer, 2017).\"&gt;behaviour&lt;button type=\"button\" class=\"btn btn-bd-tip-info-hidden btn-sm position-relative\"&gt;.&lt;span class=\"position-absolute top-0 start-100 translate-middle\"&gt;{{ icon_info }}&lt;/span&gt;&lt;/button&gt;&lt;/a&gt;"</v>
      </c>
      <c r="R278" t="b" cm="1">
        <f t="array" ref="R278">SUMPRODUCT(--EXACT($J$2:$J$490,J278))&gt;1</f>
        <v>0</v>
      </c>
      <c r="S278" t="s">
        <v>4451</v>
      </c>
    </row>
    <row r="279" spans="1:19">
      <c r="A279" s="30">
        <v>2</v>
      </c>
      <c r="B279" s="30" t="s">
        <v>1400</v>
      </c>
      <c r="C279" s="30"/>
      <c r="D279" s="30" t="s">
        <v>1208</v>
      </c>
      <c r="E279" s="30" t="s">
        <v>984</v>
      </c>
      <c r="F279" s="30" t="s">
        <v>39</v>
      </c>
      <c r="G279" s="39" t="str">
        <f>VLOOKUP(F279,glossary!J:N,2,FALSE)</f>
        <v>Behaviour</v>
      </c>
      <c r="H279" s="30" t="s">
        <v>39</v>
      </c>
      <c r="I279" s="45" t="str">
        <f t="shared" si="12"/>
        <v>obj_behaviour_tu</v>
      </c>
      <c r="J279" s="39" t="s">
        <v>30</v>
      </c>
      <c r="K279" s="39" t="str">
        <f>VLOOKUP(F279,glossary!J:N,5,FALSE)</f>
        <v>Behaviour focused objectives vary greatly; they may be qualitative or quantitative (e.g., diel activity patterns, mating, boldness, predation, foraging, activity patterns, vigilance, parental care (Caravaggi et al., 2020; Wearn &amp; Glover-Kapfer, 2017).</v>
      </c>
      <c r="L279" s="30" t="s">
        <v>1540</v>
      </c>
      <c r="M279" s="30" t="str">
        <f t="shared" si="13"/>
        <v>{{ obj_behaviour_tu }}</v>
      </c>
      <c r="N279" t="s">
        <v>896</v>
      </c>
      <c r="O279" s="13" t="s">
        <v>1816</v>
      </c>
      <c r="P279" t="s">
        <v>4081</v>
      </c>
      <c r="Q279" t="str">
        <f t="shared" si="14"/>
        <v xml:space="preserve">    obj_behaviour_tu: "&lt;a href=\"09_glossary.html#obj_behaviour\" target=\"_blank\" data-bs-toggle=\"tooltip\" data-bs-title=\"Behaviour: Behaviour focused objectives vary greatly; they may be qualitative or quantitative (e.g., diel activity patterns, mating, boldness, predation, foraging, activity patterns, vigilance, parental care (Caravaggi et al., 2020; Wearn &amp; Glover-Kapfer, 2017).\"&gt;Behaviour&lt;button type=\"button\" class=\"btn btn-bd-tip-info-hidden btn-sm position-relative\"&gt;.&lt;span class=\"position-absolute top-0 start-100 translate-middle\"&gt;{{ icon_info }}&lt;/span&gt;&lt;/button&gt;&lt;/a&gt;"</v>
      </c>
      <c r="R279" t="b" cm="1">
        <f t="array" ref="R279">SUMPRODUCT(--EXACT($J$2:$J$490,J279))&gt;1</f>
        <v>0</v>
      </c>
      <c r="S279" t="s">
        <v>4452</v>
      </c>
    </row>
    <row r="280" spans="1:19">
      <c r="A280" s="30">
        <v>2</v>
      </c>
      <c r="B280" s="30" t="s">
        <v>1400</v>
      </c>
      <c r="C280" s="30"/>
      <c r="D280" s="30" t="s">
        <v>1207</v>
      </c>
      <c r="E280" s="30" t="s">
        <v>984</v>
      </c>
      <c r="F280" s="30" t="s">
        <v>537</v>
      </c>
      <c r="G280" s="39" t="str">
        <f>VLOOKUP(F280,glossary!J:N,2,FALSE)</f>
        <v>Density</v>
      </c>
      <c r="H280" s="30" t="s">
        <v>537</v>
      </c>
      <c r="I280" s="45" t="str">
        <f t="shared" si="12"/>
        <v>obj_density_tl</v>
      </c>
      <c r="J280" s="39" t="s">
        <v>518</v>
      </c>
      <c r="K280" s="39" t="str">
        <f>VLOOKUP(F280,glossary!J:N,5,FALSE)</f>
        <v>The number of individuals per unit area (Wearn &amp; Glover-Kapfer, 2017)</v>
      </c>
      <c r="L280" s="30" t="s">
        <v>1539</v>
      </c>
      <c r="M280" s="30" t="str">
        <f t="shared" si="13"/>
        <v>{{ obj_density_tl }}</v>
      </c>
      <c r="N280" t="s">
        <v>896</v>
      </c>
      <c r="O280" s="13" t="s">
        <v>1816</v>
      </c>
      <c r="P280" t="s">
        <v>4081</v>
      </c>
      <c r="Q280" t="str">
        <f t="shared" si="14"/>
        <v xml:space="preserve">    obj_density_tl: "&lt;a href=\"09_glossary.html#obj_density\" target=\"_blank\" data-bs-toggle=\"tooltip\" data-bs-title=\"Density: The number of individuals per unit area (Wearn &amp; Glover-Kapfer, 2017)\"&gt;density&lt;button type=\"button\" class=\"btn btn-bd-tip-info-hidden btn-sm position-relative\"&gt;.&lt;span class=\"position-absolute top-0 start-100 translate-middle\"&gt;{{ icon_info }}&lt;/span&gt;&lt;/button&gt;&lt;/a&gt;"</v>
      </c>
      <c r="R280" t="b" cm="1">
        <f t="array" ref="R280">SUMPRODUCT(--EXACT($J$2:$J$490,J280))&gt;1</f>
        <v>0</v>
      </c>
      <c r="S280" t="s">
        <v>4453</v>
      </c>
    </row>
    <row r="281" spans="1:19">
      <c r="A281" s="30">
        <v>2</v>
      </c>
      <c r="B281" s="30" t="s">
        <v>1400</v>
      </c>
      <c r="C281" s="30"/>
      <c r="D281" s="30" t="s">
        <v>1208</v>
      </c>
      <c r="E281" s="30" t="s">
        <v>984</v>
      </c>
      <c r="F281" s="30" t="s">
        <v>537</v>
      </c>
      <c r="G281" s="39" t="str">
        <f>VLOOKUP(F281,glossary!J:N,2,FALSE)</f>
        <v>Density</v>
      </c>
      <c r="H281" s="30" t="s">
        <v>537</v>
      </c>
      <c r="I281" s="45" t="str">
        <f t="shared" si="12"/>
        <v>obj_density_tu</v>
      </c>
      <c r="J281" s="39" t="s">
        <v>527</v>
      </c>
      <c r="K281" s="39" t="str">
        <f>VLOOKUP(F281,glossary!J:N,5,FALSE)</f>
        <v>The number of individuals per unit area (Wearn &amp; Glover-Kapfer, 2017)</v>
      </c>
      <c r="L281" s="30" t="s">
        <v>1538</v>
      </c>
      <c r="M281" s="30" t="str">
        <f t="shared" si="13"/>
        <v>{{ obj_density_tu }}</v>
      </c>
      <c r="N281" t="s">
        <v>896</v>
      </c>
      <c r="O281" s="13" t="s">
        <v>1816</v>
      </c>
      <c r="P281" t="s">
        <v>4081</v>
      </c>
      <c r="Q281" t="str">
        <f t="shared" si="14"/>
        <v xml:space="preserve">    obj_density_tu: "&lt;a href=\"09_glossary.html#obj_density\" target=\"_blank\" data-bs-toggle=\"tooltip\" data-bs-title=\"Density: The number of individuals per unit area (Wearn &amp; Glover-Kapfer, 2017)\"&gt;Density&lt;button type=\"button\" class=\"btn btn-bd-tip-info-hidden btn-sm position-relative\"&gt;.&lt;span class=\"position-absolute top-0 start-100 translate-middle\"&gt;{{ icon_info }}&lt;/span&gt;&lt;/button&gt;&lt;/a&gt;"</v>
      </c>
      <c r="R281" t="b" cm="1">
        <f t="array" ref="R281">SUMPRODUCT(--EXACT($J$2:$J$490,J281))&gt;1</f>
        <v>0</v>
      </c>
      <c r="S281" t="s">
        <v>4454</v>
      </c>
    </row>
    <row r="282" spans="1:19">
      <c r="A282" s="30">
        <v>3</v>
      </c>
      <c r="B282" s="30" t="s">
        <v>1393</v>
      </c>
      <c r="C282" s="30"/>
      <c r="D282" s="30" t="s">
        <v>1207</v>
      </c>
      <c r="E282" s="30" t="s">
        <v>984</v>
      </c>
      <c r="F282" s="30" t="s">
        <v>48</v>
      </c>
      <c r="G282" s="39" t="str">
        <f>VLOOKUP(F282,glossary!J:N,2,FALSE)</f>
        <v>Species diversity &amp; richness</v>
      </c>
      <c r="H282" s="34" t="s">
        <v>48</v>
      </c>
      <c r="I282" s="45" t="str">
        <f t="shared" si="12"/>
        <v>obj_divers_rich_tl</v>
      </c>
      <c r="J282" s="43" t="s">
        <v>900</v>
      </c>
      <c r="K282" s="39" t="str">
        <f>VLOOKUP(F282,glossary!J:N,5,FALSE)</f>
        <v xml:space="preserve">    - &lt;b&gt;Species diversity&lt;/b&gt;: 'A measure of diversity that incorporates both the number of species in an assemblage and some measure of their relative abundances.' (Gotelli &amp; Chao, 2013)&lt;br&gt;    - &lt;b&gt;Species richness&lt;/b&gt;: 'The total number of species in an assemblage or a sample' (Gotelli &amp; Chao, 2013).</v>
      </c>
      <c r="L282" t="s">
        <v>1537</v>
      </c>
      <c r="M282" s="30" t="str">
        <f t="shared" si="13"/>
        <v>{{ obj_divers_rich_tl }}</v>
      </c>
      <c r="N282" t="s">
        <v>896</v>
      </c>
      <c r="O282" s="13" t="s">
        <v>1816</v>
      </c>
      <c r="P282" t="s">
        <v>4081</v>
      </c>
      <c r="Q282" t="str">
        <f t="shared" si="14"/>
        <v xml:space="preserve">    obj_divers_rich_tl: "&lt;a href=\"09_glossary.html#obj_divers_rich\" target=\"_blank\" data-bs-toggle=\"tooltip\" data-bs-title=\"Species diversity &amp; richness:     - &lt;b&gt;Species diversity&lt;/b&gt;: 'A measure of diversity that incorporates both the number of species in an assemblage and some measure of their relative abundances.' (Gotelli &amp; Chao, 2013)&lt;br&gt;    - &lt;b&gt;Species richness&lt;/b&gt;: 'The total number of species in an assemblage or a sample' (Gotelli &amp; Chao, 2013).\"&gt;species diversity &amp; richness&lt;button type=\"button\" class=\"btn btn-bd-tip-info-hidden btn-sm position-relative\"&gt;.&lt;span class=\"position-absolute top-0 start-100 translate-middle\"&gt;{{ icon_info }}&lt;/span&gt;&lt;/button&gt;&lt;/a&gt;"</v>
      </c>
      <c r="R282" t="b" cm="1">
        <f t="array" ref="R282">SUMPRODUCT(--EXACT($J$2:$J$490,J282))&gt;1</f>
        <v>0</v>
      </c>
      <c r="S282" t="s">
        <v>4455</v>
      </c>
    </row>
    <row r="283" spans="1:19">
      <c r="A283" s="30">
        <v>3</v>
      </c>
      <c r="B283" s="30" t="s">
        <v>1393</v>
      </c>
      <c r="C283" s="30"/>
      <c r="D283" s="30" t="s">
        <v>1208</v>
      </c>
      <c r="E283" s="30" t="s">
        <v>984</v>
      </c>
      <c r="F283" s="30" t="s">
        <v>48</v>
      </c>
      <c r="G283" s="39" t="str">
        <f>VLOOKUP(F283,glossary!J:N,2,FALSE)</f>
        <v>Species diversity &amp; richness</v>
      </c>
      <c r="H283" s="34" t="s">
        <v>48</v>
      </c>
      <c r="I283" s="45" t="str">
        <f t="shared" si="12"/>
        <v>obj_divers_rich_tu</v>
      </c>
      <c r="J283" s="39" t="s">
        <v>35</v>
      </c>
      <c r="K283" s="39" t="str">
        <f>VLOOKUP(F283,glossary!J:N,5,FALSE)</f>
        <v xml:space="preserve">    - &lt;b&gt;Species diversity&lt;/b&gt;: 'A measure of diversity that incorporates both the number of species in an assemblage and some measure of their relative abundances.' (Gotelli &amp; Chao, 2013)&lt;br&gt;    - &lt;b&gt;Species richness&lt;/b&gt;: 'The total number of species in an assemblage or a sample' (Gotelli &amp; Chao, 2013).</v>
      </c>
      <c r="L283" t="s">
        <v>1536</v>
      </c>
      <c r="M283" s="30" t="str">
        <f t="shared" si="13"/>
        <v>{{ obj_divers_rich_tu }}</v>
      </c>
      <c r="N283" t="s">
        <v>896</v>
      </c>
      <c r="O283" s="13" t="s">
        <v>1816</v>
      </c>
      <c r="P283" t="s">
        <v>4081</v>
      </c>
      <c r="Q283" t="str">
        <f t="shared" si="14"/>
        <v xml:space="preserve">    obj_divers_rich_tu: "&lt;a href=\"09_glossary.html#obj_divers_rich\" target=\"_blank\" data-bs-toggle=\"tooltip\" data-bs-title=\"Species diversity &amp; richness:     - &lt;b&gt;Species diversity&lt;/b&gt;: 'A measure of diversity that incorporates both the number of species in an assemblage and some measure of their relative abundances.' (Gotelli &amp; Chao, 2013)&lt;br&gt;    - &lt;b&gt;Species richness&lt;/b&gt;: 'The total number of species in an assemblage or a sample' (Gotelli &amp; Chao, 2013).\"&gt;Species diversity &amp; richness&lt;button type=\"button\" class=\"btn btn-bd-tip-info-hidden btn-sm position-relative\"&gt;.&lt;span class=\"position-absolute top-0 start-100 translate-middle\"&gt;{{ icon_info }}&lt;/span&gt;&lt;/button&gt;&lt;/a&gt;"</v>
      </c>
      <c r="R283" t="b" cm="1">
        <f t="array" ref="R283">SUMPRODUCT(--EXACT($J$2:$J$490,J283))&gt;1</f>
        <v>0</v>
      </c>
      <c r="S283" t="s">
        <v>4456</v>
      </c>
    </row>
    <row r="284" spans="1:19">
      <c r="A284" s="30">
        <v>3</v>
      </c>
      <c r="B284" s="30" t="s">
        <v>1393</v>
      </c>
      <c r="C284" s="30"/>
      <c r="D284" s="30" t="s">
        <v>1207</v>
      </c>
      <c r="E284" s="30" t="s">
        <v>984</v>
      </c>
      <c r="F284" s="30" t="s">
        <v>49</v>
      </c>
      <c r="G284" s="39" t="str">
        <f>VLOOKUP(F284,glossary!J:N,2,FALSE)</f>
        <v>Species inventory</v>
      </c>
      <c r="H284" s="34" t="s">
        <v>49</v>
      </c>
      <c r="I284" s="45" t="str">
        <f t="shared" si="12"/>
        <v>obj_inventory_tl</v>
      </c>
      <c r="J284" s="43" t="s">
        <v>952</v>
      </c>
      <c r="K284" s="39" t="str">
        <f>VLOOKUP(F284,glossary!J:N,5,FALSE)</f>
        <v>Rapid assessment surveys used to determine what species are present in a given area at a given point in time; there is no attempt made to quantify aspects of communities or populations (Wearn &amp; Glover-Kapfer, 2017).</v>
      </c>
      <c r="L284" t="s">
        <v>1535</v>
      </c>
      <c r="M284" s="30" t="str">
        <f t="shared" si="13"/>
        <v>{{ obj_inventory_tl }}</v>
      </c>
      <c r="N284" t="s">
        <v>896</v>
      </c>
      <c r="O284" s="13" t="s">
        <v>1816</v>
      </c>
      <c r="P284" t="s">
        <v>4081</v>
      </c>
      <c r="Q284" t="str">
        <f t="shared" si="14"/>
        <v xml:space="preserve">    obj_inventory_tl: "&lt;a href=\"09_glossary.html#obj_inventory\" target=\"_blank\" data-bs-toggle=\"tooltip\" data-bs-title=\"Species inventory: Rapid assessment surveys used to determine what species are present in a given area at a given point in time; there is no attempt made to quantify aspects of communities or populations (Wearn &amp; Glover-Kapfer, 2017).\"&gt;species inventory&lt;button type=\"button\" class=\"btn btn-bd-tip-info-hidden btn-sm position-relative\"&gt;.&lt;span class=\"position-absolute top-0 start-100 translate-middle\"&gt;{{ icon_info }}&lt;/span&gt;&lt;/button&gt;&lt;/a&gt;"</v>
      </c>
      <c r="R284" t="b" cm="1">
        <f t="array" ref="R284">SUMPRODUCT(--EXACT($J$2:$J$490,J284))&gt;1</f>
        <v>0</v>
      </c>
      <c r="S284" t="s">
        <v>4457</v>
      </c>
    </row>
    <row r="285" spans="1:19">
      <c r="A285" s="30">
        <v>3</v>
      </c>
      <c r="B285" s="30" t="s">
        <v>1393</v>
      </c>
      <c r="C285" s="30"/>
      <c r="D285" s="30" t="s">
        <v>1208</v>
      </c>
      <c r="E285" s="30" t="s">
        <v>984</v>
      </c>
      <c r="F285" s="30" t="s">
        <v>49</v>
      </c>
      <c r="G285" s="39" t="str">
        <f>VLOOKUP(F285,glossary!J:N,2,FALSE)</f>
        <v>Species inventory</v>
      </c>
      <c r="H285" s="34" t="s">
        <v>49</v>
      </c>
      <c r="I285" s="45" t="str">
        <f t="shared" si="12"/>
        <v>obj_inventory_tu</v>
      </c>
      <c r="J285" s="39" t="s">
        <v>37</v>
      </c>
      <c r="K285" s="39" t="str">
        <f>VLOOKUP(F285,glossary!J:N,5,FALSE)</f>
        <v>Rapid assessment surveys used to determine what species are present in a given area at a given point in time; there is no attempt made to quantify aspects of communities or populations (Wearn &amp; Glover-Kapfer, 2017).</v>
      </c>
      <c r="L285" t="s">
        <v>1534</v>
      </c>
      <c r="M285" s="30" t="str">
        <f t="shared" si="13"/>
        <v>{{ obj_inventory_tu }}</v>
      </c>
      <c r="N285" t="s">
        <v>896</v>
      </c>
      <c r="O285" s="13" t="s">
        <v>1816</v>
      </c>
      <c r="P285" t="s">
        <v>4081</v>
      </c>
      <c r="Q285" t="str">
        <f t="shared" si="14"/>
        <v xml:space="preserve">    obj_inventory_tu: "&lt;a href=\"09_glossary.html#obj_inventory\" target=\"_blank\" data-bs-toggle=\"tooltip\" data-bs-title=\"Species inventory: Rapid assessment surveys used to determine what species are present in a given area at a given point in time; there is no attempt made to quantify aspects of communities or populations (Wearn &amp; Glover-Kapfer, 2017).\"&gt;Species inventory&lt;button type=\"button\" class=\"btn btn-bd-tip-info-hidden btn-sm position-relative\"&gt;.&lt;span class=\"position-absolute top-0 start-100 translate-middle\"&gt;{{ icon_info }}&lt;/span&gt;&lt;/button&gt;&lt;/a&gt;"</v>
      </c>
      <c r="R285" t="b" cm="1">
        <f t="array" ref="R285">SUMPRODUCT(--EXACT($J$2:$J$490,J285))&gt;1</f>
        <v>0</v>
      </c>
      <c r="S285" t="s">
        <v>4458</v>
      </c>
    </row>
    <row r="286" spans="1:19">
      <c r="A286" s="30">
        <v>2</v>
      </c>
      <c r="B286" s="30" t="s">
        <v>1400</v>
      </c>
      <c r="C286" s="30"/>
      <c r="D286" s="30" t="s">
        <v>1207</v>
      </c>
      <c r="E286" s="30" t="s">
        <v>984</v>
      </c>
      <c r="F286" s="30" t="s">
        <v>47</v>
      </c>
      <c r="G286" s="39" t="str">
        <f>VLOOKUP(F286,glossary!J:N,2,FALSE)</f>
        <v>Occupancy</v>
      </c>
      <c r="H286" s="30" t="s">
        <v>47</v>
      </c>
      <c r="I286" s="45" t="str">
        <f t="shared" si="12"/>
        <v>obj_occupancy_tl</v>
      </c>
      <c r="J286" s="39" t="s">
        <v>149</v>
      </c>
      <c r="K286" s="39" t="str">
        <f>VLOOKUP(F286,glossary!J:N,5,FALSE)</f>
        <v>The probability a site is occupied by the species (Mackenzie et al., 2002).</v>
      </c>
      <c r="L286" s="30" t="s">
        <v>1533</v>
      </c>
      <c r="M286" s="30" t="str">
        <f t="shared" si="13"/>
        <v>{{ obj_occupancy_tl }}</v>
      </c>
      <c r="N286" t="s">
        <v>896</v>
      </c>
      <c r="O286" s="13" t="s">
        <v>1816</v>
      </c>
      <c r="P286" t="s">
        <v>4081</v>
      </c>
      <c r="Q286" t="str">
        <f t="shared" si="14"/>
        <v xml:space="preserve">    obj_occupancy_tl: "&lt;a href=\"09_glossary.html#obj_occupancy\" target=\"_blank\" data-bs-toggle=\"tooltip\" data-bs-title=\"Occupancy: The probability a site is occupied by the species (Mackenzie et al., 2002).\"&gt;occupancy&lt;button type=\"button\" class=\"btn btn-bd-tip-info-hidden btn-sm position-relative\"&gt;.&lt;span class=\"position-absolute top-0 start-100 translate-middle\"&gt;{{ icon_info }}&lt;/span&gt;&lt;/button&gt;&lt;/a&gt;"</v>
      </c>
      <c r="R286" t="b" cm="1">
        <f t="array" ref="R286">SUMPRODUCT(--EXACT($J$2:$J$490,J286))&gt;1</f>
        <v>0</v>
      </c>
      <c r="S286" t="s">
        <v>4459</v>
      </c>
    </row>
    <row r="287" spans="1:19">
      <c r="A287" s="30">
        <v>2</v>
      </c>
      <c r="B287" s="30" t="s">
        <v>1400</v>
      </c>
      <c r="C287" s="30"/>
      <c r="D287" s="30" t="s">
        <v>1208</v>
      </c>
      <c r="E287" s="30" t="s">
        <v>984</v>
      </c>
      <c r="F287" s="30" t="s">
        <v>47</v>
      </c>
      <c r="G287" s="39" t="str">
        <f>VLOOKUP(F287,glossary!J:N,2,FALSE)</f>
        <v>Occupancy</v>
      </c>
      <c r="H287" s="30" t="s">
        <v>47</v>
      </c>
      <c r="I287" s="45" t="str">
        <f t="shared" si="12"/>
        <v>obj_occupancy_tu</v>
      </c>
      <c r="J287" s="39" t="s">
        <v>46</v>
      </c>
      <c r="K287" s="39" t="str">
        <f>VLOOKUP(F287,glossary!J:N,5,FALSE)</f>
        <v>The probability a site is occupied by the species (Mackenzie et al., 2002).</v>
      </c>
      <c r="L287" s="30" t="s">
        <v>1532</v>
      </c>
      <c r="M287" s="30" t="str">
        <f t="shared" si="13"/>
        <v>{{ obj_occupancy_tu }}</v>
      </c>
      <c r="N287" t="s">
        <v>896</v>
      </c>
      <c r="O287" s="13" t="s">
        <v>1816</v>
      </c>
      <c r="P287" t="s">
        <v>4081</v>
      </c>
      <c r="Q287" t="str">
        <f t="shared" si="14"/>
        <v xml:space="preserve">    obj_occupancy_tu: "&lt;a href=\"09_glossary.html#obj_occupancy\" target=\"_blank\" data-bs-toggle=\"tooltip\" data-bs-title=\"Occupancy: The probability a site is occupied by the species (Mackenzie et al., 2002).\"&gt;Occupancy&lt;button type=\"button\" class=\"btn btn-bd-tip-info-hidden btn-sm position-relative\"&gt;.&lt;span class=\"position-absolute top-0 start-100 translate-middle\"&gt;{{ icon_info }}&lt;/span&gt;&lt;/button&gt;&lt;/a&gt;"</v>
      </c>
      <c r="R287" t="b" cm="1">
        <f t="array" ref="R287">SUMPRODUCT(--EXACT($J$2:$J$490,J287))&gt;1</f>
        <v>0</v>
      </c>
      <c r="S287" t="s">
        <v>4460</v>
      </c>
    </row>
    <row r="288" spans="1:19">
      <c r="A288" s="30">
        <v>3</v>
      </c>
      <c r="B288" s="30" t="s">
        <v>1393</v>
      </c>
      <c r="C288" s="30"/>
      <c r="D288" s="30" t="s">
        <v>1207</v>
      </c>
      <c r="E288" s="30" t="s">
        <v>984</v>
      </c>
      <c r="F288" s="30" t="s">
        <v>45</v>
      </c>
      <c r="G288" s="39" t="str">
        <f>VLOOKUP(F288,glossary!J:N,2,FALSE)</f>
        <v>Relative abundance</v>
      </c>
      <c r="H288" s="34" t="s">
        <v>45</v>
      </c>
      <c r="I288" s="45" t="str">
        <f t="shared" si="12"/>
        <v>obj_rel_abund_tl</v>
      </c>
      <c r="J288" s="43" t="s">
        <v>946</v>
      </c>
      <c r="K288" s="39" t="str">
        <f>VLOOKUP(F288,glossary!J:N,5,FALSE)</f>
        <v>The number of animals detected from one camera/area compared to another camera/area.</v>
      </c>
      <c r="L288" t="s">
        <v>1383</v>
      </c>
      <c r="M288" s="30" t="str">
        <f t="shared" si="13"/>
        <v>{{ obj_rel_abund_tl }}</v>
      </c>
      <c r="N288" t="s">
        <v>896</v>
      </c>
      <c r="O288" s="13" t="s">
        <v>1816</v>
      </c>
      <c r="P288" t="s">
        <v>4081</v>
      </c>
      <c r="Q288" t="str">
        <f t="shared" si="14"/>
        <v xml:space="preserve">    obj_rel_abund_tl: "&lt;a href=\"09_glossary.html#obj_rel_abund\" target=\"_blank\" data-bs-toggle=\"tooltip\" data-bs-title=\"Relative abundance: The number of animals detected from one camera/area compared to another camera/area.\"&gt;relative abundance&lt;button type=\"button\" class=\"btn btn-bd-tip-info-hidden btn-sm position-relative\"&gt;.&lt;span class=\"position-absolute top-0 start-100 translate-middle\"&gt;{{ icon_info }}&lt;/span&gt;&lt;/button&gt;&lt;/a&gt;"</v>
      </c>
      <c r="R288" t="b" cm="1">
        <f t="array" ref="R288">SUMPRODUCT(--EXACT($J$2:$J$490,J288))&gt;1</f>
        <v>0</v>
      </c>
      <c r="S288" t="s">
        <v>4461</v>
      </c>
    </row>
    <row r="289" spans="1:19">
      <c r="A289" s="30">
        <v>3</v>
      </c>
      <c r="B289" s="30" t="s">
        <v>1393</v>
      </c>
      <c r="C289" s="30"/>
      <c r="D289" s="30" t="s">
        <v>1208</v>
      </c>
      <c r="E289" s="30" t="s">
        <v>984</v>
      </c>
      <c r="F289" s="30" t="s">
        <v>45</v>
      </c>
      <c r="G289" s="39" t="str">
        <f>VLOOKUP(F289,glossary!J:N,2,FALSE)</f>
        <v>Relative abundance</v>
      </c>
      <c r="H289" s="34" t="s">
        <v>45</v>
      </c>
      <c r="I289" s="45" t="str">
        <f t="shared" si="12"/>
        <v>obj_rel_abund_tu</v>
      </c>
      <c r="J289" s="39" t="s">
        <v>44</v>
      </c>
      <c r="K289" s="39" t="str">
        <f>VLOOKUP(F289,glossary!J:N,5,FALSE)</f>
        <v>The number of animals detected from one camera/area compared to another camera/area.</v>
      </c>
      <c r="L289" t="s">
        <v>1531</v>
      </c>
      <c r="M289" s="30" t="str">
        <f t="shared" si="13"/>
        <v>{{ obj_rel_abund_tu }}</v>
      </c>
      <c r="N289" t="s">
        <v>896</v>
      </c>
      <c r="O289" s="13" t="s">
        <v>1816</v>
      </c>
      <c r="P289" t="s">
        <v>4081</v>
      </c>
      <c r="Q289" t="str">
        <f t="shared" si="14"/>
        <v xml:space="preserve">    obj_rel_abund_tu: "&lt;a href=\"09_glossary.html#obj_rel_abund\" target=\"_blank\" data-bs-toggle=\"tooltip\" data-bs-title=\"Relative abundance: The number of animals detected from one camera/area compared to another camera/area.\"&gt;Relative abundance&lt;button type=\"button\" class=\"btn btn-bd-tip-info-hidden btn-sm position-relative\"&gt;.&lt;span class=\"position-absolute top-0 start-100 translate-middle\"&gt;{{ icon_info }}&lt;/span&gt;&lt;/button&gt;&lt;/a&gt;"</v>
      </c>
      <c r="R289" t="b" cm="1">
        <f t="array" ref="R289">SUMPRODUCT(--EXACT($J$2:$J$490,J289))&gt;1</f>
        <v>0</v>
      </c>
      <c r="S289" t="s">
        <v>4462</v>
      </c>
    </row>
    <row r="290" spans="1:19">
      <c r="A290" s="30">
        <v>3</v>
      </c>
      <c r="B290" s="30" t="s">
        <v>1393</v>
      </c>
      <c r="C290" s="30"/>
      <c r="D290" s="30" t="s">
        <v>1207</v>
      </c>
      <c r="E290" s="30" t="s">
        <v>984</v>
      </c>
      <c r="F290" s="30" t="s">
        <v>42</v>
      </c>
      <c r="G290" s="39" t="str">
        <f>VLOOKUP(F290,glossary!J:N,2,FALSE)</f>
        <v>Vital rate</v>
      </c>
      <c r="H290" s="34" t="s">
        <v>42</v>
      </c>
      <c r="I290" s="45" t="str">
        <f t="shared" si="12"/>
        <v>obj_vital_rate_tl</v>
      </c>
      <c r="J290" s="43" t="s">
        <v>970</v>
      </c>
      <c r="K290" s="39" t="str">
        <f>VLOOKUP(F290,glossary!J:N,5,FALSE)</f>
        <v>The species-specific factors of a population that, together, play a large role in the population's trend. These include the birth rate, recruitment rate, and probability of survival and mortality.' (NBCKC, 2024a)</v>
      </c>
      <c r="L290" t="s">
        <v>1530</v>
      </c>
      <c r="M290" s="30" t="str">
        <f t="shared" si="13"/>
        <v>{{ obj_vital_rate_tl }}</v>
      </c>
      <c r="N290" t="s">
        <v>896</v>
      </c>
      <c r="O290" s="13" t="s">
        <v>1816</v>
      </c>
      <c r="P290" t="s">
        <v>4081</v>
      </c>
      <c r="Q290" t="str">
        <f t="shared" si="14"/>
        <v xml:space="preserve">    obj_vital_rate_tl: "&lt;a href=\"09_glossary.html#obj_vital_rate\" target=\"_blank\" data-bs-toggle=\"tooltip\" data-bs-title=\"Vital rate: The species-specific factors of a population that, together, play a large role in the population's trend. These include the birth rate, recruitment rate, and probability of survival and mortality.' (NBCKC, 2024a)\"&gt;vital rate&lt;button type=\"button\" class=\"btn btn-bd-tip-info-hidden btn-sm position-relative\"&gt;.&lt;span class=\"position-absolute top-0 start-100 translate-middle\"&gt;{{ icon_info }}&lt;/span&gt;&lt;/button&gt;&lt;/a&gt;"</v>
      </c>
      <c r="R290" t="b" cm="1">
        <f t="array" ref="R290">SUMPRODUCT(--EXACT($J$2:$J$490,J290))&gt;1</f>
        <v>0</v>
      </c>
      <c r="S290" t="s">
        <v>4463</v>
      </c>
    </row>
    <row r="291" spans="1:19">
      <c r="A291" s="30">
        <v>3</v>
      </c>
      <c r="B291" s="30" t="s">
        <v>1393</v>
      </c>
      <c r="C291" s="30"/>
      <c r="D291" s="30" t="s">
        <v>1208</v>
      </c>
      <c r="E291" s="30" t="s">
        <v>984</v>
      </c>
      <c r="F291" s="30" t="s">
        <v>42</v>
      </c>
      <c r="G291" s="39" t="str">
        <f>VLOOKUP(F291,glossary!J:N,2,FALSE)</f>
        <v>Vital rate</v>
      </c>
      <c r="H291" s="34" t="s">
        <v>42</v>
      </c>
      <c r="I291" s="45" t="str">
        <f t="shared" si="12"/>
        <v>obj_vital_rate_tu</v>
      </c>
      <c r="J291" s="39" t="s">
        <v>894</v>
      </c>
      <c r="K291" s="39" t="str">
        <f>VLOOKUP(F291,glossary!J:N,5,FALSE)</f>
        <v>The species-specific factors of a population that, together, play a large role in the population's trend. These include the birth rate, recruitment rate, and probability of survival and mortality.' (NBCKC, 2024a)</v>
      </c>
      <c r="L291" t="s">
        <v>1529</v>
      </c>
      <c r="M291" s="30" t="str">
        <f t="shared" si="13"/>
        <v>{{ obj_vital_rate_tu }}</v>
      </c>
      <c r="N291" t="s">
        <v>896</v>
      </c>
      <c r="O291" s="13" t="s">
        <v>1816</v>
      </c>
      <c r="P291" t="s">
        <v>4081</v>
      </c>
      <c r="Q291" t="str">
        <f t="shared" si="14"/>
        <v xml:space="preserve">    obj_vital_rate_tu: "&lt;a href=\"09_glossary.html#obj_vital_rate\" target=\"_blank\" data-bs-toggle=\"tooltip\" data-bs-title=\"Vital rate: The species-specific factors of a population that, together, play a large role in the population's trend. These include the birth rate, recruitment rate, and probability of survival and mortality.' (NBCKC, 2024a)\"&gt;Vital rate&lt;button type=\"button\" class=\"btn btn-bd-tip-info-hidden btn-sm position-relative\"&gt;.&lt;span class=\"position-absolute top-0 start-100 translate-middle\"&gt;{{ icon_info }}&lt;/span&gt;&lt;/button&gt;&lt;/a&gt;"</v>
      </c>
      <c r="R291" t="b" cm="1">
        <f t="array" ref="R291">SUMPRODUCT(--EXACT($J$2:$J$490,J291))&gt;1</f>
        <v>0</v>
      </c>
      <c r="S291" t="s">
        <v>4464</v>
      </c>
    </row>
    <row r="292" spans="1:19">
      <c r="B292" s="30" t="s">
        <v>768</v>
      </c>
      <c r="D292" s="30" t="s">
        <v>1207</v>
      </c>
      <c r="E292" s="30" t="s">
        <v>984</v>
      </c>
      <c r="F292" s="30" t="s">
        <v>788</v>
      </c>
      <c r="G292" s="39" t="str">
        <f>VLOOKUP(F292,glossary!J:N,2,FALSE)</f>
        <v>Precision</v>
      </c>
      <c r="H292" s="30" t="s">
        <v>788</v>
      </c>
      <c r="I292" s="45" t="str">
        <f t="shared" si="12"/>
        <v>precision_tl</v>
      </c>
      <c r="J292" s="30" t="s">
        <v>788</v>
      </c>
      <c r="K292" s="39" t="str">
        <f>VLOOKUP(F292,glossary!J:N,5,FALSE)</f>
        <v>Uncertainty in estimates (Hammond et al., 2021)' (Clarke et al., 2023).</v>
      </c>
      <c r="L292" s="30" t="s">
        <v>984</v>
      </c>
      <c r="M292" s="30" t="str">
        <f t="shared" si="13"/>
        <v>{{ precision_tl }}</v>
      </c>
      <c r="N292" t="s">
        <v>896</v>
      </c>
      <c r="O292" s="13" t="s">
        <v>1816</v>
      </c>
      <c r="P292" t="s">
        <v>4081</v>
      </c>
      <c r="Q292" t="str">
        <f t="shared" si="14"/>
        <v xml:space="preserve">    precision_tl: "&lt;a href=\"09_glossary.html#precision\" target=\"_blank\" data-bs-toggle=\"tooltip\" data-bs-title=\"Precision: Uncertainty in estimates (Hammond et al., 2021)' (Clarke et al., 2023).\"&gt;precision&lt;button type=\"button\" class=\"btn btn-bd-tip-info-hidden btn-sm position-relative\"&gt;.&lt;span class=\"position-absolute top-0 start-100 translate-middle\"&gt;{{ icon_info }}&lt;/span&gt;&lt;/button&gt;&lt;/a&gt;"</v>
      </c>
      <c r="R292" t="b" cm="1">
        <f t="array" ref="R292">SUMPRODUCT(--EXACT($J$2:$J$490,J292))&gt;1</f>
        <v>0</v>
      </c>
      <c r="S292" t="s">
        <v>4465</v>
      </c>
    </row>
    <row r="293" spans="1:19">
      <c r="B293" s="30" t="s">
        <v>1393</v>
      </c>
      <c r="D293" s="30" t="s">
        <v>1207</v>
      </c>
      <c r="E293" s="30" t="s">
        <v>1752</v>
      </c>
      <c r="F293" s="30" t="s">
        <v>788</v>
      </c>
      <c r="G293" s="39" t="str">
        <f>VLOOKUP(F293,glossary!J:N,2,FALSE)</f>
        <v>Precision</v>
      </c>
      <c r="H293" s="30" t="s">
        <v>788</v>
      </c>
      <c r="I293" s="46" t="str">
        <f t="shared" si="12"/>
        <v>precision_tl_abrv</v>
      </c>
      <c r="J293" s="39" t="s">
        <v>3964</v>
      </c>
      <c r="K293" s="39" t="str">
        <f>VLOOKUP(F293,glossary!J:N,5,FALSE)</f>
        <v>Uncertainty in estimates (Hammond et al., 2021)' (Clarke et al., 2023).</v>
      </c>
      <c r="L293" s="30" t="s">
        <v>984</v>
      </c>
      <c r="M293" s="30" t="str">
        <f t="shared" si="13"/>
        <v>{{ precision_tl_abrv }}</v>
      </c>
      <c r="N293" t="s">
        <v>896</v>
      </c>
      <c r="O293" s="13" t="s">
        <v>1816</v>
      </c>
      <c r="P293" t="s">
        <v>4081</v>
      </c>
      <c r="Q293" t="str">
        <f t="shared" si="14"/>
        <v xml:space="preserve">    precision_tl_abrv: "&lt;a href=\"09_glossary.html#precision\" target=\"_blank\" data-bs-toggle=\"tooltip\" data-bs-title=\"Precision: Uncertainty in estimates (Hammond et al., 2021)' (Clarke et al., 2023).\"&gt;precise&lt;button type=\"button\" class=\"btn btn-bd-tip-info-hidden btn-sm position-relative\"&gt;.&lt;span class=\"position-absolute top-0 start-100 translate-middle\"&gt;{{ icon_info }}&lt;/span&gt;&lt;/button&gt;&lt;/a&gt;"</v>
      </c>
      <c r="R293" t="b" cm="1">
        <f t="array" ref="R293">SUMPRODUCT(--EXACT($J$2:$J$490,J293))&gt;1</f>
        <v>0</v>
      </c>
      <c r="S293" t="s">
        <v>4466</v>
      </c>
    </row>
    <row r="294" spans="1:19">
      <c r="B294" s="30" t="s">
        <v>768</v>
      </c>
      <c r="D294" s="30" t="s">
        <v>1207</v>
      </c>
      <c r="E294" s="30" t="s">
        <v>3984</v>
      </c>
      <c r="F294" s="30" t="s">
        <v>788</v>
      </c>
      <c r="G294" s="39" t="str">
        <f>VLOOKUP(F294,glossary!J:N,2,FALSE)</f>
        <v>Precision</v>
      </c>
      <c r="H294" s="30" t="s">
        <v>788</v>
      </c>
      <c r="I294" s="45" t="str">
        <f t="shared" si="12"/>
        <v>precision_tl_op</v>
      </c>
      <c r="J294" s="30" t="s">
        <v>3980</v>
      </c>
      <c r="K294" s="39" t="str">
        <f>VLOOKUP(F294,glossary!J:N,5,FALSE)</f>
        <v>Uncertainty in estimates (Hammond et al., 2021)' (Clarke et al., 2023).</v>
      </c>
      <c r="L294" s="30" t="s">
        <v>984</v>
      </c>
      <c r="M294" s="30" t="str">
        <f t="shared" si="13"/>
        <v>{{ precision_tl_op }}</v>
      </c>
      <c r="N294" t="s">
        <v>896</v>
      </c>
      <c r="O294" s="13" t="s">
        <v>1816</v>
      </c>
      <c r="P294" t="s">
        <v>4081</v>
      </c>
      <c r="Q294" t="str">
        <f t="shared" si="14"/>
        <v xml:space="preserve">    precision_tl_op: "&lt;a href=\"09_glossary.html#precision\" target=\"_blank\" data-bs-toggle=\"tooltip\" data-bs-title=\"Precision: Uncertainty in estimates (Hammond et al., 2021)' (Clarke et al., 2023).\"&gt;imprecise&lt;button type=\"button\" class=\"btn btn-bd-tip-info-hidden btn-sm position-relative\"&gt;.&lt;span class=\"position-absolute top-0 start-100 translate-middle\"&gt;{{ icon_info }}&lt;/span&gt;&lt;/button&gt;&lt;/a&gt;"</v>
      </c>
      <c r="R294" t="b" cm="1">
        <f t="array" ref="R294">SUMPRODUCT(--EXACT($J$2:$J$490,J294))&gt;1</f>
        <v>0</v>
      </c>
      <c r="S294" t="s">
        <v>4467</v>
      </c>
    </row>
    <row r="295" spans="1:19">
      <c r="B295" s="30" t="s">
        <v>768</v>
      </c>
      <c r="D295" s="30" t="s">
        <v>1208</v>
      </c>
      <c r="E295" s="30" t="s">
        <v>984</v>
      </c>
      <c r="F295" s="30" t="s">
        <v>788</v>
      </c>
      <c r="G295" s="39" t="str">
        <f>VLOOKUP(F295,glossary!J:N,2,FALSE)</f>
        <v>Precision</v>
      </c>
      <c r="H295" s="30" t="s">
        <v>788</v>
      </c>
      <c r="I295" s="45" t="str">
        <f t="shared" si="12"/>
        <v>precision_tu</v>
      </c>
      <c r="J295" s="30" t="s">
        <v>662</v>
      </c>
      <c r="K295" s="39" t="str">
        <f>VLOOKUP(F295,glossary!J:N,5,FALSE)</f>
        <v>Uncertainty in estimates (Hammond et al., 2021)' (Clarke et al., 2023).</v>
      </c>
      <c r="L295" s="30" t="s">
        <v>984</v>
      </c>
      <c r="M295" s="30" t="str">
        <f t="shared" si="13"/>
        <v>{{ precision_tu }}</v>
      </c>
      <c r="N295" t="s">
        <v>896</v>
      </c>
      <c r="O295" s="13" t="s">
        <v>1816</v>
      </c>
      <c r="P295" t="s">
        <v>4081</v>
      </c>
      <c r="Q295" t="str">
        <f t="shared" si="14"/>
        <v xml:space="preserve">    precision_tu: "&lt;a href=\"09_glossary.html#precision\" target=\"_blank\" data-bs-toggle=\"tooltip\" data-bs-title=\"Precision: Uncertainty in estimates (Hammond et al., 2021)' (Clarke et al., 2023).\"&gt;Precision&lt;button type=\"button\" class=\"btn btn-bd-tip-info-hidden btn-sm position-relative\"&gt;.&lt;span class=\"position-absolute top-0 start-100 translate-middle\"&gt;{{ icon_info }}&lt;/span&gt;&lt;/button&gt;&lt;/a&gt;"</v>
      </c>
      <c r="R295" t="b" cm="1">
        <f t="array" ref="R295">SUMPRODUCT(--EXACT($J$2:$J$490,J295))&gt;1</f>
        <v>0</v>
      </c>
      <c r="S295" t="s">
        <v>4468</v>
      </c>
    </row>
    <row r="296" spans="1:19">
      <c r="B296" s="30" t="s">
        <v>1393</v>
      </c>
      <c r="D296" s="30" t="s">
        <v>1208</v>
      </c>
      <c r="E296" s="30" t="s">
        <v>1752</v>
      </c>
      <c r="F296" s="30" t="s">
        <v>788</v>
      </c>
      <c r="G296" s="39" t="str">
        <f>VLOOKUP(F296,glossary!J:N,2,FALSE)</f>
        <v>Precision</v>
      </c>
      <c r="H296" s="30" t="s">
        <v>788</v>
      </c>
      <c r="I296" s="46" t="str">
        <f t="shared" si="12"/>
        <v>precision_tu_abrv</v>
      </c>
      <c r="J296" s="39" t="s">
        <v>3965</v>
      </c>
      <c r="K296" s="39" t="str">
        <f>VLOOKUP(F296,glossary!J:N,5,FALSE)</f>
        <v>Uncertainty in estimates (Hammond et al., 2021)' (Clarke et al., 2023).</v>
      </c>
      <c r="L296" s="30" t="s">
        <v>984</v>
      </c>
      <c r="M296" s="30" t="str">
        <f t="shared" si="13"/>
        <v>{{ precision_tu_abrv }}</v>
      </c>
      <c r="N296" t="s">
        <v>896</v>
      </c>
      <c r="O296" s="13" t="s">
        <v>1816</v>
      </c>
      <c r="P296" t="s">
        <v>4081</v>
      </c>
      <c r="Q296" t="str">
        <f t="shared" si="14"/>
        <v xml:space="preserve">    precision_tu_abrv: "&lt;a href=\"09_glossary.html#precision\" target=\"_blank\" data-bs-toggle=\"tooltip\" data-bs-title=\"Precision: Uncertainty in estimates (Hammond et al., 2021)' (Clarke et al., 2023).\"&gt;Precise&lt;button type=\"button\" class=\"btn btn-bd-tip-info-hidden btn-sm position-relative\"&gt;.&lt;span class=\"position-absolute top-0 start-100 translate-middle\"&gt;{{ icon_info }}&lt;/span&gt;&lt;/button&gt;&lt;/a&gt;"</v>
      </c>
      <c r="S296" t="s">
        <v>4469</v>
      </c>
    </row>
    <row r="297" spans="1:19">
      <c r="B297" s="30" t="s">
        <v>768</v>
      </c>
      <c r="D297" s="30" t="s">
        <v>1208</v>
      </c>
      <c r="E297" s="30" t="s">
        <v>3984</v>
      </c>
      <c r="F297" s="30" t="s">
        <v>788</v>
      </c>
      <c r="G297" s="39" t="str">
        <f>VLOOKUP(F297,glossary!J:N,2,FALSE)</f>
        <v>Precision</v>
      </c>
      <c r="H297" s="30" t="s">
        <v>788</v>
      </c>
      <c r="I297" s="45" t="str">
        <f t="shared" si="12"/>
        <v>precision_tu_op</v>
      </c>
      <c r="J297" s="30" t="s">
        <v>3981</v>
      </c>
      <c r="K297" s="39" t="str">
        <f>VLOOKUP(F297,glossary!J:N,5,FALSE)</f>
        <v>Uncertainty in estimates (Hammond et al., 2021)' (Clarke et al., 2023).</v>
      </c>
      <c r="L297" s="30" t="s">
        <v>984</v>
      </c>
      <c r="M297" s="30" t="str">
        <f t="shared" si="13"/>
        <v>{{ precision_tu_op }}</v>
      </c>
      <c r="N297" t="s">
        <v>896</v>
      </c>
      <c r="O297" s="13" t="s">
        <v>1816</v>
      </c>
      <c r="P297" t="s">
        <v>4081</v>
      </c>
      <c r="Q297" t="str">
        <f t="shared" si="14"/>
        <v xml:space="preserve">    precision_tu_op: "&lt;a href=\"09_glossary.html#precision\" target=\"_blank\" data-bs-toggle=\"tooltip\" data-bs-title=\"Precision: Uncertainty in estimates (Hammond et al., 2021)' (Clarke et al., 2023).\"&gt;Imprecise&lt;button type=\"button\" class=\"btn btn-bd-tip-info-hidden btn-sm position-relative\"&gt;.&lt;span class=\"position-absolute top-0 start-100 translate-middle\"&gt;{{ icon_info }}&lt;/span&gt;&lt;/button&gt;&lt;/a&gt;"</v>
      </c>
      <c r="R297" t="b" cm="1">
        <f t="array" ref="R297">SUMPRODUCT(--EXACT($J$2:$J$490,J297))&gt;1</f>
        <v>0</v>
      </c>
      <c r="S297" t="s">
        <v>4470</v>
      </c>
    </row>
    <row r="298" spans="1:19">
      <c r="A298" s="30">
        <v>2</v>
      </c>
      <c r="B298" s="30" t="s">
        <v>1400</v>
      </c>
      <c r="C298" s="30"/>
      <c r="D298" s="30" t="s">
        <v>1207</v>
      </c>
      <c r="E298" s="30" t="s">
        <v>984</v>
      </c>
      <c r="F298" s="30" t="s">
        <v>139</v>
      </c>
      <c r="G298" s="39" t="str">
        <f>VLOOKUP(F298,glossary!J:N,2,FALSE)</f>
        <v>Project</v>
      </c>
      <c r="H298" s="30" t="s">
        <v>139</v>
      </c>
      <c r="I298" s="45" t="str">
        <f t="shared" si="12"/>
        <v>project_tl</v>
      </c>
      <c r="J298" s="39" t="s">
        <v>139</v>
      </c>
      <c r="K298" s="39" t="str">
        <f>VLOOKUP(F298,glossary!J:N,5,FALSE)</f>
        <v>A scientific study, inventory or monitoring program that has a certain objective, defined methods, and a defined boundary in space and time (recorded as 'Project Name').</v>
      </c>
      <c r="L298" s="30" t="s">
        <v>1528</v>
      </c>
      <c r="M298" s="30" t="str">
        <f t="shared" si="13"/>
        <v>{{ project_tl }}</v>
      </c>
      <c r="N298" t="s">
        <v>896</v>
      </c>
      <c r="O298" s="13" t="s">
        <v>1816</v>
      </c>
      <c r="P298" t="s">
        <v>4081</v>
      </c>
      <c r="Q298" t="str">
        <f t="shared" si="14"/>
        <v xml:space="preserve">    project_tl: "&lt;a href=\"09_glossary.html#project\" target=\"_blank\" data-bs-toggle=\"tooltip\" data-bs-title=\"Project: A scientific study, inventory or monitoring program that has a certain objective, defined methods, and a defined boundary in space and time (recorded as 'Project Name').\"&gt;project&lt;button type=\"button\" class=\"btn btn-bd-tip-info-hidden btn-sm position-relative\"&gt;.&lt;span class=\"position-absolute top-0 start-100 translate-middle\"&gt;{{ icon_info }}&lt;/span&gt;&lt;/button&gt;&lt;/a&gt;"</v>
      </c>
      <c r="R298" t="b" cm="1">
        <f t="array" ref="R298">SUMPRODUCT(--EXACT($J$2:$J$490,J298))&gt;1</f>
        <v>0</v>
      </c>
      <c r="S298" t="s">
        <v>4471</v>
      </c>
    </row>
    <row r="299" spans="1:19">
      <c r="A299" s="30">
        <v>1</v>
      </c>
      <c r="B299" s="30" t="s">
        <v>1064</v>
      </c>
      <c r="C299" s="30" t="s">
        <v>429</v>
      </c>
      <c r="D299" s="30" t="s">
        <v>1207</v>
      </c>
      <c r="E299" s="30" t="s">
        <v>1758</v>
      </c>
      <c r="F299" s="30" t="s">
        <v>139</v>
      </c>
      <c r="G299" s="39" t="str">
        <f>VLOOKUP(F299,glossary!J:N,2,FALSE)</f>
        <v>Project</v>
      </c>
      <c r="H299" s="30" t="s">
        <v>139</v>
      </c>
      <c r="I299" s="45" t="str">
        <f t="shared" si="12"/>
        <v>project_tl_pl</v>
      </c>
      <c r="J299" s="39" t="s">
        <v>1183</v>
      </c>
      <c r="K299" s="39" t="str">
        <f>VLOOKUP(F299,glossary!J:N,5,FALSE)</f>
        <v>A scientific study, inventory or monitoring program that has a certain objective, defined methods, and a defined boundary in space and time (recorded as 'Project Name').</v>
      </c>
      <c r="L299" s="30" t="s">
        <v>1128</v>
      </c>
      <c r="M299" s="30" t="str">
        <f t="shared" si="13"/>
        <v>{{ project_tl_pl }}</v>
      </c>
      <c r="N299" t="s">
        <v>896</v>
      </c>
      <c r="O299" s="13" t="s">
        <v>1816</v>
      </c>
      <c r="P299" t="s">
        <v>4081</v>
      </c>
      <c r="Q299" t="str">
        <f t="shared" si="14"/>
        <v xml:space="preserve">    project_tl_pl: "&lt;a href=\"09_glossary.html#project\" target=\"_blank\" data-bs-toggle=\"tooltip\" data-bs-title=\"Project: A scientific study, inventory or monitoring program that has a certain objective, defined methods, and a defined boundary in space and time (recorded as 'Project Name').\"&gt;projects&lt;button type=\"button\" class=\"btn btn-bd-tip-info-hidden btn-sm position-relative\"&gt;.&lt;span class=\"position-absolute top-0 start-100 translate-middle\"&gt;{{ icon_info }}&lt;/span&gt;&lt;/button&gt;&lt;/a&gt;"</v>
      </c>
      <c r="R299" t="b" cm="1">
        <f t="array" ref="R299">SUMPRODUCT(--EXACT($J$2:$J$490,J299))&gt;1</f>
        <v>0</v>
      </c>
      <c r="S299" t="s">
        <v>4472</v>
      </c>
    </row>
    <row r="300" spans="1:19">
      <c r="A300" s="30">
        <v>2</v>
      </c>
      <c r="B300" s="30" t="s">
        <v>1400</v>
      </c>
      <c r="C300" s="30"/>
      <c r="D300" s="30" t="s">
        <v>1208</v>
      </c>
      <c r="E300" s="30" t="s">
        <v>984</v>
      </c>
      <c r="F300" s="30" t="s">
        <v>139</v>
      </c>
      <c r="G300" s="39" t="str">
        <f>VLOOKUP(F300,glossary!J:N,2,FALSE)</f>
        <v>Project</v>
      </c>
      <c r="H300" s="30" t="s">
        <v>139</v>
      </c>
      <c r="I300" s="45" t="str">
        <f t="shared" si="12"/>
        <v>project_tu</v>
      </c>
      <c r="J300" s="39" t="s">
        <v>140</v>
      </c>
      <c r="K300" s="39" t="str">
        <f>VLOOKUP(F300,glossary!J:N,5,FALSE)</f>
        <v>A scientific study, inventory or monitoring program that has a certain objective, defined methods, and a defined boundary in space and time (recorded as 'Project Name').</v>
      </c>
      <c r="L300" s="30" t="s">
        <v>1527</v>
      </c>
      <c r="M300" s="30" t="str">
        <f t="shared" si="13"/>
        <v>{{ project_tu }}</v>
      </c>
      <c r="N300" t="s">
        <v>896</v>
      </c>
      <c r="O300" s="13" t="s">
        <v>1816</v>
      </c>
      <c r="P300" t="s">
        <v>4081</v>
      </c>
      <c r="Q300" t="str">
        <f t="shared" si="14"/>
        <v xml:space="preserve">    project_tu: "&lt;a href=\"09_glossary.html#project\" target=\"_blank\" data-bs-toggle=\"tooltip\" data-bs-title=\"Project: A scientific study, inventory or monitoring program that has a certain objective, defined methods, and a defined boundary in space and time (recorded as 'Project Name').\"&gt;Project&lt;button type=\"button\" class=\"btn btn-bd-tip-info-hidden btn-sm position-relative\"&gt;.&lt;span class=\"position-absolute top-0 start-100 translate-middle\"&gt;{{ icon_info }}&lt;/span&gt;&lt;/button&gt;&lt;/a&gt;"</v>
      </c>
      <c r="R300" t="b" cm="1">
        <f t="array" ref="R300">SUMPRODUCT(--EXACT($J$2:$J$490,J300))&gt;1</f>
        <v>0</v>
      </c>
      <c r="S300" t="s">
        <v>4473</v>
      </c>
    </row>
    <row r="301" spans="1:19">
      <c r="A301" s="30">
        <v>1</v>
      </c>
      <c r="B301" s="30" t="s">
        <v>1064</v>
      </c>
      <c r="C301" s="30" t="s">
        <v>429</v>
      </c>
      <c r="D301" s="30" t="s">
        <v>1208</v>
      </c>
      <c r="E301" s="30" t="s">
        <v>1758</v>
      </c>
      <c r="F301" s="30" t="s">
        <v>139</v>
      </c>
      <c r="G301" s="39" t="str">
        <f>VLOOKUP(F301,glossary!J:N,2,FALSE)</f>
        <v>Project</v>
      </c>
      <c r="H301" s="30" t="s">
        <v>139</v>
      </c>
      <c r="I301" s="45" t="str">
        <f t="shared" si="12"/>
        <v>project_tu_pl</v>
      </c>
      <c r="J301" s="39" t="s">
        <v>1169</v>
      </c>
      <c r="K301" s="39" t="str">
        <f>VLOOKUP(F301,glossary!J:N,5,FALSE)</f>
        <v>A scientific study, inventory or monitoring program that has a certain objective, defined methods, and a defined boundary in space and time (recorded as 'Project Name').</v>
      </c>
      <c r="L301" s="30" t="s">
        <v>1125</v>
      </c>
      <c r="M301" s="30" t="str">
        <f t="shared" si="13"/>
        <v>{{ project_tu_pl }}</v>
      </c>
      <c r="N301" t="s">
        <v>896</v>
      </c>
      <c r="O301" s="13" t="s">
        <v>1816</v>
      </c>
      <c r="P301" t="s">
        <v>4081</v>
      </c>
      <c r="Q301" t="str">
        <f t="shared" si="14"/>
        <v xml:space="preserve">    project_tu_pl: "&lt;a href=\"09_glossary.html#project\" target=\"_blank\" data-bs-toggle=\"tooltip\" data-bs-title=\"Project: A scientific study, inventory or monitoring program that has a certain objective, defined methods, and a defined boundary in space and time (recorded as 'Project Name').\"&gt;Projects&lt;button type=\"button\" class=\"btn btn-bd-tip-info-hidden btn-sm position-relative\"&gt;.&lt;span class=\"position-absolute top-0 start-100 translate-middle\"&gt;{{ icon_info }}&lt;/span&gt;&lt;/button&gt;&lt;/a&gt;"</v>
      </c>
      <c r="R301" t="b" cm="1">
        <f t="array" ref="R301">SUMPRODUCT(--EXACT($J$2:$J$490,J301))&gt;1</f>
        <v>0</v>
      </c>
      <c r="S301" t="s">
        <v>4474</v>
      </c>
    </row>
    <row r="302" spans="1:19">
      <c r="A302" s="30">
        <v>3</v>
      </c>
      <c r="B302" s="30" t="s">
        <v>1393</v>
      </c>
      <c r="C302" s="30"/>
      <c r="D302" s="30" t="s">
        <v>1208</v>
      </c>
      <c r="E302" s="30" t="s">
        <v>984</v>
      </c>
      <c r="F302" s="30" t="s">
        <v>268</v>
      </c>
      <c r="G302" s="39" t="str">
        <f>VLOOKUP(F302,glossary!J:N,2,FALSE)</f>
        <v>Project Coordinator</v>
      </c>
      <c r="H302" s="34" t="s">
        <v>268</v>
      </c>
      <c r="I302" s="45" t="str">
        <f t="shared" si="12"/>
        <v>project_coordinator_tu</v>
      </c>
      <c r="J302" s="42" t="s">
        <v>706</v>
      </c>
      <c r="K302" s="39" t="str">
        <f>VLOOKUP(F302,glossary!J:N,5,FALSE)</f>
        <v>The first and last name of the primary contact for the project.</v>
      </c>
      <c r="L302" t="s">
        <v>1526</v>
      </c>
      <c r="M302" s="30" t="str">
        <f t="shared" si="13"/>
        <v>{{ project_coordinator_tu }}</v>
      </c>
      <c r="N302" t="s">
        <v>896</v>
      </c>
      <c r="O302" s="13" t="s">
        <v>1816</v>
      </c>
      <c r="P302" t="s">
        <v>4081</v>
      </c>
      <c r="Q302" t="str">
        <f t="shared" si="14"/>
        <v xml:space="preserve">    project_coordinator_tu: "&lt;a href=\"09_glossary.html#project_coordinator\" target=\"_blank\" data-bs-toggle=\"tooltip\" data-bs-title=\"Project Coordinator: The first and last name of the primary contact for the project.\"&gt;Project Coordinator&lt;button type=\"button\" class=\"btn btn-bd-tip-info-hidden btn-sm position-relative\"&gt;.&lt;span class=\"position-absolute top-0 start-100 translate-middle\"&gt;{{ icon_info }}&lt;/span&gt;&lt;/button&gt;&lt;/a&gt;"</v>
      </c>
      <c r="R302" t="b" cm="1">
        <f t="array" ref="R302">SUMPRODUCT(--EXACT($J$2:$J$490,J302))&gt;1</f>
        <v>0</v>
      </c>
      <c r="S302" t="s">
        <v>4475</v>
      </c>
    </row>
    <row r="303" spans="1:19">
      <c r="A303" s="30">
        <v>3</v>
      </c>
      <c r="B303" s="30" t="s">
        <v>1393</v>
      </c>
      <c r="C303" s="30"/>
      <c r="D303" s="30" t="s">
        <v>1208</v>
      </c>
      <c r="E303" s="30" t="s">
        <v>984</v>
      </c>
      <c r="F303" s="30" t="s">
        <v>271</v>
      </c>
      <c r="G303" s="39" t="str">
        <f>VLOOKUP(F303,glossary!J:N,2,FALSE)</f>
        <v>Project Coordinator Email</v>
      </c>
      <c r="H303" s="34" t="s">
        <v>271</v>
      </c>
      <c r="I303" s="45" t="str">
        <f t="shared" si="12"/>
        <v>project_coordinator_email_tu</v>
      </c>
      <c r="J303" s="42" t="s">
        <v>707</v>
      </c>
      <c r="K303" s="39" t="str">
        <f>VLOOKUP(F303,glossary!J:N,5,FALSE)</f>
        <v>The email address of the Project Coordinator.</v>
      </c>
      <c r="L303" t="s">
        <v>1525</v>
      </c>
      <c r="M303" s="30" t="str">
        <f t="shared" si="13"/>
        <v>{{ project_coordinator_email_tu }}</v>
      </c>
      <c r="N303" t="s">
        <v>896</v>
      </c>
      <c r="O303" s="13" t="s">
        <v>1816</v>
      </c>
      <c r="P303" t="s">
        <v>4081</v>
      </c>
      <c r="Q303" t="str">
        <f t="shared" si="14"/>
        <v xml:space="preserve">    project_coordinator_email_tu: "&lt;a href=\"09_glossary.html#project_coordinator_email\" target=\"_blank\" data-bs-toggle=\"tooltip\" data-bs-title=\"Project Coordinator Email: The email address of the Project Coordinator.\"&gt;Project Coordinator Email&lt;button type=\"button\" class=\"btn btn-bd-tip-info-hidden btn-sm position-relative\"&gt;.&lt;span class=\"position-absolute top-0 start-100 translate-middle\"&gt;{{ icon_info }}&lt;/span&gt;&lt;/button&gt;&lt;/a&gt;"</v>
      </c>
      <c r="R303" t="b" cm="1">
        <f t="array" ref="R303">SUMPRODUCT(--EXACT($J$2:$J$490,J303))&gt;1</f>
        <v>0</v>
      </c>
      <c r="S303" t="s">
        <v>4476</v>
      </c>
    </row>
    <row r="304" spans="1:19">
      <c r="A304" s="30">
        <v>3</v>
      </c>
      <c r="B304" s="30" t="s">
        <v>1393</v>
      </c>
      <c r="C304" s="30"/>
      <c r="D304" s="30" t="s">
        <v>1208</v>
      </c>
      <c r="E304" s="30" t="s">
        <v>984</v>
      </c>
      <c r="F304" s="30" t="s">
        <v>265</v>
      </c>
      <c r="G304" s="39" t="str">
        <f>VLOOKUP(F304,glossary!J:N,2,FALSE)</f>
        <v>Project Description</v>
      </c>
      <c r="H304" s="34" t="s">
        <v>265</v>
      </c>
      <c r="I304" s="45" t="str">
        <f t="shared" si="12"/>
        <v>project_description_tu</v>
      </c>
      <c r="J304" s="42" t="s">
        <v>708</v>
      </c>
      <c r="K304" s="39" t="str">
        <f>VLOOKUP(F304,glossary!J:N,5,FALSE)</f>
        <v>A description of the project objective(s) and general methods.</v>
      </c>
      <c r="L304" t="s">
        <v>1524</v>
      </c>
      <c r="M304" s="30" t="str">
        <f t="shared" si="13"/>
        <v>{{ project_description_tu }}</v>
      </c>
      <c r="N304" t="s">
        <v>896</v>
      </c>
      <c r="O304" s="13" t="s">
        <v>1816</v>
      </c>
      <c r="P304" t="s">
        <v>4081</v>
      </c>
      <c r="Q304" t="str">
        <f t="shared" si="14"/>
        <v xml:space="preserve">    project_description_tu: "&lt;a href=\"09_glossary.html#project_description\" target=\"_blank\" data-bs-toggle=\"tooltip\" data-bs-title=\"Project Description: A description of the project objective(s) and general methods.\"&gt;Project Description&lt;button type=\"button\" class=\"btn btn-bd-tip-info-hidden btn-sm position-relative\"&gt;.&lt;span class=\"position-absolute top-0 start-100 translate-middle\"&gt;{{ icon_info }}&lt;/span&gt;&lt;/button&gt;&lt;/a&gt;"</v>
      </c>
      <c r="R304" t="b" cm="1">
        <f t="array" ref="R304">SUMPRODUCT(--EXACT($J$2:$J$490,J304))&gt;1</f>
        <v>0</v>
      </c>
      <c r="S304" t="s">
        <v>4477</v>
      </c>
    </row>
    <row r="305" spans="1:19">
      <c r="A305" s="30">
        <v>3</v>
      </c>
      <c r="B305" s="30" t="s">
        <v>1393</v>
      </c>
      <c r="C305" s="30"/>
      <c r="D305" s="30" t="s">
        <v>1208</v>
      </c>
      <c r="E305" s="30" t="s">
        <v>984</v>
      </c>
      <c r="F305" s="30" t="s">
        <v>264</v>
      </c>
      <c r="G305" s="39" t="str">
        <f>VLOOKUP(F305,glossary!J:N,2,FALSE)</f>
        <v>Project Name</v>
      </c>
      <c r="H305" s="34" t="s">
        <v>264</v>
      </c>
      <c r="I305" s="45" t="str">
        <f t="shared" si="12"/>
        <v>project_name_tu</v>
      </c>
      <c r="J305" s="42" t="s">
        <v>709</v>
      </c>
      <c r="K305" s="39" t="str">
        <f>VLOOKUP(F305,glossary!J:N,5,FALSE)</f>
        <v>A unique alphanumeric identifier for each project. Ideally, the Project Name should include an abbreviation for the organization, a brief project name, and the year the project began (e.g., 'uofa_oilsands_2018').</v>
      </c>
      <c r="L305" t="s">
        <v>1523</v>
      </c>
      <c r="M305" s="30" t="str">
        <f t="shared" si="13"/>
        <v>{{ project_name_tu }}</v>
      </c>
      <c r="N305" t="s">
        <v>896</v>
      </c>
      <c r="O305" s="13" t="s">
        <v>1816</v>
      </c>
      <c r="P305" t="s">
        <v>4081</v>
      </c>
      <c r="Q305" t="str">
        <f t="shared" si="14"/>
        <v xml:space="preserve">    project_name_tu: "&lt;a href=\"09_glossary.html#project_name\" target=\"_blank\" data-bs-toggle=\"tooltip\" data-bs-title=\"Project Name: A unique alphanumeric identifier for each project. Ideally, the Project Name should include an abbreviation for the organization, a brief project name, and the year the project began (e.g., 'uofa_oilsands_2018').\"&gt;Project Name&lt;button type=\"button\" class=\"btn btn-bd-tip-info-hidden btn-sm position-relative\"&gt;.&lt;span class=\"position-absolute top-0 start-100 translate-middle\"&gt;{{ icon_info }}&lt;/span&gt;&lt;/button&gt;&lt;/a&gt;"</v>
      </c>
      <c r="R305" t="b" cm="1">
        <f t="array" ref="R305">SUMPRODUCT(--EXACT($J$2:$J$490,J305))&gt;1</f>
        <v>0</v>
      </c>
      <c r="S305" t="s">
        <v>4478</v>
      </c>
    </row>
    <row r="306" spans="1:19">
      <c r="A306" s="30">
        <v>2</v>
      </c>
      <c r="B306" s="30" t="s">
        <v>1400</v>
      </c>
      <c r="C306" s="30"/>
      <c r="D306" s="30" t="s">
        <v>1207</v>
      </c>
      <c r="E306" s="30" t="s">
        <v>984</v>
      </c>
      <c r="F306" s="30" t="s">
        <v>136</v>
      </c>
      <c r="G306" s="39" t="str">
        <f>VLOOKUP(F306,glossary!J:N,2,FALSE)</f>
        <v>Pseudoreplication</v>
      </c>
      <c r="H306" s="30" t="s">
        <v>136</v>
      </c>
      <c r="I306" s="45" t="str">
        <f t="shared" si="12"/>
        <v>pseudoreplication_tl</v>
      </c>
      <c r="J306" s="39" t="s">
        <v>136</v>
      </c>
      <c r="K306" s="39" t="str">
        <f>VLOOKUP(F306,glossary!J:N,5,FALSE)</f>
        <v>When observations are not statistically independent (spatially or temporally) but are treated as if they are independent.</v>
      </c>
      <c r="L306" s="30" t="s">
        <v>1522</v>
      </c>
      <c r="M306" s="30" t="str">
        <f t="shared" si="13"/>
        <v>{{ pseudoreplication_tl }}</v>
      </c>
      <c r="N306" t="s">
        <v>896</v>
      </c>
      <c r="O306" s="13" t="s">
        <v>1816</v>
      </c>
      <c r="P306" t="s">
        <v>4081</v>
      </c>
      <c r="Q306" t="str">
        <f t="shared" si="14"/>
        <v xml:space="preserve">    pseudoreplication_tl: "&lt;a href=\"09_glossary.html#pseudoreplication\" target=\"_blank\" data-bs-toggle=\"tooltip\" data-bs-title=\"Pseudoreplication: When observations are not statistically independent (spatially or temporally) but are treated as if they are independent.\"&gt;pseudoreplication&lt;button type=\"button\" class=\"btn btn-bd-tip-info-hidden btn-sm position-relative\"&gt;.&lt;span class=\"position-absolute top-0 start-100 translate-middle\"&gt;{{ icon_info }}&lt;/span&gt;&lt;/button&gt;&lt;/a&gt;"</v>
      </c>
      <c r="R306" t="b" cm="1">
        <f t="array" ref="R306">SUMPRODUCT(--EXACT($J$2:$J$490,J306))&gt;1</f>
        <v>0</v>
      </c>
      <c r="S306" t="s">
        <v>4479</v>
      </c>
    </row>
    <row r="307" spans="1:19">
      <c r="A307" s="30">
        <v>2</v>
      </c>
      <c r="B307" s="30" t="s">
        <v>1400</v>
      </c>
      <c r="C307" s="30"/>
      <c r="D307" s="30" t="s">
        <v>1208</v>
      </c>
      <c r="E307" s="30" t="s">
        <v>984</v>
      </c>
      <c r="F307" s="30" t="s">
        <v>136</v>
      </c>
      <c r="G307" s="39" t="str">
        <f>VLOOKUP(F307,glossary!J:N,2,FALSE)</f>
        <v>Pseudoreplication</v>
      </c>
      <c r="H307" s="30" t="s">
        <v>136</v>
      </c>
      <c r="I307" s="45" t="str">
        <f t="shared" si="12"/>
        <v>pseudoreplication_tu</v>
      </c>
      <c r="J307" s="39" t="s">
        <v>138</v>
      </c>
      <c r="K307" s="39" t="str">
        <f>VLOOKUP(F307,glossary!J:N,5,FALSE)</f>
        <v>When observations are not statistically independent (spatially or temporally) but are treated as if they are independent.</v>
      </c>
      <c r="L307" s="30" t="s">
        <v>1521</v>
      </c>
      <c r="M307" s="30" t="str">
        <f t="shared" si="13"/>
        <v>{{ pseudoreplication_tu }}</v>
      </c>
      <c r="N307" t="s">
        <v>896</v>
      </c>
      <c r="O307" s="13" t="s">
        <v>1816</v>
      </c>
      <c r="P307" t="s">
        <v>4081</v>
      </c>
      <c r="Q307" t="str">
        <f t="shared" si="14"/>
        <v xml:space="preserve">    pseudoreplication_tu: "&lt;a href=\"09_glossary.html#pseudoreplication\" target=\"_blank\" data-bs-toggle=\"tooltip\" data-bs-title=\"Pseudoreplication: When observations are not statistically independent (spatially or temporally) but are treated as if they are independent.\"&gt;Pseudoreplication&lt;button type=\"button\" class=\"btn btn-bd-tip-info-hidden btn-sm position-relative\"&gt;.&lt;span class=\"position-absolute top-0 start-100 translate-middle\"&gt;{{ icon_info }}&lt;/span&gt;&lt;/button&gt;&lt;/a&gt;"</v>
      </c>
      <c r="R307" t="b" cm="1">
        <f t="array" ref="R307">SUMPRODUCT(--EXACT($J$2:$J$490,J307))&gt;1</f>
        <v>0</v>
      </c>
      <c r="S307" t="s">
        <v>4480</v>
      </c>
    </row>
    <row r="308" spans="1:19">
      <c r="A308" s="30">
        <v>3</v>
      </c>
      <c r="B308" s="30" t="s">
        <v>1393</v>
      </c>
      <c r="C308" s="30"/>
      <c r="D308" s="30" t="s">
        <v>1208</v>
      </c>
      <c r="E308" s="30" t="s">
        <v>984</v>
      </c>
      <c r="F308" s="30" t="s">
        <v>262</v>
      </c>
      <c r="G308" s="39" t="str">
        <f>VLOOKUP(F308,glossary!J:N,2,FALSE)</f>
        <v>Purpose of Visit</v>
      </c>
      <c r="H308" s="34" t="s">
        <v>262</v>
      </c>
      <c r="I308" s="45" t="str">
        <f t="shared" si="12"/>
        <v>purpose_of_visit_tu</v>
      </c>
      <c r="J308" s="42" t="s">
        <v>710</v>
      </c>
      <c r="K308" s="39" t="str">
        <f>VLOOKUP(F308,glossary!J:N,5,FALSE)</f>
        <v>The reason for visiting the camera location (i.e. to deploy the camera ['Deployment'], retrieve the camera ['Retrieve'] or to change batteries*/SD card or replace the camera ['Service']).</v>
      </c>
      <c r="L308" t="s">
        <v>1520</v>
      </c>
      <c r="M308" s="30" t="str">
        <f t="shared" si="13"/>
        <v>{{ purpose_of_visit_tu }}</v>
      </c>
      <c r="N308" t="s">
        <v>896</v>
      </c>
      <c r="O308" s="13" t="s">
        <v>1816</v>
      </c>
      <c r="P308" t="s">
        <v>4081</v>
      </c>
      <c r="Q308" t="str">
        <f t="shared" si="14"/>
        <v xml:space="preserve">    purpose_of_visit_tu: "&lt;a href=\"09_glossary.html#purpose_of_visit\" target=\"_blank\" data-bs-toggle=\"tooltip\" data-bs-title=\"Purpose of Visit: The reason for visiting the camera location (i.e. to deploy the camera ['Deployment'], retrieve the camera ['Retrieve'] or to change batteries*/SD card or replace the camera ['Service']).\"&gt;Purpose of Visit&lt;button type=\"button\" class=\"btn btn-bd-tip-info-hidden btn-sm position-relative\"&gt;.&lt;span class=\"position-absolute top-0 start-100 translate-middle\"&gt;{{ icon_info }}&lt;/span&gt;&lt;/button&gt;&lt;/a&gt;"</v>
      </c>
      <c r="R308" t="b" cm="1">
        <f t="array" ref="R308">SUMPRODUCT(--EXACT($J$2:$J$490,J308))&gt;1</f>
        <v>0</v>
      </c>
      <c r="S308" t="s">
        <v>4481</v>
      </c>
    </row>
    <row r="309" spans="1:19">
      <c r="B309" s="30" t="s">
        <v>768</v>
      </c>
      <c r="D309" s="30" t="s">
        <v>1207</v>
      </c>
      <c r="E309" s="30" t="s">
        <v>984</v>
      </c>
      <c r="F309" s="30" t="s">
        <v>985</v>
      </c>
      <c r="G309" s="39" t="str">
        <f>VLOOKUP(F309,glossary!J:N,2,FALSE)</f>
        <v>Rarefaction</v>
      </c>
      <c r="H309" s="30" t="s">
        <v>985</v>
      </c>
      <c r="I309" s="45" t="str">
        <f t="shared" si="12"/>
        <v>rarefaction_tl</v>
      </c>
      <c r="J309" s="30" t="s">
        <v>985</v>
      </c>
      <c r="K309" s="39" t="str">
        <f>VLOOKUP(F309,glossary!J:N,5,FALSE)</f>
        <v>A statistical interpolation method of rarefying or thinning a reference sample by drawing random subsets of individuals (or samples) in order to standardize the comparison of biological diversity on the basis of a common number of individuals or samples' (Gotelli &amp; Chao, 2013)</v>
      </c>
      <c r="L309" s="30" t="s">
        <v>984</v>
      </c>
      <c r="M309" s="30" t="str">
        <f t="shared" si="13"/>
        <v>{{ rarefaction_tl }}</v>
      </c>
      <c r="N309" t="s">
        <v>896</v>
      </c>
      <c r="O309" s="13" t="s">
        <v>1816</v>
      </c>
      <c r="P309" t="s">
        <v>4081</v>
      </c>
      <c r="Q309" t="str">
        <f t="shared" si="14"/>
        <v xml:space="preserve">    rarefaction_tl: "&lt;a href=\"09_glossary.html#rarefaction\" target=\"_blank\" data-bs-toggle=\"tooltip\" data-bs-title=\"Rarefaction: A statistical interpolation method of rarefying or thinning a reference sample by drawing random subsets of individuals (or samples) in order to standardize the comparison of biological diversity on the basis of a common number of individuals or samples' (Gotelli &amp; Chao, 2013)\"&gt;rarefaction&lt;button type=\"button\" class=\"btn btn-bd-tip-info-hidden btn-sm position-relative\"&gt;.&lt;span class=\"position-absolute top-0 start-100 translate-middle\"&gt;{{ icon_info }}&lt;/span&gt;&lt;/button&gt;&lt;/a&gt;"</v>
      </c>
      <c r="R309" t="b" cm="1">
        <f t="array" ref="R309">SUMPRODUCT(--EXACT($J$2:$J$490,J309))&gt;1</f>
        <v>0</v>
      </c>
      <c r="S309" t="s">
        <v>4482</v>
      </c>
    </row>
    <row r="310" spans="1:19">
      <c r="B310" s="30" t="s">
        <v>768</v>
      </c>
      <c r="D310" s="30" t="s">
        <v>1208</v>
      </c>
      <c r="E310" s="30" t="s">
        <v>984</v>
      </c>
      <c r="F310" s="30" t="s">
        <v>985</v>
      </c>
      <c r="G310" s="39" t="str">
        <f>VLOOKUP(F310,glossary!J:N,2,FALSE)</f>
        <v>Rarefaction</v>
      </c>
      <c r="H310" s="30" t="s">
        <v>985</v>
      </c>
      <c r="I310" s="45" t="str">
        <f t="shared" si="12"/>
        <v>rarefaction_tu</v>
      </c>
      <c r="J310" s="30" t="s">
        <v>1358</v>
      </c>
      <c r="K310" s="39" t="str">
        <f>VLOOKUP(F310,glossary!J:N,5,FALSE)</f>
        <v>A statistical interpolation method of rarefying or thinning a reference sample by drawing random subsets of individuals (or samples) in order to standardize the comparison of biological diversity on the basis of a common number of individuals or samples' (Gotelli &amp; Chao, 2013)</v>
      </c>
      <c r="L310" s="30" t="s">
        <v>984</v>
      </c>
      <c r="M310" s="30" t="str">
        <f t="shared" si="13"/>
        <v>{{ rarefaction_tu }}</v>
      </c>
      <c r="N310" t="s">
        <v>896</v>
      </c>
      <c r="O310" s="13" t="s">
        <v>1816</v>
      </c>
      <c r="P310" t="s">
        <v>4081</v>
      </c>
      <c r="Q310" t="str">
        <f t="shared" si="14"/>
        <v xml:space="preserve">    rarefaction_tu: "&lt;a href=\"09_glossary.html#rarefaction\" target=\"_blank\" data-bs-toggle=\"tooltip\" data-bs-title=\"Rarefaction: A statistical interpolation method of rarefying or thinning a reference sample by drawing random subsets of individuals (or samples) in order to standardize the comparison of biological diversity on the basis of a common number of individuals or samples' (Gotelli &amp; Chao, 2013)\"&gt;Rarefaction&lt;button type=\"button\" class=\"btn btn-bd-tip-info-hidden btn-sm position-relative\"&gt;.&lt;span class=\"position-absolute top-0 start-100 translate-middle\"&gt;{{ icon_info }}&lt;/span&gt;&lt;/button&gt;&lt;/a&gt;"</v>
      </c>
      <c r="R310" t="b" cm="1">
        <f t="array" ref="R310">SUMPRODUCT(--EXACT($J$2:$J$490,J310))&gt;1</f>
        <v>0</v>
      </c>
      <c r="S310" t="s">
        <v>4483</v>
      </c>
    </row>
    <row r="311" spans="1:19">
      <c r="A311" s="30">
        <v>0</v>
      </c>
      <c r="B311" s="30" t="s">
        <v>768</v>
      </c>
      <c r="C311" s="30"/>
      <c r="D311" s="30" t="s">
        <v>984</v>
      </c>
      <c r="E311" s="30" t="s">
        <v>984</v>
      </c>
      <c r="F311" s="30" t="s">
        <v>1742</v>
      </c>
      <c r="G311" s="39" t="e">
        <f>VLOOKUP(F311,glossary!J:N,2,FALSE)</f>
        <v>#N/A</v>
      </c>
      <c r="H311" s="30" t="s">
        <v>1742</v>
      </c>
      <c r="I311" s="45" t="str">
        <f t="shared" si="12"/>
        <v>-</v>
      </c>
      <c r="J311" s="30" t="s">
        <v>1742</v>
      </c>
      <c r="K311" s="39" t="s">
        <v>984</v>
      </c>
      <c r="L311" s="30" t="s">
        <v>984</v>
      </c>
      <c r="M311" s="30" t="s">
        <v>1742</v>
      </c>
      <c r="N311" t="s">
        <v>896</v>
      </c>
      <c r="O311" s="13" t="s">
        <v>1816</v>
      </c>
      <c r="P311" t="s">
        <v>4081</v>
      </c>
      <c r="Q311" t="str">
        <f>IF(K311&lt;&gt;"-",("    "&amp;I311&amp;": "&amp;""""&amp;"&lt;a href=\"&amp;""""&amp;"09_glossary.html#"&amp;H311&amp;N311&amp;K311&amp;O311&amp;J311&amp;P311&amp;""""),"-")</f>
        <v>-</v>
      </c>
      <c r="R311" t="b">
        <v>0</v>
      </c>
      <c r="S311" t="s">
        <v>4484</v>
      </c>
    </row>
    <row r="312" spans="1:19">
      <c r="A312" s="30">
        <v>3</v>
      </c>
      <c r="B312" s="30" t="s">
        <v>1393</v>
      </c>
      <c r="C312" s="30"/>
      <c r="D312" s="30" t="s">
        <v>1207</v>
      </c>
      <c r="E312" s="30" t="s">
        <v>984</v>
      </c>
      <c r="F312" s="30" t="s">
        <v>129</v>
      </c>
      <c r="G312" s="39" t="str">
        <f>VLOOKUP(F312,glossary!J:N,2,FALSE)</f>
        <v>Recovery time</v>
      </c>
      <c r="H312" s="34" t="s">
        <v>129</v>
      </c>
      <c r="I312" s="45" t="str">
        <f t="shared" si="12"/>
        <v>recovery_time_tl</v>
      </c>
      <c r="J312" s="43" t="s">
        <v>944</v>
      </c>
      <c r="K312" s="39" t="str">
        <f>VLOOKUP(F312,glossary!J:N,5,FALSE)</f>
        <v>The time necessary for the camera to prepare to capture the next photo after the previous one has been recorded (Trolliet et al., 2014).</v>
      </c>
      <c r="L312" t="s">
        <v>1519</v>
      </c>
      <c r="M312" s="30" t="str">
        <f>"{{ "&amp;I312&amp;" }}"</f>
        <v>{{ recovery_time_tl }}</v>
      </c>
      <c r="N312" t="s">
        <v>896</v>
      </c>
      <c r="O312" s="13" t="s">
        <v>1816</v>
      </c>
      <c r="P312" t="s">
        <v>4081</v>
      </c>
      <c r="Q312" t="str">
        <f>IF(K312&lt;&gt;"-",("    "&amp;I312&amp;": "&amp;""""&amp;"&lt;a href=\"&amp;""""&amp;"09_glossary.html#"&amp;H312&amp;N312&amp;G312&amp;": "&amp;K312&amp;O312&amp;J312&amp;P312&amp;""""),"-")</f>
        <v xml:space="preserve">    recovery_time_tl: "&lt;a href=\"09_glossary.html#recovery_time\" target=\"_blank\" data-bs-toggle=\"tooltip\" data-bs-title=\"Recovery time: The time necessary for the camera to prepare to capture the next photo after the previous one has been recorded (Trolliet et al., 2014).\"&gt;recovery time&lt;button type=\"button\" class=\"btn btn-bd-tip-info-hidden btn-sm position-relative\"&gt;.&lt;span class=\"position-absolute top-0 start-100 translate-middle\"&gt;{{ icon_info }}&lt;/span&gt;&lt;/button&gt;&lt;/a&gt;"</v>
      </c>
      <c r="R312" t="b" cm="1">
        <f t="array" ref="R312">SUMPRODUCT(--EXACT($J$2:$J$490,J312))&gt;1</f>
        <v>0</v>
      </c>
      <c r="S312" t="s">
        <v>4485</v>
      </c>
    </row>
    <row r="313" spans="1:19">
      <c r="A313" s="30">
        <v>3</v>
      </c>
      <c r="B313" s="30" t="s">
        <v>1393</v>
      </c>
      <c r="C313" s="30"/>
      <c r="D313" s="30" t="s">
        <v>1208</v>
      </c>
      <c r="E313" s="30" t="s">
        <v>984</v>
      </c>
      <c r="F313" s="30" t="s">
        <v>129</v>
      </c>
      <c r="G313" s="39" t="str">
        <f>VLOOKUP(F313,glossary!J:N,2,FALSE)</f>
        <v>Recovery time</v>
      </c>
      <c r="H313" s="34" t="s">
        <v>129</v>
      </c>
      <c r="I313" s="45" t="str">
        <f t="shared" si="12"/>
        <v>recovery_time_tu</v>
      </c>
      <c r="J313" s="42" t="s">
        <v>131</v>
      </c>
      <c r="K313" s="39" t="str">
        <f>VLOOKUP(F313,glossary!J:N,5,FALSE)</f>
        <v>The time necessary for the camera to prepare to capture the next photo after the previous one has been recorded (Trolliet et al., 2014).</v>
      </c>
      <c r="L313" t="s">
        <v>1518</v>
      </c>
      <c r="M313" s="30" t="str">
        <f>"{{ "&amp;I313&amp;" }}"</f>
        <v>{{ recovery_time_tu }}</v>
      </c>
      <c r="N313" t="s">
        <v>896</v>
      </c>
      <c r="O313" s="13" t="s">
        <v>1816</v>
      </c>
      <c r="P313" t="s">
        <v>4081</v>
      </c>
      <c r="Q313" t="str">
        <f>IF(K313&lt;&gt;"-",("    "&amp;I313&amp;": "&amp;""""&amp;"&lt;a href=\"&amp;""""&amp;"09_glossary.html#"&amp;H313&amp;N313&amp;G313&amp;": "&amp;K313&amp;O313&amp;J313&amp;P313&amp;""""),"-")</f>
        <v xml:space="preserve">    recovery_time_tu: "&lt;a href=\"09_glossary.html#recovery_time\" target=\"_blank\" data-bs-toggle=\"tooltip\" data-bs-title=\"Recovery time: The time necessary for the camera to prepare to capture the next photo after the previous one has been recorded (Trolliet et al., 2014).\"&gt;Recovery time&lt;button type=\"button\" class=\"btn btn-bd-tip-info-hidden btn-sm position-relative\"&gt;.&lt;span class=\"position-absolute top-0 start-100 translate-middle\"&gt;{{ icon_info }}&lt;/span&gt;&lt;/button&gt;&lt;/a&gt;"</v>
      </c>
      <c r="R313" t="b" cm="1">
        <f t="array" ref="R313">SUMPRODUCT(--EXACT($J$2:$J$490,J313))&gt;1</f>
        <v>0</v>
      </c>
      <c r="S313" t="s">
        <v>4486</v>
      </c>
    </row>
    <row r="314" spans="1:19">
      <c r="A314" s="30">
        <v>3</v>
      </c>
      <c r="B314" s="30" t="s">
        <v>1393</v>
      </c>
      <c r="C314" s="30"/>
      <c r="D314" s="30" t="s">
        <v>1208</v>
      </c>
      <c r="E314" s="30" t="s">
        <v>1751</v>
      </c>
      <c r="F314" s="30" t="s">
        <v>324</v>
      </c>
      <c r="G314" s="39" t="str">
        <f>VLOOKUP(F314,glossary!J:N,2,FALSE)</f>
        <v>Remaining Battery (%)</v>
      </c>
      <c r="H314" s="34" t="s">
        <v>324</v>
      </c>
      <c r="I314" s="45" t="str">
        <f t="shared" si="12"/>
        <v>remaining_battery_percent_tu_u</v>
      </c>
      <c r="J314" s="42" t="s">
        <v>752</v>
      </c>
      <c r="K314" s="39" t="str">
        <f>VLOOKUP(F314,glossary!J:N,5,FALSE)</f>
        <v>The remaining battery power (%) of batteries within a camera.</v>
      </c>
      <c r="L314" t="s">
        <v>1517</v>
      </c>
      <c r="M314" s="30" t="str">
        <f>"{{ "&amp;I314&amp;" }}"</f>
        <v>{{ remaining_battery_percent_tu_u }}</v>
      </c>
      <c r="N314" t="s">
        <v>896</v>
      </c>
      <c r="O314" s="13" t="s">
        <v>1816</v>
      </c>
      <c r="P314" t="s">
        <v>4081</v>
      </c>
      <c r="Q314" t="str">
        <f>IF(K314&lt;&gt;"-",("    "&amp;I314&amp;": "&amp;""""&amp;"&lt;a href=\"&amp;""""&amp;"09_glossary.html#"&amp;H314&amp;N314&amp;G314&amp;": "&amp;K314&amp;O314&amp;J314&amp;P314&amp;""""),"-")</f>
        <v xml:space="preserve">    remaining_battery_percent_tu_u: "&lt;a href=\"09_glossary.html#remaining_battery_percent\" target=\"_blank\" data-bs-toggle=\"tooltip\" data-bs-title=\"Remaining Battery (%): The remaining battery power (%) of batteries within a camera.\"&gt;Remaining Battery (%)&lt;button type=\"button\" class=\"btn btn-bd-tip-info-hidden btn-sm position-relative\"&gt;.&lt;span class=\"position-absolute top-0 start-100 translate-middle\"&gt;{{ icon_info }}&lt;/span&gt;&lt;/button&gt;&lt;/a&gt;"</v>
      </c>
      <c r="R314" t="b" cm="1">
        <f t="array" ref="R314">SUMPRODUCT(--EXACT($J$2:$J$490,J314))&gt;1</f>
        <v>0</v>
      </c>
      <c r="S314" t="s">
        <v>4487</v>
      </c>
    </row>
    <row r="315" spans="1:19">
      <c r="A315" s="30">
        <v>0</v>
      </c>
      <c r="B315" s="30" t="s">
        <v>768</v>
      </c>
      <c r="C315" s="30"/>
      <c r="D315" s="30" t="s">
        <v>984</v>
      </c>
      <c r="E315" s="30" t="s">
        <v>984</v>
      </c>
      <c r="F315" s="30" t="s">
        <v>1741</v>
      </c>
      <c r="G315" s="39" t="e">
        <f>VLOOKUP(F315,glossary!J:N,2,FALSE)</f>
        <v>#N/A</v>
      </c>
      <c r="H315" s="30" t="s">
        <v>1741</v>
      </c>
      <c r="I315" s="45" t="str">
        <f t="shared" si="12"/>
        <v>-</v>
      </c>
      <c r="J315" s="30" t="s">
        <v>1741</v>
      </c>
      <c r="K315" s="39" t="s">
        <v>984</v>
      </c>
      <c r="L315" s="30" t="s">
        <v>984</v>
      </c>
      <c r="M315" s="30" t="s">
        <v>1741</v>
      </c>
      <c r="N315" t="s">
        <v>896</v>
      </c>
      <c r="O315" s="13" t="s">
        <v>1816</v>
      </c>
      <c r="P315" t="s">
        <v>4081</v>
      </c>
      <c r="Q315" t="str">
        <f>IF(K315&lt;&gt;"-",("    "&amp;I315&amp;": "&amp;""""&amp;"&lt;a href=\"&amp;""""&amp;"09_glossary.html#"&amp;H315&amp;N315&amp;K315&amp;O315&amp;J315&amp;P315&amp;""""),"-")</f>
        <v>-</v>
      </c>
      <c r="R315" t="b">
        <v>0</v>
      </c>
      <c r="S315" t="s">
        <v>4488</v>
      </c>
    </row>
    <row r="316" spans="1:19">
      <c r="A316" s="30">
        <v>3</v>
      </c>
      <c r="B316" s="30" t="s">
        <v>1393</v>
      </c>
      <c r="C316" s="30"/>
      <c r="D316" s="30" t="s">
        <v>1207</v>
      </c>
      <c r="E316" s="30" t="s">
        <v>984</v>
      </c>
      <c r="F316" s="30" t="s">
        <v>122</v>
      </c>
      <c r="G316" s="39" t="str">
        <f>VLOOKUP(F316,glossary!J:N,2,FALSE)</f>
        <v>Sample station</v>
      </c>
      <c r="H316" s="34" t="s">
        <v>122</v>
      </c>
      <c r="I316" s="45" t="str">
        <f t="shared" si="12"/>
        <v>sample_station_tl</v>
      </c>
      <c r="J316" s="43" t="s">
        <v>948</v>
      </c>
      <c r="K316" s="39" t="str">
        <f>VLOOKUP(F316,glossary!J:N,5,FALSE)</f>
        <v>A grouping of two or more non-independent camera locations, such as when cameras are clustered or paired (recorded as 'Sample Station Name').</v>
      </c>
      <c r="L316" t="s">
        <v>1516</v>
      </c>
      <c r="M316" s="30" t="str">
        <f t="shared" ref="M316:M347" si="15">"{{ "&amp;I316&amp;" }}"</f>
        <v>{{ sample_station_tl }}</v>
      </c>
      <c r="N316" t="s">
        <v>896</v>
      </c>
      <c r="O316" s="13" t="s">
        <v>1816</v>
      </c>
      <c r="P316" t="s">
        <v>4081</v>
      </c>
      <c r="Q316" t="str">
        <f t="shared" ref="Q316:Q347" si="16">IF(K316&lt;&gt;"-",("    "&amp;I316&amp;": "&amp;""""&amp;"&lt;a href=\"&amp;""""&amp;"09_glossary.html#"&amp;H316&amp;N316&amp;G316&amp;": "&amp;K316&amp;O316&amp;J316&amp;P316&amp;""""),"-")</f>
        <v xml:space="preserve">    sample_station_tl: "&lt;a href=\"09_glossary.html#sample_station\" target=\"_blank\" data-bs-toggle=\"tooltip\" data-bs-title=\"Sample station: A grouping of two or more non-independent camera locations, such as when cameras are clustered or paired (recorded as 'Sample Station Name').\"&gt;sample station&lt;button type=\"button\" class=\"btn btn-bd-tip-info-hidden btn-sm position-relative\"&gt;.&lt;span class=\"position-absolute top-0 start-100 translate-middle\"&gt;{{ icon_info }}&lt;/span&gt;&lt;/button&gt;&lt;/a&gt;"</v>
      </c>
      <c r="R316" t="b" cm="1">
        <f t="array" ref="R316">SUMPRODUCT(--EXACT($J$2:$J$490,J316))&gt;1</f>
        <v>0</v>
      </c>
      <c r="S316" t="s">
        <v>4489</v>
      </c>
    </row>
    <row r="317" spans="1:19">
      <c r="A317" s="30">
        <v>1</v>
      </c>
      <c r="B317" s="30" t="s">
        <v>1064</v>
      </c>
      <c r="C317" s="30" t="s">
        <v>429</v>
      </c>
      <c r="D317" s="30" t="s">
        <v>1207</v>
      </c>
      <c r="E317" s="30" t="s">
        <v>1758</v>
      </c>
      <c r="F317" s="30" t="s">
        <v>122</v>
      </c>
      <c r="G317" s="39" t="str">
        <f>VLOOKUP(F317,glossary!J:N,2,FALSE)</f>
        <v>Sample station</v>
      </c>
      <c r="H317" s="30" t="s">
        <v>122</v>
      </c>
      <c r="I317" s="45" t="str">
        <f t="shared" si="12"/>
        <v>sample_station_tl_pl</v>
      </c>
      <c r="J317" s="39" t="s">
        <v>1184</v>
      </c>
      <c r="K317" s="39" t="str">
        <f>VLOOKUP(F317,glossary!J:N,5,FALSE)</f>
        <v>A grouping of two or more non-independent camera locations, such as when cameras are clustered or paired (recorded as 'Sample Station Name').</v>
      </c>
      <c r="L317" s="30" t="s">
        <v>1129</v>
      </c>
      <c r="M317" s="30" t="str">
        <f t="shared" si="15"/>
        <v>{{ sample_station_tl_pl }}</v>
      </c>
      <c r="N317" t="s">
        <v>896</v>
      </c>
      <c r="O317" s="13" t="s">
        <v>1816</v>
      </c>
      <c r="P317" t="s">
        <v>4081</v>
      </c>
      <c r="Q317" t="str">
        <f t="shared" si="16"/>
        <v xml:space="preserve">    sample_station_tl_pl: "&lt;a href=\"09_glossary.html#sample_station\" target=\"_blank\" data-bs-toggle=\"tooltip\" data-bs-title=\"Sample station: A grouping of two or more non-independent camera locations, such as when cameras are clustered or paired (recorded as 'Sample Station Name').\"&gt;sample stations&lt;button type=\"button\" class=\"btn btn-bd-tip-info-hidden btn-sm position-relative\"&gt;.&lt;span class=\"position-absolute top-0 start-100 translate-middle\"&gt;{{ icon_info }}&lt;/span&gt;&lt;/button&gt;&lt;/a&gt;"</v>
      </c>
      <c r="R317" t="b" cm="1">
        <f t="array" ref="R317">SUMPRODUCT(--EXACT($J$2:$J$490,J317))&gt;1</f>
        <v>0</v>
      </c>
      <c r="S317" t="s">
        <v>4490</v>
      </c>
    </row>
    <row r="318" spans="1:19">
      <c r="A318" s="30">
        <v>3</v>
      </c>
      <c r="B318" s="30" t="s">
        <v>1393</v>
      </c>
      <c r="C318" s="30"/>
      <c r="D318" s="30" t="s">
        <v>1208</v>
      </c>
      <c r="E318" s="30" t="s">
        <v>984</v>
      </c>
      <c r="F318" s="30" t="s">
        <v>122</v>
      </c>
      <c r="G318" s="39" t="str">
        <f>VLOOKUP(F318,glossary!J:N,2,FALSE)</f>
        <v>Sample station</v>
      </c>
      <c r="H318" s="34" t="s">
        <v>122</v>
      </c>
      <c r="I318" s="45" t="str">
        <f t="shared" si="12"/>
        <v>sample_station_tu</v>
      </c>
      <c r="J318" s="42" t="s">
        <v>123</v>
      </c>
      <c r="K318" s="39" t="str">
        <f>VLOOKUP(F318,glossary!J:N,5,FALSE)</f>
        <v>A grouping of two or more non-independent camera locations, such as when cameras are clustered or paired (recorded as 'Sample Station Name').</v>
      </c>
      <c r="L318" t="s">
        <v>1515</v>
      </c>
      <c r="M318" s="30" t="str">
        <f t="shared" si="15"/>
        <v>{{ sample_station_tu }}</v>
      </c>
      <c r="N318" t="s">
        <v>896</v>
      </c>
      <c r="O318" s="13" t="s">
        <v>1816</v>
      </c>
      <c r="P318" t="s">
        <v>4081</v>
      </c>
      <c r="Q318" t="str">
        <f t="shared" si="16"/>
        <v xml:space="preserve">    sample_station_tu: "&lt;a href=\"09_glossary.html#sample_station\" target=\"_blank\" data-bs-toggle=\"tooltip\" data-bs-title=\"Sample station: A grouping of two or more non-independent camera locations, such as when cameras are clustered or paired (recorded as 'Sample Station Name').\"&gt;Sample station&lt;button type=\"button\" class=\"btn btn-bd-tip-info-hidden btn-sm position-relative\"&gt;.&lt;span class=\"position-absolute top-0 start-100 translate-middle\"&gt;{{ icon_info }}&lt;/span&gt;&lt;/button&gt;&lt;/a&gt;"</v>
      </c>
      <c r="R318" t="b" cm="1">
        <f t="array" ref="R318">SUMPRODUCT(--EXACT($J$2:$J$490,J318))&gt;1</f>
        <v>0</v>
      </c>
      <c r="S318" t="s">
        <v>4491</v>
      </c>
    </row>
    <row r="319" spans="1:19">
      <c r="A319" s="30">
        <v>1</v>
      </c>
      <c r="B319" s="30" t="s">
        <v>1064</v>
      </c>
      <c r="C319" s="30" t="s">
        <v>429</v>
      </c>
      <c r="D319" s="30" t="s">
        <v>1208</v>
      </c>
      <c r="E319" s="30" t="s">
        <v>1758</v>
      </c>
      <c r="F319" s="30" t="s">
        <v>122</v>
      </c>
      <c r="G319" s="39" t="str">
        <f>VLOOKUP(F319,glossary!J:N,2,FALSE)</f>
        <v>Sample station</v>
      </c>
      <c r="H319" s="30" t="s">
        <v>122</v>
      </c>
      <c r="I319" s="45" t="str">
        <f t="shared" si="12"/>
        <v>sample_station_tu_pl</v>
      </c>
      <c r="J319" s="39" t="s">
        <v>1170</v>
      </c>
      <c r="K319" s="39" t="str">
        <f>VLOOKUP(F319,glossary!J:N,5,FALSE)</f>
        <v>A grouping of two or more non-independent camera locations, such as when cameras are clustered or paired (recorded as 'Sample Station Name').</v>
      </c>
      <c r="L319" s="30" t="s">
        <v>1121</v>
      </c>
      <c r="M319" s="30" t="str">
        <f t="shared" si="15"/>
        <v>{{ sample_station_tu_pl }}</v>
      </c>
      <c r="N319" t="s">
        <v>896</v>
      </c>
      <c r="O319" s="13" t="s">
        <v>1816</v>
      </c>
      <c r="P319" t="s">
        <v>4081</v>
      </c>
      <c r="Q319" t="str">
        <f t="shared" si="16"/>
        <v xml:space="preserve">    sample_station_tu_pl: "&lt;a href=\"09_glossary.html#sample_station\" target=\"_blank\" data-bs-toggle=\"tooltip\" data-bs-title=\"Sample station: A grouping of two or more non-independent camera locations, such as when cameras are clustered or paired (recorded as 'Sample Station Name').\"&gt;Sample stations&lt;button type=\"button\" class=\"btn btn-bd-tip-info-hidden btn-sm position-relative\"&gt;.&lt;span class=\"position-absolute top-0 start-100 translate-middle\"&gt;{{ icon_info }}&lt;/span&gt;&lt;/button&gt;&lt;/a&gt;"</v>
      </c>
      <c r="R319" t="b" cm="1">
        <f t="array" ref="R319">SUMPRODUCT(--EXACT($J$2:$J$490,J319))&gt;1</f>
        <v>0</v>
      </c>
      <c r="S319" t="s">
        <v>4492</v>
      </c>
    </row>
    <row r="320" spans="1:19">
      <c r="A320" s="30">
        <v>3</v>
      </c>
      <c r="B320" s="30" t="s">
        <v>1393</v>
      </c>
      <c r="C320" s="30"/>
      <c r="D320" s="30" t="s">
        <v>1208</v>
      </c>
      <c r="E320" s="30" t="s">
        <v>984</v>
      </c>
      <c r="F320" s="30" t="s">
        <v>260</v>
      </c>
      <c r="G320" s="39" t="str">
        <f>VLOOKUP(F320,glossary!J:N,2,FALSE)</f>
        <v>Sample Station Name</v>
      </c>
      <c r="H320" s="34" t="s">
        <v>260</v>
      </c>
      <c r="I320" s="45" t="str">
        <f t="shared" si="12"/>
        <v>sample_station_name_tu</v>
      </c>
      <c r="J320" s="42" t="s">
        <v>711</v>
      </c>
      <c r="K320" s="39" t="str">
        <f>VLOOKUP(F320,glossary!J:N,5,FALSE)</f>
        <v>A sequential alphanumeric identifier for each grouping of two more non-independent camera locations (when cameras are deployed in clusters, pairs, or arrays; e.g., 'ss1' in 'ss1_bh1,' 'ss1_bh2,' 'ss1_bh3' etc.). Leave blank if not applicable.</v>
      </c>
      <c r="L320" t="s">
        <v>1514</v>
      </c>
      <c r="M320" s="30" t="str">
        <f t="shared" si="15"/>
        <v>{{ sample_station_name_tu }}</v>
      </c>
      <c r="N320" t="s">
        <v>896</v>
      </c>
      <c r="O320" s="13" t="s">
        <v>1816</v>
      </c>
      <c r="P320" t="s">
        <v>4081</v>
      </c>
      <c r="Q320" t="str">
        <f t="shared" si="16"/>
        <v xml:space="preserve">    sample_station_name_tu: "&lt;a href=\"09_glossary.html#sample_station_name\" target=\"_blank\" data-bs-toggle=\"tooltip\" data-bs-title=\"Sample Station Name: A sequential alphanumeric identifier for each grouping of two more non-independent camera locations (when cameras are deployed in clusters, pairs, or arrays; e.g., 'ss1' in 'ss1_bh1,' 'ss1_bh2,' 'ss1_bh3' etc.). Leave blank if not applicable.\"&gt;Sample Station Name&lt;button type=\"button\" class=\"btn btn-bd-tip-info-hidden btn-sm position-relative\"&gt;.&lt;span class=\"position-absolute top-0 start-100 translate-middle\"&gt;{{ icon_info }}&lt;/span&gt;&lt;/button&gt;&lt;/a&gt;"</v>
      </c>
      <c r="R320" t="b" cm="1">
        <f t="array" ref="R320">SUMPRODUCT(--EXACT($J$2:$J$490,J320))&gt;1</f>
        <v>0</v>
      </c>
      <c r="S320" t="s">
        <v>4493</v>
      </c>
    </row>
    <row r="321" spans="1:19">
      <c r="A321" s="30">
        <v>3</v>
      </c>
      <c r="B321" s="30" t="s">
        <v>1393</v>
      </c>
      <c r="C321" s="30"/>
      <c r="D321" s="30" t="s">
        <v>1207</v>
      </c>
      <c r="E321" s="30" t="s">
        <v>984</v>
      </c>
      <c r="F321" s="30" t="s">
        <v>224</v>
      </c>
      <c r="G321" s="39" t="str">
        <f>VLOOKUP(F321,glossary!J:N,2,FALSE)</f>
        <v>Clustered design</v>
      </c>
      <c r="H321" s="34" t="s">
        <v>224</v>
      </c>
      <c r="I321" s="45" t="str">
        <f t="shared" si="12"/>
        <v>sampledesign_clustered_tl</v>
      </c>
      <c r="J321" s="43" t="s">
        <v>908</v>
      </c>
      <c r="K321" s="39" t="str">
        <f>VLOOKUP(F321,glossary!J:N,5,FALSE)</f>
        <v>Multiple cameras are deployed at a sample station (Figure 3d). A clustered design can be used within a systematic or stratified approach (i.e., systematic clustered design or as a clustered random design [Wearn &amp; Glover-Kapfer, 2017]).</v>
      </c>
      <c r="L321" t="s">
        <v>1513</v>
      </c>
      <c r="M321" s="30" t="str">
        <f t="shared" si="15"/>
        <v>{{ sampledesign_clustered_tl }}</v>
      </c>
      <c r="N321" t="s">
        <v>896</v>
      </c>
      <c r="O321" s="13" t="s">
        <v>1816</v>
      </c>
      <c r="P321" t="s">
        <v>4081</v>
      </c>
      <c r="Q321" t="str">
        <f t="shared" si="16"/>
        <v xml:space="preserve">    sampledesign_clustered_tl: "&lt;a href=\"09_glossary.html#sampledesign_clustered\" target=\"_blank\" data-bs-toggle=\"tooltip\" data-bs-title=\"Clustered design: Multiple cameras are deployed at a sample station (Figure 3d). A clustered design can be used within a systematic or stratified approach (i.e., systematic clustered design or as a clustered random design [Wearn &amp; Glover-Kapfer, 2017]).\"&gt;clustered design&lt;button type=\"button\" class=\"btn btn-bd-tip-info-hidden btn-sm position-relative\"&gt;.&lt;span class=\"position-absolute top-0 start-100 translate-middle\"&gt;{{ icon_info }}&lt;/span&gt;&lt;/button&gt;&lt;/a&gt;"</v>
      </c>
      <c r="R321" t="b" cm="1">
        <f t="array" ref="R321">SUMPRODUCT(--EXACT($J$2:$J$490,J321))&gt;1</f>
        <v>0</v>
      </c>
      <c r="S321" t="s">
        <v>4494</v>
      </c>
    </row>
    <row r="322" spans="1:19">
      <c r="A322" s="30">
        <v>3</v>
      </c>
      <c r="B322" s="30" t="s">
        <v>1393</v>
      </c>
      <c r="C322" s="30"/>
      <c r="D322" s="30" t="s">
        <v>1207</v>
      </c>
      <c r="E322" s="30" t="s">
        <v>1752</v>
      </c>
      <c r="F322" s="30" t="s">
        <v>224</v>
      </c>
      <c r="G322" s="39" t="str">
        <f>VLOOKUP(F322,glossary!J:N,2,FALSE)</f>
        <v>Clustered design</v>
      </c>
      <c r="H322" s="34" t="s">
        <v>224</v>
      </c>
      <c r="I322" s="45" t="str">
        <f t="shared" ref="I322:I385" si="17">IF(D322="-","-",IF(E322&lt;&gt;"-",(H322&amp;"_"&amp;D322&amp;"_"&amp;E322),H322&amp;"_"&amp;D322))</f>
        <v>sampledesign_clustered_tl_abrv</v>
      </c>
      <c r="J322" s="43" t="s">
        <v>4664</v>
      </c>
      <c r="K322" s="39" t="str">
        <f>VLOOKUP(F322,glossary!J:N,5,FALSE)</f>
        <v>Multiple cameras are deployed at a sample station (Figure 3d). A clustered design can be used within a systematic or stratified approach (i.e., systematic clustered design or as a clustered random design [Wearn &amp; Glover-Kapfer, 2017]).</v>
      </c>
      <c r="L322" t="s">
        <v>1513</v>
      </c>
      <c r="M322" s="30" t="str">
        <f t="shared" si="15"/>
        <v>{{ sampledesign_clustered_tl_abrv }}</v>
      </c>
      <c r="N322" t="s">
        <v>896</v>
      </c>
      <c r="O322" s="13" t="s">
        <v>1816</v>
      </c>
      <c r="P322" t="s">
        <v>4081</v>
      </c>
      <c r="Q322" t="str">
        <f t="shared" si="16"/>
        <v xml:space="preserve">    sampledesign_clustered_tl_abrv: "&lt;a href=\"09_glossary.html#sampledesign_clustered\" target=\"_blank\" data-bs-toggle=\"tooltip\" data-bs-title=\"Clustered design: Multiple cameras are deployed at a sample station (Figure 3d). A clustered design can be used within a systematic or stratified approach (i.e., systematic clustered design or as a clustered random design [Wearn &amp; Glover-Kapfer, 2017]).\"&gt;clustered&lt;button type=\"button\" class=\"btn btn-bd-tip-info-hidden btn-sm position-relative\"&gt;.&lt;span class=\"position-absolute top-0 start-100 translate-middle\"&gt;{{ icon_info }}&lt;/span&gt;&lt;/button&gt;&lt;/a&gt;"</v>
      </c>
      <c r="R322" t="b" cm="1">
        <f t="array" ref="R322">SUMPRODUCT(--EXACT($J$2:$J$490,J322))&gt;1</f>
        <v>0</v>
      </c>
      <c r="S322" t="s">
        <v>4495</v>
      </c>
    </row>
    <row r="323" spans="1:19">
      <c r="A323" s="30">
        <v>3</v>
      </c>
      <c r="B323" s="30" t="s">
        <v>1393</v>
      </c>
      <c r="C323" s="30"/>
      <c r="D323" s="30" t="s">
        <v>1208</v>
      </c>
      <c r="E323" s="30" t="s">
        <v>984</v>
      </c>
      <c r="F323" s="30" t="s">
        <v>224</v>
      </c>
      <c r="G323" s="39" t="str">
        <f>VLOOKUP(F323,glossary!J:N,2,FALSE)</f>
        <v>Clustered design</v>
      </c>
      <c r="H323" s="34" t="s">
        <v>224</v>
      </c>
      <c r="I323" s="45" t="str">
        <f t="shared" si="17"/>
        <v>sampledesign_clustered_tu</v>
      </c>
      <c r="J323" s="42" t="s">
        <v>225</v>
      </c>
      <c r="K323" s="39" t="str">
        <f>VLOOKUP(F323,glossary!J:N,5,FALSE)</f>
        <v>Multiple cameras are deployed at a sample station (Figure 3d). A clustered design can be used within a systematic or stratified approach (i.e., systematic clustered design or as a clustered random design [Wearn &amp; Glover-Kapfer, 2017]).</v>
      </c>
      <c r="L323" t="s">
        <v>1512</v>
      </c>
      <c r="M323" s="30" t="str">
        <f t="shared" si="15"/>
        <v>{{ sampledesign_clustered_tu }}</v>
      </c>
      <c r="N323" t="s">
        <v>896</v>
      </c>
      <c r="O323" s="13" t="s">
        <v>1816</v>
      </c>
      <c r="P323" t="s">
        <v>4081</v>
      </c>
      <c r="Q323" t="str">
        <f t="shared" si="16"/>
        <v xml:space="preserve">    sampledesign_clustered_tu: "&lt;a href=\"09_glossary.html#sampledesign_clustered\" target=\"_blank\" data-bs-toggle=\"tooltip\" data-bs-title=\"Clustered design: Multiple cameras are deployed at a sample station (Figure 3d). A clustered design can be used within a systematic or stratified approach (i.e., systematic clustered design or as a clustered random design [Wearn &amp; Glover-Kapfer, 2017]).\"&gt;Clustered design&lt;button type=\"button\" class=\"btn btn-bd-tip-info-hidden btn-sm position-relative\"&gt;.&lt;span class=\"position-absolute top-0 start-100 translate-middle\"&gt;{{ icon_info }}&lt;/span&gt;&lt;/button&gt;&lt;/a&gt;"</v>
      </c>
      <c r="R323" t="b" cm="1">
        <f t="array" ref="R323">SUMPRODUCT(--EXACT($J$2:$J$490,J323))&gt;1</f>
        <v>0</v>
      </c>
      <c r="S323" t="s">
        <v>4494</v>
      </c>
    </row>
    <row r="324" spans="1:19">
      <c r="A324" s="30">
        <v>3</v>
      </c>
      <c r="B324" s="30" t="s">
        <v>1393</v>
      </c>
      <c r="C324" s="30"/>
      <c r="D324" s="30" t="s">
        <v>1208</v>
      </c>
      <c r="E324" s="30" t="s">
        <v>1752</v>
      </c>
      <c r="F324" s="30" t="s">
        <v>224</v>
      </c>
      <c r="G324" s="39" t="str">
        <f>VLOOKUP(F324,glossary!J:N,2,FALSE)</f>
        <v>Clustered design</v>
      </c>
      <c r="H324" s="34" t="s">
        <v>224</v>
      </c>
      <c r="I324" s="45" t="str">
        <f t="shared" si="17"/>
        <v>sampledesign_clustered_tu_abrv</v>
      </c>
      <c r="J324" s="42" t="s">
        <v>4668</v>
      </c>
      <c r="K324" s="39" t="str">
        <f>VLOOKUP(F324,glossary!J:N,5,FALSE)</f>
        <v>Multiple cameras are deployed at a sample station (Figure 3d). A clustered design can be used within a systematic or stratified approach (i.e., systematic clustered design or as a clustered random design [Wearn &amp; Glover-Kapfer, 2017]).</v>
      </c>
      <c r="L324" t="s">
        <v>1512</v>
      </c>
      <c r="M324" s="30" t="str">
        <f t="shared" si="15"/>
        <v>{{ sampledesign_clustered_tu_abrv }}</v>
      </c>
      <c r="N324" t="s">
        <v>896</v>
      </c>
      <c r="O324" s="13" t="s">
        <v>1816</v>
      </c>
      <c r="P324" t="s">
        <v>4081</v>
      </c>
      <c r="Q324" t="str">
        <f t="shared" si="16"/>
        <v xml:space="preserve">    sampledesign_clustered_tu_abrv: "&lt;a href=\"09_glossary.html#sampledesign_clustered\" target=\"_blank\" data-bs-toggle=\"tooltip\" data-bs-title=\"Clustered design: Multiple cameras are deployed at a sample station (Figure 3d). A clustered design can be used within a systematic or stratified approach (i.e., systematic clustered design or as a clustered random design [Wearn &amp; Glover-Kapfer, 2017]).\"&gt;Clustered&lt;button type=\"button\" class=\"btn btn-bd-tip-info-hidden btn-sm position-relative\"&gt;.&lt;span class=\"position-absolute top-0 start-100 translate-middle\"&gt;{{ icon_info }}&lt;/span&gt;&lt;/button&gt;&lt;/a&gt;"</v>
      </c>
      <c r="R324" t="b" cm="1">
        <f t="array" ref="R324">SUMPRODUCT(--EXACT($J$2:$J$490,J324))&gt;1</f>
        <v>0</v>
      </c>
      <c r="S324" t="s">
        <v>4495</v>
      </c>
    </row>
    <row r="325" spans="1:19">
      <c r="A325" s="30">
        <v>3</v>
      </c>
      <c r="B325" s="30" t="s">
        <v>1393</v>
      </c>
      <c r="C325" s="30"/>
      <c r="D325" s="30" t="s">
        <v>1207</v>
      </c>
      <c r="E325" s="30" t="s">
        <v>984</v>
      </c>
      <c r="F325" s="30" t="s">
        <v>222</v>
      </c>
      <c r="G325" s="39" t="str">
        <f>VLOOKUP(F325,glossary!J:N,2,FALSE)</f>
        <v>Convenience design</v>
      </c>
      <c r="H325" s="34" t="s">
        <v>222</v>
      </c>
      <c r="I325" s="45" t="str">
        <f t="shared" si="17"/>
        <v>sampledesign_convenience_tl</v>
      </c>
      <c r="J325" s="43" t="s">
        <v>909</v>
      </c>
      <c r="K325" s="39" t="str">
        <f>VLOOKUP(F325,glossary!J:N,5,FALSE)</f>
        <v>Camera locations or sample stations are chosen based on logistic considerations (e.g., remoteness, access constraints, and*/or costs).</v>
      </c>
      <c r="L325" t="s">
        <v>1511</v>
      </c>
      <c r="M325" s="30" t="str">
        <f t="shared" si="15"/>
        <v>{{ sampledesign_convenience_tl }}</v>
      </c>
      <c r="N325" t="s">
        <v>896</v>
      </c>
      <c r="O325" s="13" t="s">
        <v>1816</v>
      </c>
      <c r="P325" t="s">
        <v>4081</v>
      </c>
      <c r="Q325" t="str">
        <f t="shared" si="16"/>
        <v xml:space="preserve">    sampledesign_convenience_tl: "&lt;a href=\"09_glossary.html#sampledesign_convenience\" target=\"_blank\" data-bs-toggle=\"tooltip\" data-bs-title=\"Convenience design: Camera locations or sample stations are chosen based on logistic considerations (e.g., remoteness, access constraints, and*/or costs).\"&gt;convenience design&lt;button type=\"button\" class=\"btn btn-bd-tip-info-hidden btn-sm position-relative\"&gt;.&lt;span class=\"position-absolute top-0 start-100 translate-middle\"&gt;{{ icon_info }}&lt;/span&gt;&lt;/button&gt;&lt;/a&gt;"</v>
      </c>
      <c r="R325" t="b" cm="1">
        <f t="array" ref="R325">SUMPRODUCT(--EXACT($J$2:$J$490,J325))&gt;1</f>
        <v>0</v>
      </c>
      <c r="S325" t="s">
        <v>4496</v>
      </c>
    </row>
    <row r="326" spans="1:19">
      <c r="A326" s="30">
        <v>3</v>
      </c>
      <c r="B326" s="30" t="s">
        <v>1393</v>
      </c>
      <c r="C326" s="30"/>
      <c r="D326" s="30" t="s">
        <v>1207</v>
      </c>
      <c r="E326" s="30" t="s">
        <v>1755</v>
      </c>
      <c r="F326" s="30" t="s">
        <v>222</v>
      </c>
      <c r="G326" s="39" t="str">
        <f>VLOOKUP(F326,glossary!J:N,2,FALSE)</f>
        <v>Convenience design</v>
      </c>
      <c r="H326" s="34" t="s">
        <v>222</v>
      </c>
      <c r="I326" s="45" t="str">
        <f t="shared" si="17"/>
        <v>sampledesign_convenience_tl_mod</v>
      </c>
      <c r="J326" s="43" t="s">
        <v>4673</v>
      </c>
      <c r="K326" s="39" t="str">
        <f>VLOOKUP(F326,glossary!J:N,5,FALSE)</f>
        <v>Camera locations or sample stations are chosen based on logistic considerations (e.g., remoteness, access constraints, and*/or costs).</v>
      </c>
      <c r="L326" t="s">
        <v>1511</v>
      </c>
      <c r="M326" s="30" t="str">
        <f t="shared" si="15"/>
        <v>{{ sampledesign_convenience_tl_mod }}</v>
      </c>
      <c r="N326" t="s">
        <v>896</v>
      </c>
      <c r="O326" s="13" t="s">
        <v>1816</v>
      </c>
      <c r="P326" t="s">
        <v>4081</v>
      </c>
      <c r="Q326" t="str">
        <f t="shared" si="16"/>
        <v xml:space="preserve">    sampledesign_convenience_tl_mod: "&lt;a href=\"09_glossary.html#sampledesign_convenience\" target=\"_blank\" data-bs-toggle=\"tooltip\" data-bs-title=\"Convenience design: Camera locations or sample stations are chosen based on logistic considerations (e.g., remoteness, access constraints, and*/or costs).\"&gt;convenience sampling&lt;button type=\"button\" class=\"btn btn-bd-tip-info-hidden btn-sm position-relative\"&gt;.&lt;span class=\"position-absolute top-0 start-100 translate-middle\"&gt;{{ icon_info }}&lt;/span&gt;&lt;/button&gt;&lt;/a&gt;"</v>
      </c>
      <c r="R326" t="b" cm="1">
        <f t="array" ref="R326">SUMPRODUCT(--EXACT($J$2:$J$490,J326))&gt;1</f>
        <v>0</v>
      </c>
      <c r="S326" t="s">
        <v>4497</v>
      </c>
    </row>
    <row r="327" spans="1:19">
      <c r="A327" s="30">
        <v>3</v>
      </c>
      <c r="B327" s="30" t="s">
        <v>1393</v>
      </c>
      <c r="C327" s="30"/>
      <c r="D327" s="30" t="s">
        <v>1208</v>
      </c>
      <c r="E327" s="30" t="s">
        <v>984</v>
      </c>
      <c r="F327" s="30" t="s">
        <v>222</v>
      </c>
      <c r="G327" s="39" t="str">
        <f>VLOOKUP(F327,glossary!J:N,2,FALSE)</f>
        <v>Convenience design</v>
      </c>
      <c r="H327" s="34" t="s">
        <v>222</v>
      </c>
      <c r="I327" s="45" t="str">
        <f t="shared" si="17"/>
        <v>sampledesign_convenience_tu</v>
      </c>
      <c r="J327" s="42" t="s">
        <v>223</v>
      </c>
      <c r="K327" s="39" t="str">
        <f>VLOOKUP(F327,glossary!J:N,5,FALSE)</f>
        <v>Camera locations or sample stations are chosen based on logistic considerations (e.g., remoteness, access constraints, and*/or costs).</v>
      </c>
      <c r="L327" t="s">
        <v>1510</v>
      </c>
      <c r="M327" s="30" t="str">
        <f t="shared" si="15"/>
        <v>{{ sampledesign_convenience_tu }}</v>
      </c>
      <c r="N327" t="s">
        <v>896</v>
      </c>
      <c r="O327" s="13" t="s">
        <v>1816</v>
      </c>
      <c r="P327" t="s">
        <v>4081</v>
      </c>
      <c r="Q327" t="str">
        <f t="shared" si="16"/>
        <v xml:space="preserve">    sampledesign_convenience_tu: "&lt;a href=\"09_glossary.html#sampledesign_convenience\" target=\"_blank\" data-bs-toggle=\"tooltip\" data-bs-title=\"Convenience design: Camera locations or sample stations are chosen based on logistic considerations (e.g., remoteness, access constraints, and*/or costs).\"&gt;Convenience design&lt;button type=\"button\" class=\"btn btn-bd-tip-info-hidden btn-sm position-relative\"&gt;.&lt;span class=\"position-absolute top-0 start-100 translate-middle\"&gt;{{ icon_info }}&lt;/span&gt;&lt;/button&gt;&lt;/a&gt;"</v>
      </c>
      <c r="R327" t="b" cm="1">
        <f t="array" ref="R327">SUMPRODUCT(--EXACT($J$2:$J$490,J327))&gt;1</f>
        <v>0</v>
      </c>
      <c r="S327" t="s">
        <v>4496</v>
      </c>
    </row>
    <row r="328" spans="1:19">
      <c r="A328" s="30">
        <v>3</v>
      </c>
      <c r="B328" s="30" t="s">
        <v>1393</v>
      </c>
      <c r="C328" s="30"/>
      <c r="D328" s="30" t="s">
        <v>1208</v>
      </c>
      <c r="E328" s="30" t="s">
        <v>1755</v>
      </c>
      <c r="F328" s="30" t="s">
        <v>222</v>
      </c>
      <c r="G328" s="39" t="str">
        <f>VLOOKUP(F328,glossary!J:N,2,FALSE)</f>
        <v>Convenience design</v>
      </c>
      <c r="H328" s="34" t="s">
        <v>222</v>
      </c>
      <c r="I328" s="45" t="str">
        <f t="shared" si="17"/>
        <v>sampledesign_convenience_tu_mod</v>
      </c>
      <c r="J328" s="42" t="s">
        <v>4674</v>
      </c>
      <c r="K328" s="39" t="str">
        <f>VLOOKUP(F328,glossary!J:N,5,FALSE)</f>
        <v>Camera locations or sample stations are chosen based on logistic considerations (e.g., remoteness, access constraints, and*/or costs).</v>
      </c>
      <c r="L328" t="s">
        <v>1510</v>
      </c>
      <c r="M328" s="30" t="str">
        <f t="shared" si="15"/>
        <v>{{ sampledesign_convenience_tu_mod }}</v>
      </c>
      <c r="N328" t="s">
        <v>896</v>
      </c>
      <c r="O328" s="13" t="s">
        <v>1816</v>
      </c>
      <c r="P328" t="s">
        <v>4081</v>
      </c>
      <c r="Q328" t="str">
        <f t="shared" si="16"/>
        <v xml:space="preserve">    sampledesign_convenience_tu_mod: "&lt;a href=\"09_glossary.html#sampledesign_convenience\" target=\"_blank\" data-bs-toggle=\"tooltip\" data-bs-title=\"Convenience design: Camera locations or sample stations are chosen based on logistic considerations (e.g., remoteness, access constraints, and*/or costs).\"&gt;Convenience sampling&lt;button type=\"button\" class=\"btn btn-bd-tip-info-hidden btn-sm position-relative\"&gt;.&lt;span class=\"position-absolute top-0 start-100 translate-middle\"&gt;{{ icon_info }}&lt;/span&gt;&lt;/button&gt;&lt;/a&gt;"</v>
      </c>
      <c r="R328" t="b" cm="1">
        <f t="array" ref="R328">SUMPRODUCT(--EXACT($J$2:$J$490,J328))&gt;1</f>
        <v>0</v>
      </c>
      <c r="S328" t="s">
        <v>4497</v>
      </c>
    </row>
    <row r="329" spans="1:19">
      <c r="A329" s="30">
        <v>3</v>
      </c>
      <c r="B329" s="30" t="s">
        <v>1393</v>
      </c>
      <c r="C329" s="30"/>
      <c r="D329" s="30" t="s">
        <v>1207</v>
      </c>
      <c r="E329" s="30" t="s">
        <v>984</v>
      </c>
      <c r="F329" s="30" t="s">
        <v>144</v>
      </c>
      <c r="G329" s="39" t="str">
        <f>VLOOKUP(F329,glossary!J:N,2,FALSE)</f>
        <v>Paired design</v>
      </c>
      <c r="H329" s="34" t="s">
        <v>144</v>
      </c>
      <c r="I329" s="45" t="str">
        <f t="shared" si="17"/>
        <v>sampledesign_paired_tl</v>
      </c>
      <c r="J329" s="43" t="s">
        <v>940</v>
      </c>
      <c r="K329" s="39" t="str">
        <f>VLOOKUP(F329,glossary!J:N,5,FALSE)</f>
        <v>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v>
      </c>
      <c r="L329" t="s">
        <v>1509</v>
      </c>
      <c r="M329" s="30" t="str">
        <f t="shared" si="15"/>
        <v>{{ sampledesign_paired_tl }}</v>
      </c>
      <c r="N329" t="s">
        <v>896</v>
      </c>
      <c r="O329" s="13" t="s">
        <v>1816</v>
      </c>
      <c r="P329" t="s">
        <v>4081</v>
      </c>
      <c r="Q329" t="str">
        <f t="shared" si="16"/>
        <v xml:space="preserve">    sampledesign_paired_tl: "&lt;a href=\"09_glossary.html#sampledesign_paired\" target=\"_blank\" data-bs-toggle=\"tooltip\" data-bs-title=\"Paired design: 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systematic).\"&gt;paired design&lt;button type=\"button\" class=\"btn btn-bd-tip-info-hidden btn-sm position-relative\"&gt;.&lt;span class=\"position-absolute top-0 start-100 translate-middle\"&gt;{{ icon_info }}&lt;/span&gt;&lt;/button&gt;&lt;/a&gt;"</v>
      </c>
      <c r="R329" t="b" cm="1">
        <f t="array" ref="R329">SUMPRODUCT(--EXACT($J$2:$J$490,J329))&gt;1</f>
        <v>0</v>
      </c>
      <c r="S329" t="s">
        <v>4498</v>
      </c>
    </row>
    <row r="330" spans="1:19">
      <c r="A330" s="30">
        <v>3</v>
      </c>
      <c r="B330" s="30" t="s">
        <v>1393</v>
      </c>
      <c r="C330" s="30"/>
      <c r="D330" s="30" t="s">
        <v>1207</v>
      </c>
      <c r="E330" s="30" t="s">
        <v>1752</v>
      </c>
      <c r="F330" s="30" t="s">
        <v>144</v>
      </c>
      <c r="G330" s="39" t="str">
        <f>VLOOKUP(F330,glossary!J:N,2,FALSE)</f>
        <v>Paired design</v>
      </c>
      <c r="H330" s="34" t="s">
        <v>144</v>
      </c>
      <c r="I330" s="45" t="str">
        <f t="shared" si="17"/>
        <v>sampledesign_paired_tl_abrv</v>
      </c>
      <c r="J330" s="43" t="s">
        <v>3990</v>
      </c>
      <c r="K330" s="39" t="str">
        <f>VLOOKUP(F330,glossary!J:N,5,FALSE)</f>
        <v>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v>
      </c>
      <c r="L330" t="s">
        <v>1509</v>
      </c>
      <c r="M330" s="30" t="str">
        <f t="shared" si="15"/>
        <v>{{ sampledesign_paired_tl_abrv }}</v>
      </c>
      <c r="N330" t="s">
        <v>896</v>
      </c>
      <c r="O330" s="13" t="s">
        <v>1816</v>
      </c>
      <c r="P330" t="s">
        <v>4081</v>
      </c>
      <c r="Q330" t="str">
        <f t="shared" si="16"/>
        <v xml:space="preserve">    sampledesign_paired_tl_abrv: "&lt;a href=\"09_glossary.html#sampledesign_paired\" target=\"_blank\" data-bs-toggle=\"tooltip\" data-bs-title=\"Paired design: 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systematic).\"&gt;paired&lt;button type=\"button\" class=\"btn btn-bd-tip-info-hidden btn-sm position-relative\"&gt;.&lt;span class=\"position-absolute top-0 start-100 translate-middle\"&gt;{{ icon_info }}&lt;/span&gt;&lt;/button&gt;&lt;/a&gt;"</v>
      </c>
      <c r="R330" t="b" cm="1">
        <f t="array" ref="R330">SUMPRODUCT(--EXACT($J$2:$J$490,J330))&gt;1</f>
        <v>0</v>
      </c>
      <c r="S330" t="s">
        <v>4499</v>
      </c>
    </row>
    <row r="331" spans="1:19">
      <c r="A331" s="30">
        <v>3</v>
      </c>
      <c r="B331" s="30" t="s">
        <v>1393</v>
      </c>
      <c r="C331" s="30"/>
      <c r="D331" s="30" t="s">
        <v>1208</v>
      </c>
      <c r="E331" s="30" t="s">
        <v>984</v>
      </c>
      <c r="F331" s="30" t="s">
        <v>144</v>
      </c>
      <c r="G331" s="39" t="str">
        <f>VLOOKUP(F331,glossary!J:N,2,FALSE)</f>
        <v>Paired design</v>
      </c>
      <c r="H331" s="34" t="s">
        <v>144</v>
      </c>
      <c r="I331" s="45" t="str">
        <f t="shared" si="17"/>
        <v>sampledesign_paired_tu</v>
      </c>
      <c r="J331" s="42" t="s">
        <v>145</v>
      </c>
      <c r="K331" s="39" t="str">
        <f>VLOOKUP(F331,glossary!J:N,5,FALSE)</f>
        <v>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v>
      </c>
      <c r="L331" t="s">
        <v>1508</v>
      </c>
      <c r="M331" s="30" t="str">
        <f t="shared" si="15"/>
        <v>{{ sampledesign_paired_tu }}</v>
      </c>
      <c r="N331" t="s">
        <v>896</v>
      </c>
      <c r="O331" s="13" t="s">
        <v>1816</v>
      </c>
      <c r="P331" t="s">
        <v>4081</v>
      </c>
      <c r="Q331" t="str">
        <f t="shared" si="16"/>
        <v xml:space="preserve">    sampledesign_paired_tu: "&lt;a href=\"09_glossary.html#sampledesign_paired\" target=\"_blank\" data-bs-toggle=\"tooltip\" data-bs-title=\"Paired design: 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systematic).\"&gt;Paired design&lt;button type=\"button\" class=\"btn btn-bd-tip-info-hidden btn-sm position-relative\"&gt;.&lt;span class=\"position-absolute top-0 start-100 translate-middle\"&gt;{{ icon_info }}&lt;/span&gt;&lt;/button&gt;&lt;/a&gt;"</v>
      </c>
      <c r="R331" t="b" cm="1">
        <f t="array" ref="R331">SUMPRODUCT(--EXACT($J$2:$J$490,J331))&gt;1</f>
        <v>0</v>
      </c>
      <c r="S331" t="s">
        <v>4500</v>
      </c>
    </row>
    <row r="332" spans="1:19">
      <c r="A332" s="30">
        <v>3</v>
      </c>
      <c r="B332" s="30" t="s">
        <v>1393</v>
      </c>
      <c r="C332" s="30"/>
      <c r="D332" s="30" t="s">
        <v>1208</v>
      </c>
      <c r="E332" s="30" t="s">
        <v>1752</v>
      </c>
      <c r="F332" s="30" t="s">
        <v>144</v>
      </c>
      <c r="G332" s="39" t="str">
        <f>VLOOKUP(F332,glossary!J:N,2,FALSE)</f>
        <v>Paired design</v>
      </c>
      <c r="H332" s="34" t="s">
        <v>144</v>
      </c>
      <c r="I332" s="45" t="str">
        <f t="shared" si="17"/>
        <v>sampledesign_paired_tu_abrv</v>
      </c>
      <c r="J332" s="42" t="s">
        <v>3991</v>
      </c>
      <c r="K332" s="39" t="str">
        <f>VLOOKUP(F332,glossary!J:N,5,FALSE)</f>
        <v>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v>
      </c>
      <c r="L332" t="s">
        <v>1508</v>
      </c>
      <c r="M332" s="30" t="str">
        <f t="shared" si="15"/>
        <v>{{ sampledesign_paired_tu_abrv }}</v>
      </c>
      <c r="N332" t="s">
        <v>896</v>
      </c>
      <c r="O332" s="13" t="s">
        <v>1816</v>
      </c>
      <c r="P332" t="s">
        <v>4081</v>
      </c>
      <c r="Q332" t="str">
        <f t="shared" si="16"/>
        <v xml:space="preserve">    sampledesign_paired_tu_abrv: "&lt;a href=\"09_glossary.html#sampledesign_paired\" target=\"_blank\" data-bs-toggle=\"tooltip\" data-bs-title=\"Paired design: 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systematic).\"&gt;Paired&lt;button type=\"button\" class=\"btn btn-bd-tip-info-hidden btn-sm position-relative\"&gt;.&lt;span class=\"position-absolute top-0 start-100 translate-middle\"&gt;{{ icon_info }}&lt;/span&gt;&lt;/button&gt;&lt;/a&gt;"</v>
      </c>
      <c r="R332" t="b" cm="1">
        <f t="array" ref="R332">SUMPRODUCT(--EXACT($J$2:$J$490,J332))&gt;1</f>
        <v>0</v>
      </c>
      <c r="S332" t="s">
        <v>4501</v>
      </c>
    </row>
    <row r="333" spans="1:19">
      <c r="A333" s="30">
        <v>1</v>
      </c>
      <c r="B333" s="30" t="s">
        <v>1064</v>
      </c>
      <c r="C333" s="30"/>
      <c r="D333" s="30" t="s">
        <v>1207</v>
      </c>
      <c r="E333" s="30" t="s">
        <v>1752</v>
      </c>
      <c r="F333" s="30" t="s">
        <v>134</v>
      </c>
      <c r="G333" s="39" t="str">
        <f>VLOOKUP(F333,glossary!J:N,2,FALSE)</f>
        <v>Random (or 'simple random') design</v>
      </c>
      <c r="H333" s="30" t="s">
        <v>134</v>
      </c>
      <c r="I333" s="45" t="str">
        <f t="shared" si="17"/>
        <v>sampledesign_random_tl_abrv</v>
      </c>
      <c r="J333" s="39" t="s">
        <v>1379</v>
      </c>
      <c r="K333" s="39" t="str">
        <f>VLOOKUP(F333,glossary!J:N,5,FALSE)</f>
        <v>Cameras occur at randomized camera locations (or sample stations) across the area of interest, sometimes with a predetermined minimum distance between camera locations (or sample stations).</v>
      </c>
      <c r="L333" s="31" t="s">
        <v>1380</v>
      </c>
      <c r="M333" s="30" t="str">
        <f t="shared" si="15"/>
        <v>{{ sampledesign_random_tl_abrv }}</v>
      </c>
      <c r="N333" t="s">
        <v>896</v>
      </c>
      <c r="O333" s="13" t="s">
        <v>1816</v>
      </c>
      <c r="P333" t="s">
        <v>4081</v>
      </c>
      <c r="Q333" t="str">
        <f t="shared" si="16"/>
        <v xml:space="preserve">    sampledesign_random_tl_abrv: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 design&lt;button type=\"button\" class=\"btn btn-bd-tip-info-hidden btn-sm position-relative\"&gt;.&lt;span class=\"position-absolute top-0 start-100 translate-middle\"&gt;{{ icon_info }}&lt;/span&gt;&lt;/button&gt;&lt;/a&gt;"</v>
      </c>
      <c r="R333" t="b" cm="1">
        <f t="array" ref="R333">SUMPRODUCT(--EXACT($J$2:$J$490,J333))&gt;1</f>
        <v>1</v>
      </c>
      <c r="S333" t="s">
        <v>4502</v>
      </c>
    </row>
    <row r="334" spans="1:19">
      <c r="A334" s="30">
        <v>1</v>
      </c>
      <c r="B334" s="30" t="s">
        <v>1064</v>
      </c>
      <c r="C334" s="30" t="s">
        <v>429</v>
      </c>
      <c r="D334" s="30" t="s">
        <v>1207</v>
      </c>
      <c r="E334" s="30" t="s">
        <v>1753</v>
      </c>
      <c r="F334" s="30" t="s">
        <v>134</v>
      </c>
      <c r="G334" s="39" t="str">
        <f>VLOOKUP(F334,glossary!J:N,2,FALSE)</f>
        <v>Random (or 'simple random') design</v>
      </c>
      <c r="H334" s="30" t="s">
        <v>134</v>
      </c>
      <c r="I334" s="45" t="str">
        <f t="shared" si="17"/>
        <v>sampledesign_random_tl_abrv2</v>
      </c>
      <c r="J334" s="39" t="s">
        <v>1198</v>
      </c>
      <c r="K334" s="39" t="str">
        <f>VLOOKUP(F334,glossary!J:N,5,FALSE)</f>
        <v>Cameras occur at randomized camera locations (or sample stations) across the area of interest, sometimes with a predetermined minimum distance between camera locations (or sample stations).</v>
      </c>
      <c r="L334" s="30" t="s">
        <v>1127</v>
      </c>
      <c r="M334" s="30" t="str">
        <f t="shared" si="15"/>
        <v>{{ sampledesign_random_tl_abrv2 }}</v>
      </c>
      <c r="N334" t="s">
        <v>896</v>
      </c>
      <c r="O334" s="13" t="s">
        <v>1816</v>
      </c>
      <c r="P334" t="s">
        <v>4081</v>
      </c>
      <c r="Q334" t="str">
        <f t="shared" si="16"/>
        <v xml:space="preserve">    sampledesign_random_tl_abrv2: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stations).\"&gt;random&lt;button type=\"button\" class=\"btn btn-bd-tip-info-hidden btn-sm position-relative\"&gt;.&lt;span class=\"position-absolute top-0 start-100 translate-middle\"&gt;{{ icon_info }}&lt;/span&gt;&lt;/button&gt;&lt;/a&gt;"</v>
      </c>
      <c r="R334" t="b" cm="1">
        <f t="array" ref="R334">SUMPRODUCT(--EXACT($J$2:$J$490,J334))&gt;1</f>
        <v>0</v>
      </c>
      <c r="S334" t="s">
        <v>4503</v>
      </c>
    </row>
    <row r="335" spans="1:19">
      <c r="A335" s="30">
        <v>1</v>
      </c>
      <c r="B335" s="30" t="s">
        <v>1064</v>
      </c>
      <c r="C335" s="30" t="s">
        <v>429</v>
      </c>
      <c r="D335" s="30" t="s">
        <v>1207</v>
      </c>
      <c r="E335" s="30" t="s">
        <v>4667</v>
      </c>
      <c r="F335" s="30" t="s">
        <v>134</v>
      </c>
      <c r="G335" s="39" t="str">
        <f>VLOOKUP(F335,glossary!J:N,2,FALSE)</f>
        <v>Random (or 'simple random') design</v>
      </c>
      <c r="H335" s="30" t="s">
        <v>134</v>
      </c>
      <c r="I335" s="45" t="str">
        <f t="shared" si="17"/>
        <v>sampledesign_random_tl_abrv3</v>
      </c>
      <c r="J335" s="39" t="s">
        <v>4666</v>
      </c>
      <c r="K335" s="39" t="str">
        <f>VLOOKUP(F335,glossary!J:N,5,FALSE)</f>
        <v>Cameras occur at randomized camera locations (or sample stations) across the area of interest, sometimes with a predetermined minimum distance between camera locations (or sample stations).</v>
      </c>
      <c r="L335" s="30" t="s">
        <v>1127</v>
      </c>
      <c r="M335" s="30" t="str">
        <f t="shared" si="15"/>
        <v>{{ sampledesign_random_tl_abrv3 }}</v>
      </c>
      <c r="N335" t="s">
        <v>896</v>
      </c>
      <c r="O335" s="13" t="s">
        <v>1816</v>
      </c>
      <c r="P335" t="s">
        <v>4081</v>
      </c>
      <c r="Q335" t="str">
        <f t="shared" si="16"/>
        <v xml:space="preserve">    sampledesign_random_tl_abrv3: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stations).\"&gt;simple random&lt;button type=\"button\" class=\"btn btn-bd-tip-info-hidden btn-sm position-relative\"&gt;.&lt;span class=\"position-absolute top-0 start-100 translate-middle\"&gt;{{ icon_info }}&lt;/span&gt;&lt;/button&gt;&lt;/a&gt;"</v>
      </c>
      <c r="R335" t="b" cm="1">
        <f t="array" ref="R335">SUMPRODUCT(--EXACT($J$2:$J$490,J335))&gt;1</f>
        <v>0</v>
      </c>
      <c r="S335" t="s">
        <v>4503</v>
      </c>
    </row>
    <row r="336" spans="1:19">
      <c r="A336" s="30">
        <v>1</v>
      </c>
      <c r="B336" s="30" t="s">
        <v>1064</v>
      </c>
      <c r="C336" s="30"/>
      <c r="D336" s="30" t="s">
        <v>1207</v>
      </c>
      <c r="E336" s="30" t="s">
        <v>1755</v>
      </c>
      <c r="F336" s="30" t="s">
        <v>134</v>
      </c>
      <c r="G336" s="39" t="str">
        <f>VLOOKUP(F336,glossary!J:N,2,FALSE)</f>
        <v>Random (or 'simple random') design</v>
      </c>
      <c r="H336" s="30" t="s">
        <v>134</v>
      </c>
      <c r="I336" s="45" t="str">
        <f t="shared" si="17"/>
        <v>sampledesign_random_tl_mod</v>
      </c>
      <c r="J336" s="39" t="s">
        <v>1716</v>
      </c>
      <c r="K336" s="39" t="str">
        <f>VLOOKUP(F336,glossary!J:N,5,FALSE)</f>
        <v>Cameras occur at randomized camera locations (or sample stations) across the area of interest, sometimes with a predetermined minimum distance between camera locations (or sample stations).</v>
      </c>
      <c r="L336" s="41" t="s">
        <v>1717</v>
      </c>
      <c r="M336" s="30" t="str">
        <f t="shared" si="15"/>
        <v>{{ sampledesign_random_tl_mod }}</v>
      </c>
      <c r="N336" t="s">
        <v>896</v>
      </c>
      <c r="O336" s="13" t="s">
        <v>1816</v>
      </c>
      <c r="P336" t="s">
        <v>4081</v>
      </c>
      <c r="Q336" t="str">
        <f t="shared" si="16"/>
        <v xml:space="preserve">    sampledesign_random_tl_mod: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stations).\"&gt;randomly placed&lt;button type=\"button\" class=\"btn btn-bd-tip-info-hidden btn-sm position-relative\"&gt;.&lt;span class=\"position-absolute top-0 start-100 translate-middle\"&gt;{{ icon_info }}&lt;/span&gt;&lt;/button&gt;&lt;/a&gt;"</v>
      </c>
      <c r="R336" t="b" cm="1">
        <f t="array" ref="R336">SUMPRODUCT(--EXACT($J$2:$J$490,J336))&gt;1</f>
        <v>0</v>
      </c>
      <c r="S336" t="s">
        <v>4504</v>
      </c>
    </row>
    <row r="337" spans="1:19">
      <c r="A337" s="30">
        <v>1</v>
      </c>
      <c r="B337" s="30" t="s">
        <v>1064</v>
      </c>
      <c r="C337" s="30"/>
      <c r="D337" s="30" t="s">
        <v>1207</v>
      </c>
      <c r="E337" s="30" t="s">
        <v>1757</v>
      </c>
      <c r="F337" s="30" t="s">
        <v>134</v>
      </c>
      <c r="G337" s="39" t="str">
        <f>VLOOKUP(F337,glossary!J:N,2,FALSE)</f>
        <v>Random (or 'simple random') design</v>
      </c>
      <c r="H337" s="30" t="s">
        <v>134</v>
      </c>
      <c r="I337" s="45" t="str">
        <f t="shared" si="17"/>
        <v>sampledesign_random_tl_nu</v>
      </c>
      <c r="J337" s="39" t="s">
        <v>1379</v>
      </c>
      <c r="K337" s="39" t="str">
        <f>VLOOKUP(F337,glossary!J:N,5,FALSE)</f>
        <v>Cameras occur at randomized camera locations (or sample stations) across the area of interest, sometimes with a predetermined minimum distance between camera locations (or sample stations).</v>
      </c>
      <c r="L337" s="30" t="s">
        <v>1380</v>
      </c>
      <c r="M337" s="30" t="str">
        <f t="shared" si="15"/>
        <v>{{ sampledesign_random_tl_nu }}</v>
      </c>
      <c r="N337" t="s">
        <v>896</v>
      </c>
      <c r="O337" s="13" t="s">
        <v>1816</v>
      </c>
      <c r="P337" t="s">
        <v>4081</v>
      </c>
      <c r="Q337" t="str">
        <f t="shared" si="16"/>
        <v xml:space="preserve">    sampledesign_random_tl_nu: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 design&lt;button type=\"button\" class=\"btn btn-bd-tip-info-hidden btn-sm position-relative\"&gt;.&lt;span class=\"position-absolute top-0 start-100 translate-middle\"&gt;{{ icon_info }}&lt;/span&gt;&lt;/button&gt;&lt;/a&gt;"</v>
      </c>
      <c r="R337" t="b" cm="1">
        <f t="array" ref="R337">SUMPRODUCT(--EXACT($J$2:$J$490,J337))&gt;1</f>
        <v>1</v>
      </c>
      <c r="S337" t="s">
        <v>4505</v>
      </c>
    </row>
    <row r="338" spans="1:19">
      <c r="A338" s="30">
        <v>3</v>
      </c>
      <c r="B338" s="30" t="s">
        <v>1393</v>
      </c>
      <c r="C338" s="30"/>
      <c r="D338" s="30" t="s">
        <v>1207</v>
      </c>
      <c r="E338" s="30" t="s">
        <v>1763</v>
      </c>
      <c r="F338" s="30" t="s">
        <v>134</v>
      </c>
      <c r="G338" s="39" t="str">
        <f>VLOOKUP(F338,glossary!J:N,2,FALSE)</f>
        <v>Random (or 'simple random') design</v>
      </c>
      <c r="H338" s="34" t="s">
        <v>134</v>
      </c>
      <c r="I338" s="45" t="str">
        <f t="shared" si="17"/>
        <v>sampledesign_random_tl_or</v>
      </c>
      <c r="J338" s="43" t="s">
        <v>943</v>
      </c>
      <c r="K338" s="39" t="str">
        <f>VLOOKUP(F338,glossary!J:N,5,FALSE)</f>
        <v>Cameras occur at randomized camera locations (or sample stations) across the area of interest, sometimes with a predetermined minimum distance between camera locations (or sample stations).</v>
      </c>
      <c r="L338" t="s">
        <v>1507</v>
      </c>
      <c r="M338" s="30" t="str">
        <f t="shared" si="15"/>
        <v>{{ sampledesign_random_tl_or }}</v>
      </c>
      <c r="N338" t="s">
        <v>896</v>
      </c>
      <c r="O338" s="13" t="s">
        <v>1816</v>
      </c>
      <c r="P338" t="s">
        <v>4081</v>
      </c>
      <c r="Q338" t="str">
        <f t="shared" si="16"/>
        <v xml:space="preserve">    sampledesign_random_tl_or: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 (or 'simple random') design&lt;button type=\"button\" class=\"btn btn-bd-tip-info-hidden btn-sm position-relative\"&gt;.&lt;span class=\"position-absolute top-0 start-100 translate-middle\"&gt;{{ icon_info }}&lt;/span&gt;&lt;/button&gt;&lt;/a&gt;"</v>
      </c>
      <c r="R338" t="b" cm="1">
        <f t="array" ref="R338">SUMPRODUCT(--EXACT($J$2:$J$490,J338))&gt;1</f>
        <v>0</v>
      </c>
      <c r="S338" t="s">
        <v>4506</v>
      </c>
    </row>
    <row r="339" spans="1:19">
      <c r="A339" s="30">
        <v>1</v>
      </c>
      <c r="B339" s="30" t="s">
        <v>1064</v>
      </c>
      <c r="C339" s="30" t="s">
        <v>0</v>
      </c>
      <c r="D339" s="30" t="s">
        <v>1208</v>
      </c>
      <c r="E339" s="30" t="s">
        <v>1752</v>
      </c>
      <c r="F339" s="30" t="s">
        <v>134</v>
      </c>
      <c r="G339" s="39" t="str">
        <f>VLOOKUP(F339,glossary!J:N,2,FALSE)</f>
        <v>Random (or 'simple random') design</v>
      </c>
      <c r="H339" s="30" t="s">
        <v>134</v>
      </c>
      <c r="I339" s="45" t="str">
        <f t="shared" si="17"/>
        <v>sampledesign_random_tu_abrv</v>
      </c>
      <c r="J339" s="39" t="s">
        <v>1199</v>
      </c>
      <c r="K339" s="39" t="str">
        <f>VLOOKUP(F339,glossary!J:N,5,FALSE)</f>
        <v>Cameras occur at randomized camera locations (or sample stations) across the area of interest, sometimes with a predetermined minimum distance between camera locations (or sample stations).</v>
      </c>
      <c r="L339" s="30" t="s">
        <v>1126</v>
      </c>
      <c r="M339" s="30" t="str">
        <f t="shared" si="15"/>
        <v>{{ sampledesign_random_tu_abrv }}</v>
      </c>
      <c r="N339" t="s">
        <v>896</v>
      </c>
      <c r="O339" s="13" t="s">
        <v>1816</v>
      </c>
      <c r="P339" t="s">
        <v>4081</v>
      </c>
      <c r="Q339" t="str">
        <f t="shared" si="16"/>
        <v xml:space="preserve">    sampledesign_random_tu_abrv: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stations).\"&gt;Random&lt;button type=\"button\" class=\"btn btn-bd-tip-info-hidden btn-sm position-relative\"&gt;.&lt;span class=\"position-absolute top-0 start-100 translate-middle\"&gt;{{ icon_info }}&lt;/span&gt;&lt;/button&gt;&lt;/a&gt;"</v>
      </c>
      <c r="R339" t="b" cm="1">
        <f t="array" ref="R339">SUMPRODUCT(--EXACT($J$2:$J$490,J339))&gt;1</f>
        <v>0</v>
      </c>
      <c r="S339" t="s">
        <v>4507</v>
      </c>
    </row>
    <row r="340" spans="1:19">
      <c r="A340" s="30">
        <v>1</v>
      </c>
      <c r="B340" s="30" t="s">
        <v>1064</v>
      </c>
      <c r="C340" s="30" t="s">
        <v>0</v>
      </c>
      <c r="D340" s="35" t="s">
        <v>1208</v>
      </c>
      <c r="E340" s="30" t="s">
        <v>1757</v>
      </c>
      <c r="F340" s="30" t="s">
        <v>134</v>
      </c>
      <c r="G340" s="39" t="str">
        <f>VLOOKUP(F340,glossary!J:N,2,FALSE)</f>
        <v>Random (or 'simple random') design</v>
      </c>
      <c r="H340" s="35" t="s">
        <v>134</v>
      </c>
      <c r="I340" s="45" t="str">
        <f t="shared" si="17"/>
        <v>sampledesign_random_tu_nu</v>
      </c>
      <c r="J340" s="39" t="s">
        <v>1074</v>
      </c>
      <c r="K340" s="39" t="str">
        <f>VLOOKUP(F340,glossary!J:N,5,FALSE)</f>
        <v>Cameras occur at randomized camera locations (or sample stations) across the area of interest, sometimes with a predetermined minimum distance between camera locations (or sample stations).</v>
      </c>
      <c r="L340" s="35" t="s">
        <v>1099</v>
      </c>
      <c r="M340" s="30" t="str">
        <f t="shared" si="15"/>
        <v>{{ sampledesign_random_tu_nu }}</v>
      </c>
      <c r="N340" t="s">
        <v>896</v>
      </c>
      <c r="O340" s="13" t="s">
        <v>1816</v>
      </c>
      <c r="P340" t="s">
        <v>4081</v>
      </c>
      <c r="Q340" t="str">
        <f t="shared" si="16"/>
        <v xml:space="preserve">    sampledesign_random_tu_nu: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 design&lt;button type=\"button\" class=\"btn btn-bd-tip-info-hidden btn-sm position-relative\"&gt;.&lt;span class=\"position-absolute top-0 start-100 translate-middle\"&gt;{{ icon_info }}&lt;/span&gt;&lt;/button&gt;&lt;/a&gt;"</v>
      </c>
      <c r="R340" t="b" cm="1">
        <f t="array" ref="R340">SUMPRODUCT(--EXACT($J$2:$J$490,J340))&gt;1</f>
        <v>0</v>
      </c>
      <c r="S340" t="s">
        <v>4508</v>
      </c>
    </row>
    <row r="341" spans="1:19">
      <c r="A341" s="30">
        <v>3</v>
      </c>
      <c r="B341" s="30" t="s">
        <v>1393</v>
      </c>
      <c r="C341" s="30"/>
      <c r="D341" s="30" t="s">
        <v>1208</v>
      </c>
      <c r="E341" s="30" t="s">
        <v>1763</v>
      </c>
      <c r="F341" s="30" t="s">
        <v>134</v>
      </c>
      <c r="G341" s="39" t="str">
        <f>VLOOKUP(F341,glossary!J:N,2,FALSE)</f>
        <v>Random (or 'simple random') design</v>
      </c>
      <c r="H341" s="34" t="s">
        <v>134</v>
      </c>
      <c r="I341" s="45" t="str">
        <f t="shared" si="17"/>
        <v>sampledesign_random_tu_or</v>
      </c>
      <c r="J341" s="42" t="s">
        <v>456</v>
      </c>
      <c r="K341" s="39" t="str">
        <f>VLOOKUP(F341,glossary!J:N,5,FALSE)</f>
        <v>Cameras occur at randomized camera locations (or sample stations) across the area of interest, sometimes with a predetermined minimum distance between camera locations (or sample stations).</v>
      </c>
      <c r="L341" t="s">
        <v>1506</v>
      </c>
      <c r="M341" s="30" t="str">
        <f t="shared" si="15"/>
        <v>{{ sampledesign_random_tu_or }}</v>
      </c>
      <c r="N341" t="s">
        <v>896</v>
      </c>
      <c r="O341" s="13" t="s">
        <v>1816</v>
      </c>
      <c r="P341" t="s">
        <v>4081</v>
      </c>
      <c r="Q341" t="str">
        <f t="shared" si="16"/>
        <v xml:space="preserve">    sampledesign_random_tu_or: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 (or 'simple random') design&lt;button type=\"button\" class=\"btn btn-bd-tip-info-hidden btn-sm position-relative\"&gt;.&lt;span class=\"position-absolute top-0 start-100 translate-middle\"&gt;{{ icon_info }}&lt;/span&gt;&lt;/button&gt;&lt;/a&gt;"</v>
      </c>
      <c r="R341" t="b" cm="1">
        <f t="array" ref="R341">SUMPRODUCT(--EXACT($J$2:$J$490,J341))&gt;1</f>
        <v>0</v>
      </c>
      <c r="S341" t="s">
        <v>4509</v>
      </c>
    </row>
    <row r="342" spans="1:19" ht="16.5" customHeight="1">
      <c r="A342" s="30">
        <v>3</v>
      </c>
      <c r="B342" s="30" t="s">
        <v>1393</v>
      </c>
      <c r="C342" s="30"/>
      <c r="D342" s="30" t="s">
        <v>1207</v>
      </c>
      <c r="E342" s="30" t="s">
        <v>984</v>
      </c>
      <c r="F342" s="30" t="s">
        <v>99</v>
      </c>
      <c r="G342" s="39" t="str">
        <f>VLOOKUP(F342,glossary!J:N,2,FALSE)</f>
        <v>Stratified design</v>
      </c>
      <c r="H342" s="34" t="s">
        <v>99</v>
      </c>
      <c r="I342" s="45" t="str">
        <f t="shared" si="17"/>
        <v>sampledesign_stratified_tl</v>
      </c>
      <c r="J342" s="43" t="s">
        <v>955</v>
      </c>
      <c r="K342" s="39" t="str">
        <f>VLOOKUP(F342,glossary!J:N,5,FALSE)</f>
        <v>The area of interest is divided into smaller strata (e.g., habitat type, disturbance levels), and cameras are placed within each stratum (e.g., 15%, 35% and 50% of sites within high, medium, and low disturbance strata).</v>
      </c>
      <c r="L342" t="s">
        <v>1505</v>
      </c>
      <c r="M342" s="30" t="str">
        <f t="shared" si="15"/>
        <v>{{ sampledesign_stratified_tl }}</v>
      </c>
      <c r="N342" t="s">
        <v>896</v>
      </c>
      <c r="O342" s="13" t="s">
        <v>1816</v>
      </c>
      <c r="P342" t="s">
        <v>4081</v>
      </c>
      <c r="Q342" t="str">
        <f t="shared" si="16"/>
        <v xml:space="preserve">    sampledesign_stratified_tl: "&lt;a href=\"09_glossary.html#sampledesign_stratified\" target=\"_blank\" data-bs-toggle=\"tooltip\" data-bs-title=\"Stratified design: The area of interest is divided into smaller strata (e.g., habitat type, disturbance levels), and cameras are placed within each stratum (e.g., 15%, 35% and 50% of sites within high, medium, and low disturbance strata).\"&gt;stratified design&lt;button type=\"button\" class=\"btn btn-bd-tip-info-hidden btn-sm position-relative\"&gt;.&lt;span class=\"position-absolute top-0 start-100 translate-middle\"&gt;{{ icon_info }}&lt;/span&gt;&lt;/button&gt;&lt;/a&gt;"</v>
      </c>
      <c r="R342" t="b" cm="1">
        <f t="array" ref="R342">SUMPRODUCT(--EXACT($J$2:$J$490,J342))&gt;1</f>
        <v>0</v>
      </c>
      <c r="S342" t="s">
        <v>4510</v>
      </c>
    </row>
    <row r="343" spans="1:19">
      <c r="A343" s="30">
        <v>3</v>
      </c>
      <c r="B343" s="30" t="s">
        <v>1393</v>
      </c>
      <c r="C343" s="30"/>
      <c r="D343" s="30" t="s">
        <v>1207</v>
      </c>
      <c r="E343" s="30" t="s">
        <v>1752</v>
      </c>
      <c r="F343" s="30" t="s">
        <v>99</v>
      </c>
      <c r="G343" s="39" t="str">
        <f>VLOOKUP(F343,glossary!J:N,2,FALSE)</f>
        <v>Stratified design</v>
      </c>
      <c r="H343" s="34" t="s">
        <v>99</v>
      </c>
      <c r="I343" s="30" t="str">
        <f t="shared" si="17"/>
        <v>sampledesign_stratified_tl_abrv</v>
      </c>
      <c r="J343" s="43" t="s">
        <v>3994</v>
      </c>
      <c r="K343" s="39" t="str">
        <f>VLOOKUP(F343,glossary!J:N,5,FALSE)</f>
        <v>The area of interest is divided into smaller strata (e.g., habitat type, disturbance levels), and cameras are placed within each stratum (e.g., 15%, 35% and 50% of sites within high, medium, and low disturbance strata).</v>
      </c>
      <c r="L343" t="s">
        <v>1505</v>
      </c>
      <c r="M343" s="30" t="str">
        <f t="shared" si="15"/>
        <v>{{ sampledesign_stratified_tl_abrv }}</v>
      </c>
      <c r="N343" t="s">
        <v>896</v>
      </c>
      <c r="O343" s="13" t="s">
        <v>1816</v>
      </c>
      <c r="P343" t="s">
        <v>4081</v>
      </c>
      <c r="Q343" t="str">
        <f t="shared" si="16"/>
        <v xml:space="preserve">    sampledesign_stratified_tl_abrv: "&lt;a href=\"09_glossary.html#sampledesign_stratified\" target=\"_blank\" data-bs-toggle=\"tooltip\" data-bs-title=\"Stratified design: The area of interest is divided into smaller strata (e.g., habitat type, disturbance levels), and cameras are placed within each stratum (e.g., 15%, 35% and 50% of sites within high, medium, and low disturbance strata).\"&gt;stratified&lt;button type=\"button\" class=\"btn btn-bd-tip-info-hidden btn-sm position-relative\"&gt;.&lt;span class=\"position-absolute top-0 start-100 translate-middle\"&gt;{{ icon_info }}&lt;/span&gt;&lt;/button&gt;&lt;/a&gt;"</v>
      </c>
      <c r="R343" t="b" cm="1">
        <f t="array" ref="R343">SUMPRODUCT(--EXACT($J$2:$J$490,J343))&gt;1</f>
        <v>0</v>
      </c>
      <c r="S343" t="s">
        <v>4511</v>
      </c>
    </row>
    <row r="344" spans="1:19">
      <c r="A344" s="30">
        <v>3</v>
      </c>
      <c r="B344" s="30" t="s">
        <v>1393</v>
      </c>
      <c r="C344" s="30"/>
      <c r="D344" s="30" t="s">
        <v>1208</v>
      </c>
      <c r="E344" s="30" t="s">
        <v>984</v>
      </c>
      <c r="F344" s="30" t="s">
        <v>99</v>
      </c>
      <c r="G344" s="39" t="str">
        <f>VLOOKUP(F344,glossary!J:N,2,FALSE)</f>
        <v>Stratified design</v>
      </c>
      <c r="H344" s="34" t="s">
        <v>99</v>
      </c>
      <c r="I344" s="45" t="str">
        <f t="shared" si="17"/>
        <v>sampledesign_stratified_tu</v>
      </c>
      <c r="J344" s="42" t="s">
        <v>101</v>
      </c>
      <c r="K344" s="39" t="str">
        <f>VLOOKUP(F344,glossary!J:N,5,FALSE)</f>
        <v>The area of interest is divided into smaller strata (e.g., habitat type, disturbance levels), and cameras are placed within each stratum (e.g., 15%, 35% and 50% of sites within high, medium, and low disturbance strata).</v>
      </c>
      <c r="L344" t="s">
        <v>1504</v>
      </c>
      <c r="M344" s="30" t="str">
        <f t="shared" si="15"/>
        <v>{{ sampledesign_stratified_tu }}</v>
      </c>
      <c r="N344" t="s">
        <v>896</v>
      </c>
      <c r="O344" s="13" t="s">
        <v>1816</v>
      </c>
      <c r="P344" t="s">
        <v>4081</v>
      </c>
      <c r="Q344" t="str">
        <f t="shared" si="16"/>
        <v xml:space="preserve">    sampledesign_stratified_tu: "&lt;a href=\"09_glossary.html#sampledesign_stratified\" target=\"_blank\" data-bs-toggle=\"tooltip\" data-bs-title=\"Stratified design: The area of interest is divided into smaller strata (e.g., habitat type, disturbance levels), and cameras are placed within each stratum (e.g., 15%, 35% and 50% of sites within high, medium, and low disturbance strata).\"&gt;Stratified design&lt;button type=\"button\" class=\"btn btn-bd-tip-info-hidden btn-sm position-relative\"&gt;.&lt;span class=\"position-absolute top-0 start-100 translate-middle\"&gt;{{ icon_info }}&lt;/span&gt;&lt;/button&gt;&lt;/a&gt;"</v>
      </c>
      <c r="R344" t="b" cm="1">
        <f t="array" ref="R344">SUMPRODUCT(--EXACT($J$2:$J$490,J344))&gt;1</f>
        <v>0</v>
      </c>
      <c r="S344" t="s">
        <v>4512</v>
      </c>
    </row>
    <row r="345" spans="1:19">
      <c r="A345" s="30">
        <v>3</v>
      </c>
      <c r="B345" s="30" t="s">
        <v>1393</v>
      </c>
      <c r="C345" s="30"/>
      <c r="D345" s="30" t="s">
        <v>1208</v>
      </c>
      <c r="E345" s="30" t="s">
        <v>1752</v>
      </c>
      <c r="F345" s="30" t="s">
        <v>99</v>
      </c>
      <c r="G345" s="39" t="str">
        <f>VLOOKUP(F345,glossary!J:N,2,FALSE)</f>
        <v>Stratified design</v>
      </c>
      <c r="H345" s="34" t="s">
        <v>99</v>
      </c>
      <c r="I345" s="30" t="str">
        <f t="shared" si="17"/>
        <v>sampledesign_stratified_tu_abrv</v>
      </c>
      <c r="J345" s="42" t="s">
        <v>3995</v>
      </c>
      <c r="K345" s="39" t="str">
        <f>VLOOKUP(F345,glossary!J:N,5,FALSE)</f>
        <v>The area of interest is divided into smaller strata (e.g., habitat type, disturbance levels), and cameras are placed within each stratum (e.g., 15%, 35% and 50% of sites within high, medium, and low disturbance strata).</v>
      </c>
      <c r="L345" t="s">
        <v>1504</v>
      </c>
      <c r="M345" s="30" t="str">
        <f t="shared" si="15"/>
        <v>{{ sampledesign_stratified_tu_abrv }}</v>
      </c>
      <c r="N345" t="s">
        <v>896</v>
      </c>
      <c r="O345" s="13" t="s">
        <v>1816</v>
      </c>
      <c r="P345" t="s">
        <v>4081</v>
      </c>
      <c r="Q345" t="str">
        <f t="shared" si="16"/>
        <v xml:space="preserve">    sampledesign_stratified_tu_abrv: "&lt;a href=\"09_glossary.html#sampledesign_stratified\" target=\"_blank\" data-bs-toggle=\"tooltip\" data-bs-title=\"Stratified design: The area of interest is divided into smaller strata (e.g., habitat type, disturbance levels), and cameras are placed within each stratum (e.g., 15%, 35% and 50% of sites within high, medium, and low disturbance strata).\"&gt;Stratified&lt;button type=\"button\" class=\"btn btn-bd-tip-info-hidden btn-sm position-relative\"&gt;.&lt;span class=\"position-absolute top-0 start-100 translate-middle\"&gt;{{ icon_info }}&lt;/span&gt;&lt;/button&gt;&lt;/a&gt;"</v>
      </c>
      <c r="R345" t="b" cm="1">
        <f t="array" ref="R345">SUMPRODUCT(--EXACT($J$2:$J$490,J345))&gt;1</f>
        <v>0</v>
      </c>
      <c r="S345" t="s">
        <v>4513</v>
      </c>
    </row>
    <row r="346" spans="1:19">
      <c r="A346" s="30">
        <v>3</v>
      </c>
      <c r="B346" s="30" t="s">
        <v>1393</v>
      </c>
      <c r="C346" s="30"/>
      <c r="D346" s="30" t="s">
        <v>1207</v>
      </c>
      <c r="E346" s="30" t="s">
        <v>984</v>
      </c>
      <c r="F346" s="30" t="s">
        <v>96</v>
      </c>
      <c r="G346" s="39" t="str">
        <f>VLOOKUP(F346,glossary!J:N,2,FALSE)</f>
        <v xml:space="preserve">Stratified random design </v>
      </c>
      <c r="H346" s="34" t="s">
        <v>96</v>
      </c>
      <c r="I346" s="45" t="str">
        <f t="shared" si="17"/>
        <v>sampledesign_stratified_random_tl</v>
      </c>
      <c r="J346" s="43" t="s">
        <v>956</v>
      </c>
      <c r="K346" s="39" t="str">
        <f>VLOOKUP(F346,glossary!J:N,5,FALSE)</f>
        <v>The area of interest is divided into smaller strata (e.g., habitat type, disturbance levels), and then a proportional random sample of sites is selected within each stratum (e.g., 15%, 35% and 50% of sites within high, medium and low disturbance strata).</v>
      </c>
      <c r="L346" t="s">
        <v>1767</v>
      </c>
      <c r="M346" s="30" t="str">
        <f t="shared" si="15"/>
        <v>{{ sampledesign_stratified_random_tl }}</v>
      </c>
      <c r="N346" t="s">
        <v>896</v>
      </c>
      <c r="O346" s="13" t="s">
        <v>1816</v>
      </c>
      <c r="P346" t="s">
        <v>4081</v>
      </c>
      <c r="Q346" t="str">
        <f t="shared" si="16"/>
        <v xml:space="preserve">    sampledesign_stratified_random_tl: "&lt;a href=\"09_glossary.html#sampledesign_stratified_random\" target=\"_blank\" data-bs-toggle=\"tooltip\" data-bs-title=\"Stratified random design : The area of interest is divided into smaller strata (e.g., habitat type, disturbance levels), and then a proportional random sample of sites is selected within each stratum (e.g., 15%, 35% and 50% of sites within high, medium and low disturbance strata).\"&gt;stratified random design &lt;button type=\"button\" class=\"btn btn-bd-tip-info-hidden btn-sm position-relative\"&gt;.&lt;span class=\"position-absolute top-0 start-100 translate-middle\"&gt;{{ icon_info }}&lt;/span&gt;&lt;/button&gt;&lt;/a&gt;"</v>
      </c>
      <c r="R346" t="b" cm="1">
        <f t="array" ref="R346">SUMPRODUCT(--EXACT($J$2:$J$490,J346))&gt;1</f>
        <v>0</v>
      </c>
      <c r="S346" t="s">
        <v>4514</v>
      </c>
    </row>
    <row r="347" spans="1:19">
      <c r="A347" s="30">
        <v>3</v>
      </c>
      <c r="B347" s="30" t="s">
        <v>1393</v>
      </c>
      <c r="C347" s="30"/>
      <c r="D347" s="30" t="s">
        <v>1207</v>
      </c>
      <c r="E347" s="30" t="s">
        <v>1752</v>
      </c>
      <c r="F347" s="30" t="s">
        <v>96</v>
      </c>
      <c r="G347" s="39" t="str">
        <f>VLOOKUP(F347,glossary!J:N,2,FALSE)</f>
        <v xml:space="preserve">Stratified random design </v>
      </c>
      <c r="H347" s="34" t="s">
        <v>96</v>
      </c>
      <c r="I347" s="30" t="str">
        <f t="shared" si="17"/>
        <v>sampledesign_stratified_random_tl_abrv</v>
      </c>
      <c r="J347" s="43" t="s">
        <v>3992</v>
      </c>
      <c r="K347" s="39" t="str">
        <f>VLOOKUP(F347,glossary!J:N,5,FALSE)</f>
        <v>The area of interest is divided into smaller strata (e.g., habitat type, disturbance levels), and then a proportional random sample of sites is selected within each stratum (e.g., 15%, 35% and 50% of sites within high, medium and low disturbance strata).</v>
      </c>
      <c r="L347" t="s">
        <v>1767</v>
      </c>
      <c r="M347" s="30" t="str">
        <f t="shared" si="15"/>
        <v>{{ sampledesign_stratified_random_tl_abrv }}</v>
      </c>
      <c r="N347" t="s">
        <v>896</v>
      </c>
      <c r="O347" s="13" t="s">
        <v>1816</v>
      </c>
      <c r="P347" t="s">
        <v>4081</v>
      </c>
      <c r="Q347" t="str">
        <f t="shared" si="16"/>
        <v xml:space="preserve">    sampledesign_stratified_random_tl_abrv: "&lt;a href=\"09_glossary.html#sampledesign_stratified_random\" target=\"_blank\" data-bs-toggle=\"tooltip\" data-bs-title=\"Stratified random design : The area of interest is divided into smaller strata (e.g., habitat type, disturbance levels), and then a proportional random sample of sites is selected within each stratum (e.g., 15%, 35% and 50% of sites within high, medium and low disturbance strata).\"&gt;stratified random&lt;button type=\"button\" class=\"btn btn-bd-tip-info-hidden btn-sm position-relative\"&gt;.&lt;span class=\"position-absolute top-0 start-100 translate-middle\"&gt;{{ icon_info }}&lt;/span&gt;&lt;/button&gt;&lt;/a&gt;"</v>
      </c>
      <c r="R347" t="b" cm="1">
        <f t="array" ref="R347">SUMPRODUCT(--EXACT($J$2:$J$490,J347))&gt;1</f>
        <v>0</v>
      </c>
      <c r="S347" t="s">
        <v>4515</v>
      </c>
    </row>
    <row r="348" spans="1:19">
      <c r="A348" s="30">
        <v>3</v>
      </c>
      <c r="B348" s="30" t="s">
        <v>1393</v>
      </c>
      <c r="C348" s="30"/>
      <c r="D348" s="30" t="s">
        <v>1208</v>
      </c>
      <c r="E348" s="30" t="s">
        <v>984</v>
      </c>
      <c r="F348" s="30" t="s">
        <v>96</v>
      </c>
      <c r="G348" s="39" t="str">
        <f>VLOOKUP(F348,glossary!J:N,2,FALSE)</f>
        <v xml:space="preserve">Stratified random design </v>
      </c>
      <c r="H348" s="34" t="s">
        <v>96</v>
      </c>
      <c r="I348" s="45" t="str">
        <f t="shared" si="17"/>
        <v>sampledesign_stratified_random_tu</v>
      </c>
      <c r="J348" s="42" t="s">
        <v>98</v>
      </c>
      <c r="K348" s="39" t="str">
        <f>VLOOKUP(F348,glossary!J:N,5,FALSE)</f>
        <v>The area of interest is divided into smaller strata (e.g., habitat type, disturbance levels), and then a proportional random sample of sites is selected within each stratum (e.g., 15%, 35% and 50% of sites within high, medium and low disturbance strata).</v>
      </c>
      <c r="L348" t="s">
        <v>1768</v>
      </c>
      <c r="M348" s="30" t="str">
        <f t="shared" ref="M348:M379" si="18">"{{ "&amp;I348&amp;" }}"</f>
        <v>{{ sampledesign_stratified_random_tu }}</v>
      </c>
      <c r="N348" t="s">
        <v>896</v>
      </c>
      <c r="O348" s="13" t="s">
        <v>1816</v>
      </c>
      <c r="P348" t="s">
        <v>4081</v>
      </c>
      <c r="Q348" t="str">
        <f t="shared" ref="Q348:Q379" si="19">IF(K348&lt;&gt;"-",("    "&amp;I348&amp;": "&amp;""""&amp;"&lt;a href=\"&amp;""""&amp;"09_glossary.html#"&amp;H348&amp;N348&amp;G348&amp;": "&amp;K348&amp;O348&amp;J348&amp;P348&amp;""""),"-")</f>
        <v xml:space="preserve">    sampledesign_stratified_random_tu: "&lt;a href=\"09_glossary.html#sampledesign_stratified_random\" target=\"_blank\" data-bs-toggle=\"tooltip\" data-bs-title=\"Stratified random design : The area of interest is divided into smaller strata (e.g., habitat type, disturbance levels), and then a proportional random sample of sites is selected within each stratum (e.g., 15%, 35% and 50% of sites within high, medium and low disturbance strata).\"&gt;Stratified random design &lt;button type=\"button\" class=\"btn btn-bd-tip-info-hidden btn-sm position-relative\"&gt;.&lt;span class=\"position-absolute top-0 start-100 translate-middle\"&gt;{{ icon_info }}&lt;/span&gt;&lt;/button&gt;&lt;/a&gt;"</v>
      </c>
      <c r="R348" t="b" cm="1">
        <f t="array" ref="R348">SUMPRODUCT(--EXACT($J$2:$J$490,J348))&gt;1</f>
        <v>0</v>
      </c>
      <c r="S348" t="s">
        <v>4516</v>
      </c>
    </row>
    <row r="349" spans="1:19">
      <c r="A349" s="30">
        <v>3</v>
      </c>
      <c r="B349" s="30" t="s">
        <v>1393</v>
      </c>
      <c r="C349" s="30"/>
      <c r="D349" s="30" t="s">
        <v>1208</v>
      </c>
      <c r="E349" s="30" t="s">
        <v>1752</v>
      </c>
      <c r="F349" s="30" t="s">
        <v>96</v>
      </c>
      <c r="G349" s="39" t="str">
        <f>VLOOKUP(F349,glossary!J:N,2,FALSE)</f>
        <v xml:space="preserve">Stratified random design </v>
      </c>
      <c r="H349" s="34" t="s">
        <v>96</v>
      </c>
      <c r="I349" s="30" t="str">
        <f t="shared" si="17"/>
        <v>sampledesign_stratified_random_tu_abrv</v>
      </c>
      <c r="J349" s="42" t="s">
        <v>3993</v>
      </c>
      <c r="K349" s="39" t="str">
        <f>VLOOKUP(F349,glossary!J:N,5,FALSE)</f>
        <v>The area of interest is divided into smaller strata (e.g., habitat type, disturbance levels), and then a proportional random sample of sites is selected within each stratum (e.g., 15%, 35% and 50% of sites within high, medium and low disturbance strata).</v>
      </c>
      <c r="L349" t="s">
        <v>1768</v>
      </c>
      <c r="M349" s="30" t="str">
        <f t="shared" si="18"/>
        <v>{{ sampledesign_stratified_random_tu_abrv }}</v>
      </c>
      <c r="N349" t="s">
        <v>896</v>
      </c>
      <c r="O349" s="13" t="s">
        <v>1816</v>
      </c>
      <c r="P349" t="s">
        <v>4081</v>
      </c>
      <c r="Q349" t="str">
        <f t="shared" si="19"/>
        <v xml:space="preserve">    sampledesign_stratified_random_tu_abrv: "&lt;a href=\"09_glossary.html#sampledesign_stratified_random\" target=\"_blank\" data-bs-toggle=\"tooltip\" data-bs-title=\"Stratified random design : The area of interest is divided into smaller strata (e.g., habitat type, disturbance levels), and then a proportional random sample of sites is selected within each stratum (e.g., 15%, 35% and 50% of sites within high, medium and low disturbance strata).\"&gt;Stratified random&lt;button type=\"button\" class=\"btn btn-bd-tip-info-hidden btn-sm position-relative\"&gt;.&lt;span class=\"position-absolute top-0 start-100 translate-middle\"&gt;{{ icon_info }}&lt;/span&gt;&lt;/button&gt;&lt;/a&gt;"</v>
      </c>
      <c r="R349" t="b" cm="1">
        <f t="array" ref="R349">SUMPRODUCT(--EXACT($J$2:$J$490,J349))&gt;1</f>
        <v>0</v>
      </c>
      <c r="S349" t="s">
        <v>4517</v>
      </c>
    </row>
    <row r="350" spans="1:19">
      <c r="A350" s="30">
        <v>3</v>
      </c>
      <c r="B350" s="30" t="s">
        <v>1393</v>
      </c>
      <c r="C350" s="30"/>
      <c r="D350" s="30" t="s">
        <v>1207</v>
      </c>
      <c r="E350" s="30" t="s">
        <v>984</v>
      </c>
      <c r="F350" s="30" t="s">
        <v>91</v>
      </c>
      <c r="G350" s="39" t="str">
        <f>VLOOKUP(F350,glossary!J:N,2,FALSE)</f>
        <v>Systematic design</v>
      </c>
      <c r="H350" s="34" t="s">
        <v>91</v>
      </c>
      <c r="I350" s="45" t="str">
        <f t="shared" si="17"/>
        <v>sampledesign_systematic_tl</v>
      </c>
      <c r="J350" s="43" t="s">
        <v>958</v>
      </c>
      <c r="K350" s="39" t="str">
        <f>VLOOKUP(F350,glossary!J:N,5,FALSE)</f>
        <v>Camera locations occur in a regular pattern (e.g., a grid pattern) across the study area.</v>
      </c>
      <c r="L350" t="s">
        <v>1503</v>
      </c>
      <c r="M350" s="30" t="str">
        <f t="shared" si="18"/>
        <v>{{ sampledesign_systematic_tl }}</v>
      </c>
      <c r="N350" t="s">
        <v>896</v>
      </c>
      <c r="O350" s="13" t="s">
        <v>1816</v>
      </c>
      <c r="P350" t="s">
        <v>4081</v>
      </c>
      <c r="Q350" t="str">
        <f t="shared" si="19"/>
        <v xml:space="preserve">    sampledesign_systematic_tl: "&lt;a href=\"09_glossary.html#sampledesign_systematic\" target=\"_blank\" data-bs-toggle=\"tooltip\" data-bs-title=\"Systematic design: Camera locations occur in a regular pattern (e.g., a grid pattern) across the study area.\"&gt;systematic design&lt;button type=\"button\" class=\"btn btn-bd-tip-info-hidden btn-sm position-relative\"&gt;.&lt;span class=\"position-absolute top-0 start-100 translate-middle\"&gt;{{ icon_info }}&lt;/span&gt;&lt;/button&gt;&lt;/a&gt;"</v>
      </c>
      <c r="R350" t="b" cm="1">
        <f t="array" ref="R350">SUMPRODUCT(--EXACT($J$2:$J$490,J350))&gt;1</f>
        <v>0</v>
      </c>
      <c r="S350" t="s">
        <v>4518</v>
      </c>
    </row>
    <row r="351" spans="1:19">
      <c r="A351" s="30">
        <v>3</v>
      </c>
      <c r="B351" s="30" t="s">
        <v>1393</v>
      </c>
      <c r="C351" s="30"/>
      <c r="D351" s="30" t="s">
        <v>1207</v>
      </c>
      <c r="E351" s="30" t="s">
        <v>1752</v>
      </c>
      <c r="F351" s="30" t="s">
        <v>91</v>
      </c>
      <c r="G351" s="39" t="str">
        <f>VLOOKUP(F351,glossary!J:N,2,FALSE)</f>
        <v>Systematic design</v>
      </c>
      <c r="H351" s="34" t="s">
        <v>91</v>
      </c>
      <c r="I351" s="30" t="str">
        <f t="shared" si="17"/>
        <v>sampledesign_systematic_tl_abrv</v>
      </c>
      <c r="J351" s="43" t="s">
        <v>3976</v>
      </c>
      <c r="K351" s="39" t="str">
        <f>VLOOKUP(F351,glossary!J:N,5,FALSE)</f>
        <v>Camera locations occur in a regular pattern (e.g., a grid pattern) across the study area.</v>
      </c>
      <c r="L351" t="s">
        <v>1503</v>
      </c>
      <c r="M351" s="30" t="str">
        <f t="shared" si="18"/>
        <v>{{ sampledesign_systematic_tl_abrv }}</v>
      </c>
      <c r="N351" t="s">
        <v>896</v>
      </c>
      <c r="O351" s="13" t="s">
        <v>1816</v>
      </c>
      <c r="P351" t="s">
        <v>4081</v>
      </c>
      <c r="Q351" t="str">
        <f t="shared" si="19"/>
        <v xml:space="preserve">    sampledesign_systematic_tl_abrv: "&lt;a href=\"09_glossary.html#sampledesign_systematic\" target=\"_blank\" data-bs-toggle=\"tooltip\" data-bs-title=\"Systematic design: Camera locations occur in a regular pattern (e.g., a grid pattern) across the study area.\"&gt;systematic&lt;button type=\"button\" class=\"btn btn-bd-tip-info-hidden btn-sm position-relative\"&gt;.&lt;span class=\"position-absolute top-0 start-100 translate-middle\"&gt;{{ icon_info }}&lt;/span&gt;&lt;/button&gt;&lt;/a&gt;"</v>
      </c>
      <c r="R351" t="b" cm="1">
        <f t="array" ref="R351">SUMPRODUCT(--EXACT($J$2:$J$490,J351))&gt;1</f>
        <v>0</v>
      </c>
      <c r="S351" t="s">
        <v>4519</v>
      </c>
    </row>
    <row r="352" spans="1:19" ht="16.5" customHeight="1">
      <c r="A352" s="30">
        <v>3</v>
      </c>
      <c r="B352" s="30" t="s">
        <v>1393</v>
      </c>
      <c r="C352" s="30"/>
      <c r="D352" s="30" t="s">
        <v>1208</v>
      </c>
      <c r="E352" s="30" t="s">
        <v>984</v>
      </c>
      <c r="F352" s="30" t="s">
        <v>91</v>
      </c>
      <c r="G352" s="39" t="str">
        <f>VLOOKUP(F352,glossary!J:N,2,FALSE)</f>
        <v>Systematic design</v>
      </c>
      <c r="H352" s="34" t="s">
        <v>91</v>
      </c>
      <c r="I352" s="45" t="str">
        <f t="shared" si="17"/>
        <v>sampledesign_systematic_tu</v>
      </c>
      <c r="J352" s="42" t="s">
        <v>93</v>
      </c>
      <c r="K352" s="39" t="str">
        <f>VLOOKUP(F352,glossary!J:N,5,FALSE)</f>
        <v>Camera locations occur in a regular pattern (e.g., a grid pattern) across the study area.</v>
      </c>
      <c r="L352" t="s">
        <v>1502</v>
      </c>
      <c r="M352" s="30" t="str">
        <f t="shared" si="18"/>
        <v>{{ sampledesign_systematic_tu }}</v>
      </c>
      <c r="N352" t="s">
        <v>896</v>
      </c>
      <c r="O352" s="13" t="s">
        <v>1816</v>
      </c>
      <c r="P352" t="s">
        <v>4081</v>
      </c>
      <c r="Q352" t="str">
        <f t="shared" si="19"/>
        <v xml:space="preserve">    sampledesign_systematic_tu: "&lt;a href=\"09_glossary.html#sampledesign_systematic\" target=\"_blank\" data-bs-toggle=\"tooltip\" data-bs-title=\"Systematic design: Camera locations occur in a regular pattern (e.g., a grid pattern) across the study area.\"&gt;Systematic design&lt;button type=\"button\" class=\"btn btn-bd-tip-info-hidden btn-sm position-relative\"&gt;.&lt;span class=\"position-absolute top-0 start-100 translate-middle\"&gt;{{ icon_info }}&lt;/span&gt;&lt;/button&gt;&lt;/a&gt;"</v>
      </c>
      <c r="R352" t="b" cm="1">
        <f t="array" ref="R352">SUMPRODUCT(--EXACT($J$2:$J$490,J352))&gt;1</f>
        <v>0</v>
      </c>
      <c r="S352" t="s">
        <v>4520</v>
      </c>
    </row>
    <row r="353" spans="1:19">
      <c r="A353" s="30">
        <v>3</v>
      </c>
      <c r="B353" s="30" t="s">
        <v>1393</v>
      </c>
      <c r="C353" s="30"/>
      <c r="D353" s="30" t="s">
        <v>1208</v>
      </c>
      <c r="E353" s="30" t="s">
        <v>1752</v>
      </c>
      <c r="F353" s="30" t="s">
        <v>91</v>
      </c>
      <c r="G353" s="39" t="str">
        <f>VLOOKUP(F353,glossary!J:N,2,FALSE)</f>
        <v>Systematic design</v>
      </c>
      <c r="H353" s="34" t="s">
        <v>91</v>
      </c>
      <c r="I353" s="30" t="str">
        <f t="shared" si="17"/>
        <v>sampledesign_systematic_tu_abrv</v>
      </c>
      <c r="J353" s="42" t="s">
        <v>3997</v>
      </c>
      <c r="K353" s="39" t="str">
        <f>VLOOKUP(F353,glossary!J:N,5,FALSE)</f>
        <v>Camera locations occur in a regular pattern (e.g., a grid pattern) across the study area.</v>
      </c>
      <c r="L353" t="s">
        <v>1502</v>
      </c>
      <c r="M353" s="30" t="str">
        <f t="shared" si="18"/>
        <v>{{ sampledesign_systematic_tu_abrv }}</v>
      </c>
      <c r="N353" t="s">
        <v>896</v>
      </c>
      <c r="O353" s="13" t="s">
        <v>1816</v>
      </c>
      <c r="P353" t="s">
        <v>4081</v>
      </c>
      <c r="Q353" t="str">
        <f t="shared" si="19"/>
        <v xml:space="preserve">    sampledesign_systematic_tu_abrv: "&lt;a href=\"09_glossary.html#sampledesign_systematic\" target=\"_blank\" data-bs-toggle=\"tooltip\" data-bs-title=\"Systematic design: Camera locations occur in a regular pattern (e.g., a grid pattern) across the study area.\"&gt;Systematic&lt;button type=\"button\" class=\"btn btn-bd-tip-info-hidden btn-sm position-relative\"&gt;.&lt;span class=\"position-absolute top-0 start-100 translate-middle\"&gt;{{ icon_info }}&lt;/span&gt;&lt;/button&gt;&lt;/a&gt;"</v>
      </c>
      <c r="R353" t="b" cm="1">
        <f t="array" ref="R353">SUMPRODUCT(--EXACT($J$2:$J$490,J353))&gt;1</f>
        <v>0</v>
      </c>
      <c r="S353" t="s">
        <v>4521</v>
      </c>
    </row>
    <row r="354" spans="1:19">
      <c r="A354" s="30">
        <v>3</v>
      </c>
      <c r="B354" s="30" t="s">
        <v>1393</v>
      </c>
      <c r="C354" s="30"/>
      <c r="D354" s="30" t="s">
        <v>1207</v>
      </c>
      <c r="E354" s="30" t="s">
        <v>984</v>
      </c>
      <c r="F354" s="30" t="s">
        <v>88</v>
      </c>
      <c r="G354" s="39" t="str">
        <f>VLOOKUP(F354,glossary!J:N,2,FALSE)</f>
        <v>Systematic random design</v>
      </c>
      <c r="H354" s="34" t="s">
        <v>88</v>
      </c>
      <c r="I354" s="45" t="str">
        <f t="shared" si="17"/>
        <v>sampledesign_systematic_random_tl</v>
      </c>
      <c r="J354" s="43" t="s">
        <v>959</v>
      </c>
      <c r="K354" s="39" t="str">
        <f>VLOOKUP(F354,glossary!J:N,5,FALSE)</f>
        <v>Camera locations are selected using a two-stage approach. Firstly, girds are selected systematically (to occur within a regular pattern) across the study area. The location of the camera within each grid is then selected randomly.</v>
      </c>
      <c r="L354" t="s">
        <v>1501</v>
      </c>
      <c r="M354" s="30" t="str">
        <f t="shared" si="18"/>
        <v>{{ sampledesign_systematic_random_tl }}</v>
      </c>
      <c r="N354" t="s">
        <v>896</v>
      </c>
      <c r="O354" s="13" t="s">
        <v>1816</v>
      </c>
      <c r="P354" t="s">
        <v>4081</v>
      </c>
      <c r="Q354" t="str">
        <f t="shared" si="19"/>
        <v xml:space="preserve">    sampledesign_systematic_random_tl: "&lt;a href=\"09_glossary.html#sampledesign_systematic_random\" target=\"_blank\" data-bs-toggle=\"tooltip\" data-bs-title=\"Systematic random design: Camera locations are selected using a two-stage approach. Firstly, girds are selected systematically (to occur within a regular pattern) across the study area. The location of the camera within each grid is then selected randomly.\"&gt;systematic random design&lt;button type=\"button\" class=\"btn btn-bd-tip-info-hidden btn-sm position-relative\"&gt;.&lt;span class=\"position-absolute top-0 start-100 translate-middle\"&gt;{{ icon_info }}&lt;/span&gt;&lt;/button&gt;&lt;/a&gt;"</v>
      </c>
      <c r="R354" t="b" cm="1">
        <f t="array" ref="R354">SUMPRODUCT(--EXACT($J$2:$J$490,J354))&gt;1</f>
        <v>0</v>
      </c>
      <c r="S354" t="s">
        <v>4522</v>
      </c>
    </row>
    <row r="355" spans="1:19">
      <c r="A355" s="30">
        <v>3</v>
      </c>
      <c r="B355" s="30" t="s">
        <v>1393</v>
      </c>
      <c r="C355" s="30"/>
      <c r="D355" s="30" t="s">
        <v>1207</v>
      </c>
      <c r="E355" s="30" t="s">
        <v>1752</v>
      </c>
      <c r="F355" s="30" t="s">
        <v>88</v>
      </c>
      <c r="G355" s="39" t="str">
        <f>VLOOKUP(F355,glossary!J:N,2,FALSE)</f>
        <v>Systematic random design</v>
      </c>
      <c r="H355" s="34" t="s">
        <v>88</v>
      </c>
      <c r="I355" s="30" t="str">
        <f t="shared" si="17"/>
        <v>sampledesign_systematic_random_tl_abrv</v>
      </c>
      <c r="J355" s="43" t="s">
        <v>3975</v>
      </c>
      <c r="K355" s="39" t="str">
        <f>VLOOKUP(F355,glossary!J:N,5,FALSE)</f>
        <v>Camera locations are selected using a two-stage approach. Firstly, girds are selected systematically (to occur within a regular pattern) across the study area. The location of the camera within each grid is then selected randomly.</v>
      </c>
      <c r="L355" t="s">
        <v>1501</v>
      </c>
      <c r="M355" s="30" t="str">
        <f t="shared" si="18"/>
        <v>{{ sampledesign_systematic_random_tl_abrv }}</v>
      </c>
      <c r="N355" t="s">
        <v>896</v>
      </c>
      <c r="O355" s="13" t="s">
        <v>1816</v>
      </c>
      <c r="P355" t="s">
        <v>4081</v>
      </c>
      <c r="Q355" t="str">
        <f t="shared" si="19"/>
        <v xml:space="preserve">    sampledesign_systematic_random_tl_abrv: "&lt;a href=\"09_glossary.html#sampledesign_systematic_random\" target=\"_blank\" data-bs-toggle=\"tooltip\" data-bs-title=\"Systematic random design: Camera locations are selected using a two-stage approach. Firstly, girds are selected systematically (to occur within a regular pattern) across the study area. The location of the camera within each grid is then selected randomly.\"&gt;systematic random&lt;button type=\"button\" class=\"btn btn-bd-tip-info-hidden btn-sm position-relative\"&gt;.&lt;span class=\"position-absolute top-0 start-100 translate-middle\"&gt;{{ icon_info }}&lt;/span&gt;&lt;/button&gt;&lt;/a&gt;"</v>
      </c>
      <c r="R355" t="b" cm="1">
        <f t="array" ref="R355">SUMPRODUCT(--EXACT($J$2:$J$490,J355))&gt;1</f>
        <v>0</v>
      </c>
      <c r="S355" t="s">
        <v>4523</v>
      </c>
    </row>
    <row r="356" spans="1:19">
      <c r="A356" s="30">
        <v>3</v>
      </c>
      <c r="B356" s="30" t="s">
        <v>1393</v>
      </c>
      <c r="C356" s="30"/>
      <c r="D356" s="30" t="s">
        <v>1208</v>
      </c>
      <c r="E356" s="30" t="s">
        <v>984</v>
      </c>
      <c r="F356" s="30" t="s">
        <v>88</v>
      </c>
      <c r="G356" s="39" t="str">
        <f>VLOOKUP(F356,glossary!J:N,2,FALSE)</f>
        <v>Systematic random design</v>
      </c>
      <c r="H356" s="34" t="s">
        <v>88</v>
      </c>
      <c r="I356" s="45" t="str">
        <f t="shared" si="17"/>
        <v>sampledesign_systematic_random_tu</v>
      </c>
      <c r="J356" s="42" t="s">
        <v>90</v>
      </c>
      <c r="K356" s="39" t="str">
        <f>VLOOKUP(F356,glossary!J:N,5,FALSE)</f>
        <v>Camera locations are selected using a two-stage approach. Firstly, girds are selected systematically (to occur within a regular pattern) across the study area. The location of the camera within each grid is then selected randomly.</v>
      </c>
      <c r="L356" t="s">
        <v>1500</v>
      </c>
      <c r="M356" s="30" t="str">
        <f t="shared" si="18"/>
        <v>{{ sampledesign_systematic_random_tu }}</v>
      </c>
      <c r="N356" t="s">
        <v>896</v>
      </c>
      <c r="O356" s="13" t="s">
        <v>1816</v>
      </c>
      <c r="P356" t="s">
        <v>4081</v>
      </c>
      <c r="Q356" t="str">
        <f t="shared" si="19"/>
        <v xml:space="preserve">    sampledesign_systematic_random_tu: "&lt;a href=\"09_glossary.html#sampledesign_systematic_random\" target=\"_blank\" data-bs-toggle=\"tooltip\" data-bs-title=\"Systematic random design: Camera locations are selected using a two-stage approach. Firstly, girds are selected systematically (to occur within a regular pattern) across the study area. The location of the camera within each grid is then selected randomly.\"&gt;Systematic random design&lt;button type=\"button\" class=\"btn btn-bd-tip-info-hidden btn-sm position-relative\"&gt;.&lt;span class=\"position-absolute top-0 start-100 translate-middle\"&gt;{{ icon_info }}&lt;/span&gt;&lt;/button&gt;&lt;/a&gt;"</v>
      </c>
      <c r="R356" t="b" cm="1">
        <f t="array" ref="R356">SUMPRODUCT(--EXACT($J$2:$J$490,J356))&gt;1</f>
        <v>0</v>
      </c>
      <c r="S356" t="s">
        <v>4524</v>
      </c>
    </row>
    <row r="357" spans="1:19">
      <c r="A357" s="30">
        <v>3</v>
      </c>
      <c r="B357" s="30" t="s">
        <v>1393</v>
      </c>
      <c r="C357" s="30"/>
      <c r="D357" s="30" t="s">
        <v>1208</v>
      </c>
      <c r="E357" s="30" t="s">
        <v>1752</v>
      </c>
      <c r="F357" s="30" t="s">
        <v>88</v>
      </c>
      <c r="G357" s="39" t="str">
        <f>VLOOKUP(F357,glossary!J:N,2,FALSE)</f>
        <v>Systematic random design</v>
      </c>
      <c r="H357" s="34" t="s">
        <v>88</v>
      </c>
      <c r="I357" s="30" t="str">
        <f t="shared" si="17"/>
        <v>sampledesign_systematic_random_tu_abrv</v>
      </c>
      <c r="J357" s="42" t="s">
        <v>3996</v>
      </c>
      <c r="K357" s="39" t="str">
        <f>VLOOKUP(F357,glossary!J:N,5,FALSE)</f>
        <v>Camera locations are selected using a two-stage approach. Firstly, girds are selected systematically (to occur within a regular pattern) across the study area. The location of the camera within each grid is then selected randomly.</v>
      </c>
      <c r="L357" t="s">
        <v>1500</v>
      </c>
      <c r="M357" s="30" t="str">
        <f t="shared" si="18"/>
        <v>{{ sampledesign_systematic_random_tu_abrv }}</v>
      </c>
      <c r="N357" t="s">
        <v>896</v>
      </c>
      <c r="O357" s="13" t="s">
        <v>1816</v>
      </c>
      <c r="P357" t="s">
        <v>4081</v>
      </c>
      <c r="Q357" t="str">
        <f t="shared" si="19"/>
        <v xml:space="preserve">    sampledesign_systematic_random_tu_abrv: "&lt;a href=\"09_glossary.html#sampledesign_systematic_random\" target=\"_blank\" data-bs-toggle=\"tooltip\" data-bs-title=\"Systematic random design: Camera locations are selected using a two-stage approach. Firstly, girds are selected systematically (to occur within a regular pattern) across the study area. The location of the camera within each grid is then selected randomly.\"&gt;Systematic random&lt;button type=\"button\" class=\"btn btn-bd-tip-info-hidden btn-sm position-relative\"&gt;.&lt;span class=\"position-absolute top-0 start-100 translate-middle\"&gt;{{ icon_info }}&lt;/span&gt;&lt;/button&gt;&lt;/a&gt;"</v>
      </c>
      <c r="R357" t="b" cm="1">
        <f t="array" ref="R357">SUMPRODUCT(--EXACT($J$2:$J$490,J357))&gt;1</f>
        <v>0</v>
      </c>
      <c r="S357" t="s">
        <v>4525</v>
      </c>
    </row>
    <row r="358" spans="1:19">
      <c r="A358" s="30">
        <v>3</v>
      </c>
      <c r="B358" s="30" t="s">
        <v>1393</v>
      </c>
      <c r="C358" s="30"/>
      <c r="D358" s="30" t="s">
        <v>1207</v>
      </c>
      <c r="E358" s="30" t="s">
        <v>984</v>
      </c>
      <c r="F358" s="30" t="s">
        <v>85</v>
      </c>
      <c r="G358" s="39" t="str">
        <f>VLOOKUP(F358,glossary!J:N,2,FALSE)</f>
        <v>Targeted design</v>
      </c>
      <c r="H358" s="34" t="s">
        <v>85</v>
      </c>
      <c r="I358" s="45" t="str">
        <f t="shared" si="17"/>
        <v>sampledesign_targeted_tl</v>
      </c>
      <c r="J358" s="43" t="s">
        <v>960</v>
      </c>
      <c r="K358" s="39" t="str">
        <f>VLOOKUP(F358,glossary!J:N,5,FALSE)</f>
        <v>Camera locations or sample stations are placed in areas that are known or suspected to have higher activity levels (e.g., game trails, mineral licks).</v>
      </c>
      <c r="L358" t="s">
        <v>1499</v>
      </c>
      <c r="M358" s="30" t="str">
        <f t="shared" si="18"/>
        <v>{{ sampledesign_targeted_tl }}</v>
      </c>
      <c r="N358" t="s">
        <v>896</v>
      </c>
      <c r="O358" s="13" t="s">
        <v>1816</v>
      </c>
      <c r="P358" t="s">
        <v>4081</v>
      </c>
      <c r="Q358" t="str">
        <f t="shared" si="19"/>
        <v xml:space="preserve">    sampledesign_targeted_tl: "&lt;a href=\"09_glossary.html#sampledesign_targeted\" target=\"_blank\" data-bs-toggle=\"tooltip\" data-bs-title=\"Targeted design: Camera locations or sample stations are placed in areas that are known or suspected to have higher activity levels (e.g., game trails, mineral licks).\"&gt;targeted design&lt;button type=\"button\" class=\"btn btn-bd-tip-info-hidden btn-sm position-relative\"&gt;.&lt;span class=\"position-absolute top-0 start-100 translate-middle\"&gt;{{ icon_info }}&lt;/span&gt;&lt;/button&gt;&lt;/a&gt;"</v>
      </c>
      <c r="R358" t="b" cm="1">
        <f t="array" ref="R358">SUMPRODUCT(--EXACT($J$2:$J$490,J358))&gt;1</f>
        <v>0</v>
      </c>
      <c r="S358" t="s">
        <v>4526</v>
      </c>
    </row>
    <row r="359" spans="1:19">
      <c r="A359" s="30">
        <v>3</v>
      </c>
      <c r="B359" s="30" t="s">
        <v>1393</v>
      </c>
      <c r="C359" s="30"/>
      <c r="D359" s="30" t="s">
        <v>1207</v>
      </c>
      <c r="E359" s="30" t="s">
        <v>1752</v>
      </c>
      <c r="F359" s="30" t="s">
        <v>85</v>
      </c>
      <c r="G359" s="39" t="str">
        <f>VLOOKUP(F359,glossary!J:N,2,FALSE)</f>
        <v>Targeted design</v>
      </c>
      <c r="H359" s="34" t="s">
        <v>85</v>
      </c>
      <c r="I359" s="30" t="str">
        <f t="shared" si="17"/>
        <v>sampledesign_targeted_tl_abrv</v>
      </c>
      <c r="J359" s="43" t="s">
        <v>3998</v>
      </c>
      <c r="K359" s="39" t="str">
        <f>VLOOKUP(F359,glossary!J:N,5,FALSE)</f>
        <v>Camera locations or sample stations are placed in areas that are known or suspected to have higher activity levels (e.g., game trails, mineral licks).</v>
      </c>
      <c r="L359" t="s">
        <v>1499</v>
      </c>
      <c r="M359" s="30" t="str">
        <f t="shared" si="18"/>
        <v>{{ sampledesign_targeted_tl_abrv }}</v>
      </c>
      <c r="N359" t="s">
        <v>896</v>
      </c>
      <c r="O359" s="13" t="s">
        <v>1816</v>
      </c>
      <c r="P359" t="s">
        <v>4081</v>
      </c>
      <c r="Q359" t="str">
        <f t="shared" si="19"/>
        <v xml:space="preserve">    sampledesign_targeted_tl_abrv: "&lt;a href=\"09_glossary.html#sampledesign_targeted\" target=\"_blank\" data-bs-toggle=\"tooltip\" data-bs-title=\"Targeted design: Camera locations or sample stations are placed in areas that are known or suspected to have higher activity levels (e.g., game trails, mineral licks).\"&gt;targeted&lt;button type=\"button\" class=\"btn btn-bd-tip-info-hidden btn-sm position-relative\"&gt;.&lt;span class=\"position-absolute top-0 start-100 translate-middle\"&gt;{{ icon_info }}&lt;/span&gt;&lt;/button&gt;&lt;/a&gt;"</v>
      </c>
      <c r="R359" t="b" cm="1">
        <f t="array" ref="R359">SUMPRODUCT(--EXACT($J$2:$J$490,J359))&gt;1</f>
        <v>0</v>
      </c>
      <c r="S359" t="s">
        <v>4527</v>
      </c>
    </row>
    <row r="360" spans="1:19">
      <c r="A360" s="30">
        <v>3</v>
      </c>
      <c r="B360" s="30" t="s">
        <v>1393</v>
      </c>
      <c r="C360" s="30"/>
      <c r="D360" s="30" t="s">
        <v>1208</v>
      </c>
      <c r="E360" s="30" t="s">
        <v>984</v>
      </c>
      <c r="F360" s="30" t="s">
        <v>85</v>
      </c>
      <c r="G360" s="39" t="str">
        <f>VLOOKUP(F360,glossary!J:N,2,FALSE)</f>
        <v>Targeted design</v>
      </c>
      <c r="H360" s="34" t="s">
        <v>85</v>
      </c>
      <c r="I360" s="45" t="str">
        <f t="shared" si="17"/>
        <v>sampledesign_targeted_tu</v>
      </c>
      <c r="J360" s="42" t="s">
        <v>87</v>
      </c>
      <c r="K360" s="39" t="str">
        <f>VLOOKUP(F360,glossary!J:N,5,FALSE)</f>
        <v>Camera locations or sample stations are placed in areas that are known or suspected to have higher activity levels (e.g., game trails, mineral licks).</v>
      </c>
      <c r="L360" t="s">
        <v>1498</v>
      </c>
      <c r="M360" s="30" t="str">
        <f t="shared" si="18"/>
        <v>{{ sampledesign_targeted_tu }}</v>
      </c>
      <c r="N360" t="s">
        <v>896</v>
      </c>
      <c r="O360" s="13" t="s">
        <v>1816</v>
      </c>
      <c r="P360" t="s">
        <v>4081</v>
      </c>
      <c r="Q360" t="str">
        <f t="shared" si="19"/>
        <v xml:space="preserve">    sampledesign_targeted_tu: "&lt;a href=\"09_glossary.html#sampledesign_targeted\" target=\"_blank\" data-bs-toggle=\"tooltip\" data-bs-title=\"Targeted design: Camera locations or sample stations are placed in areas that are known or suspected to have higher activity levels (e.g., game trails, mineral licks).\"&gt;Targeted design&lt;button type=\"button\" class=\"btn btn-bd-tip-info-hidden btn-sm position-relative\"&gt;.&lt;span class=\"position-absolute top-0 start-100 translate-middle\"&gt;{{ icon_info }}&lt;/span&gt;&lt;/button&gt;&lt;/a&gt;"</v>
      </c>
      <c r="R360" t="b" cm="1">
        <f t="array" ref="R360">SUMPRODUCT(--EXACT($J$2:$J$490,J360))&gt;1</f>
        <v>0</v>
      </c>
      <c r="S360" t="s">
        <v>4528</v>
      </c>
    </row>
    <row r="361" spans="1:19">
      <c r="A361" s="30">
        <v>3</v>
      </c>
      <c r="B361" s="30" t="s">
        <v>1393</v>
      </c>
      <c r="C361" s="30"/>
      <c r="D361" s="30" t="s">
        <v>1208</v>
      </c>
      <c r="E361" s="30" t="s">
        <v>1752</v>
      </c>
      <c r="F361" s="30" t="s">
        <v>85</v>
      </c>
      <c r="G361" s="39" t="str">
        <f>VLOOKUP(F361,glossary!J:N,2,FALSE)</f>
        <v>Targeted design</v>
      </c>
      <c r="H361" s="34" t="s">
        <v>85</v>
      </c>
      <c r="I361" s="30" t="str">
        <f t="shared" si="17"/>
        <v>sampledesign_targeted_tu_abrv</v>
      </c>
      <c r="J361" s="42" t="s">
        <v>3999</v>
      </c>
      <c r="K361" s="39" t="str">
        <f>VLOOKUP(F361,glossary!J:N,5,FALSE)</f>
        <v>Camera locations or sample stations are placed in areas that are known or suspected to have higher activity levels (e.g., game trails, mineral licks).</v>
      </c>
      <c r="L361" t="s">
        <v>1498</v>
      </c>
      <c r="M361" s="30" t="str">
        <f t="shared" si="18"/>
        <v>{{ sampledesign_targeted_tu_abrv }}</v>
      </c>
      <c r="N361" t="s">
        <v>896</v>
      </c>
      <c r="O361" s="13" t="s">
        <v>1816</v>
      </c>
      <c r="P361" t="s">
        <v>4081</v>
      </c>
      <c r="Q361" t="str">
        <f t="shared" si="19"/>
        <v xml:space="preserve">    sampledesign_targeted_tu_abrv: "&lt;a href=\"09_glossary.html#sampledesign_targeted\" target=\"_blank\" data-bs-toggle=\"tooltip\" data-bs-title=\"Targeted design: Camera locations or sample stations are placed in areas that are known or suspected to have higher activity levels (e.g., game trails, mineral licks).\"&gt;Targeted&lt;button type=\"button\" class=\"btn btn-bd-tip-info-hidden btn-sm position-relative\"&gt;.&lt;span class=\"position-absolute top-0 start-100 translate-middle\"&gt;{{ icon_info }}&lt;/span&gt;&lt;/button&gt;&lt;/a&gt;"</v>
      </c>
      <c r="R361" t="b" cm="1">
        <f t="array" ref="R361">SUMPRODUCT(--EXACT($J$2:$J$490,J361))&gt;1</f>
        <v>0</v>
      </c>
      <c r="S361" t="s">
        <v>4529</v>
      </c>
    </row>
    <row r="362" spans="1:19">
      <c r="A362" s="30">
        <v>3</v>
      </c>
      <c r="B362" s="30" t="s">
        <v>1393</v>
      </c>
      <c r="C362" s="30"/>
      <c r="D362" s="30" t="s">
        <v>1208</v>
      </c>
      <c r="E362" s="30" t="s">
        <v>984</v>
      </c>
      <c r="F362" s="30" t="s">
        <v>323</v>
      </c>
      <c r="G362" s="39" t="str">
        <f>VLOOKUP(F362,glossary!J:N,2,FALSE)</f>
        <v>SD Card ID</v>
      </c>
      <c r="H362" s="34" t="s">
        <v>323</v>
      </c>
      <c r="I362" s="45" t="str">
        <f t="shared" si="17"/>
        <v>sd_card_id_tu</v>
      </c>
      <c r="J362" s="42" t="s">
        <v>753</v>
      </c>
      <c r="K362" s="39" t="str">
        <f>VLOOKUP(F362,glossary!J:N,5,FALSE)</f>
        <v>The ID label on an SD card (e.g., 'cmu_100').</v>
      </c>
      <c r="L362" t="s">
        <v>1497</v>
      </c>
      <c r="M362" s="30" t="str">
        <f t="shared" si="18"/>
        <v>{{ sd_card_id_tu }}</v>
      </c>
      <c r="N362" t="s">
        <v>896</v>
      </c>
      <c r="O362" s="13" t="s">
        <v>1816</v>
      </c>
      <c r="P362" t="s">
        <v>4081</v>
      </c>
      <c r="Q362" t="str">
        <f t="shared" si="19"/>
        <v xml:space="preserve">    sd_card_id_tu: "&lt;a href=\"09_glossary.html#sd_card_id\" target=\"_blank\" data-bs-toggle=\"tooltip\" data-bs-title=\"SD Card ID: The ID label on an SD card (e.g., 'cmu_100').\"&gt;SD Card ID&lt;button type=\"button\" class=\"btn btn-bd-tip-info-hidden btn-sm position-relative\"&gt;.&lt;span class=\"position-absolute top-0 start-100 translate-middle\"&gt;{{ icon_info }}&lt;/span&gt;&lt;/button&gt;&lt;/a&gt;"</v>
      </c>
      <c r="R362" t="b" cm="1">
        <f t="array" ref="R362">SUMPRODUCT(--EXACT($J$2:$J$490,J362))&gt;1</f>
        <v>0</v>
      </c>
      <c r="S362" t="s">
        <v>4530</v>
      </c>
    </row>
    <row r="363" spans="1:19">
      <c r="A363" s="30">
        <v>3</v>
      </c>
      <c r="B363" s="30" t="s">
        <v>1393</v>
      </c>
      <c r="C363" s="30"/>
      <c r="D363" s="30" t="s">
        <v>1208</v>
      </c>
      <c r="E363" s="30" t="s">
        <v>984</v>
      </c>
      <c r="F363" s="30" t="s">
        <v>321</v>
      </c>
      <c r="G363" s="39" t="str">
        <f>VLOOKUP(F363,glossary!J:N,2,FALSE)</f>
        <v>SD Card Replaced</v>
      </c>
      <c r="H363" s="34" t="s">
        <v>321</v>
      </c>
      <c r="I363" s="45" t="str">
        <f t="shared" si="17"/>
        <v>sd_card_replaced_tu</v>
      </c>
      <c r="J363" s="42" t="s">
        <v>754</v>
      </c>
      <c r="K363" s="39" t="str">
        <f>VLOOKUP(F363,glossary!J:N,5,FALSE)</f>
        <v>Whether the SD card was replaced.</v>
      </c>
      <c r="L363" t="s">
        <v>1496</v>
      </c>
      <c r="M363" s="30" t="str">
        <f t="shared" si="18"/>
        <v>{{ sd_card_replaced_tu }}</v>
      </c>
      <c r="N363" t="s">
        <v>896</v>
      </c>
      <c r="O363" s="13" t="s">
        <v>1816</v>
      </c>
      <c r="P363" t="s">
        <v>4081</v>
      </c>
      <c r="Q363" t="str">
        <f t="shared" si="19"/>
        <v xml:space="preserve">    sd_card_replaced_tu: "&lt;a href=\"09_glossary.html#sd_card_replaced\" target=\"_blank\" data-bs-toggle=\"tooltip\" data-bs-title=\"SD Card Replaced: Whether the SD card was replaced.\"&gt;SD Card Replaced&lt;button type=\"button\" class=\"btn btn-bd-tip-info-hidden btn-sm position-relative\"&gt;.&lt;span class=\"position-absolute top-0 start-100 translate-middle\"&gt;{{ icon_info }}&lt;/span&gt;&lt;/button&gt;&lt;/a&gt;"</v>
      </c>
      <c r="R363" t="b" cm="1">
        <f t="array" ref="R363">SUMPRODUCT(--EXACT($J$2:$J$490,J363))&gt;1</f>
        <v>0</v>
      </c>
      <c r="S363" t="s">
        <v>4531</v>
      </c>
    </row>
    <row r="364" spans="1:19">
      <c r="A364" s="30">
        <v>1</v>
      </c>
      <c r="B364" s="30" t="s">
        <v>1064</v>
      </c>
      <c r="C364" s="30" t="s">
        <v>0</v>
      </c>
      <c r="D364" s="30" t="s">
        <v>1208</v>
      </c>
      <c r="E364" s="30" t="s">
        <v>1757</v>
      </c>
      <c r="F364" s="30" t="s">
        <v>319</v>
      </c>
      <c r="G364" s="39" t="str">
        <f>VLOOKUP(F364,glossary!J:N,2,FALSE)</f>
        <v>SD Card Status (% Full)</v>
      </c>
      <c r="H364" s="30" t="s">
        <v>319</v>
      </c>
      <c r="I364" s="45" t="str">
        <f t="shared" si="17"/>
        <v>sd_card_status_tu_nu</v>
      </c>
      <c r="J364" s="39" t="s">
        <v>1085</v>
      </c>
      <c r="K364" s="39" t="str">
        <f>VLOOKUP(F364,glossary!J:N,5,FALSE)</f>
        <v>The remaining storage capacity on an SD card; collected during a camera service or retrieval.</v>
      </c>
      <c r="L364" s="30" t="s">
        <v>1093</v>
      </c>
      <c r="M364" s="30" t="str">
        <f t="shared" si="18"/>
        <v>{{ sd_card_status_tu_nu }}</v>
      </c>
      <c r="N364" t="s">
        <v>896</v>
      </c>
      <c r="O364" s="13" t="s">
        <v>1816</v>
      </c>
      <c r="P364" t="s">
        <v>4081</v>
      </c>
      <c r="Q364" t="str">
        <f t="shared" si="19"/>
        <v xml:space="preserve">    sd_card_status_tu_nu: "&lt;a href=\"09_glossary.html#sd_card_status\" target=\"_blank\" data-bs-toggle=\"tooltip\" data-bs-title=\"SD Card Status (% Full): The remaining storage capacity on an SD card; collected during a camera service or retrieval.\"&gt;SD Card Status&lt;button type=\"button\" class=\"btn btn-bd-tip-info-hidden btn-sm position-relative\"&gt;.&lt;span class=\"position-absolute top-0 start-100 translate-middle\"&gt;{{ icon_info }}&lt;/span&gt;&lt;/button&gt;&lt;/a&gt;"</v>
      </c>
      <c r="R364" t="b" cm="1">
        <f t="array" ref="R364">SUMPRODUCT(--EXACT($J$2:$J$490,J364))&gt;1</f>
        <v>0</v>
      </c>
      <c r="S364" t="s">
        <v>4532</v>
      </c>
    </row>
    <row r="365" spans="1:19">
      <c r="A365" s="30">
        <v>3</v>
      </c>
      <c r="B365" s="30" t="s">
        <v>1393</v>
      </c>
      <c r="C365" s="30"/>
      <c r="D365" s="30" t="s">
        <v>1208</v>
      </c>
      <c r="E365" s="30" t="s">
        <v>1751</v>
      </c>
      <c r="F365" s="30" t="s">
        <v>319</v>
      </c>
      <c r="G365" s="39" t="str">
        <f>VLOOKUP(F365,glossary!J:N,2,FALSE)</f>
        <v>SD Card Status (% Full)</v>
      </c>
      <c r="H365" s="34" t="s">
        <v>319</v>
      </c>
      <c r="I365" s="45" t="str">
        <f t="shared" si="17"/>
        <v>sd_card_status_tu_u</v>
      </c>
      <c r="J365" s="42" t="s">
        <v>755</v>
      </c>
      <c r="K365" s="39" t="str">
        <f>VLOOKUP(F365,glossary!J:N,5,FALSE)</f>
        <v>The remaining storage capacity on an SD card; collected during a camera service or retrieval.</v>
      </c>
      <c r="L365" t="s">
        <v>1495</v>
      </c>
      <c r="M365" s="30" t="str">
        <f t="shared" si="18"/>
        <v>{{ sd_card_status_tu_u }}</v>
      </c>
      <c r="N365" t="s">
        <v>896</v>
      </c>
      <c r="O365" s="13" t="s">
        <v>1816</v>
      </c>
      <c r="P365" t="s">
        <v>4081</v>
      </c>
      <c r="Q365" t="str">
        <f t="shared" si="19"/>
        <v xml:space="preserve">    sd_card_status_tu_u: "&lt;a href=\"09_glossary.html#sd_card_status\" target=\"_blank\" data-bs-toggle=\"tooltip\" data-bs-title=\"SD Card Status (% Full): The remaining storage capacity on an SD card; collected during a camera service or retrieval.\"&gt;SD Card Status (% Full)&lt;button type=\"button\" class=\"btn btn-bd-tip-info-hidden btn-sm position-relative\"&gt;.&lt;span class=\"position-absolute top-0 start-100 translate-middle\"&gt;{{ icon_info }}&lt;/span&gt;&lt;/button&gt;&lt;/a&gt;"</v>
      </c>
      <c r="R365" t="b" cm="1">
        <f t="array" ref="R365">SUMPRODUCT(--EXACT($J$2:$J$490,J365))&gt;1</f>
        <v>0</v>
      </c>
      <c r="S365" t="s">
        <v>4533</v>
      </c>
    </row>
    <row r="366" spans="1:19">
      <c r="A366" s="30">
        <v>3</v>
      </c>
      <c r="B366" s="30" t="s">
        <v>1393</v>
      </c>
      <c r="C366" s="30"/>
      <c r="D366" s="30" t="s">
        <v>1208</v>
      </c>
      <c r="E366" s="30" t="s">
        <v>984</v>
      </c>
      <c r="F366" s="30" t="s">
        <v>352</v>
      </c>
      <c r="G366" s="39" t="str">
        <f>VLOOKUP(F366,glossary!J:N,2,FALSE)</f>
        <v>New SD Card ID</v>
      </c>
      <c r="H366" s="34" t="s">
        <v>352</v>
      </c>
      <c r="I366" s="45" t="str">
        <f t="shared" si="17"/>
        <v>sd_id_new_tu</v>
      </c>
      <c r="J366" s="42" t="s">
        <v>712</v>
      </c>
      <c r="K366" s="39" t="str">
        <f>VLOOKUP(F366,glossary!J:N,5,FALSE)</f>
        <v>-</v>
      </c>
      <c r="L366" t="s">
        <v>1494</v>
      </c>
      <c r="M366" s="30" t="str">
        <f t="shared" si="18"/>
        <v>{{ sd_id_new_tu }}</v>
      </c>
      <c r="N366" t="s">
        <v>896</v>
      </c>
      <c r="O366" s="13" t="s">
        <v>1816</v>
      </c>
      <c r="P366" t="s">
        <v>4081</v>
      </c>
      <c r="Q366" t="str">
        <f t="shared" si="19"/>
        <v>-</v>
      </c>
      <c r="R366" t="b" cm="1">
        <f t="array" ref="R366">SUMPRODUCT(--EXACT($J$2:$J$490,J366))&gt;1</f>
        <v>0</v>
      </c>
      <c r="S366" t="s">
        <v>4534</v>
      </c>
    </row>
    <row r="367" spans="1:19">
      <c r="A367" s="30">
        <v>2</v>
      </c>
      <c r="B367" s="30" t="s">
        <v>1400</v>
      </c>
      <c r="C367" s="30"/>
      <c r="D367" s="30" t="s">
        <v>1208</v>
      </c>
      <c r="E367" s="30" t="s">
        <v>984</v>
      </c>
      <c r="F367" s="30" t="s">
        <v>318</v>
      </c>
      <c r="G367" s="39" t="str">
        <f>VLOOKUP(F367,glossary!J:N,2,FALSE)</f>
        <v>Security</v>
      </c>
      <c r="H367" s="30" t="s">
        <v>318</v>
      </c>
      <c r="I367" s="45" t="str">
        <f t="shared" si="17"/>
        <v>security_tu</v>
      </c>
      <c r="J367" s="39" t="s">
        <v>756</v>
      </c>
      <c r="K367" s="39" t="str">
        <f>VLOOKUP(F367,glossary!J:N,5,FALSE)</f>
        <v>The equipment used to secure the camera (e.g., 'Security box,' 'Bracket,' 'Bracket + Screws,' or 'None').</v>
      </c>
      <c r="L367" s="30" t="s">
        <v>1493</v>
      </c>
      <c r="M367" s="30" t="str">
        <f t="shared" si="18"/>
        <v>{{ security_tu }}</v>
      </c>
      <c r="N367" t="s">
        <v>896</v>
      </c>
      <c r="O367" s="13" t="s">
        <v>1816</v>
      </c>
      <c r="P367" t="s">
        <v>4081</v>
      </c>
      <c r="Q367" t="str">
        <f t="shared" si="19"/>
        <v xml:space="preserve">    security_tu: "&lt;a href=\"09_glossary.html#security\" target=\"_blank\" data-bs-toggle=\"tooltip\" data-bs-title=\"Security: The equipment used to secure the camera (e.g., 'Security box,' 'Bracket,' 'Bracket + Screws,' or 'None').\"&gt;Security&lt;button type=\"button\" class=\"btn btn-bd-tip-info-hidden btn-sm position-relative\"&gt;.&lt;span class=\"position-absolute top-0 start-100 translate-middle\"&gt;{{ icon_info }}&lt;/span&gt;&lt;/button&gt;&lt;/a&gt;"</v>
      </c>
      <c r="R367" t="b" cm="1">
        <f t="array" ref="R367">SUMPRODUCT(--EXACT($J$2:$J$490,J367))&gt;1</f>
        <v>0</v>
      </c>
      <c r="S367" t="s">
        <v>4535</v>
      </c>
    </row>
    <row r="368" spans="1:19">
      <c r="A368" s="30">
        <v>2</v>
      </c>
      <c r="B368" s="30" t="s">
        <v>1400</v>
      </c>
      <c r="C368" s="30"/>
      <c r="D368" s="30" t="s">
        <v>1207</v>
      </c>
      <c r="E368" s="30" t="s">
        <v>984</v>
      </c>
      <c r="F368" s="30" t="s">
        <v>118</v>
      </c>
      <c r="G368" s="39" t="str">
        <f>VLOOKUP(F368,glossary!J:N,2,FALSE)</f>
        <v>Sequence</v>
      </c>
      <c r="H368" s="30" t="s">
        <v>118</v>
      </c>
      <c r="I368" s="45" t="str">
        <f t="shared" si="17"/>
        <v>sequence_tl</v>
      </c>
      <c r="J368" s="39" t="s">
        <v>118</v>
      </c>
      <c r="K368" s="39" t="str">
        <f>VLOOKUP(F368,glossary!J:N,5,FALSE)</f>
        <v>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v>
      </c>
      <c r="L368" s="30" t="s">
        <v>1492</v>
      </c>
      <c r="M368" s="30" t="str">
        <f t="shared" si="18"/>
        <v>{{ sequence_tl }}</v>
      </c>
      <c r="N368" t="s">
        <v>896</v>
      </c>
      <c r="O368" s="13" t="s">
        <v>1816</v>
      </c>
      <c r="P368" t="s">
        <v>4081</v>
      </c>
      <c r="Q368" t="str">
        <f t="shared" si="19"/>
        <v xml:space="preserve">    sequence_tl: "&lt;a href=\"09_glossary.html#sequence\" target=\"_blank\" data-bs-toggle=\"tooltip\" data-bs-title=\"Sequence: 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Description).\"&gt;sequence&lt;button type=\"button\" class=\"btn btn-bd-tip-info-hidden btn-sm position-relative\"&gt;.&lt;span class=\"position-absolute top-0 start-100 translate-middle\"&gt;{{ icon_info }}&lt;/span&gt;&lt;/button&gt;&lt;/a&gt;"</v>
      </c>
      <c r="R368" t="b" cm="1">
        <f t="array" ref="R368">SUMPRODUCT(--EXACT($J$2:$J$490,J368))&gt;1</f>
        <v>0</v>
      </c>
      <c r="S368" t="s">
        <v>4536</v>
      </c>
    </row>
    <row r="369" spans="1:19">
      <c r="A369" s="30">
        <v>1</v>
      </c>
      <c r="B369" s="30" t="s">
        <v>1064</v>
      </c>
      <c r="C369" s="30" t="s">
        <v>429</v>
      </c>
      <c r="D369" s="30" t="s">
        <v>1207</v>
      </c>
      <c r="E369" s="30" t="s">
        <v>1758</v>
      </c>
      <c r="F369" s="30" t="s">
        <v>118</v>
      </c>
      <c r="G369" s="39" t="str">
        <f>VLOOKUP(F369,glossary!J:N,2,FALSE)</f>
        <v>Sequence</v>
      </c>
      <c r="H369" s="30" t="s">
        <v>118</v>
      </c>
      <c r="I369" s="45" t="str">
        <f t="shared" si="17"/>
        <v>sequence_tl_pl</v>
      </c>
      <c r="J369" s="39" t="s">
        <v>1715</v>
      </c>
      <c r="K369" s="39" t="str">
        <f>VLOOKUP(F369,glossary!J:N,5,FALSE)</f>
        <v>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v>
      </c>
      <c r="L369" s="30" t="s">
        <v>1130</v>
      </c>
      <c r="M369" s="30" t="str">
        <f t="shared" si="18"/>
        <v>{{ sequence_tl_pl }}</v>
      </c>
      <c r="N369" t="s">
        <v>896</v>
      </c>
      <c r="O369" s="13" t="s">
        <v>1816</v>
      </c>
      <c r="P369" t="s">
        <v>4081</v>
      </c>
      <c r="Q369" t="str">
        <f t="shared" si="19"/>
        <v xml:space="preserve">    sequence_tl_pl: "&lt;a href=\"09_glossary.html#sequence\" target=\"_blank\" data-bs-toggle=\"tooltip\" data-bs-title=\"Sequence: 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Description).\"&gt;sequences&lt;button type=\"button\" class=\"btn btn-bd-tip-info-hidden btn-sm position-relative\"&gt;.&lt;span class=\"position-absolute top-0 start-100 translate-middle\"&gt;{{ icon_info }}&lt;/span&gt;&lt;/button&gt;&lt;/a&gt;"</v>
      </c>
      <c r="R369" t="b" cm="1">
        <f t="array" ref="R369">SUMPRODUCT(--EXACT($J$2:$J$490,J369))&gt;1</f>
        <v>0</v>
      </c>
      <c r="S369" t="s">
        <v>4537</v>
      </c>
    </row>
    <row r="370" spans="1:19">
      <c r="A370" s="30">
        <v>2</v>
      </c>
      <c r="B370" s="30" t="s">
        <v>1400</v>
      </c>
      <c r="C370" s="30"/>
      <c r="D370" s="30" t="s">
        <v>1208</v>
      </c>
      <c r="E370" s="30" t="s">
        <v>984</v>
      </c>
      <c r="F370" s="30" t="s">
        <v>118</v>
      </c>
      <c r="G370" s="39" t="str">
        <f>VLOOKUP(F370,glossary!J:N,2,FALSE)</f>
        <v>Sequence</v>
      </c>
      <c r="H370" s="30" t="s">
        <v>118</v>
      </c>
      <c r="I370" s="45" t="str">
        <f t="shared" si="17"/>
        <v>sequence_tu</v>
      </c>
      <c r="J370" s="39" t="s">
        <v>119</v>
      </c>
      <c r="K370" s="39" t="str">
        <f>VLOOKUP(F370,glossary!J:N,5,FALSE)</f>
        <v>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v>
      </c>
      <c r="L370" s="30" t="s">
        <v>1491</v>
      </c>
      <c r="M370" s="30" t="str">
        <f t="shared" si="18"/>
        <v>{{ sequence_tu }}</v>
      </c>
      <c r="N370" t="s">
        <v>896</v>
      </c>
      <c r="O370" s="13" t="s">
        <v>1816</v>
      </c>
      <c r="P370" t="s">
        <v>4081</v>
      </c>
      <c r="Q370" t="str">
        <f t="shared" si="19"/>
        <v xml:space="preserve">    sequence_tu: "&lt;a href=\"09_glossary.html#sequence\" target=\"_blank\" data-bs-toggle=\"tooltip\" data-bs-title=\"Sequence: 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Description).\"&gt;Sequence&lt;button type=\"button\" class=\"btn btn-bd-tip-info-hidden btn-sm position-relative\"&gt;.&lt;span class=\"position-absolute top-0 start-100 translate-middle\"&gt;{{ icon_info }}&lt;/span&gt;&lt;/button&gt;&lt;/a&gt;"</v>
      </c>
      <c r="R370" t="b" cm="1">
        <f t="array" ref="R370">SUMPRODUCT(--EXACT($J$2:$J$490,J370))&gt;1</f>
        <v>0</v>
      </c>
      <c r="S370" t="s">
        <v>4538</v>
      </c>
    </row>
    <row r="371" spans="1:19">
      <c r="A371" s="30">
        <v>1</v>
      </c>
      <c r="B371" s="30" t="s">
        <v>1064</v>
      </c>
      <c r="C371" s="30" t="s">
        <v>0</v>
      </c>
      <c r="D371" s="30" t="s">
        <v>1208</v>
      </c>
      <c r="E371" s="30" t="s">
        <v>1758</v>
      </c>
      <c r="F371" s="30" t="s">
        <v>118</v>
      </c>
      <c r="G371" s="39" t="str">
        <f>VLOOKUP(F371,glossary!J:N,2,FALSE)</f>
        <v>Sequence</v>
      </c>
      <c r="H371" s="30" t="s">
        <v>118</v>
      </c>
      <c r="I371" s="45" t="str">
        <f t="shared" si="17"/>
        <v>sequence_tu_pl</v>
      </c>
      <c r="J371" s="39" t="s">
        <v>1171</v>
      </c>
      <c r="K371" s="39" t="str">
        <f>VLOOKUP(F371,glossary!J:N,5,FALSE)</f>
        <v>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v>
      </c>
      <c r="L371" s="30" t="s">
        <v>1122</v>
      </c>
      <c r="M371" s="30" t="str">
        <f t="shared" si="18"/>
        <v>{{ sequence_tu_pl }}</v>
      </c>
      <c r="N371" t="s">
        <v>896</v>
      </c>
      <c r="O371" s="13" t="s">
        <v>1816</v>
      </c>
      <c r="P371" t="s">
        <v>4081</v>
      </c>
      <c r="Q371" t="str">
        <f t="shared" si="19"/>
        <v xml:space="preserve">    sequence_tu_pl: "&lt;a href=\"09_glossary.html#sequence\" target=\"_blank\" data-bs-toggle=\"tooltip\" data-bs-title=\"Sequence: 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Description).\"&gt;Sequences&lt;button type=\"button\" class=\"btn btn-bd-tip-info-hidden btn-sm position-relative\"&gt;.&lt;span class=\"position-absolute top-0 start-100 translate-middle\"&gt;{{ icon_info }}&lt;/span&gt;&lt;/button&gt;&lt;/a&gt;"</v>
      </c>
      <c r="R371" t="b" cm="1">
        <f t="array" ref="R371">SUMPRODUCT(--EXACT($J$2:$J$490,J371))&gt;1</f>
        <v>0</v>
      </c>
      <c r="S371" t="s">
        <v>4539</v>
      </c>
    </row>
    <row r="372" spans="1:19">
      <c r="A372" s="30">
        <v>3</v>
      </c>
      <c r="B372" s="30" t="s">
        <v>1393</v>
      </c>
      <c r="C372" s="30"/>
      <c r="D372" s="30" t="s">
        <v>1208</v>
      </c>
      <c r="E372" s="30" t="s">
        <v>984</v>
      </c>
      <c r="F372" s="30" t="s">
        <v>259</v>
      </c>
      <c r="G372" s="39" t="str">
        <f>VLOOKUP(F372,glossary!J:N,2,FALSE)</f>
        <v>Sequence Name</v>
      </c>
      <c r="H372" s="34" t="s">
        <v>259</v>
      </c>
      <c r="I372" s="45" t="str">
        <f t="shared" si="17"/>
        <v>sequence_name_tu</v>
      </c>
      <c r="J372" s="42" t="s">
        <v>713</v>
      </c>
      <c r="K372" s="39" t="str">
        <f>VLOOKUP(F372,glossary!J:N,5,FALSE)</f>
        <v xml:space="preserve">A unique alphanumeric identifier for a multi-image sequence. The Sequence Name should ideally consist of the Deployment Name and the names of the first and last images and videos in the sequence (separated by '_') (i.e., 'Deployment Name'_'img_#[name of first image in sequence]'_'img_#[name of last image in sequence] (e.g., 'bh1_22-Jul-2018_img_001-img_005'). Leave blank if not applicable. </v>
      </c>
      <c r="L372" t="s">
        <v>1490</v>
      </c>
      <c r="M372" s="30" t="str">
        <f t="shared" si="18"/>
        <v>{{ sequence_name_tu }}</v>
      </c>
      <c r="N372" t="s">
        <v>896</v>
      </c>
      <c r="O372" s="13" t="s">
        <v>1816</v>
      </c>
      <c r="P372" t="s">
        <v>4081</v>
      </c>
      <c r="Q372" t="str">
        <f t="shared" si="19"/>
        <v xml:space="preserve">    sequence_name_tu: "&lt;a href=\"09_glossary.html#sequence_name\" target=\"_blank\" data-bs-toggle=\"tooltip\" data-bs-title=\"Sequence Name: A unique alphanumeric identifier for a multi-image sequence. The Sequence Name should ideally consist of the Deployment Name and the names of the first and last images and videos in the sequence (separated by '_') (i.e., 'Deployment Name'_'img_#[name of first image in sequence]'_'img_#[name of last image in sequence] (e.g., 'bh1_22-Jul-2018_img_001-img_005'). Leave blank if not applicable. \"&gt;Sequence Name&lt;button type=\"button\" class=\"btn btn-bd-tip-info-hidden btn-sm position-relative\"&gt;.&lt;span class=\"position-absolute top-0 start-100 translate-middle\"&gt;{{ icon_info }}&lt;/span&gt;&lt;/button&gt;&lt;/a&gt;"</v>
      </c>
      <c r="R372" t="b" cm="1">
        <f t="array" ref="R372">SUMPRODUCT(--EXACT($J$2:$J$490,J372))&gt;1</f>
        <v>0</v>
      </c>
      <c r="S372" t="s">
        <v>4540</v>
      </c>
    </row>
    <row r="373" spans="1:19">
      <c r="A373" s="30">
        <v>3</v>
      </c>
      <c r="B373" s="30" t="s">
        <v>1393</v>
      </c>
      <c r="C373" s="30"/>
      <c r="D373" s="30" t="s">
        <v>1207</v>
      </c>
      <c r="E373" s="30" t="s">
        <v>984</v>
      </c>
      <c r="F373" s="30" t="s">
        <v>116</v>
      </c>
      <c r="G373" s="39" t="str">
        <f>VLOOKUP(F373,glossary!J:N,2,FALSE)</f>
        <v>Service/Retrieval</v>
      </c>
      <c r="H373" s="34" t="s">
        <v>116</v>
      </c>
      <c r="I373" s="45" t="str">
        <f t="shared" si="17"/>
        <v>service_retrieval_tl</v>
      </c>
      <c r="J373" s="43" t="s">
        <v>972</v>
      </c>
      <c r="K373" s="39" t="str">
        <f>VLOOKUP(F373,glossary!J:N,5,FALSE)</f>
        <v>When a crew has gone to a location to service or retrieve a remote camera.</v>
      </c>
      <c r="L373" t="s">
        <v>1489</v>
      </c>
      <c r="M373" s="30" t="str">
        <f t="shared" si="18"/>
        <v>{{ service_retrieval_tl }}</v>
      </c>
      <c r="N373" t="s">
        <v>896</v>
      </c>
      <c r="O373" s="13" t="s">
        <v>1816</v>
      </c>
      <c r="P373" t="s">
        <v>4081</v>
      </c>
      <c r="Q373" t="str">
        <f t="shared" si="19"/>
        <v xml:space="preserve">    service_retrieval_tl: "&lt;a href=\"09_glossary.html#service_retrieval\" target=\"_blank\" data-bs-toggle=\"tooltip\" data-bs-title=\"Service/Retrieval: When a crew has gone to a location to service or retrieve a remote camera.\"&gt;service/retrieval&lt;button type=\"button\" class=\"btn btn-bd-tip-info-hidden btn-sm position-relative\"&gt;.&lt;span class=\"position-absolute top-0 start-100 translate-middle\"&gt;{{ icon_info }}&lt;/span&gt;&lt;/button&gt;&lt;/a&gt;"</v>
      </c>
      <c r="R373" t="b" cm="1">
        <f t="array" ref="R373">SUMPRODUCT(--EXACT($J$2:$J$490,J373))&gt;1</f>
        <v>0</v>
      </c>
      <c r="S373" t="s">
        <v>4541</v>
      </c>
    </row>
    <row r="374" spans="1:19">
      <c r="A374" s="30">
        <v>3</v>
      </c>
      <c r="B374" s="30" t="s">
        <v>1393</v>
      </c>
      <c r="C374" s="30"/>
      <c r="D374" s="30" t="s">
        <v>1208</v>
      </c>
      <c r="E374" s="30" t="s">
        <v>984</v>
      </c>
      <c r="F374" s="30" t="s">
        <v>116</v>
      </c>
      <c r="G374" s="39" t="str">
        <f>VLOOKUP(F374,glossary!J:N,2,FALSE)</f>
        <v>Service/Retrieval</v>
      </c>
      <c r="H374" s="34" t="s">
        <v>116</v>
      </c>
      <c r="I374" s="45" t="str">
        <f t="shared" si="17"/>
        <v>service_retrieval_tu</v>
      </c>
      <c r="J374" s="42" t="s">
        <v>714</v>
      </c>
      <c r="K374" s="39" t="str">
        <f>VLOOKUP(F374,glossary!J:N,5,FALSE)</f>
        <v>When a crew has gone to a location to service or retrieve a remote camera.</v>
      </c>
      <c r="L374" t="s">
        <v>1488</v>
      </c>
      <c r="M374" s="30" t="str">
        <f t="shared" si="18"/>
        <v>{{ service_retrieval_tu }}</v>
      </c>
      <c r="N374" t="s">
        <v>896</v>
      </c>
      <c r="O374" s="13" t="s">
        <v>1816</v>
      </c>
      <c r="P374" t="s">
        <v>4081</v>
      </c>
      <c r="Q374" t="str">
        <f t="shared" si="19"/>
        <v xml:space="preserve">    service_retrieval_tu: "&lt;a href=\"09_glossary.html#service_retrieval\" target=\"_blank\" data-bs-toggle=\"tooltip\" data-bs-title=\"Service/Retrieval: When a crew has gone to a location to service or retrieve a remote camera.\"&gt;Service/Retrieval&lt;button type=\"button\" class=\"btn btn-bd-tip-info-hidden btn-sm position-relative\"&gt;.&lt;span class=\"position-absolute top-0 start-100 translate-middle\"&gt;{{ icon_info }}&lt;/span&gt;&lt;/button&gt;&lt;/a&gt;"</v>
      </c>
      <c r="R374" t="b" cm="1">
        <f t="array" ref="R374">SUMPRODUCT(--EXACT($J$2:$J$490,J374))&gt;1</f>
        <v>0</v>
      </c>
      <c r="S374" t="s">
        <v>4542</v>
      </c>
    </row>
    <row r="375" spans="1:19">
      <c r="A375" s="30">
        <v>3</v>
      </c>
      <c r="B375" s="30" t="s">
        <v>1393</v>
      </c>
      <c r="C375" s="30"/>
      <c r="D375" s="30" t="s">
        <v>1208</v>
      </c>
      <c r="E375" s="30" t="s">
        <v>984</v>
      </c>
      <c r="F375" s="30" t="s">
        <v>316</v>
      </c>
      <c r="G375" s="39" t="str">
        <f>VLOOKUP(F375,glossary!J:N,2,FALSE)</f>
        <v>Service/Retrieval Comments</v>
      </c>
      <c r="H375" s="34" t="s">
        <v>316</v>
      </c>
      <c r="I375" s="45" t="str">
        <f t="shared" si="17"/>
        <v>service_retrieval_comments_tu</v>
      </c>
      <c r="J375" s="42" t="s">
        <v>757</v>
      </c>
      <c r="K375" s="39" t="str">
        <f>VLOOKUP(F375,glossary!J:N,5,FALSE)</f>
        <v>Comments describing additional details about the Service*/Retrieval.</v>
      </c>
      <c r="L375" t="s">
        <v>1487</v>
      </c>
      <c r="M375" s="30" t="str">
        <f t="shared" si="18"/>
        <v>{{ service_retrieval_comments_tu }}</v>
      </c>
      <c r="N375" t="s">
        <v>896</v>
      </c>
      <c r="O375" s="13" t="s">
        <v>1816</v>
      </c>
      <c r="P375" t="s">
        <v>4081</v>
      </c>
      <c r="Q375" t="str">
        <f t="shared" si="19"/>
        <v xml:space="preserve">    service_retrieval_comments_tu: "&lt;a href=\"09_glossary.html#service_retrieval_comments\" target=\"_blank\" data-bs-toggle=\"tooltip\" data-bs-title=\"Service/Retrieval Comments: Comments describing additional details about the Service*/Retrieval.\"&gt;Service/Retrieval Comments&lt;button type=\"button\" class=\"btn btn-bd-tip-info-hidden btn-sm position-relative\"&gt;.&lt;span class=\"position-absolute top-0 start-100 translate-middle\"&gt;{{ icon_info }}&lt;/span&gt;&lt;/button&gt;&lt;/a&gt;"</v>
      </c>
      <c r="R375" t="b" cm="1">
        <f t="array" ref="R375">SUMPRODUCT(--EXACT($J$2:$J$490,J375))&gt;1</f>
        <v>0</v>
      </c>
      <c r="S375" t="s">
        <v>4543</v>
      </c>
    </row>
    <row r="376" spans="1:19">
      <c r="A376" s="30">
        <v>3</v>
      </c>
      <c r="B376" s="30" t="s">
        <v>1393</v>
      </c>
      <c r="C376" s="30"/>
      <c r="D376" s="30" t="s">
        <v>1208</v>
      </c>
      <c r="E376" s="30" t="s">
        <v>984</v>
      </c>
      <c r="F376" s="30" t="s">
        <v>256</v>
      </c>
      <c r="G376" s="39" t="str">
        <f>VLOOKUP(F376,glossary!J:N,2,FALSE)</f>
        <v>Service/Retrieval Crew</v>
      </c>
      <c r="H376" s="34" t="s">
        <v>256</v>
      </c>
      <c r="I376" s="45" t="str">
        <f t="shared" si="17"/>
        <v>service_retrieval_crew_tu</v>
      </c>
      <c r="J376" s="42" t="s">
        <v>715</v>
      </c>
      <c r="K376" s="39" t="str">
        <f>VLOOKUP(F376,glossary!J:N,5,FALSE)</f>
        <v>The first and last names of the individuals who collected data during the Service*/Retrieval visit.</v>
      </c>
      <c r="L376" t="s">
        <v>1486</v>
      </c>
      <c r="M376" s="30" t="str">
        <f t="shared" si="18"/>
        <v>{{ service_retrieval_crew_tu }}</v>
      </c>
      <c r="N376" t="s">
        <v>896</v>
      </c>
      <c r="O376" s="13" t="s">
        <v>1816</v>
      </c>
      <c r="P376" t="s">
        <v>4081</v>
      </c>
      <c r="Q376" t="str">
        <f t="shared" si="19"/>
        <v xml:space="preserve">    service_retrieval_crew_tu: "&lt;a href=\"09_glossary.html#service_retrieval_crew\" target=\"_blank\" data-bs-toggle=\"tooltip\" data-bs-title=\"Service/Retrieval Crew: The first and last names of the individuals who collected data during the Service*/Retrieval visit.\"&gt;Service/Retrieval Crew&lt;button type=\"button\" class=\"btn btn-bd-tip-info-hidden btn-sm position-relative\"&gt;.&lt;span class=\"position-absolute top-0 start-100 translate-middle\"&gt;{{ icon_info }}&lt;/span&gt;&lt;/button&gt;&lt;/a&gt;"</v>
      </c>
      <c r="R376" t="b" cm="1">
        <f t="array" ref="R376">SUMPRODUCT(--EXACT($J$2:$J$490,J376))&gt;1</f>
        <v>0</v>
      </c>
      <c r="S376" t="s">
        <v>4544</v>
      </c>
    </row>
    <row r="377" spans="1:19">
      <c r="A377" s="30">
        <v>3</v>
      </c>
      <c r="B377" s="30" t="s">
        <v>1393</v>
      </c>
      <c r="C377" s="30"/>
      <c r="D377" s="30" t="s">
        <v>1207</v>
      </c>
      <c r="E377" s="30" t="s">
        <v>984</v>
      </c>
      <c r="F377" s="30" t="s">
        <v>113</v>
      </c>
      <c r="G377" s="39" t="str">
        <f>VLOOKUP(F377,glossary!J:N,2,FALSE)</f>
        <v>Service/Retrieval metadata</v>
      </c>
      <c r="H377" s="34" t="s">
        <v>113</v>
      </c>
      <c r="I377" s="45" t="str">
        <f t="shared" si="17"/>
        <v>service_retrieval_metadata_tl</v>
      </c>
      <c r="J377" s="43" t="s">
        <v>973</v>
      </c>
      <c r="K377" s="39" t="str">
        <f>VLOOKUP(F377,glossary!J:N,5,FALSE)</f>
        <v>Metadata that should be collected each time a camera location is visited to Service*/Retrieval Field Datasheet.</v>
      </c>
      <c r="L377" t="s">
        <v>1485</v>
      </c>
      <c r="M377" s="30" t="str">
        <f t="shared" si="18"/>
        <v>{{ service_retrieval_metadata_tl }}</v>
      </c>
      <c r="N377" t="s">
        <v>896</v>
      </c>
      <c r="O377" s="13" t="s">
        <v>1816</v>
      </c>
      <c r="P377" t="s">
        <v>4081</v>
      </c>
      <c r="Q377" t="str">
        <f t="shared" si="19"/>
        <v xml:space="preserve">    service_retrieval_metadata_tl: "&lt;a href=\"09_glossary.html#service_retrieval_metadata\" target=\"_blank\" data-bs-toggle=\"tooltip\" data-bs-title=\"Service/Retrieval metadata: Metadata that should be collected each time a camera location is visited to Service*/Retrieval Field Datasheet.\"&gt;service/retrieval metadata&lt;button type=\"button\" class=\"btn btn-bd-tip-info-hidden btn-sm position-relative\"&gt;.&lt;span class=\"position-absolute top-0 start-100 translate-middle\"&gt;{{ icon_info }}&lt;/span&gt;&lt;/button&gt;&lt;/a&gt;"</v>
      </c>
      <c r="R377" t="b" cm="1">
        <f t="array" ref="R377">SUMPRODUCT(--EXACT($J$2:$J$490,J377))&gt;1</f>
        <v>0</v>
      </c>
      <c r="S377" t="s">
        <v>4545</v>
      </c>
    </row>
    <row r="378" spans="1:19">
      <c r="A378" s="30">
        <v>3</v>
      </c>
      <c r="B378" s="30" t="s">
        <v>1393</v>
      </c>
      <c r="C378" s="30"/>
      <c r="D378" s="30" t="s">
        <v>1208</v>
      </c>
      <c r="E378" s="30" t="s">
        <v>984</v>
      </c>
      <c r="F378" s="30" t="s">
        <v>113</v>
      </c>
      <c r="G378" s="39" t="str">
        <f>VLOOKUP(F378,glossary!J:N,2,FALSE)</f>
        <v>Service/Retrieval metadata</v>
      </c>
      <c r="H378" s="34" t="s">
        <v>113</v>
      </c>
      <c r="I378" s="45" t="str">
        <f t="shared" si="17"/>
        <v>service_retrieval_metadata_tu</v>
      </c>
      <c r="J378" s="42" t="s">
        <v>716</v>
      </c>
      <c r="K378" s="39" t="str">
        <f>VLOOKUP(F378,glossary!J:N,5,FALSE)</f>
        <v>Metadata that should be collected each time a camera location is visited to Service*/Retrieval Field Datasheet.</v>
      </c>
      <c r="L378" t="s">
        <v>1484</v>
      </c>
      <c r="M378" s="30" t="str">
        <f t="shared" si="18"/>
        <v>{{ service_retrieval_metadata_tu }}</v>
      </c>
      <c r="N378" t="s">
        <v>896</v>
      </c>
      <c r="O378" s="13" t="s">
        <v>1816</v>
      </c>
      <c r="P378" t="s">
        <v>4081</v>
      </c>
      <c r="Q378" t="str">
        <f t="shared" si="19"/>
        <v xml:space="preserve">    service_retrieval_metadata_tu: "&lt;a href=\"09_glossary.html#service_retrieval_metadata\" target=\"_blank\" data-bs-toggle=\"tooltip\" data-bs-title=\"Service/Retrieval metadata: Metadata that should be collected each time a camera location is visited to Service*/Retrieval Field Datasheet.\"&gt;Service/Retrieval metadata&lt;button type=\"button\" class=\"btn btn-bd-tip-info-hidden btn-sm position-relative\"&gt;.&lt;span class=\"position-absolute top-0 start-100 translate-middle\"&gt;{{ icon_info }}&lt;/span&gt;&lt;/button&gt;&lt;/a&gt;"</v>
      </c>
      <c r="R378" t="b" cm="1">
        <f t="array" ref="R378">SUMPRODUCT(--EXACT($J$2:$J$490,J378))&gt;1</f>
        <v>0</v>
      </c>
      <c r="S378" t="s">
        <v>4546</v>
      </c>
    </row>
    <row r="379" spans="1:19">
      <c r="A379" s="30">
        <v>3</v>
      </c>
      <c r="B379" s="30" t="s">
        <v>1393</v>
      </c>
      <c r="C379" s="30"/>
      <c r="D379" s="30" t="s">
        <v>1207</v>
      </c>
      <c r="E379" s="30" t="s">
        <v>984</v>
      </c>
      <c r="F379" s="30" t="s">
        <v>110</v>
      </c>
      <c r="G379" s="39" t="str">
        <f>VLOOKUP(F379,glossary!J:N,2,FALSE)</f>
        <v>Service/Retrieval visit</v>
      </c>
      <c r="H379" s="34" t="s">
        <v>110</v>
      </c>
      <c r="I379" s="45" t="str">
        <f t="shared" si="17"/>
        <v>service_retrieval_visit_tl</v>
      </c>
      <c r="J379" s="43" t="s">
        <v>974</v>
      </c>
      <c r="K379" s="39" t="str">
        <f>VLOOKUP(F379,glossary!J:N,5,FALSE)</f>
        <v>When a crew has gone to a location to service or retrieve a remote camera.</v>
      </c>
      <c r="L379" t="s">
        <v>1483</v>
      </c>
      <c r="M379" s="30" t="str">
        <f t="shared" si="18"/>
        <v>{{ service_retrieval_visit_tl }}</v>
      </c>
      <c r="N379" t="s">
        <v>896</v>
      </c>
      <c r="O379" s="13" t="s">
        <v>1816</v>
      </c>
      <c r="P379" t="s">
        <v>4081</v>
      </c>
      <c r="Q379" t="str">
        <f t="shared" si="19"/>
        <v xml:space="preserve">    service_retrieval_visit_tl: "&lt;a href=\"09_glossary.html#service_retrieval_visit\" target=\"_blank\" data-bs-toggle=\"tooltip\" data-bs-title=\"Service/Retrieval visit: When a crew has gone to a location to service or retrieve a remote camera.\"&gt;service/retrieval visit&lt;button type=\"button\" class=\"btn btn-bd-tip-info-hidden btn-sm position-relative\"&gt;.&lt;span class=\"position-absolute top-0 start-100 translate-middle\"&gt;{{ icon_info }}&lt;/span&gt;&lt;/button&gt;&lt;/a&gt;"</v>
      </c>
      <c r="R379" t="b" cm="1">
        <f t="array" ref="R379">SUMPRODUCT(--EXACT($J$2:$J$490,J379))&gt;1</f>
        <v>0</v>
      </c>
      <c r="S379" t="s">
        <v>4547</v>
      </c>
    </row>
    <row r="380" spans="1:19">
      <c r="A380" s="30">
        <v>3</v>
      </c>
      <c r="B380" s="30" t="s">
        <v>1393</v>
      </c>
      <c r="C380" s="30"/>
      <c r="D380" s="30" t="s">
        <v>1208</v>
      </c>
      <c r="E380" s="30" t="s">
        <v>984</v>
      </c>
      <c r="F380" s="30" t="s">
        <v>110</v>
      </c>
      <c r="G380" s="39" t="str">
        <f>VLOOKUP(F380,glossary!J:N,2,FALSE)</f>
        <v>Service/Retrieval visit</v>
      </c>
      <c r="H380" s="34" t="s">
        <v>110</v>
      </c>
      <c r="I380" s="45" t="str">
        <f t="shared" si="17"/>
        <v>service_retrieval_visit_tu</v>
      </c>
      <c r="J380" s="42" t="s">
        <v>717</v>
      </c>
      <c r="K380" s="39" t="str">
        <f>VLOOKUP(F380,glossary!J:N,5,FALSE)</f>
        <v>When a crew has gone to a location to service or retrieve a remote camera.</v>
      </c>
      <c r="L380" t="s">
        <v>1482</v>
      </c>
      <c r="M380" s="30" t="str">
        <f t="shared" ref="M380:M411" si="20">"{{ "&amp;I380&amp;" }}"</f>
        <v>{{ service_retrieval_visit_tu }}</v>
      </c>
      <c r="N380" t="s">
        <v>896</v>
      </c>
      <c r="O380" s="13" t="s">
        <v>1816</v>
      </c>
      <c r="P380" t="s">
        <v>4081</v>
      </c>
      <c r="Q380" t="str">
        <f t="shared" ref="Q380:Q411" si="21">IF(K380&lt;&gt;"-",("    "&amp;I380&amp;": "&amp;""""&amp;"&lt;a href=\"&amp;""""&amp;"09_glossary.html#"&amp;H380&amp;N380&amp;G380&amp;": "&amp;K380&amp;O380&amp;J380&amp;P380&amp;""""),"-")</f>
        <v xml:space="preserve">    service_retrieval_visit_tu: "&lt;a href=\"09_glossary.html#service_retrieval_visit\" target=\"_blank\" data-bs-toggle=\"tooltip\" data-bs-title=\"Service/Retrieval visit: When a crew has gone to a location to service or retrieve a remote camera.\"&gt;Service/Retrieval visit&lt;button type=\"button\" class=\"btn btn-bd-tip-info-hidden btn-sm position-relative\"&gt;.&lt;span class=\"position-absolute top-0 start-100 translate-middle\"&gt;{{ icon_info }}&lt;/span&gt;&lt;/button&gt;&lt;/a&gt;"</v>
      </c>
      <c r="R380" t="b" cm="1">
        <f t="array" ref="R380">SUMPRODUCT(--EXACT($J$2:$J$490,J380))&gt;1</f>
        <v>0</v>
      </c>
      <c r="S380" t="s">
        <v>4548</v>
      </c>
    </row>
    <row r="381" spans="1:19">
      <c r="A381" s="30">
        <v>3</v>
      </c>
      <c r="B381" s="30" t="s">
        <v>1393</v>
      </c>
      <c r="C381" s="30"/>
      <c r="D381" s="30" t="s">
        <v>1207</v>
      </c>
      <c r="E381" s="30" t="s">
        <v>984</v>
      </c>
      <c r="F381" s="30" t="s">
        <v>185</v>
      </c>
      <c r="G381" s="39" t="str">
        <f>VLOOKUP(F381,glossary!J:N,2,FALSE)</f>
        <v>Flash output</v>
      </c>
      <c r="H381" s="34" t="s">
        <v>185</v>
      </c>
      <c r="I381" s="45" t="str">
        <f t="shared" si="17"/>
        <v>settings_flash_output_tl</v>
      </c>
      <c r="J381" s="43" t="s">
        <v>921</v>
      </c>
      <c r="K381" s="39" t="str">
        <f>VLOOKUP(F381,glossary!J:N,5,FALSE)</f>
        <v>The camera setting that provides the level of intensity of the flash (if enabled).</v>
      </c>
      <c r="L381" t="s">
        <v>1481</v>
      </c>
      <c r="M381" s="30" t="str">
        <f t="shared" si="20"/>
        <v>{{ settings_flash_output_tl }}</v>
      </c>
      <c r="N381" t="s">
        <v>896</v>
      </c>
      <c r="O381" s="13" t="s">
        <v>1816</v>
      </c>
      <c r="P381" t="s">
        <v>4081</v>
      </c>
      <c r="Q381" t="str">
        <f t="shared" si="21"/>
        <v xml:space="preserve">    settings_flash_output_tl: "&lt;a href=\"09_glossary.html#settings_flash_output\" target=\"_blank\" data-bs-toggle=\"tooltip\" data-bs-title=\"Flash output: The camera setting that provides the level of intensity of the flash (if enabled).\"&gt;flash output&lt;button type=\"button\" class=\"btn btn-bd-tip-info-hidden btn-sm position-relative\"&gt;.&lt;span class=\"position-absolute top-0 start-100 translate-middle\"&gt;{{ icon_info }}&lt;/span&gt;&lt;/button&gt;&lt;/a&gt;"</v>
      </c>
      <c r="R381" t="b" cm="1">
        <f t="array" ref="R381">SUMPRODUCT(--EXACT($J$2:$J$490,J381))&gt;1</f>
        <v>0</v>
      </c>
      <c r="S381" t="s">
        <v>4549</v>
      </c>
    </row>
    <row r="382" spans="1:19">
      <c r="A382" s="30">
        <v>3</v>
      </c>
      <c r="B382" s="30" t="s">
        <v>1393</v>
      </c>
      <c r="C382" s="30"/>
      <c r="D382" s="30" t="s">
        <v>1208</v>
      </c>
      <c r="E382" s="30" t="s">
        <v>984</v>
      </c>
      <c r="F382" s="30" t="s">
        <v>185</v>
      </c>
      <c r="G382" s="39" t="str">
        <f>VLOOKUP(F382,glossary!J:N,2,FALSE)</f>
        <v>Flash output</v>
      </c>
      <c r="H382" s="34" t="s">
        <v>185</v>
      </c>
      <c r="I382" s="45" t="str">
        <f t="shared" si="17"/>
        <v>settings_flash_output_tu</v>
      </c>
      <c r="J382" s="42" t="s">
        <v>187</v>
      </c>
      <c r="K382" s="39" t="str">
        <f>VLOOKUP(F382,glossary!J:N,5,FALSE)</f>
        <v>The camera setting that provides the level of intensity of the flash (if enabled).</v>
      </c>
      <c r="L382" t="s">
        <v>1480</v>
      </c>
      <c r="M382" s="30" t="str">
        <f t="shared" si="20"/>
        <v>{{ settings_flash_output_tu }}</v>
      </c>
      <c r="N382" t="s">
        <v>896</v>
      </c>
      <c r="O382" s="13" t="s">
        <v>1816</v>
      </c>
      <c r="P382" t="s">
        <v>4081</v>
      </c>
      <c r="Q382" t="str">
        <f t="shared" si="21"/>
        <v xml:space="preserve">    settings_flash_output_tu: "&lt;a href=\"09_glossary.html#settings_flash_output\" target=\"_blank\" data-bs-toggle=\"tooltip\" data-bs-title=\"Flash output: The camera setting that provides the level of intensity of the flash (if enabled).\"&gt;Flash output&lt;button type=\"button\" class=\"btn btn-bd-tip-info-hidden btn-sm position-relative\"&gt;.&lt;span class=\"position-absolute top-0 start-100 translate-middle\"&gt;{{ icon_info }}&lt;/span&gt;&lt;/button&gt;&lt;/a&gt;"</v>
      </c>
      <c r="R382" t="b" cm="1">
        <f t="array" ref="R382">SUMPRODUCT(--EXACT($J$2:$J$490,J382))&gt;1</f>
        <v>0</v>
      </c>
      <c r="S382" t="s">
        <v>4550</v>
      </c>
    </row>
    <row r="383" spans="1:19">
      <c r="A383" s="30">
        <v>3</v>
      </c>
      <c r="B383" s="30" t="s">
        <v>1393</v>
      </c>
      <c r="C383" s="30"/>
      <c r="D383" s="30" t="s">
        <v>1207</v>
      </c>
      <c r="E383" s="30" t="s">
        <v>984</v>
      </c>
      <c r="F383" s="30" t="s">
        <v>168</v>
      </c>
      <c r="G383" s="39" t="str">
        <f>VLOOKUP(F383,glossary!J:N,2,FALSE)</f>
        <v>Infrared illuminator</v>
      </c>
      <c r="H383" s="34" t="s">
        <v>168</v>
      </c>
      <c r="I383" s="45" t="str">
        <f t="shared" si="17"/>
        <v>settings_infrared_illum_tl</v>
      </c>
      <c r="J383" s="43" t="s">
        <v>929</v>
      </c>
      <c r="K383" s="39" t="str">
        <f>VLOOKUP(F383,glossary!J:N,5,FALSE)</f>
        <v>The camera setting that can be enabled (if applicable to the camera make and camera model) to obtain greater visibility at night by producing infrared light. This field is categorical; leave blank if not applicable and record 'Unknown' if not known.</v>
      </c>
      <c r="L383" t="s">
        <v>1479</v>
      </c>
      <c r="M383" s="30" t="str">
        <f t="shared" si="20"/>
        <v>{{ settings_infrared_illum_tl }}</v>
      </c>
      <c r="N383" t="s">
        <v>896</v>
      </c>
      <c r="O383" s="13" t="s">
        <v>1816</v>
      </c>
      <c r="P383" t="s">
        <v>4081</v>
      </c>
      <c r="Q383" t="str">
        <f t="shared" si="21"/>
        <v xml:space="preserve">    settings_infrared_illum_tl: "&lt;a href=\"09_glossary.html#settings_infrared_illum\" target=\"_blank\" data-bs-toggle=\"tooltip\" data-bs-title=\"Infrared illuminator: The camera setting that can be enabled (if applicable to the camera make and camera model) to obtain greater visibility at night by producing infrared light. This field is categorical; leave blank if not applicable and record 'Unknown' if not known.\"&gt;infrared illuminator&lt;button type=\"button\" class=\"btn btn-bd-tip-info-hidden btn-sm position-relative\"&gt;.&lt;span class=\"position-absolute top-0 start-100 translate-middle\"&gt;{{ icon_info }}&lt;/span&gt;&lt;/button&gt;&lt;/a&gt;"</v>
      </c>
      <c r="R383" t="b" cm="1">
        <f t="array" ref="R383">SUMPRODUCT(--EXACT($J$2:$J$490,J383))&gt;1</f>
        <v>0</v>
      </c>
      <c r="S383" t="s">
        <v>4551</v>
      </c>
    </row>
    <row r="384" spans="1:19">
      <c r="A384" s="30">
        <v>3</v>
      </c>
      <c r="B384" s="30" t="s">
        <v>1393</v>
      </c>
      <c r="C384" s="30"/>
      <c r="D384" s="30" t="s">
        <v>1208</v>
      </c>
      <c r="E384" s="30" t="s">
        <v>984</v>
      </c>
      <c r="F384" s="30" t="s">
        <v>168</v>
      </c>
      <c r="G384" s="39" t="str">
        <f>VLOOKUP(F384,glossary!J:N,2,FALSE)</f>
        <v>Infrared illuminator</v>
      </c>
      <c r="H384" s="34" t="s">
        <v>168</v>
      </c>
      <c r="I384" s="45" t="str">
        <f t="shared" si="17"/>
        <v>settings_infrared_illum_tu</v>
      </c>
      <c r="J384" s="42" t="s">
        <v>169</v>
      </c>
      <c r="K384" s="39" t="str">
        <f>VLOOKUP(F384,glossary!J:N,5,FALSE)</f>
        <v>The camera setting that can be enabled (if applicable to the camera make and camera model) to obtain greater visibility at night by producing infrared light. This field is categorical; leave blank if not applicable and record 'Unknown' if not known.</v>
      </c>
      <c r="L384" t="s">
        <v>1478</v>
      </c>
      <c r="M384" s="30" t="str">
        <f t="shared" si="20"/>
        <v>{{ settings_infrared_illum_tu }}</v>
      </c>
      <c r="N384" t="s">
        <v>896</v>
      </c>
      <c r="O384" s="13" t="s">
        <v>1816</v>
      </c>
      <c r="P384" t="s">
        <v>4081</v>
      </c>
      <c r="Q384" t="str">
        <f t="shared" si="21"/>
        <v xml:space="preserve">    settings_infrared_illum_tu: "&lt;a href=\"09_glossary.html#settings_infrared_illum\" target=\"_blank\" data-bs-toggle=\"tooltip\" data-bs-title=\"Infrared illuminator: The camera setting that can be enabled (if applicable to the camera make and camera model) to obtain greater visibility at night by producing infrared light. This field is categorical; leave blank if not applicable and record 'Unknown' if not known.\"&gt;Infrared illuminator&lt;button type=\"button\" class=\"btn btn-bd-tip-info-hidden btn-sm position-relative\"&gt;.&lt;span class=\"position-absolute top-0 start-100 translate-middle\"&gt;{{ icon_info }}&lt;/span&gt;&lt;/button&gt;&lt;/a&gt;"</v>
      </c>
      <c r="R384" t="b" cm="1">
        <f t="array" ref="R384">SUMPRODUCT(--EXACT($J$2:$J$490,J384))&gt;1</f>
        <v>0</v>
      </c>
      <c r="S384" t="s">
        <v>4552</v>
      </c>
    </row>
    <row r="385" spans="1:19">
      <c r="A385" s="30">
        <v>1</v>
      </c>
      <c r="B385" s="30" t="s">
        <v>1064</v>
      </c>
      <c r="C385" s="30" t="s">
        <v>0</v>
      </c>
      <c r="D385" s="30" t="s">
        <v>1208</v>
      </c>
      <c r="E385" s="30" t="s">
        <v>1757</v>
      </c>
      <c r="F385" s="30" t="s">
        <v>1265</v>
      </c>
      <c r="G385" s="39" t="str">
        <f>VLOOKUP(F385,glossary!J:N,2,FALSE)</f>
        <v>Motion Image Interval (seconds)</v>
      </c>
      <c r="H385" s="30" t="s">
        <v>1265</v>
      </c>
      <c r="I385" s="45" t="str">
        <f t="shared" si="17"/>
        <v>settings_motion_img_interval_tu_nu</v>
      </c>
      <c r="J385" s="39" t="s">
        <v>1075</v>
      </c>
      <c r="K385" s="39" t="str">
        <f>VLOOKUP(F385,glossary!J:N,5,FALSE)</f>
        <v>The time (in seconds) between images within a multi-image sequence that occur due to motion, heat, or activation of external detector devices. The Motion Image Interval is pre-set in the camera’s settings by the user, but the time at which the camera collects images because of this setting is influenced by the presence of movement or heat. For example, if the camera was set to take 3 images per event at a Motion Image Interval of 3 seconds when the camera detects motion or heat, the first image will be collected (e.g., at 09:00:00), the second image will be collected 3 seconds later (09:00:03), and the third will be collected 3 seconds after that (09:00:06).  &lt;br&gt; &lt;br&gt; This setting differs from the Quiet Period in that the delay occurs between images contained within a multi-image sequence, rather than between multi-image sequences (as in Quiet Period). If a Motion Image Interval was not set, enter '0' seconds (i.e., instantaneous).</v>
      </c>
      <c r="L385" s="30" t="s">
        <v>1270</v>
      </c>
      <c r="M385" s="30" t="str">
        <f t="shared" si="20"/>
        <v>{{ settings_motion_img_interval_tu_nu }}</v>
      </c>
      <c r="N385" t="s">
        <v>896</v>
      </c>
      <c r="O385" s="13" t="s">
        <v>1816</v>
      </c>
      <c r="P385" t="s">
        <v>4081</v>
      </c>
      <c r="Q385" t="str">
        <f t="shared" si="21"/>
        <v xml:space="preserve">    settings_motion_img_interval_tu_nu: "&lt;a href=\"09_glossary.html#settings_motion_img_interval\" target=\"_blank\" data-bs-toggle=\"tooltip\" data-bs-title=\"Motion Image Interval (seconds): The time (in seconds) between images within a multi-image sequence that occur due to motion, heat, or activation of external detector devices. The Motion Image Interval is pre-set in the camera’s settings by the user, but the time at which the camera collects images because of this setting is influenced by the presence of movement or heat. For example, if the camera was set to take 3 images per event at a Motion Image Interval of 3 seconds when the camera detects motion or heat, the first image will be collected (e.g., at 09:00:00), the second image will be collected 3 seconds later (09:00:03), and the third will be collected 3 seconds after that (09:00:06).  &lt;br&gt; &lt;br&gt; This setting differs from the Quiet Period in that the delay occurs between images contained within a multi-image sequence, rather than between multi-image sequences (as in Quiet Period). If a Motion Image Interval was not set, enter '0' seconds (i.e., instantaneous).\"&gt;Motion Image Interval&lt;button type=\"button\" class=\"btn btn-bd-tip-info-hidden btn-sm position-relative\"&gt;.&lt;span class=\"position-absolute top-0 start-100 translate-middle\"&gt;{{ icon_info }}&lt;/span&gt;&lt;/button&gt;&lt;/a&gt;"</v>
      </c>
      <c r="R385" t="b" cm="1">
        <f t="array" ref="R385">SUMPRODUCT(--EXACT($J$2:$J$490,J385))&gt;1</f>
        <v>0</v>
      </c>
      <c r="S385" t="s">
        <v>4553</v>
      </c>
    </row>
    <row r="386" spans="1:19">
      <c r="A386" s="30">
        <v>3</v>
      </c>
      <c r="B386" s="30" t="s">
        <v>1393</v>
      </c>
      <c r="C386" s="30"/>
      <c r="D386" s="30" t="s">
        <v>1208</v>
      </c>
      <c r="E386" s="30" t="s">
        <v>1751</v>
      </c>
      <c r="F386" s="30" t="s">
        <v>1265</v>
      </c>
      <c r="G386" s="39" t="str">
        <f>VLOOKUP(F386,glossary!J:N,2,FALSE)</f>
        <v>Motion Image Interval (seconds)</v>
      </c>
      <c r="H386" s="34" t="s">
        <v>1265</v>
      </c>
      <c r="I386" s="45" t="str">
        <f t="shared" ref="I386:I449" si="22">IF(D386="-","-",IF(E386&lt;&gt;"-",(H386&amp;"_"&amp;D386&amp;"_"&amp;E386),H386&amp;"_"&amp;D386))</f>
        <v>settings_motion_img_interval_tu_u</v>
      </c>
      <c r="J386" s="42" t="s">
        <v>718</v>
      </c>
      <c r="K386" s="39" t="str">
        <f>VLOOKUP(F386,glossary!J:N,5,FALSE)</f>
        <v>The time (in seconds) between images within a multi-image sequence that occur due to motion, heat, or activation of external detector devices. The Motion Image Interval is pre-set in the camera’s settings by the user, but the time at which the camera collects images because of this setting is influenced by the presence of movement or heat. For example, if the camera was set to take 3 images per event at a Motion Image Interval of 3 seconds when the camera detects motion or heat, the first image will be collected (e.g., at 09:00:00), the second image will be collected 3 seconds later (09:00:03), and the third will be collected 3 seconds after that (09:00:06).  &lt;br&gt; &lt;br&gt; This setting differs from the Quiet Period in that the delay occurs between images contained within a multi-image sequence, rather than between multi-image sequences (as in Quiet Period). If a Motion Image Interval was not set, enter '0' seconds (i.e., instantaneous).</v>
      </c>
      <c r="L386" t="s">
        <v>1477</v>
      </c>
      <c r="M386" s="30" t="str">
        <f t="shared" si="20"/>
        <v>{{ settings_motion_img_interval_tu_u }}</v>
      </c>
      <c r="N386" t="s">
        <v>896</v>
      </c>
      <c r="O386" s="13" t="s">
        <v>1816</v>
      </c>
      <c r="P386" t="s">
        <v>4081</v>
      </c>
      <c r="Q386" t="str">
        <f t="shared" si="21"/>
        <v xml:space="preserve">    settings_motion_img_interval_tu_u: "&lt;a href=\"09_glossary.html#settings_motion_img_interval\" target=\"_blank\" data-bs-toggle=\"tooltip\" data-bs-title=\"Motion Image Interval (seconds): The time (in seconds) between images within a multi-image sequence that occur due to motion, heat, or activation of external detector devices. The Motion Image Interval is pre-set in the camera’s settings by the user, but the time at which the camera collects images because of this setting is influenced by the presence of movement or heat. For example, if the camera was set to take 3 images per event at a Motion Image Interval of 3 seconds when the camera detects motion or heat, the first image will be collected (e.g., at 09:00:00), the second image will be collected 3 seconds later (09:00:03), and the third will be collected 3 seconds after that (09:00:06).  &lt;br&gt; &lt;br&gt; This setting differs from the Quiet Period in that the delay occurs between images contained within a multi-image sequence, rather than between multi-image sequences (as in Quiet Period). If a Motion Image Interval was not set, enter '0' seconds (i.e., instantaneous).\"&gt;Motion Image Interval (seconds)&lt;button type=\"button\" class=\"btn btn-bd-tip-info-hidden btn-sm position-relative\"&gt;.&lt;span class=\"position-absolute top-0 start-100 translate-middle\"&gt;{{ icon_info }}&lt;/span&gt;&lt;/button&gt;&lt;/a&gt;"</v>
      </c>
      <c r="R386" t="b" cm="1">
        <f t="array" ref="R386">SUMPRODUCT(--EXACT($J$2:$J$490,J386))&gt;1</f>
        <v>0</v>
      </c>
      <c r="S386" t="s">
        <v>4554</v>
      </c>
    </row>
    <row r="387" spans="1:19">
      <c r="A387" s="30">
        <v>3</v>
      </c>
      <c r="B387" s="30" t="s">
        <v>1393</v>
      </c>
      <c r="C387" s="30"/>
      <c r="D387" s="30" t="s">
        <v>1208</v>
      </c>
      <c r="E387" s="30" t="s">
        <v>984</v>
      </c>
      <c r="F387" s="30" t="s">
        <v>274</v>
      </c>
      <c r="G387" s="39" t="str">
        <f>VLOOKUP(F387,glossary!J:N,2,FALSE)</f>
        <v>Photos Per Trigger</v>
      </c>
      <c r="H387" s="34" t="s">
        <v>274</v>
      </c>
      <c r="I387" s="45" t="str">
        <f t="shared" si="22"/>
        <v>settings_photos_per_trigger_tu</v>
      </c>
      <c r="J387" s="42" t="s">
        <v>719</v>
      </c>
      <c r="K387" s="39" t="str">
        <f>VLOOKUP(F387,glossary!J:N,5,FALSE)</f>
        <v>The camera setting that describes the number of photos taken each time the camera is triggered.</v>
      </c>
      <c r="L387" t="s">
        <v>1476</v>
      </c>
      <c r="M387" s="30" t="str">
        <f t="shared" si="20"/>
        <v>{{ settings_photos_per_trigger_tu }}</v>
      </c>
      <c r="N387" t="s">
        <v>896</v>
      </c>
      <c r="O387" s="13" t="s">
        <v>1816</v>
      </c>
      <c r="P387" t="s">
        <v>4081</v>
      </c>
      <c r="Q387" t="str">
        <f t="shared" si="21"/>
        <v xml:space="preserve">    settings_photos_per_trigger_tu: "&lt;a href=\"09_glossary.html#settings_photos_per_trigger\" target=\"_blank\" data-bs-toggle=\"tooltip\" data-bs-title=\"Photos Per Trigger: The camera setting that describes the number of photos taken each time the camera is triggered.\"&gt;Photos Per Trigger&lt;button type=\"button\" class=\"btn btn-bd-tip-info-hidden btn-sm position-relative\"&gt;.&lt;span class=\"position-absolute top-0 start-100 translate-middle\"&gt;{{ icon_info }}&lt;/span&gt;&lt;/button&gt;&lt;/a&gt;"</v>
      </c>
      <c r="R387" t="b" cm="1">
        <f t="array" ref="R387">SUMPRODUCT(--EXACT($J$2:$J$490,J387))&gt;1</f>
        <v>0</v>
      </c>
      <c r="S387" t="s">
        <v>4555</v>
      </c>
    </row>
    <row r="388" spans="1:19">
      <c r="A388" s="30">
        <v>1</v>
      </c>
      <c r="B388" s="30" t="s">
        <v>1064</v>
      </c>
      <c r="C388" s="30" t="s">
        <v>0</v>
      </c>
      <c r="D388" s="30" t="s">
        <v>1208</v>
      </c>
      <c r="E388" s="30" t="s">
        <v>1757</v>
      </c>
      <c r="F388" s="30" t="s">
        <v>261</v>
      </c>
      <c r="G388" s="39" t="str">
        <f>VLOOKUP(F388,glossary!J:N,2,FALSE)</f>
        <v>Quiet Period (seconds)</v>
      </c>
      <c r="H388" s="30" t="s">
        <v>261</v>
      </c>
      <c r="I388" s="45" t="str">
        <f t="shared" si="22"/>
        <v>settings_quiet_period_tu_nu</v>
      </c>
      <c r="J388" s="39" t="s">
        <v>1086</v>
      </c>
      <c r="K388" s="39" t="str">
        <f>VLOOKUP(F388,glossary!J:N,5,FALSE)</f>
        <v>The user-defined camera setting which provides the time (in seconds) between shutter 'triggers' if the camera was programmed to pause between firing initially and firing a second time. If a Quiet Period was not set, enter '0.' &lt;br&gt; &lt;br&gt; Also known as 'time lag' (depending on the Camera Make and Camera Model; Palmer et al., 2018). The Quiet Period differs from the Motion Image Interval in that the delay occurs between multi-image sequences rather than between the images contained within multi-image sequences (as in the Motion Image Interval).</v>
      </c>
      <c r="L388" s="30" t="s">
        <v>1094</v>
      </c>
      <c r="M388" s="30" t="str">
        <f t="shared" si="20"/>
        <v>{{ settings_quiet_period_tu_nu }}</v>
      </c>
      <c r="N388" t="s">
        <v>896</v>
      </c>
      <c r="O388" s="13" t="s">
        <v>1816</v>
      </c>
      <c r="P388" t="s">
        <v>4081</v>
      </c>
      <c r="Q388" t="str">
        <f t="shared" si="21"/>
        <v xml:space="preserve">    settings_quiet_period_tu_nu: "&lt;a href=\"09_glossary.html#settings_quiet_period\" target=\"_blank\" data-bs-toggle=\"tooltip\" data-bs-title=\"Quiet Period (seconds): The user-defined camera setting which provides the time (in seconds) between shutter 'triggers' if the camera was programmed to pause between firing initially and firing a second time. If a Quiet Period was not set, enter '0.' &lt;br&gt; &lt;br&gt; Also known as 'time lag' (depending on the Camera Make and Camera Model; Palmer et al., 2018). The Quiet Period differs from the Motion Image Interval in that the delay occurs between multi-image sequences rather than between the images contained within multi-image sequences (as in the Motion Image Interval).\"&gt;Quiet Period &lt;button type=\"button\" class=\"btn btn-bd-tip-info-hidden btn-sm position-relative\"&gt;.&lt;span class=\"position-absolute top-0 start-100 translate-middle\"&gt;{{ icon_info }}&lt;/span&gt;&lt;/button&gt;&lt;/a&gt;"</v>
      </c>
      <c r="R388" t="b" cm="1">
        <f t="array" ref="R388">SUMPRODUCT(--EXACT($J$2:$J$490,J388))&gt;1</f>
        <v>0</v>
      </c>
      <c r="S388" t="s">
        <v>4556</v>
      </c>
    </row>
    <row r="389" spans="1:19">
      <c r="A389" s="30">
        <v>3</v>
      </c>
      <c r="B389" s="30" t="s">
        <v>1393</v>
      </c>
      <c r="C389" s="30"/>
      <c r="D389" s="30" t="s">
        <v>1208</v>
      </c>
      <c r="E389" s="30" t="s">
        <v>1751</v>
      </c>
      <c r="F389" s="30" t="s">
        <v>261</v>
      </c>
      <c r="G389" s="39" t="str">
        <f>VLOOKUP(F389,glossary!J:N,2,FALSE)</f>
        <v>Quiet Period (seconds)</v>
      </c>
      <c r="H389" s="34" t="s">
        <v>261</v>
      </c>
      <c r="I389" s="45" t="str">
        <f t="shared" si="22"/>
        <v>settings_quiet_period_tu_u</v>
      </c>
      <c r="J389" s="42" t="s">
        <v>720</v>
      </c>
      <c r="K389" s="39" t="str">
        <f>VLOOKUP(F389,glossary!J:N,5,FALSE)</f>
        <v>The user-defined camera setting which provides the time (in seconds) between shutter 'triggers' if the camera was programmed to pause between firing initially and firing a second time. If a Quiet Period was not set, enter '0.' &lt;br&gt; &lt;br&gt; Also known as 'time lag' (depending on the Camera Make and Camera Model; Palmer et al., 2018). The Quiet Period differs from the Motion Image Interval in that the delay occurs between multi-image sequences rather than between the images contained within multi-image sequences (as in the Motion Image Interval).</v>
      </c>
      <c r="L389" t="s">
        <v>1475</v>
      </c>
      <c r="M389" s="30" t="str">
        <f t="shared" si="20"/>
        <v>{{ settings_quiet_period_tu_u }}</v>
      </c>
      <c r="N389" t="s">
        <v>896</v>
      </c>
      <c r="O389" s="13" t="s">
        <v>1816</v>
      </c>
      <c r="P389" t="s">
        <v>4081</v>
      </c>
      <c r="Q389" t="str">
        <f t="shared" si="21"/>
        <v xml:space="preserve">    settings_quiet_period_tu_u: "&lt;a href=\"09_glossary.html#settings_quiet_period\" target=\"_blank\" data-bs-toggle=\"tooltip\" data-bs-title=\"Quiet Period (seconds): The user-defined camera setting which provides the time (in seconds) between shutter 'triggers' if the camera was programmed to pause between firing initially and firing a second time. If a Quiet Period was not set, enter '0.' &lt;br&gt; &lt;br&gt; Also known as 'time lag' (depending on the Camera Make and Camera Model; Palmer et al., 2018). The Quiet Period differs from the Motion Image Interval in that the delay occurs between multi-image sequences rather than between the images contained within multi-image sequences (as in the Motion Image Interval).\"&gt;Quiet Period (seconds)&lt;button type=\"button\" class=\"btn btn-bd-tip-info-hidden btn-sm position-relative\"&gt;.&lt;span class=\"position-absolute top-0 start-100 translate-middle\"&gt;{{ icon_info }}&lt;/span&gt;&lt;/button&gt;&lt;/a&gt;"</v>
      </c>
      <c r="R389" t="b" cm="1">
        <f t="array" ref="R389">SUMPRODUCT(--EXACT($J$2:$J$490,J389))&gt;1</f>
        <v>0</v>
      </c>
      <c r="S389" t="s">
        <v>4557</v>
      </c>
    </row>
    <row r="390" spans="1:19">
      <c r="A390" s="30">
        <v>3</v>
      </c>
      <c r="B390" s="30" t="s">
        <v>1393</v>
      </c>
      <c r="C390" s="30"/>
      <c r="D390" s="30" t="s">
        <v>1208</v>
      </c>
      <c r="E390" s="30" t="s">
        <v>1755</v>
      </c>
      <c r="F390" s="30" t="s">
        <v>239</v>
      </c>
      <c r="G390" s="39" t="str">
        <f>VLOOKUP(F390,glossary!J:N,2,FALSE)</f>
        <v>Trigger Mode(s) (camera settings)</v>
      </c>
      <c r="H390" s="34" t="s">
        <v>239</v>
      </c>
      <c r="I390" s="45" t="str">
        <f t="shared" si="22"/>
        <v>settings_trigger_modes_tu_mod</v>
      </c>
      <c r="J390" s="42" t="s">
        <v>1776</v>
      </c>
      <c r="K390" s="39" t="str">
        <f>VLOOKUP(F390,glossary!J:N,5,FALSE)</f>
        <v>The camera setting(s) that determine how the camera will trigger: by motion ('Motion Image'), at set intervals ('Time-lapse image'), and*/or by video ('Video'; possible with newer camera models, such as Reconyx HP2X).</v>
      </c>
      <c r="L390" t="s">
        <v>1829</v>
      </c>
      <c r="M390" s="30" t="str">
        <f t="shared" si="20"/>
        <v>{{ settings_trigger_modes_tu_mod }}</v>
      </c>
      <c r="N390" t="s">
        <v>896</v>
      </c>
      <c r="O390" s="13" t="s">
        <v>1816</v>
      </c>
      <c r="P390" t="s">
        <v>4081</v>
      </c>
      <c r="Q390" t="str">
        <f t="shared" si="21"/>
        <v xml:space="preserve">    settings_trigger_modes_tu_mod: "&lt;a href=\"09_glossary.html#settings_trigger_modes\" target=\"_blank\" data-bs-toggle=\"tooltip\" data-bs-title=\"Trigger Mode(s) (camera settings): The camera setting(s) that determine how the camera will trigger: by motion ('Motion Image'), at set intervals ('Time-lapse image'), and*/or by video ('Video'; possible with newer camera models, such as Reconyx HP2X).\"&gt;Trigger Mode(s) (camera settings)&lt;button type=\"button\" class=\"btn btn-bd-tip-info-hidden btn-sm position-relative\"&gt;.&lt;span class=\"position-absolute top-0 start-100 translate-middle\"&gt;{{ icon_info }}&lt;/span&gt;&lt;/button&gt;&lt;/a&gt;"</v>
      </c>
      <c r="R390" t="b" cm="1">
        <f t="array" ref="R390">SUMPRODUCT(--EXACT($J$2:$J$490,J390))&gt;1</f>
        <v>0</v>
      </c>
      <c r="S390" t="s">
        <v>4558</v>
      </c>
    </row>
    <row r="391" spans="1:19">
      <c r="A391" s="30">
        <v>3</v>
      </c>
      <c r="B391" s="30" t="s">
        <v>1393</v>
      </c>
      <c r="C391" s="30"/>
      <c r="D391" s="30" t="s">
        <v>1208</v>
      </c>
      <c r="E391" s="30" t="s">
        <v>984</v>
      </c>
      <c r="F391" s="30" t="s">
        <v>238</v>
      </c>
      <c r="G391" s="39" t="str">
        <f>VLOOKUP(F391,glossary!J:N,2,FALSE)</f>
        <v>Trigger Sensitivity</v>
      </c>
      <c r="H391" s="34" t="s">
        <v>238</v>
      </c>
      <c r="I391" s="45" t="str">
        <f t="shared" si="22"/>
        <v>settings_trigger_sensitivity_tu</v>
      </c>
      <c r="J391" s="42" t="s">
        <v>721</v>
      </c>
      <c r="K391" s="39" t="str">
        <f>VLOOKUP(F391,glossary!J:N,5,FALSE)</f>
        <v xml:space="preserve">The camera setting responsible for how sensitive a camera is to activation (to 'triggering') via the infrared and*/or heat detectors (if applicable, e.g., Reconyx HyperFire cameras have a choice between 'Low,' 'Low*/Med,' 'Med,' 'Med*/High,' 'High,' 'Very high' and 'Unknown'). </v>
      </c>
      <c r="L391" t="s">
        <v>1474</v>
      </c>
      <c r="M391" s="30" t="str">
        <f t="shared" si="20"/>
        <v>{{ settings_trigger_sensitivity_tu }}</v>
      </c>
      <c r="N391" t="s">
        <v>896</v>
      </c>
      <c r="O391" s="13" t="s">
        <v>1816</v>
      </c>
      <c r="P391" t="s">
        <v>4081</v>
      </c>
      <c r="Q391" t="str">
        <f t="shared" si="21"/>
        <v xml:space="preserve">    settings_trigger_sensitivity_tu: "&lt;a href=\"09_glossary.html#settings_trigger_sensitivity\" target=\"_blank\" data-bs-toggle=\"tooltip\" data-bs-title=\"Trigger Sensitivity: The camera setting responsible for how sensitive a camera is to activation (to 'triggering') via the infrared and*/or heat detectors (if applicable, e.g., Reconyx HyperFire cameras have a choice between 'Low,' 'Low*/Med,' 'Med,' 'Med*/High,' 'High,' 'Very high' and 'Unknown'). \"&gt;Trigger Sensitivity&lt;button type=\"button\" class=\"btn btn-bd-tip-info-hidden btn-sm position-relative\"&gt;.&lt;span class=\"position-absolute top-0 start-100 translate-middle\"&gt;{{ icon_info }}&lt;/span&gt;&lt;/button&gt;&lt;/a&gt;"</v>
      </c>
      <c r="R391" t="b" cm="1">
        <f t="array" ref="R391">SUMPRODUCT(--EXACT($J$2:$J$490,J391))&gt;1</f>
        <v>0</v>
      </c>
      <c r="S391" t="s">
        <v>4559</v>
      </c>
    </row>
    <row r="392" spans="1:19">
      <c r="A392" s="30">
        <v>3</v>
      </c>
      <c r="B392" s="30" t="s">
        <v>1393</v>
      </c>
      <c r="C392" s="30"/>
      <c r="D392" s="30" t="s">
        <v>1207</v>
      </c>
      <c r="E392" s="30" t="s">
        <v>984</v>
      </c>
      <c r="F392" s="30" t="s">
        <v>69</v>
      </c>
      <c r="G392" s="39" t="str">
        <f>VLOOKUP(F392,glossary!J:N,2,FALSE)</f>
        <v>User label</v>
      </c>
      <c r="H392" s="34" t="s">
        <v>69</v>
      </c>
      <c r="I392" s="45" t="str">
        <f t="shared" si="22"/>
        <v>settings_userlabel_tl</v>
      </c>
      <c r="J392" s="43" t="s">
        <v>966</v>
      </c>
      <c r="K392" s="39" t="str">
        <f>VLOOKUP(F392,glossary!J:N,5,FALSE)</f>
        <v>A label (up to 16 characters) that can be programmed in the camera’s settings, and that will be visible in the data band of all photos and videos taken by the camera (Reconyx, 2018). It is recommended that users program the Sample Station Name*/Camera Location Name as the user label, which serves as a means to confirm which Sample Station Name*/Camera Location Name is associated with the images*/videos.</v>
      </c>
      <c r="L392" t="s">
        <v>1473</v>
      </c>
      <c r="M392" s="30" t="str">
        <f t="shared" si="20"/>
        <v>{{ settings_userlabel_tl }}</v>
      </c>
      <c r="N392" t="s">
        <v>896</v>
      </c>
      <c r="O392" s="13" t="s">
        <v>1816</v>
      </c>
      <c r="P392" t="s">
        <v>4081</v>
      </c>
      <c r="Q392" t="str">
        <f t="shared" si="21"/>
        <v xml:space="preserve">    settings_userlabel_tl: "&lt;a href=\"09_glossary.html#settings_userlabel\" target=\"_blank\" data-bs-toggle=\"tooltip\" data-bs-title=\"User label: A label (up to 16 characters) that can be programmed in the camera’s settings, and that will be visible in the data band of all photos and videos taken by the camera (Reconyx, 2018). It is recommended that users program the Sample Station Name*/Camera Location Name as the user label, which serves as a means to confirm which Sample Station Name*/Camera Location Name is associated with the images*/videos.\"&gt;user label&lt;button type=\"button\" class=\"btn btn-bd-tip-info-hidden btn-sm position-relative\"&gt;.&lt;span class=\"position-absolute top-0 start-100 translate-middle\"&gt;{{ icon_info }}&lt;/span&gt;&lt;/button&gt;&lt;/a&gt;"</v>
      </c>
      <c r="R392" t="b" cm="1">
        <f t="array" ref="R392">SUMPRODUCT(--EXACT($J$2:$J$490,J392))&gt;1</f>
        <v>0</v>
      </c>
      <c r="S392" t="s">
        <v>4560</v>
      </c>
    </row>
    <row r="393" spans="1:19">
      <c r="A393" s="30">
        <v>3</v>
      </c>
      <c r="B393" s="30" t="s">
        <v>1393</v>
      </c>
      <c r="C393" s="30"/>
      <c r="D393" s="30" t="s">
        <v>1208</v>
      </c>
      <c r="E393" s="30" t="s">
        <v>984</v>
      </c>
      <c r="F393" s="30" t="s">
        <v>69</v>
      </c>
      <c r="G393" s="39" t="str">
        <f>VLOOKUP(F393,glossary!J:N,2,FALSE)</f>
        <v>User label</v>
      </c>
      <c r="H393" s="34" t="s">
        <v>69</v>
      </c>
      <c r="I393" s="45" t="str">
        <f t="shared" si="22"/>
        <v>settings_userlabel_tu</v>
      </c>
      <c r="J393" s="42" t="s">
        <v>70</v>
      </c>
      <c r="K393" s="39" t="str">
        <f>VLOOKUP(F393,glossary!J:N,5,FALSE)</f>
        <v>A label (up to 16 characters) that can be programmed in the camera’s settings, and that will be visible in the data band of all photos and videos taken by the camera (Reconyx, 2018). It is recommended that users program the Sample Station Name*/Camera Location Name as the user label, which serves as a means to confirm which Sample Station Name*/Camera Location Name is associated with the images*/videos.</v>
      </c>
      <c r="L393" t="s">
        <v>1472</v>
      </c>
      <c r="M393" s="30" t="str">
        <f t="shared" si="20"/>
        <v>{{ settings_userlabel_tu }}</v>
      </c>
      <c r="N393" t="s">
        <v>896</v>
      </c>
      <c r="O393" s="13" t="s">
        <v>1816</v>
      </c>
      <c r="P393" t="s">
        <v>4081</v>
      </c>
      <c r="Q393" t="str">
        <f t="shared" si="21"/>
        <v xml:space="preserve">    settings_userlabel_tu: "&lt;a href=\"09_glossary.html#settings_userlabel\" target=\"_blank\" data-bs-toggle=\"tooltip\" data-bs-title=\"User label: A label (up to 16 characters) that can be programmed in the camera’s settings, and that will be visible in the data band of all photos and videos taken by the camera (Reconyx, 2018). It is recommended that users program the Sample Station Name*/Camera Location Name as the user label, which serves as a means to confirm which Sample Station Name*/Camera Location Name is associated with the images*/videos.\"&gt;User label&lt;button type=\"button\" class=\"btn btn-bd-tip-info-hidden btn-sm position-relative\"&gt;.&lt;span class=\"position-absolute top-0 start-100 translate-middle\"&gt;{{ icon_info }}&lt;/span&gt;&lt;/button&gt;&lt;/a&gt;"</v>
      </c>
      <c r="R393" t="b" cm="1">
        <f t="array" ref="R393">SUMPRODUCT(--EXACT($J$2:$J$490,J393))&gt;1</f>
        <v>0</v>
      </c>
      <c r="S393" t="s">
        <v>4561</v>
      </c>
    </row>
    <row r="394" spans="1:19">
      <c r="A394" s="30">
        <v>1</v>
      </c>
      <c r="B394" s="30" t="s">
        <v>1064</v>
      </c>
      <c r="C394" s="30" t="s">
        <v>429</v>
      </c>
      <c r="D394" s="30" t="s">
        <v>1208</v>
      </c>
      <c r="E394" s="30" t="s">
        <v>1757</v>
      </c>
      <c r="F394" s="30" t="s">
        <v>311</v>
      </c>
      <c r="G394" s="39" t="str">
        <f>VLOOKUP(F394,glossary!J:N,2,FALSE)</f>
        <v>Video Length (seconds)</v>
      </c>
      <c r="H394" s="30" t="s">
        <v>311</v>
      </c>
      <c r="I394" s="45" t="str">
        <f t="shared" si="22"/>
        <v>settings_video_length_tu_nu</v>
      </c>
      <c r="J394" s="39" t="s">
        <v>1081</v>
      </c>
      <c r="K394" s="39" t="str">
        <f>VLOOKUP(F394,glossary!J:N,5,FALSE)</f>
        <v>If applicable, describes the camera setting that specifies the minimum video duration (in seconds) that the camera will record when triggered. Leave blank if not applicable.</v>
      </c>
      <c r="L394" s="30" t="s">
        <v>1095</v>
      </c>
      <c r="M394" s="30" t="str">
        <f t="shared" si="20"/>
        <v>{{ settings_video_length_tu_nu }}</v>
      </c>
      <c r="N394" t="s">
        <v>896</v>
      </c>
      <c r="O394" s="13" t="s">
        <v>1816</v>
      </c>
      <c r="P394" t="s">
        <v>4081</v>
      </c>
      <c r="Q394" t="str">
        <f t="shared" si="21"/>
        <v xml:space="preserve">    settings_video_length_tu_nu: "&lt;a href=\"09_glossary.html#settings_video_length\" target=\"_blank\" data-bs-toggle=\"tooltip\" data-bs-title=\"Video Length (seconds): If applicable, describes the camera setting that specifies the minimum video duration (in seconds) that the camera will record when triggered. Leave blank if not applicable.\"&gt;Video Length&lt;button type=\"button\" class=\"btn btn-bd-tip-info-hidden btn-sm position-relative\"&gt;.&lt;span class=\"position-absolute top-0 start-100 translate-middle\"&gt;{{ icon_info }}&lt;/span&gt;&lt;/button&gt;&lt;/a&gt;"</v>
      </c>
      <c r="R394" t="b" cm="1">
        <f t="array" ref="R394">SUMPRODUCT(--EXACT($J$2:$J$490,J394))&gt;1</f>
        <v>0</v>
      </c>
      <c r="S394" t="s">
        <v>4562</v>
      </c>
    </row>
    <row r="395" spans="1:19">
      <c r="A395" s="30">
        <v>3</v>
      </c>
      <c r="B395" s="30" t="s">
        <v>1393</v>
      </c>
      <c r="C395" s="30"/>
      <c r="D395" s="30" t="s">
        <v>1208</v>
      </c>
      <c r="E395" s="30" t="s">
        <v>1751</v>
      </c>
      <c r="F395" s="30" t="s">
        <v>311</v>
      </c>
      <c r="G395" s="39" t="str">
        <f>VLOOKUP(F395,glossary!J:N,2,FALSE)</f>
        <v>Video Length (seconds)</v>
      </c>
      <c r="H395" s="34" t="s">
        <v>311</v>
      </c>
      <c r="I395" s="45" t="str">
        <f t="shared" si="22"/>
        <v>settings_video_length_tu_u</v>
      </c>
      <c r="J395" s="42" t="s">
        <v>758</v>
      </c>
      <c r="K395" s="39" t="str">
        <f>VLOOKUP(F395,glossary!J:N,5,FALSE)</f>
        <v>If applicable, describes the camera setting that specifies the minimum video duration (in seconds) that the camera will record when triggered. Leave blank if not applicable.</v>
      </c>
      <c r="L395" t="s">
        <v>1471</v>
      </c>
      <c r="M395" s="30" t="str">
        <f t="shared" si="20"/>
        <v>{{ settings_video_length_tu_u }}</v>
      </c>
      <c r="N395" t="s">
        <v>896</v>
      </c>
      <c r="O395" s="13" t="s">
        <v>1816</v>
      </c>
      <c r="P395" t="s">
        <v>4081</v>
      </c>
      <c r="Q395" t="str">
        <f t="shared" si="21"/>
        <v xml:space="preserve">    settings_video_length_tu_u: "&lt;a href=\"09_glossary.html#settings_video_length\" target=\"_blank\" data-bs-toggle=\"tooltip\" data-bs-title=\"Video Length (seconds): If applicable, describes the camera setting that specifies the minimum video duration (in seconds) that the camera will record when triggered. Leave blank if not applicable.\"&gt;Video Length (seconds)&lt;button type=\"button\" class=\"btn btn-bd-tip-info-hidden btn-sm position-relative\"&gt;.&lt;span class=\"position-absolute top-0 start-100 translate-middle\"&gt;{{ icon_info }}&lt;/span&gt;&lt;/button&gt;&lt;/a&gt;"</v>
      </c>
      <c r="R395" t="b" cm="1">
        <f t="array" ref="R395">SUMPRODUCT(--EXACT($J$2:$J$490,J395))&gt;1</f>
        <v>0</v>
      </c>
      <c r="S395" t="s">
        <v>4563</v>
      </c>
    </row>
    <row r="396" spans="1:19">
      <c r="A396" s="30">
        <v>3</v>
      </c>
      <c r="B396" s="30" t="s">
        <v>1393</v>
      </c>
      <c r="C396" s="30"/>
      <c r="D396" s="30" t="s">
        <v>1208</v>
      </c>
      <c r="E396" s="30" t="s">
        <v>984</v>
      </c>
      <c r="F396" s="30" t="s">
        <v>255</v>
      </c>
      <c r="G396" s="39" t="str">
        <f>VLOOKUP(F396,glossary!J:N,2,FALSE)</f>
        <v>Sex Class</v>
      </c>
      <c r="H396" s="34" t="s">
        <v>255</v>
      </c>
      <c r="I396" s="45" t="str">
        <f t="shared" si="22"/>
        <v>sex_class_tu</v>
      </c>
      <c r="J396" s="42" t="s">
        <v>722</v>
      </c>
      <c r="K396" s="39" t="str">
        <f>VLOOKUP(F396,glossary!J:N,5,FALSE)</f>
        <v>The sex classification of individual(s) being categorized (e.g., 'Male,' 'Female,' or 'Unknown').</v>
      </c>
      <c r="L396" t="s">
        <v>1470</v>
      </c>
      <c r="M396" s="30" t="str">
        <f t="shared" si="20"/>
        <v>{{ sex_class_tu }}</v>
      </c>
      <c r="N396" t="s">
        <v>896</v>
      </c>
      <c r="O396" s="13" t="s">
        <v>1816</v>
      </c>
      <c r="P396" t="s">
        <v>4081</v>
      </c>
      <c r="Q396" t="str">
        <f t="shared" si="21"/>
        <v xml:space="preserve">    sex_class_tu: "&lt;a href=\"09_glossary.html#sex_class\" target=\"_blank\" data-bs-toggle=\"tooltip\" data-bs-title=\"Sex Class: The sex classification of individual(s) being categorized (e.g., 'Male,' 'Female,' or 'Unknown').\"&gt;Sex Class&lt;button type=\"button\" class=\"btn btn-bd-tip-info-hidden btn-sm position-relative\"&gt;.&lt;span class=\"position-absolute top-0 start-100 translate-middle\"&gt;{{ icon_info }}&lt;/span&gt;&lt;/button&gt;&lt;/a&gt;"</v>
      </c>
      <c r="R396" t="b" cm="1">
        <f t="array" ref="R396">SUMPRODUCT(--EXACT($J$2:$J$490,J396))&gt;1</f>
        <v>0</v>
      </c>
      <c r="S396" t="s">
        <v>4564</v>
      </c>
    </row>
    <row r="397" spans="1:19">
      <c r="A397" s="30">
        <v>1</v>
      </c>
      <c r="B397" s="30" t="s">
        <v>1064</v>
      </c>
      <c r="C397" s="30" t="s">
        <v>429</v>
      </c>
      <c r="D397" s="30" t="s">
        <v>1208</v>
      </c>
      <c r="E397" s="30" t="s">
        <v>1758</v>
      </c>
      <c r="F397" s="30" t="s">
        <v>255</v>
      </c>
      <c r="G397" s="39" t="str">
        <f>VLOOKUP(F397,glossary!J:N,2,FALSE)</f>
        <v>Sex Class</v>
      </c>
      <c r="H397" s="30" t="s">
        <v>255</v>
      </c>
      <c r="I397" s="45" t="str">
        <f t="shared" si="22"/>
        <v>sex_class_tu_pl</v>
      </c>
      <c r="J397" s="39" t="s">
        <v>1172</v>
      </c>
      <c r="K397" s="39" t="str">
        <f>VLOOKUP(F397,glossary!J:N,5,FALSE)</f>
        <v>The sex classification of individual(s) being categorized (e.g., 'Male,' 'Female,' or 'Unknown').</v>
      </c>
      <c r="L397" s="30" t="s">
        <v>1123</v>
      </c>
      <c r="M397" s="30" t="str">
        <f t="shared" si="20"/>
        <v>{{ sex_class_tu_pl }}</v>
      </c>
      <c r="N397" t="s">
        <v>896</v>
      </c>
      <c r="O397" s="13" t="s">
        <v>1816</v>
      </c>
      <c r="P397" t="s">
        <v>4081</v>
      </c>
      <c r="Q397" t="str">
        <f t="shared" si="21"/>
        <v xml:space="preserve">    sex_class_tu_pl: "&lt;a href=\"09_glossary.html#sex_class\" target=\"_blank\" data-bs-toggle=\"tooltip\" data-bs-title=\"Sex Class: The sex classification of individual(s) being categorized (e.g., 'Male,' 'Female,' or 'Unknown').\"&gt;Sex Classes&lt;button type=\"button\" class=\"btn btn-bd-tip-info-hidden btn-sm position-relative\"&gt;.&lt;span class=\"position-absolute top-0 start-100 translate-middle\"&gt;{{ icon_info }}&lt;/span&gt;&lt;/button&gt;&lt;/a&gt;"</v>
      </c>
      <c r="R397" t="b" cm="1">
        <f t="array" ref="R397">SUMPRODUCT(--EXACT($J$2:$J$490,J397))&gt;1</f>
        <v>0</v>
      </c>
      <c r="S397" t="s">
        <v>4565</v>
      </c>
    </row>
    <row r="398" spans="1:19">
      <c r="B398" s="30" t="s">
        <v>768</v>
      </c>
      <c r="D398" s="30" t="s">
        <v>1207</v>
      </c>
      <c r="E398" s="30" t="s">
        <v>984</v>
      </c>
      <c r="F398" s="30" t="s">
        <v>1363</v>
      </c>
      <c r="G398" s="39" t="str">
        <f>VLOOKUP(F398,glossary!J:N,2,FALSE)</f>
        <v>Species-accumulation curve</v>
      </c>
      <c r="H398" s="30" t="s">
        <v>1363</v>
      </c>
      <c r="I398" s="45" t="str">
        <f t="shared" si="22"/>
        <v>sp_accum_curve_tl</v>
      </c>
      <c r="J398" s="30" t="s">
        <v>1805</v>
      </c>
      <c r="K398" s="39" t="str">
        <f>VLOOKUP(F398,glossary!J:N,5,FALSE)</f>
        <v>A curve of rising biodiversity in which the x-axis is the number of sampling units (individuals or samples) from an assemblage and the y-axis is the observed species richness. The species accumulation curve rises monotonically to an asymptotic maximum number of species.' (Gotelli &amp; Chao, 2013)</v>
      </c>
      <c r="L398" s="30" t="s">
        <v>984</v>
      </c>
      <c r="M398" s="30" t="str">
        <f t="shared" si="20"/>
        <v>{{ sp_accum_curve_tl }}</v>
      </c>
      <c r="N398" t="s">
        <v>896</v>
      </c>
      <c r="O398" s="13" t="s">
        <v>1816</v>
      </c>
      <c r="P398" t="s">
        <v>4081</v>
      </c>
      <c r="Q398" t="str">
        <f t="shared" si="21"/>
        <v xml:space="preserve">    sp_accum_curve_tl: "&lt;a href=\"09_glossary.html#sp_accum_curve\" target=\"_blank\" data-bs-toggle=\"tooltip\" data-bs-title=\"Species-accumulation curve: A curve of rising biodiversity in which the x-axis is the number of sampling units (individuals or samples) from an assemblage and the y-axis is the observed species richness. The species accumulation curve rises monotonically to an asymptotic maximum number of species.' (Gotelli &amp; Chao, 2013)\"&gt;species-accumulation curve&lt;button type=\"button\" class=\"btn btn-bd-tip-info-hidden btn-sm position-relative\"&gt;.&lt;span class=\"position-absolute top-0 start-100 translate-middle\"&gt;{{ icon_info }}&lt;/span&gt;&lt;/button&gt;&lt;/a&gt;"</v>
      </c>
      <c r="R398" t="b" cm="1">
        <f t="array" ref="R398">SUMPRODUCT(--EXACT($J$2:$J$490,J398))&gt;1</f>
        <v>0</v>
      </c>
      <c r="S398" t="s">
        <v>4566</v>
      </c>
    </row>
    <row r="399" spans="1:19">
      <c r="B399" s="30" t="s">
        <v>768</v>
      </c>
      <c r="D399" s="30" t="s">
        <v>1208</v>
      </c>
      <c r="E399" s="30" t="s">
        <v>984</v>
      </c>
      <c r="F399" s="30" t="s">
        <v>1363</v>
      </c>
      <c r="G399" s="39" t="str">
        <f>VLOOKUP(F399,glossary!J:N,2,FALSE)</f>
        <v>Species-accumulation curve</v>
      </c>
      <c r="H399" s="30" t="s">
        <v>1363</v>
      </c>
      <c r="I399" s="45" t="str">
        <f t="shared" si="22"/>
        <v>sp_accum_curve_tu</v>
      </c>
      <c r="J399" s="30" t="s">
        <v>1357</v>
      </c>
      <c r="K399" s="39" t="str">
        <f>VLOOKUP(F399,glossary!J:N,5,FALSE)</f>
        <v>A curve of rising biodiversity in which the x-axis is the number of sampling units (individuals or samples) from an assemblage and the y-axis is the observed species richness. The species accumulation curve rises monotonically to an asymptotic maximum number of species.' (Gotelli &amp; Chao, 2013)</v>
      </c>
      <c r="L399" s="30" t="s">
        <v>984</v>
      </c>
      <c r="M399" s="30" t="str">
        <f t="shared" si="20"/>
        <v>{{ sp_accum_curve_tu }}</v>
      </c>
      <c r="N399" t="s">
        <v>896</v>
      </c>
      <c r="O399" s="13" t="s">
        <v>1816</v>
      </c>
      <c r="P399" t="s">
        <v>4081</v>
      </c>
      <c r="Q399" t="str">
        <f t="shared" si="21"/>
        <v xml:space="preserve">    sp_accum_curve_tu: "&lt;a href=\"09_glossary.html#sp_accum_curve\" target=\"_blank\" data-bs-toggle=\"tooltip\" data-bs-title=\"Species-accumulation curve: A curve of rising biodiversity in which the x-axis is the number of sampling units (individuals or samples) from an assemblage and the y-axis is the observed species richness. The species accumulation curve rises monotonically to an asymptotic maximum number of species.' (Gotelli &amp; Chao, 2013)\"&gt;Species-accumulation curve&lt;button type=\"button\" class=\"btn btn-bd-tip-info-hidden btn-sm position-relative\"&gt;.&lt;span class=\"position-absolute top-0 start-100 translate-middle\"&gt;{{ icon_info }}&lt;/span&gt;&lt;/button&gt;&lt;/a&gt;"</v>
      </c>
      <c r="R399" t="b" cm="1">
        <f t="array" ref="R399">SUMPRODUCT(--EXACT($J$2:$J$490,J399))&gt;1</f>
        <v>0</v>
      </c>
      <c r="S399" t="s">
        <v>4567</v>
      </c>
    </row>
    <row r="400" spans="1:19">
      <c r="B400" s="30" t="s">
        <v>768</v>
      </c>
      <c r="D400" s="30" t="s">
        <v>1207</v>
      </c>
      <c r="E400" s="30" t="s">
        <v>984</v>
      </c>
      <c r="F400" s="30" t="s">
        <v>458</v>
      </c>
      <c r="G400" s="39" t="str">
        <f>VLOOKUP(F400,glossary!J:N,2,FALSE)</f>
        <v>Species rarity</v>
      </c>
      <c r="H400" s="30" t="s">
        <v>458</v>
      </c>
      <c r="I400" s="45" t="str">
        <f t="shared" si="22"/>
        <v>sp_rarity_tl</v>
      </c>
      <c r="J400" s="30" t="s">
        <v>1809</v>
      </c>
      <c r="K400" s="39" t="str">
        <f>VLOOKUP(F400,glossary!J:N,5,FALSE)</f>
        <v>the number of individuals present of the species in question, relative to the total number of individuals of all species (or how 'represented' is the species when considering the total number of individuals of all species).</v>
      </c>
      <c r="L400" s="30" t="s">
        <v>984</v>
      </c>
      <c r="M400" s="30" t="str">
        <f t="shared" si="20"/>
        <v>{{ sp_rarity_tl }}</v>
      </c>
      <c r="N400" t="s">
        <v>896</v>
      </c>
      <c r="O400" s="13" t="s">
        <v>1816</v>
      </c>
      <c r="P400" t="s">
        <v>4081</v>
      </c>
      <c r="Q400" t="str">
        <f t="shared" si="21"/>
        <v xml:space="preserve">    sp_rarity_tl: "&lt;a href=\"09_glossary.html#sp_rarity\" target=\"_blank\" data-bs-toggle=\"tooltip\" data-bs-title=\"Species rarity: the number of individuals present of the species in question, relative to the total number of individuals of all species (or how 'represented' is the species when considering the total number of individuals of all species).\"&gt;species rarity&lt;button type=\"button\" class=\"btn btn-bd-tip-info-hidden btn-sm position-relative\"&gt;.&lt;span class=\"position-absolute top-0 start-100 translate-middle\"&gt;{{ icon_info }}&lt;/span&gt;&lt;/button&gt;&lt;/a&gt;"</v>
      </c>
      <c r="R400" t="b" cm="1">
        <f t="array" ref="R400">SUMPRODUCT(--EXACT($J$2:$J$490,J400))&gt;1</f>
        <v>0</v>
      </c>
      <c r="S400" t="s">
        <v>4568</v>
      </c>
    </row>
    <row r="401" spans="1:19">
      <c r="B401" s="30" t="s">
        <v>768</v>
      </c>
      <c r="D401" s="30" t="s">
        <v>1208</v>
      </c>
      <c r="E401" s="30" t="s">
        <v>984</v>
      </c>
      <c r="F401" s="30" t="s">
        <v>458</v>
      </c>
      <c r="G401" s="39" t="str">
        <f>VLOOKUP(F401,glossary!J:N,2,FALSE)</f>
        <v>Species rarity</v>
      </c>
      <c r="H401" s="30" t="s">
        <v>458</v>
      </c>
      <c r="I401" s="45" t="str">
        <f t="shared" si="22"/>
        <v>sp_rarity_tu</v>
      </c>
      <c r="J401" s="30" t="s">
        <v>666</v>
      </c>
      <c r="K401" s="39" t="str">
        <f>VLOOKUP(F401,glossary!J:N,5,FALSE)</f>
        <v>the number of individuals present of the species in question, relative to the total number of individuals of all species (or how 'represented' is the species when considering the total number of individuals of all species).</v>
      </c>
      <c r="L401" s="30" t="s">
        <v>984</v>
      </c>
      <c r="M401" s="30" t="str">
        <f t="shared" si="20"/>
        <v>{{ sp_rarity_tu }}</v>
      </c>
      <c r="N401" t="s">
        <v>896</v>
      </c>
      <c r="O401" s="13" t="s">
        <v>1816</v>
      </c>
      <c r="P401" t="s">
        <v>4081</v>
      </c>
      <c r="Q401" t="str">
        <f t="shared" si="21"/>
        <v xml:space="preserve">    sp_rarity_tu: "&lt;a href=\"09_glossary.html#sp_rarity\" target=\"_blank\" data-bs-toggle=\"tooltip\" data-bs-title=\"Species rarity: the number of individuals present of the species in question, relative to the total number of individuals of all species (or how 'represented' is the species when considering the total number of individuals of all species).\"&gt;Species rarity&lt;button type=\"button\" class=\"btn btn-bd-tip-info-hidden btn-sm position-relative\"&gt;.&lt;span class=\"position-absolute top-0 start-100 translate-middle\"&gt;{{ icon_info }}&lt;/span&gt;&lt;/button&gt;&lt;/a&gt;"</v>
      </c>
      <c r="R401" t="b" cm="1">
        <f t="array" ref="R401">SUMPRODUCT(--EXACT($J$2:$J$490,J401))&gt;1</f>
        <v>0</v>
      </c>
      <c r="S401" t="s">
        <v>4569</v>
      </c>
    </row>
    <row r="402" spans="1:19">
      <c r="B402" s="30" t="s">
        <v>768</v>
      </c>
      <c r="D402" s="30" t="s">
        <v>1207</v>
      </c>
      <c r="E402" s="30" t="s">
        <v>984</v>
      </c>
      <c r="F402" s="30" t="s">
        <v>798</v>
      </c>
      <c r="G402" s="39" t="str">
        <f>VLOOKUP(F402,glossary!J:N,2,FALSE)</f>
        <v>Species-specific</v>
      </c>
      <c r="H402" s="30" t="s">
        <v>798</v>
      </c>
      <c r="I402" s="45" t="str">
        <f t="shared" si="22"/>
        <v>sp_specific_tl</v>
      </c>
      <c r="J402" s="30" t="s">
        <v>1806</v>
      </c>
      <c r="K402" s="39" t="str">
        <f>VLOOKUP(F402,glossary!J:N,5,FALSE)</f>
        <v>Relating to one specific species. For example, focusing specifically on moose.' (Kemp et al., 2022).</v>
      </c>
      <c r="L402" t="s">
        <v>984</v>
      </c>
      <c r="M402" s="30" t="str">
        <f t="shared" si="20"/>
        <v>{{ sp_specific_tl }}</v>
      </c>
      <c r="N402" t="s">
        <v>896</v>
      </c>
      <c r="O402" s="13" t="s">
        <v>1816</v>
      </c>
      <c r="P402" t="s">
        <v>4081</v>
      </c>
      <c r="Q402" t="str">
        <f t="shared" si="21"/>
        <v xml:space="preserve">    sp_specific_tl: "&lt;a href=\"09_glossary.html#sp_specific\" target=\"_blank\" data-bs-toggle=\"tooltip\" data-bs-title=\"Species-specific: Relating to one specific species. For example, focusing specifically on moose.' (Kemp et al., 2022).\"&gt;species-specific&lt;button type=\"button\" class=\"btn btn-bd-tip-info-hidden btn-sm position-relative\"&gt;.&lt;span class=\"position-absolute top-0 start-100 translate-middle\"&gt;{{ icon_info }}&lt;/span&gt;&lt;/button&gt;&lt;/a&gt;"</v>
      </c>
      <c r="R402" t="b" cm="1">
        <f t="array" ref="R402">SUMPRODUCT(--EXACT($J$2:$J$490,J402))&gt;1</f>
        <v>0</v>
      </c>
      <c r="S402" t="s">
        <v>4570</v>
      </c>
    </row>
    <row r="403" spans="1:19">
      <c r="B403" s="30" t="s">
        <v>768</v>
      </c>
      <c r="D403" s="30" t="s">
        <v>1208</v>
      </c>
      <c r="E403" s="30" t="s">
        <v>984</v>
      </c>
      <c r="F403" s="30" t="s">
        <v>798</v>
      </c>
      <c r="G403" s="39" t="str">
        <f>VLOOKUP(F403,glossary!J:N,2,FALSE)</f>
        <v>Species-specific</v>
      </c>
      <c r="H403" s="30" t="s">
        <v>798</v>
      </c>
      <c r="I403" s="45" t="str">
        <f t="shared" si="22"/>
        <v>sp_specific_tu</v>
      </c>
      <c r="J403" s="30" t="s">
        <v>646</v>
      </c>
      <c r="K403" s="39" t="str">
        <f>VLOOKUP(F403,glossary!J:N,5,FALSE)</f>
        <v>Relating to one specific species. For example, focusing specifically on moose.' (Kemp et al., 2022).</v>
      </c>
      <c r="L403" t="s">
        <v>984</v>
      </c>
      <c r="M403" s="30" t="str">
        <f t="shared" si="20"/>
        <v>{{ sp_specific_tu }}</v>
      </c>
      <c r="N403" t="s">
        <v>896</v>
      </c>
      <c r="O403" s="13" t="s">
        <v>1816</v>
      </c>
      <c r="P403" t="s">
        <v>4081</v>
      </c>
      <c r="Q403" t="str">
        <f t="shared" si="21"/>
        <v xml:space="preserve">    sp_specific_tu: "&lt;a href=\"09_glossary.html#sp_specific\" target=\"_blank\" data-bs-toggle=\"tooltip\" data-bs-title=\"Species-specific: Relating to one specific species. For example, focusing specifically on moose.' (Kemp et al., 2022).\"&gt;Species-specific&lt;button type=\"button\" class=\"btn btn-bd-tip-info-hidden btn-sm position-relative\"&gt;.&lt;span class=\"position-absolute top-0 start-100 translate-middle\"&gt;{{ icon_info }}&lt;/span&gt;&lt;/button&gt;&lt;/a&gt;"</v>
      </c>
      <c r="R403" t="b" cm="1">
        <f t="array" ref="R403">SUMPRODUCT(--EXACT($J$2:$J$490,J403))&gt;1</f>
        <v>0</v>
      </c>
      <c r="S403" t="s">
        <v>4571</v>
      </c>
    </row>
    <row r="404" spans="1:19">
      <c r="A404" s="30">
        <v>3</v>
      </c>
      <c r="B404" s="30" t="s">
        <v>1393</v>
      </c>
      <c r="C404" s="30"/>
      <c r="D404" s="30" t="s">
        <v>1207</v>
      </c>
      <c r="E404" s="30" t="s">
        <v>984</v>
      </c>
      <c r="F404" s="30" t="s">
        <v>106</v>
      </c>
      <c r="G404" s="39" t="str">
        <f>VLOOKUP(F404,glossary!J:N,2,FALSE)</f>
        <v>Spatial autocorrelation</v>
      </c>
      <c r="H404" s="34" t="s">
        <v>106</v>
      </c>
      <c r="I404" s="45" t="str">
        <f t="shared" si="22"/>
        <v>spatial_autocorrelation_tl</v>
      </c>
      <c r="J404" s="43" t="s">
        <v>950</v>
      </c>
      <c r="K404" s="39" t="str">
        <f>VLOOKUP(F404,glossary!J:N,5,FALSE)</f>
        <v>The tendency for locations that are closer together to be more similar.</v>
      </c>
      <c r="L404" t="s">
        <v>1469</v>
      </c>
      <c r="M404" s="30" t="str">
        <f t="shared" si="20"/>
        <v>{{ spatial_autocorrelation_tl }}</v>
      </c>
      <c r="N404" t="s">
        <v>896</v>
      </c>
      <c r="O404" s="13" t="s">
        <v>1816</v>
      </c>
      <c r="P404" t="s">
        <v>4081</v>
      </c>
      <c r="Q404" t="str">
        <f t="shared" si="21"/>
        <v xml:space="preserve">    spatial_autocorrelation_tl: "&lt;a href=\"09_glossary.html#spatial_autocorrelation\" target=\"_blank\" data-bs-toggle=\"tooltip\" data-bs-title=\"Spatial autocorrelation: The tendency for locations that are closer together to be more similar.\"&gt;spatial autocorrelation&lt;button type=\"button\" class=\"btn btn-bd-tip-info-hidden btn-sm position-relative\"&gt;.&lt;span class=\"position-absolute top-0 start-100 translate-middle\"&gt;{{ icon_info }}&lt;/span&gt;&lt;/button&gt;&lt;/a&gt;"</v>
      </c>
      <c r="R404" t="b" cm="1">
        <f t="array" ref="R404">SUMPRODUCT(--EXACT($J$2:$J$490,J404))&gt;1</f>
        <v>0</v>
      </c>
      <c r="S404" t="s">
        <v>4572</v>
      </c>
    </row>
    <row r="405" spans="1:19">
      <c r="A405" s="30">
        <v>3</v>
      </c>
      <c r="B405" s="30" t="s">
        <v>1393</v>
      </c>
      <c r="C405" s="30"/>
      <c r="D405" s="30" t="s">
        <v>1208</v>
      </c>
      <c r="E405" s="30" t="s">
        <v>984</v>
      </c>
      <c r="F405" s="30" t="s">
        <v>106</v>
      </c>
      <c r="G405" s="39" t="str">
        <f>VLOOKUP(F405,glossary!J:N,2,FALSE)</f>
        <v>Spatial autocorrelation</v>
      </c>
      <c r="H405" s="34" t="s">
        <v>106</v>
      </c>
      <c r="I405" s="45" t="str">
        <f t="shared" si="22"/>
        <v>spatial_autocorrelation_tu</v>
      </c>
      <c r="J405" s="42" t="s">
        <v>108</v>
      </c>
      <c r="K405" s="39" t="str">
        <f>VLOOKUP(F405,glossary!J:N,5,FALSE)</f>
        <v>The tendency for locations that are closer together to be more similar.</v>
      </c>
      <c r="L405" t="s">
        <v>1468</v>
      </c>
      <c r="M405" s="30" t="str">
        <f t="shared" si="20"/>
        <v>{{ spatial_autocorrelation_tu }}</v>
      </c>
      <c r="N405" t="s">
        <v>896</v>
      </c>
      <c r="O405" s="13" t="s">
        <v>1816</v>
      </c>
      <c r="P405" t="s">
        <v>4081</v>
      </c>
      <c r="Q405" t="str">
        <f t="shared" si="21"/>
        <v xml:space="preserve">    spatial_autocorrelation_tu: "&lt;a href=\"09_glossary.html#spatial_autocorrelation\" target=\"_blank\" data-bs-toggle=\"tooltip\" data-bs-title=\"Spatial autocorrelation: The tendency for locations that are closer together to be more similar.\"&gt;Spatial autocorrelation&lt;button type=\"button\" class=\"btn btn-bd-tip-info-hidden btn-sm position-relative\"&gt;.&lt;span class=\"position-absolute top-0 start-100 translate-middle\"&gt;{{ icon_info }}&lt;/span&gt;&lt;/button&gt;&lt;/a&gt;"</v>
      </c>
      <c r="R405" t="b" cm="1">
        <f t="array" ref="R405">SUMPRODUCT(--EXACT($J$2:$J$490,J405))&gt;1</f>
        <v>0</v>
      </c>
      <c r="S405" t="s">
        <v>4573</v>
      </c>
    </row>
    <row r="406" spans="1:19">
      <c r="A406" s="30">
        <v>2</v>
      </c>
      <c r="B406" s="30" t="s">
        <v>1400</v>
      </c>
      <c r="C406" s="30"/>
      <c r="D406" s="30" t="s">
        <v>1208</v>
      </c>
      <c r="E406" s="30" t="s">
        <v>984</v>
      </c>
      <c r="F406" s="30" t="s">
        <v>253</v>
      </c>
      <c r="G406" s="39" t="str">
        <f>VLOOKUP(F406,glossary!J:N,2,FALSE)</f>
        <v>Species</v>
      </c>
      <c r="H406" s="30" t="s">
        <v>253</v>
      </c>
      <c r="I406" s="45" t="str">
        <f t="shared" si="22"/>
        <v>species_tu</v>
      </c>
      <c r="J406" s="39" t="s">
        <v>644</v>
      </c>
      <c r="K406" s="39" t="str">
        <f>VLOOKUP(F406,glossary!J:N,5,FALSE)</f>
        <v>The capitalized common name of the species being categorized ('tagged').</v>
      </c>
      <c r="L406" s="30" t="s">
        <v>1467</v>
      </c>
      <c r="M406" s="30" t="str">
        <f t="shared" si="20"/>
        <v>{{ species_tu }}</v>
      </c>
      <c r="N406" t="s">
        <v>896</v>
      </c>
      <c r="O406" s="13" t="s">
        <v>1816</v>
      </c>
      <c r="P406" t="s">
        <v>4081</v>
      </c>
      <c r="Q406" t="str">
        <f t="shared" si="21"/>
        <v xml:space="preserve">    species_tu: "&lt;a href=\"09_glossary.html#species\" target=\"_blank\" data-bs-toggle=\"tooltip\" data-bs-title=\"Species: The capitalized common name of the species being categorized ('tagged').\"&gt;Species&lt;button type=\"button\" class=\"btn btn-bd-tip-info-hidden btn-sm position-relative\"&gt;.&lt;span class=\"position-absolute top-0 start-100 translate-middle\"&gt;{{ icon_info }}&lt;/span&gt;&lt;/button&gt;&lt;/a&gt;"</v>
      </c>
      <c r="R406" t="b" cm="1">
        <f t="array" ref="R406">SUMPRODUCT(--EXACT($J$2:$J$490,J406))&gt;1</f>
        <v>0</v>
      </c>
      <c r="S406" t="s">
        <v>4574</v>
      </c>
    </row>
    <row r="407" spans="1:19">
      <c r="A407" s="30">
        <v>1</v>
      </c>
      <c r="B407" s="30" t="s">
        <v>1064</v>
      </c>
      <c r="C407" s="30" t="s">
        <v>429</v>
      </c>
      <c r="D407" s="30" t="s">
        <v>1208</v>
      </c>
      <c r="E407" s="30" t="s">
        <v>1757</v>
      </c>
      <c r="F407" s="30" t="s">
        <v>314</v>
      </c>
      <c r="G407" s="39" t="str">
        <f>VLOOKUP(F407,glossary!J:N,2,FALSE)</f>
        <v>Stake Distance (m)</v>
      </c>
      <c r="H407" s="30" t="s">
        <v>314</v>
      </c>
      <c r="I407" s="45" t="str">
        <f t="shared" si="22"/>
        <v>stake_distance_tu_nu</v>
      </c>
      <c r="J407" s="39" t="s">
        <v>1084</v>
      </c>
      <c r="K407" s="39" t="str">
        <f>VLOOKUP(F407,glossary!J:N,5,FALSE)</f>
        <v>The distance from the camera to a stake (in metres to the nearest 0.05 m). Leave blank if not applicable.</v>
      </c>
      <c r="L407" s="30" t="s">
        <v>1096</v>
      </c>
      <c r="M407" s="30" t="str">
        <f t="shared" si="20"/>
        <v>{{ stake_distance_tu_nu }}</v>
      </c>
      <c r="N407" t="s">
        <v>896</v>
      </c>
      <c r="O407" s="13" t="s">
        <v>1816</v>
      </c>
      <c r="P407" t="s">
        <v>4081</v>
      </c>
      <c r="Q407" t="str">
        <f t="shared" si="21"/>
        <v xml:space="preserve">    stake_distance_tu_nu: "&lt;a href=\"09_glossary.html#stake_distance\" target=\"_blank\" data-bs-toggle=\"tooltip\" data-bs-title=\"Stake Distance (m): The distance from the camera to a stake (in metres to the nearest 0.05 m). Leave blank if not applicable.\"&gt;Stake Distance&lt;button type=\"button\" class=\"btn btn-bd-tip-info-hidden btn-sm position-relative\"&gt;.&lt;span class=\"position-absolute top-0 start-100 translate-middle\"&gt;{{ icon_info }}&lt;/span&gt;&lt;/button&gt;&lt;/a&gt;"</v>
      </c>
      <c r="R407" t="b" cm="1">
        <f t="array" ref="R407">SUMPRODUCT(--EXACT($J$2:$J$490,J407))&gt;1</f>
        <v>0</v>
      </c>
      <c r="S407" t="s">
        <v>4575</v>
      </c>
    </row>
    <row r="408" spans="1:19">
      <c r="A408" s="30">
        <v>3</v>
      </c>
      <c r="B408" s="30" t="s">
        <v>1393</v>
      </c>
      <c r="C408" s="30"/>
      <c r="D408" s="30" t="s">
        <v>1208</v>
      </c>
      <c r="E408" s="30" t="s">
        <v>1751</v>
      </c>
      <c r="F408" s="30" t="s">
        <v>314</v>
      </c>
      <c r="G408" s="39" t="str">
        <f>VLOOKUP(F408,glossary!J:N,2,FALSE)</f>
        <v>Stake Distance (m)</v>
      </c>
      <c r="H408" s="34" t="s">
        <v>314</v>
      </c>
      <c r="I408" s="45" t="str">
        <f t="shared" si="22"/>
        <v>stake_distance_tu_u</v>
      </c>
      <c r="J408" s="42" t="s">
        <v>759</v>
      </c>
      <c r="K408" s="39" t="str">
        <f>VLOOKUP(F408,glossary!J:N,5,FALSE)</f>
        <v>The distance from the camera to a stake (in metres to the nearest 0.05 m). Leave blank if not applicable.</v>
      </c>
      <c r="L408" t="s">
        <v>1466</v>
      </c>
      <c r="M408" s="30" t="str">
        <f t="shared" si="20"/>
        <v>{{ stake_distance_tu_u }}</v>
      </c>
      <c r="N408" t="s">
        <v>896</v>
      </c>
      <c r="O408" s="13" t="s">
        <v>1816</v>
      </c>
      <c r="P408" t="s">
        <v>4081</v>
      </c>
      <c r="Q408" t="str">
        <f t="shared" si="21"/>
        <v xml:space="preserve">    stake_distance_tu_u: "&lt;a href=\"09_glossary.html#stake_distance\" target=\"_blank\" data-bs-toggle=\"tooltip\" data-bs-title=\"Stake Distance (m): The distance from the camera to a stake (in metres to the nearest 0.05 m). Leave blank if not applicable.\"&gt;Stake Distance (m)&lt;button type=\"button\" class=\"btn btn-bd-tip-info-hidden btn-sm position-relative\"&gt;.&lt;span class=\"position-absolute top-0 start-100 translate-middle\"&gt;{{ icon_info }}&lt;/span&gt;&lt;/button&gt;&lt;/a&gt;"</v>
      </c>
      <c r="R408" t="b" cm="1">
        <f t="array" ref="R408">SUMPRODUCT(--EXACT($J$2:$J$490,J408))&gt;1</f>
        <v>0</v>
      </c>
      <c r="S408" t="s">
        <v>4576</v>
      </c>
    </row>
    <row r="409" spans="1:19">
      <c r="A409" s="30">
        <v>3</v>
      </c>
      <c r="B409" s="30" t="s">
        <v>1393</v>
      </c>
      <c r="C409" s="30"/>
      <c r="D409" s="30" t="s">
        <v>1207</v>
      </c>
      <c r="E409" s="30" t="s">
        <v>984</v>
      </c>
      <c r="F409" s="30" t="s">
        <v>102</v>
      </c>
      <c r="G409" s="39" t="str">
        <f>VLOOKUP(F409,glossary!J:N,2,FALSE)</f>
        <v>State variable</v>
      </c>
      <c r="H409" s="34" t="s">
        <v>102</v>
      </c>
      <c r="I409" s="45" t="str">
        <f t="shared" si="22"/>
        <v>state_variable_tl</v>
      </c>
      <c r="J409" s="43" t="s">
        <v>954</v>
      </c>
      <c r="K409" s="39" t="str">
        <f>VLOOKUP(F409,glossary!J:N,5,FALSE)</f>
        <v>A formal measure that summarizes the state of a community or population at a particular time (Wearn &amp; Glover-Kapfer, 2017), (e.g., species richness or population abundance).</v>
      </c>
      <c r="L409" t="s">
        <v>1465</v>
      </c>
      <c r="M409" s="30" t="str">
        <f t="shared" si="20"/>
        <v>{{ state_variable_tl }}</v>
      </c>
      <c r="N409" t="s">
        <v>896</v>
      </c>
      <c r="O409" s="13" t="s">
        <v>1816</v>
      </c>
      <c r="P409" t="s">
        <v>4081</v>
      </c>
      <c r="Q409" t="str">
        <f t="shared" si="21"/>
        <v xml:space="preserve">    state_variable_tl: "&lt;a href=\"09_glossary.html#state_variable\" target=\"_blank\" data-bs-toggle=\"tooltip\" data-bs-title=\"State variable: A formal measure that summarizes the state of a community or population at a particular time (Wearn &amp; Glover-Kapfer, 2017), (e.g., species richness or population abundance).\"&gt;state variable&lt;button type=\"button\" class=\"btn btn-bd-tip-info-hidden btn-sm position-relative\"&gt;.&lt;span class=\"position-absolute top-0 start-100 translate-middle\"&gt;{{ icon_info }}&lt;/span&gt;&lt;/button&gt;&lt;/a&gt;"</v>
      </c>
      <c r="R409" t="b" cm="1">
        <f t="array" ref="R409">SUMPRODUCT(--EXACT($J$2:$J$490,J409))&gt;1</f>
        <v>0</v>
      </c>
      <c r="S409" t="s">
        <v>4577</v>
      </c>
    </row>
    <row r="410" spans="1:19">
      <c r="A410" s="30">
        <v>1</v>
      </c>
      <c r="B410" s="30" t="s">
        <v>1064</v>
      </c>
      <c r="C410" s="30" t="s">
        <v>429</v>
      </c>
      <c r="D410" s="30" t="s">
        <v>1207</v>
      </c>
      <c r="E410" s="30" t="s">
        <v>1758</v>
      </c>
      <c r="F410" s="30" t="s">
        <v>102</v>
      </c>
      <c r="G410" s="39" t="str">
        <f>VLOOKUP(F410,glossary!J:N,2,FALSE)</f>
        <v>State variable</v>
      </c>
      <c r="H410" s="30" t="s">
        <v>102</v>
      </c>
      <c r="I410" s="45" t="str">
        <f t="shared" si="22"/>
        <v>state_variable_tl_pl</v>
      </c>
      <c r="J410" s="39" t="s">
        <v>1185</v>
      </c>
      <c r="K410" s="39" t="str">
        <f>VLOOKUP(F410,glossary!J:N,5,FALSE)</f>
        <v>A formal measure that summarizes the state of a community or population at a particular time (Wearn &amp; Glover-Kapfer, 2017), (e.g., species richness or population abundance).</v>
      </c>
      <c r="L410" s="30" t="s">
        <v>1131</v>
      </c>
      <c r="M410" s="30" t="str">
        <f t="shared" si="20"/>
        <v>{{ state_variable_tl_pl }}</v>
      </c>
      <c r="N410" t="s">
        <v>896</v>
      </c>
      <c r="O410" s="13" t="s">
        <v>1816</v>
      </c>
      <c r="P410" t="s">
        <v>4081</v>
      </c>
      <c r="Q410" t="str">
        <f t="shared" si="21"/>
        <v xml:space="preserve">    state_variable_tl_pl: "&lt;a href=\"09_glossary.html#state_variable\" target=\"_blank\" data-bs-toggle=\"tooltip\" data-bs-title=\"State variable: A formal measure that summarizes the state of a community or population at a particular time (Wearn &amp; Glover-Kapfer, 2017), (e.g., species richness or population abundance).\"&gt;state variables&lt;button type=\"button\" class=\"btn btn-bd-tip-info-hidden btn-sm position-relative\"&gt;.&lt;span class=\"position-absolute top-0 start-100 translate-middle\"&gt;{{ icon_info }}&lt;/span&gt;&lt;/button&gt;&lt;/a&gt;"</v>
      </c>
      <c r="R410" t="b" cm="1">
        <f t="array" ref="R410">SUMPRODUCT(--EXACT($J$2:$J$490,J410))&gt;1</f>
        <v>0</v>
      </c>
      <c r="S410" t="s">
        <v>4578</v>
      </c>
    </row>
    <row r="411" spans="1:19">
      <c r="A411" s="30">
        <v>3</v>
      </c>
      <c r="B411" s="30" t="s">
        <v>1393</v>
      </c>
      <c r="C411" s="30"/>
      <c r="D411" s="30" t="s">
        <v>1208</v>
      </c>
      <c r="E411" s="30" t="s">
        <v>984</v>
      </c>
      <c r="F411" s="30" t="s">
        <v>102</v>
      </c>
      <c r="G411" s="39" t="str">
        <f>VLOOKUP(F411,glossary!J:N,2,FALSE)</f>
        <v>State variable</v>
      </c>
      <c r="H411" s="34" t="s">
        <v>102</v>
      </c>
      <c r="I411" s="45" t="str">
        <f t="shared" si="22"/>
        <v>state_variable_tu</v>
      </c>
      <c r="J411" s="42" t="s">
        <v>103</v>
      </c>
      <c r="K411" s="39" t="str">
        <f>VLOOKUP(F411,glossary!J:N,5,FALSE)</f>
        <v>A formal measure that summarizes the state of a community or population at a particular time (Wearn &amp; Glover-Kapfer, 2017), (e.g., species richness or population abundance).</v>
      </c>
      <c r="L411" t="s">
        <v>1464</v>
      </c>
      <c r="M411" s="30" t="str">
        <f t="shared" si="20"/>
        <v>{{ state_variable_tu }}</v>
      </c>
      <c r="N411" t="s">
        <v>896</v>
      </c>
      <c r="O411" s="13" t="s">
        <v>1816</v>
      </c>
      <c r="P411" t="s">
        <v>4081</v>
      </c>
      <c r="Q411" t="str">
        <f t="shared" si="21"/>
        <v xml:space="preserve">    state_variable_tu: "&lt;a href=\"09_glossary.html#state_variable\" target=\"_blank\" data-bs-toggle=\"tooltip\" data-bs-title=\"State variable: A formal measure that summarizes the state of a community or population at a particular time (Wearn &amp; Glover-Kapfer, 2017), (e.g., species richness or population abundance).\"&gt;State variable&lt;button type=\"button\" class=\"btn btn-bd-tip-info-hidden btn-sm position-relative\"&gt;.&lt;span class=\"position-absolute top-0 start-100 translate-middle\"&gt;{{ icon_info }}&lt;/span&gt;&lt;/button&gt;&lt;/a&gt;"</v>
      </c>
      <c r="R411" t="b" cm="1">
        <f t="array" ref="R411">SUMPRODUCT(--EXACT($J$2:$J$490,J411))&gt;1</f>
        <v>0</v>
      </c>
      <c r="S411" t="s">
        <v>4579</v>
      </c>
    </row>
    <row r="412" spans="1:19">
      <c r="A412" s="30">
        <v>1</v>
      </c>
      <c r="B412" s="30" t="s">
        <v>1064</v>
      </c>
      <c r="C412" s="30" t="s">
        <v>429</v>
      </c>
      <c r="D412" s="30" t="s">
        <v>1208</v>
      </c>
      <c r="E412" s="30" t="s">
        <v>1758</v>
      </c>
      <c r="F412" s="30" t="s">
        <v>102</v>
      </c>
      <c r="G412" s="39" t="str">
        <f>VLOOKUP(F412,glossary!J:N,2,FALSE)</f>
        <v>State variable</v>
      </c>
      <c r="H412" s="30" t="s">
        <v>102</v>
      </c>
      <c r="I412" s="45" t="str">
        <f t="shared" si="22"/>
        <v>state_variable_tu_pl</v>
      </c>
      <c r="J412" s="39" t="s">
        <v>1173</v>
      </c>
      <c r="K412" s="39" t="str">
        <f>VLOOKUP(F412,glossary!J:N,5,FALSE)</f>
        <v>A formal measure that summarizes the state of a community or population at a particular time (Wearn &amp; Glover-Kapfer, 2017), (e.g., species richness or population abundance).</v>
      </c>
      <c r="L412" s="30" t="s">
        <v>1124</v>
      </c>
      <c r="M412" s="30" t="str">
        <f t="shared" ref="M412:M443" si="23">"{{ "&amp;I412&amp;" }}"</f>
        <v>{{ state_variable_tu_pl }}</v>
      </c>
      <c r="N412" t="s">
        <v>896</v>
      </c>
      <c r="O412" s="13" t="s">
        <v>1816</v>
      </c>
      <c r="P412" t="s">
        <v>4081</v>
      </c>
      <c r="Q412" t="str">
        <f t="shared" ref="Q412:Q443" si="24">IF(K412&lt;&gt;"-",("    "&amp;I412&amp;": "&amp;""""&amp;"&lt;a href=\"&amp;""""&amp;"09_glossary.html#"&amp;H412&amp;N412&amp;G412&amp;": "&amp;K412&amp;O412&amp;J412&amp;P412&amp;""""),"-")</f>
        <v xml:space="preserve">    state_variable_tu_pl: "&lt;a href=\"09_glossary.html#state_variable\" target=\"_blank\" data-bs-toggle=\"tooltip\" data-bs-title=\"State variable: A formal measure that summarizes the state of a community or population at a particular time (Wearn &amp; Glover-Kapfer, 2017), (e.g., species richness or population abundance).\"&gt;State variables&lt;button type=\"button\" class=\"btn btn-bd-tip-info-hidden btn-sm position-relative\"&gt;.&lt;span class=\"position-absolute top-0 start-100 translate-middle\"&gt;{{ icon_info }}&lt;/span&gt;&lt;/button&gt;&lt;/a&gt;"</v>
      </c>
      <c r="R412" t="b" cm="1">
        <f t="array" ref="R412">SUMPRODUCT(--EXACT($J$2:$J$490,J412))&gt;1</f>
        <v>0</v>
      </c>
      <c r="S412" t="s">
        <v>4580</v>
      </c>
    </row>
    <row r="413" spans="1:19">
      <c r="A413" s="30">
        <v>2</v>
      </c>
      <c r="B413" s="30" t="s">
        <v>1400</v>
      </c>
      <c r="C413" s="30"/>
      <c r="D413" s="30" t="s">
        <v>1207</v>
      </c>
      <c r="E413" s="30" t="s">
        <v>984</v>
      </c>
      <c r="F413" s="30" t="s">
        <v>765</v>
      </c>
      <c r="G413" s="39" t="str">
        <f>VLOOKUP(F413,glossary!J:N,2,FALSE)</f>
        <v>Strata</v>
      </c>
      <c r="H413" s="30" t="s">
        <v>765</v>
      </c>
      <c r="I413" s="45" t="str">
        <f t="shared" si="22"/>
        <v>strata_tl</v>
      </c>
      <c r="J413" s="39" t="s">
        <v>765</v>
      </c>
      <c r="K413" s="39" t="str">
        <f>VLOOKUP(F413,glossary!J:N,5,FALSE)</f>
        <v>(plural of stratum) the 'division in an organized system based on the characteristics of that system' (Morrison et al., 2008)</v>
      </c>
      <c r="L413" t="s">
        <v>984</v>
      </c>
      <c r="M413" s="30" t="str">
        <f t="shared" si="23"/>
        <v>{{ strata_tl }}</v>
      </c>
      <c r="N413" t="s">
        <v>896</v>
      </c>
      <c r="O413" s="13" t="s">
        <v>1816</v>
      </c>
      <c r="P413" t="s">
        <v>4081</v>
      </c>
      <c r="Q413" t="str">
        <f t="shared" si="24"/>
        <v xml:space="preserve">    strata_tl: "&lt;a href=\"09_glossary.html#strata\" target=\"_blank\" data-bs-toggle=\"tooltip\" data-bs-title=\"Strata: (plural of stratum) the 'division in an organized system based on the characteristics of that system' (Morrison et al., 2008)\"&gt;strata&lt;button type=\"button\" class=\"btn btn-bd-tip-info-hidden btn-sm position-relative\"&gt;.&lt;span class=\"position-absolute top-0 start-100 translate-middle\"&gt;{{ icon_info }}&lt;/span&gt;&lt;/button&gt;&lt;/a&gt;"</v>
      </c>
      <c r="R413" t="b" cm="1">
        <f t="array" ref="R413">SUMPRODUCT(--EXACT($J$2:$J$490,J413))&gt;1</f>
        <v>0</v>
      </c>
      <c r="S413" t="s">
        <v>4581</v>
      </c>
    </row>
    <row r="414" spans="1:19">
      <c r="A414" s="30">
        <v>2</v>
      </c>
      <c r="B414" s="30" t="s">
        <v>1400</v>
      </c>
      <c r="C414" s="30"/>
      <c r="D414" s="30" t="s">
        <v>1208</v>
      </c>
      <c r="E414" s="30" t="s">
        <v>984</v>
      </c>
      <c r="F414" s="30" t="s">
        <v>765</v>
      </c>
      <c r="G414" s="39" t="str">
        <f>VLOOKUP(F414,glossary!J:N,2,FALSE)</f>
        <v>Strata</v>
      </c>
      <c r="H414" s="30" t="s">
        <v>765</v>
      </c>
      <c r="I414" s="45" t="str">
        <f t="shared" si="22"/>
        <v>strata_tu</v>
      </c>
      <c r="J414" s="39" t="s">
        <v>766</v>
      </c>
      <c r="K414" s="39" t="str">
        <f>VLOOKUP(F414,glossary!J:N,5,FALSE)</f>
        <v>(plural of stratum) the 'division in an organized system based on the characteristics of that system' (Morrison et al., 2008)</v>
      </c>
      <c r="L414" t="s">
        <v>984</v>
      </c>
      <c r="M414" s="30" t="str">
        <f t="shared" si="23"/>
        <v>{{ strata_tu }}</v>
      </c>
      <c r="N414" t="s">
        <v>896</v>
      </c>
      <c r="O414" s="13" t="s">
        <v>1816</v>
      </c>
      <c r="P414" t="s">
        <v>4081</v>
      </c>
      <c r="Q414" t="str">
        <f t="shared" si="24"/>
        <v xml:space="preserve">    strata_tu: "&lt;a href=\"09_glossary.html#strata\" target=\"_blank\" data-bs-toggle=\"tooltip\" data-bs-title=\"Strata: (plural of stratum) the 'division in an organized system based on the characteristics of that system' (Morrison et al., 2008)\"&gt;Strata&lt;button type=\"button\" class=\"btn btn-bd-tip-info-hidden btn-sm position-relative\"&gt;.&lt;span class=\"position-absolute top-0 start-100 translate-middle\"&gt;{{ icon_info }}&lt;/span&gt;&lt;/button&gt;&lt;/a&gt;"</v>
      </c>
      <c r="R414" t="b" cm="1">
        <f t="array" ref="R414">SUMPRODUCT(--EXACT($J$2:$J$490,J414))&gt;1</f>
        <v>0</v>
      </c>
      <c r="S414" t="s">
        <v>4582</v>
      </c>
    </row>
    <row r="415" spans="1:19">
      <c r="A415" s="30">
        <v>2</v>
      </c>
      <c r="B415" s="30" t="s">
        <v>1400</v>
      </c>
      <c r="C415" s="30"/>
      <c r="D415" s="30" t="s">
        <v>1207</v>
      </c>
      <c r="E415" s="30" t="s">
        <v>984</v>
      </c>
      <c r="F415" s="30" t="s">
        <v>1766</v>
      </c>
      <c r="G415" s="39" t="str">
        <f>VLOOKUP(F415,glossary!J:N,2,FALSE)</f>
        <v>Stratum</v>
      </c>
      <c r="H415" s="30" t="s">
        <v>1766</v>
      </c>
      <c r="I415" s="45" t="str">
        <f t="shared" si="22"/>
        <v>stratum_tl</v>
      </c>
      <c r="J415" s="39" t="s">
        <v>1766</v>
      </c>
      <c r="K415" s="39" t="str">
        <f>VLOOKUP(F415,glossary!J:N,5,FALSE)</f>
        <v>(singular of strata) a single group or category when a system is divided 'based on the characteristics of that system' (Morrison et al., 2008)</v>
      </c>
      <c r="L415" t="s">
        <v>984</v>
      </c>
      <c r="M415" s="30" t="str">
        <f t="shared" si="23"/>
        <v>{{ stratum_tl }}</v>
      </c>
      <c r="N415" t="s">
        <v>896</v>
      </c>
      <c r="O415" s="13" t="s">
        <v>1816</v>
      </c>
      <c r="P415" t="s">
        <v>4081</v>
      </c>
      <c r="Q415" t="str">
        <f t="shared" si="24"/>
        <v xml:space="preserve">    stratum_tl: "&lt;a href=\"09_glossary.html#stratum\" target=\"_blank\" data-bs-toggle=\"tooltip\" data-bs-title=\"Stratum: (singular of strata) a single group or category when a system is divided 'based on the characteristics of that system' (Morrison et al., 2008)\"&gt;stratum&lt;button type=\"button\" class=\"btn btn-bd-tip-info-hidden btn-sm position-relative\"&gt;.&lt;span class=\"position-absolute top-0 start-100 translate-middle\"&gt;{{ icon_info }}&lt;/span&gt;&lt;/button&gt;&lt;/a&gt;"</v>
      </c>
      <c r="R415" t="b" cm="1">
        <f t="array" ref="R415">SUMPRODUCT(--EXACT($J$2:$J$490,J415))&gt;1</f>
        <v>0</v>
      </c>
      <c r="S415" t="s">
        <v>4583</v>
      </c>
    </row>
    <row r="416" spans="1:19">
      <c r="A416" s="30">
        <v>2</v>
      </c>
      <c r="B416" s="30" t="s">
        <v>1400</v>
      </c>
      <c r="C416" s="30"/>
      <c r="D416" s="30" t="s">
        <v>1208</v>
      </c>
      <c r="E416" s="30" t="s">
        <v>984</v>
      </c>
      <c r="F416" s="30" t="s">
        <v>1766</v>
      </c>
      <c r="G416" s="39" t="str">
        <f>VLOOKUP(F416,glossary!J:N,2,FALSE)</f>
        <v>Stratum</v>
      </c>
      <c r="H416" s="30" t="s">
        <v>1766</v>
      </c>
      <c r="I416" s="45" t="str">
        <f t="shared" si="22"/>
        <v>stratum_tu</v>
      </c>
      <c r="J416" s="39" t="s">
        <v>1765</v>
      </c>
      <c r="K416" s="39" t="str">
        <f>VLOOKUP(F416,glossary!J:N,5,FALSE)</f>
        <v>(singular of strata) a single group or category when a system is divided 'based on the characteristics of that system' (Morrison et al., 2008)</v>
      </c>
      <c r="L416" t="s">
        <v>984</v>
      </c>
      <c r="M416" s="30" t="str">
        <f t="shared" si="23"/>
        <v>{{ stratum_tu }}</v>
      </c>
      <c r="N416" t="s">
        <v>896</v>
      </c>
      <c r="O416" s="13" t="s">
        <v>1816</v>
      </c>
      <c r="P416" t="s">
        <v>4081</v>
      </c>
      <c r="Q416" t="str">
        <f t="shared" si="24"/>
        <v xml:space="preserve">    stratum_tu: "&lt;a href=\"09_glossary.html#stratum\" target=\"_blank\" data-bs-toggle=\"tooltip\" data-bs-title=\"Stratum: (singular of strata) a single group or category when a system is divided 'based on the characteristics of that system' (Morrison et al., 2008)\"&gt;Stratum&lt;button type=\"button\" class=\"btn btn-bd-tip-info-hidden btn-sm position-relative\"&gt;.&lt;span class=\"position-absolute top-0 start-100 translate-middle\"&gt;{{ icon_info }}&lt;/span&gt;&lt;/button&gt;&lt;/a&gt;"</v>
      </c>
      <c r="R416" t="b" cm="1">
        <f t="array" ref="R416">SUMPRODUCT(--EXACT($J$2:$J$490,J416))&gt;1</f>
        <v>0</v>
      </c>
      <c r="S416" t="s">
        <v>4584</v>
      </c>
    </row>
    <row r="417" spans="1:19">
      <c r="A417" s="30">
        <v>3</v>
      </c>
      <c r="B417" s="30" t="s">
        <v>1393</v>
      </c>
      <c r="C417" s="30"/>
      <c r="D417" s="30" t="s">
        <v>1207</v>
      </c>
      <c r="E417" s="30" t="s">
        <v>984</v>
      </c>
      <c r="F417" s="30" t="s">
        <v>94</v>
      </c>
      <c r="G417" s="39" t="str">
        <f>VLOOKUP(F417,glossary!J:N,2,FALSE)</f>
        <v>Study area</v>
      </c>
      <c r="H417" s="34" t="s">
        <v>94</v>
      </c>
      <c r="I417" s="45" t="str">
        <f t="shared" si="22"/>
        <v>study_area_tl</v>
      </c>
      <c r="J417" s="43" t="s">
        <v>957</v>
      </c>
      <c r="K417" s="39" t="str">
        <f>VLOOKUP(F417,glossary!J:N,5,FALSE)</f>
        <v>A unique research, inventory or monitoring area (spatial boundary) within a project (there may be multiple study areas within a single project) (recorded as 'Study Area Name').</v>
      </c>
      <c r="L417" t="s">
        <v>1463</v>
      </c>
      <c r="M417" s="30" t="str">
        <f t="shared" si="23"/>
        <v>{{ study_area_tl }}</v>
      </c>
      <c r="N417" t="s">
        <v>896</v>
      </c>
      <c r="O417" s="13" t="s">
        <v>1816</v>
      </c>
      <c r="P417" t="s">
        <v>4081</v>
      </c>
      <c r="Q417" t="str">
        <f t="shared" si="24"/>
        <v xml:space="preserve">    study_area_tl: "&lt;a href=\"09_glossary.html#study_area\" target=\"_blank\" data-bs-toggle=\"tooltip\" data-bs-title=\"Study area: A unique research, inventory or monitoring area (spatial boundary) within a project (there may be multiple study areas within a single project) (recorded as 'Study Area Name').\"&gt;study area&lt;button type=\"button\" class=\"btn btn-bd-tip-info-hidden btn-sm position-relative\"&gt;.&lt;span class=\"position-absolute top-0 start-100 translate-middle\"&gt;{{ icon_info }}&lt;/span&gt;&lt;/button&gt;&lt;/a&gt;"</v>
      </c>
      <c r="R417" t="b" cm="1">
        <f t="array" ref="R417">SUMPRODUCT(--EXACT($J$2:$J$490,J417))&gt;1</f>
        <v>0</v>
      </c>
      <c r="S417" t="s">
        <v>4585</v>
      </c>
    </row>
    <row r="418" spans="1:19">
      <c r="A418" s="30">
        <v>1</v>
      </c>
      <c r="B418" s="30" t="s">
        <v>1064</v>
      </c>
      <c r="C418" s="30" t="s">
        <v>0</v>
      </c>
      <c r="D418" s="30" t="s">
        <v>1207</v>
      </c>
      <c r="E418" s="30" t="s">
        <v>1758</v>
      </c>
      <c r="F418" s="30" t="s">
        <v>94</v>
      </c>
      <c r="G418" s="39" t="str">
        <f>VLOOKUP(F418,glossary!J:N,2,FALSE)</f>
        <v>Study area</v>
      </c>
      <c r="H418" s="30" t="s">
        <v>94</v>
      </c>
      <c r="I418" s="45" t="str">
        <f t="shared" si="22"/>
        <v>study_area_tl_pl</v>
      </c>
      <c r="J418" s="39" t="s">
        <v>1186</v>
      </c>
      <c r="K418" s="39" t="str">
        <f>VLOOKUP(F418,glossary!J:N,5,FALSE)</f>
        <v>A unique research, inventory or monitoring area (spatial boundary) within a project (there may be multiple study areas within a single project) (recorded as 'Study Area Name').</v>
      </c>
      <c r="L418" s="30" t="s">
        <v>1113</v>
      </c>
      <c r="M418" s="30" t="str">
        <f t="shared" si="23"/>
        <v>{{ study_area_tl_pl }}</v>
      </c>
      <c r="N418" t="s">
        <v>896</v>
      </c>
      <c r="O418" s="13" t="s">
        <v>1816</v>
      </c>
      <c r="P418" t="s">
        <v>4081</v>
      </c>
      <c r="Q418" t="str">
        <f t="shared" si="24"/>
        <v xml:space="preserve">    study_area_tl_pl: "&lt;a href=\"09_glossary.html#study_area\" target=\"_blank\" data-bs-toggle=\"tooltip\" data-bs-title=\"Study area: A unique research, inventory or monitoring area (spatial boundary) within a project (there may be multiple study areas within a single project) (recorded as 'Study Area Name').\"&gt;study areas&lt;button type=\"button\" class=\"btn btn-bd-tip-info-hidden btn-sm position-relative\"&gt;.&lt;span class=\"position-absolute top-0 start-100 translate-middle\"&gt;{{ icon_info }}&lt;/span&gt;&lt;/button&gt;&lt;/a&gt;"</v>
      </c>
      <c r="R418" t="b" cm="1">
        <f t="array" ref="R418">SUMPRODUCT(--EXACT($J$2:$J$490,J418))&gt;1</f>
        <v>0</v>
      </c>
      <c r="S418" t="s">
        <v>4586</v>
      </c>
    </row>
    <row r="419" spans="1:19">
      <c r="A419" s="30">
        <v>3</v>
      </c>
      <c r="B419" s="30" t="s">
        <v>1393</v>
      </c>
      <c r="C419" s="30"/>
      <c r="D419" s="30" t="s">
        <v>1208</v>
      </c>
      <c r="E419" s="30" t="s">
        <v>984</v>
      </c>
      <c r="F419" s="30" t="s">
        <v>94</v>
      </c>
      <c r="G419" s="39" t="str">
        <f>VLOOKUP(F419,glossary!J:N,2,FALSE)</f>
        <v>Study area</v>
      </c>
      <c r="H419" s="34" t="s">
        <v>94</v>
      </c>
      <c r="I419" s="45" t="str">
        <f t="shared" si="22"/>
        <v>study_area_tu</v>
      </c>
      <c r="J419" s="42" t="s">
        <v>95</v>
      </c>
      <c r="K419" s="39" t="str">
        <f>VLOOKUP(F419,glossary!J:N,5,FALSE)</f>
        <v>A unique research, inventory or monitoring area (spatial boundary) within a project (there may be multiple study areas within a single project) (recorded as 'Study Area Name').</v>
      </c>
      <c r="L419" t="s">
        <v>1462</v>
      </c>
      <c r="M419" s="30" t="str">
        <f t="shared" si="23"/>
        <v>{{ study_area_tu }}</v>
      </c>
      <c r="N419" t="s">
        <v>896</v>
      </c>
      <c r="O419" s="13" t="s">
        <v>1816</v>
      </c>
      <c r="P419" t="s">
        <v>4081</v>
      </c>
      <c r="Q419" t="str">
        <f t="shared" si="24"/>
        <v xml:space="preserve">    study_area_tu: "&lt;a href=\"09_glossary.html#study_area\" target=\"_blank\" data-bs-toggle=\"tooltip\" data-bs-title=\"Study area: A unique research, inventory or monitoring area (spatial boundary) within a project (there may be multiple study areas within a single project) (recorded as 'Study Area Name').\"&gt;Study area&lt;button type=\"button\" class=\"btn btn-bd-tip-info-hidden btn-sm position-relative\"&gt;.&lt;span class=\"position-absolute top-0 start-100 translate-middle\"&gt;{{ icon_info }}&lt;/span&gt;&lt;/button&gt;&lt;/a&gt;"</v>
      </c>
      <c r="R419" t="b" cm="1">
        <f t="array" ref="R419">SUMPRODUCT(--EXACT($J$2:$J$490,J419))&gt;1</f>
        <v>0</v>
      </c>
      <c r="S419" t="s">
        <v>4587</v>
      </c>
    </row>
    <row r="420" spans="1:19">
      <c r="A420" s="30">
        <v>1</v>
      </c>
      <c r="B420" s="30" t="s">
        <v>1064</v>
      </c>
      <c r="C420" s="30" t="s">
        <v>429</v>
      </c>
      <c r="D420" s="30" t="s">
        <v>1208</v>
      </c>
      <c r="E420" s="30" t="s">
        <v>1758</v>
      </c>
      <c r="F420" s="30" t="s">
        <v>94</v>
      </c>
      <c r="G420" s="39" t="str">
        <f>VLOOKUP(F420,glossary!J:N,2,FALSE)</f>
        <v>Study area</v>
      </c>
      <c r="H420" s="30" t="s">
        <v>94</v>
      </c>
      <c r="I420" s="45" t="str">
        <f t="shared" si="22"/>
        <v>study_area_tu_pl</v>
      </c>
      <c r="J420" s="39" t="s">
        <v>1174</v>
      </c>
      <c r="K420" s="39" t="str">
        <f>VLOOKUP(F420,glossary!J:N,5,FALSE)</f>
        <v>A unique research, inventory or monitoring area (spatial boundary) within a project (there may be multiple study areas within a single project) (recorded as 'Study Area Name').</v>
      </c>
      <c r="L420" s="30" t="s">
        <v>1087</v>
      </c>
      <c r="M420" s="30" t="str">
        <f t="shared" si="23"/>
        <v>{{ study_area_tu_pl }}</v>
      </c>
      <c r="N420" t="s">
        <v>896</v>
      </c>
      <c r="O420" s="13" t="s">
        <v>1816</v>
      </c>
      <c r="P420" t="s">
        <v>4081</v>
      </c>
      <c r="Q420" t="str">
        <f t="shared" si="24"/>
        <v xml:space="preserve">    study_area_tu_pl: "&lt;a href=\"09_glossary.html#study_area\" target=\"_blank\" data-bs-toggle=\"tooltip\" data-bs-title=\"Study area: A unique research, inventory or monitoring area (spatial boundary) within a project (there may be multiple study areas within a single project) (recorded as 'Study Area Name').\"&gt;Study areas&lt;button type=\"button\" class=\"btn btn-bd-tip-info-hidden btn-sm position-relative\"&gt;.&lt;span class=\"position-absolute top-0 start-100 translate-middle\"&gt;{{ icon_info }}&lt;/span&gt;&lt;/button&gt;&lt;/a&gt;"</v>
      </c>
      <c r="R420" t="b" cm="1">
        <f t="array" ref="R420">SUMPRODUCT(--EXACT($J$2:$J$490,J420))&gt;1</f>
        <v>0</v>
      </c>
      <c r="S420" t="s">
        <v>4588</v>
      </c>
    </row>
    <row r="421" spans="1:19">
      <c r="A421" s="30">
        <v>3</v>
      </c>
      <c r="B421" s="30" t="s">
        <v>1393</v>
      </c>
      <c r="C421" s="30"/>
      <c r="D421" s="30" t="s">
        <v>1208</v>
      </c>
      <c r="E421" s="30" t="s">
        <v>984</v>
      </c>
      <c r="F421" s="30" t="s">
        <v>250</v>
      </c>
      <c r="G421" s="39" t="str">
        <f>VLOOKUP(F421,glossary!J:N,2,FALSE)</f>
        <v>Study Area Description</v>
      </c>
      <c r="H421" s="34" t="s">
        <v>250</v>
      </c>
      <c r="I421" s="45" t="str">
        <f t="shared" si="22"/>
        <v>study_area_description_tu</v>
      </c>
      <c r="J421" s="42" t="s">
        <v>723</v>
      </c>
      <c r="K421" s="39" t="str">
        <f>VLOOKUP(F421,glossary!J:N,5,FALSE)</f>
        <v>A description for each unique research or monitoring area including its location, the habitat type(s), land use(s) and habitat disturbances (where applicable).</v>
      </c>
      <c r="L421" t="s">
        <v>1461</v>
      </c>
      <c r="M421" s="30" t="str">
        <f t="shared" si="23"/>
        <v>{{ study_area_description_tu }}</v>
      </c>
      <c r="N421" t="s">
        <v>896</v>
      </c>
      <c r="O421" s="13" t="s">
        <v>1816</v>
      </c>
      <c r="P421" t="s">
        <v>4081</v>
      </c>
      <c r="Q421" t="str">
        <f t="shared" si="24"/>
        <v xml:space="preserve">    study_area_description_tu: "&lt;a href=\"09_glossary.html#study_area_description\" target=\"_blank\" data-bs-toggle=\"tooltip\" data-bs-title=\"Study Area Description: A description for each unique research or monitoring area including its location, the habitat type(s), land use(s) and habitat disturbances (where applicable).\"&gt;Study Area Description&lt;button type=\"button\" class=\"btn btn-bd-tip-info-hidden btn-sm position-relative\"&gt;.&lt;span class=\"position-absolute top-0 start-100 translate-middle\"&gt;{{ icon_info }}&lt;/span&gt;&lt;/button&gt;&lt;/a&gt;"</v>
      </c>
      <c r="R421" t="b" cm="1">
        <f t="array" ref="R421">SUMPRODUCT(--EXACT($J$2:$J$490,J421))&gt;1</f>
        <v>0</v>
      </c>
      <c r="S421" t="s">
        <v>4589</v>
      </c>
    </row>
    <row r="422" spans="1:19">
      <c r="A422" s="30">
        <v>3</v>
      </c>
      <c r="B422" s="30" t="s">
        <v>1393</v>
      </c>
      <c r="C422" s="30"/>
      <c r="D422" s="30" t="s">
        <v>1208</v>
      </c>
      <c r="E422" s="30" t="s">
        <v>984</v>
      </c>
      <c r="F422" s="30" t="s">
        <v>249</v>
      </c>
      <c r="G422" s="39" t="str">
        <f>VLOOKUP(F422,glossary!J:N,2,FALSE)</f>
        <v>Study Area Name</v>
      </c>
      <c r="H422" s="34" t="s">
        <v>249</v>
      </c>
      <c r="I422" s="45" t="str">
        <f t="shared" si="22"/>
        <v>study_area_name_tu</v>
      </c>
      <c r="J422" s="42" t="s">
        <v>724</v>
      </c>
      <c r="K422" s="39" t="str">
        <f>VLOOKUP(F422,glossary!J:N,5,FALSE)</f>
        <v>A unique alphanumeric identifier for each study area (e.g.,'oilsands_ref1'). If only one area was surveyed, the Project Name and Study Area Name should be the same.</v>
      </c>
      <c r="L422" t="s">
        <v>1460</v>
      </c>
      <c r="M422" s="30" t="str">
        <f t="shared" si="23"/>
        <v>{{ study_area_name_tu }}</v>
      </c>
      <c r="N422" t="s">
        <v>896</v>
      </c>
      <c r="O422" s="13" t="s">
        <v>1816</v>
      </c>
      <c r="P422" t="s">
        <v>4081</v>
      </c>
      <c r="Q422" t="str">
        <f t="shared" si="24"/>
        <v xml:space="preserve">    study_area_name_tu: "&lt;a href=\"09_glossary.html#study_area_name\" target=\"_blank\" data-bs-toggle=\"tooltip\" data-bs-title=\"Study Area Name: A unique alphanumeric identifier for each study area (e.g.,'oilsands_ref1'). If only one area was surveyed, the Project Name and Study Area Name should be the same.\"&gt;Study Area Name&lt;button type=\"button\" class=\"btn btn-bd-tip-info-hidden btn-sm position-relative\"&gt;.&lt;span class=\"position-absolute top-0 start-100 translate-middle\"&gt;{{ icon_info }}&lt;/span&gt;&lt;/button&gt;&lt;/a&gt;"</v>
      </c>
      <c r="R422" t="b" cm="1">
        <f t="array" ref="R422">SUMPRODUCT(--EXACT($J$2:$J$490,J422))&gt;1</f>
        <v>0</v>
      </c>
      <c r="S422" t="s">
        <v>4590</v>
      </c>
    </row>
    <row r="423" spans="1:19">
      <c r="A423" s="30">
        <v>2</v>
      </c>
      <c r="B423" s="30" t="s">
        <v>1400</v>
      </c>
      <c r="C423" s="30"/>
      <c r="D423" s="30" t="s">
        <v>1207</v>
      </c>
      <c r="E423" s="30" t="s">
        <v>984</v>
      </c>
      <c r="F423" s="30" t="s">
        <v>513</v>
      </c>
      <c r="G423" s="39" t="str">
        <f>VLOOKUP(F423,glossary!J:N,2,FALSE)</f>
        <v>Survey</v>
      </c>
      <c r="H423" s="30" t="s">
        <v>513</v>
      </c>
      <c r="I423" s="45" t="str">
        <f t="shared" si="22"/>
        <v>survey_tl</v>
      </c>
      <c r="J423" s="39" t="s">
        <v>513</v>
      </c>
      <c r="K423" s="39" t="str">
        <f>VLOOKUP(F423,glossary!J:N,5,FALSE)</f>
        <v>A unique deployment period (temporal extent) within a project (recorded as 'Survey Name').</v>
      </c>
      <c r="L423" s="30" t="s">
        <v>1459</v>
      </c>
      <c r="M423" s="30" t="str">
        <f t="shared" si="23"/>
        <v>{{ survey_tl }}</v>
      </c>
      <c r="N423" t="s">
        <v>896</v>
      </c>
      <c r="O423" s="13" t="s">
        <v>1816</v>
      </c>
      <c r="P423" t="s">
        <v>4081</v>
      </c>
      <c r="Q423" t="str">
        <f t="shared" si="24"/>
        <v xml:space="preserve">    survey_tl: "&lt;a href=\"09_glossary.html#survey\" target=\"_blank\" data-bs-toggle=\"tooltip\" data-bs-title=\"Survey: A unique deployment period (temporal extent) within a project (recorded as 'Survey Name').\"&gt;survey&lt;button type=\"button\" class=\"btn btn-bd-tip-info-hidden btn-sm position-relative\"&gt;.&lt;span class=\"position-absolute top-0 start-100 translate-middle\"&gt;{{ icon_info }}&lt;/span&gt;&lt;/button&gt;&lt;/a&gt;"</v>
      </c>
      <c r="R423" t="b" cm="1">
        <f t="array" ref="R423">SUMPRODUCT(--EXACT($J$2:$J$490,J423))&gt;1</f>
        <v>0</v>
      </c>
      <c r="S423" t="s">
        <v>4591</v>
      </c>
    </row>
    <row r="424" spans="1:19">
      <c r="A424" s="30">
        <v>1</v>
      </c>
      <c r="B424" s="30" t="s">
        <v>1064</v>
      </c>
      <c r="C424" s="30" t="s">
        <v>0</v>
      </c>
      <c r="D424" s="30" t="s">
        <v>1207</v>
      </c>
      <c r="E424" s="30" t="s">
        <v>1758</v>
      </c>
      <c r="F424" s="30" t="s">
        <v>513</v>
      </c>
      <c r="G424" s="39" t="str">
        <f>VLOOKUP(F424,glossary!J:N,2,FALSE)</f>
        <v>Survey</v>
      </c>
      <c r="H424" s="30" t="s">
        <v>513</v>
      </c>
      <c r="I424" s="45" t="str">
        <f t="shared" si="22"/>
        <v>survey_tl_pl</v>
      </c>
      <c r="J424" s="39" t="s">
        <v>1187</v>
      </c>
      <c r="K424" s="39" t="str">
        <f>VLOOKUP(F424,glossary!J:N,5,FALSE)</f>
        <v>A unique deployment period (temporal extent) within a project (recorded as 'Survey Name').</v>
      </c>
      <c r="L424" s="30" t="s">
        <v>1114</v>
      </c>
      <c r="M424" s="30" t="str">
        <f t="shared" si="23"/>
        <v>{{ survey_tl_pl }}</v>
      </c>
      <c r="N424" t="s">
        <v>896</v>
      </c>
      <c r="O424" s="13" t="s">
        <v>1816</v>
      </c>
      <c r="P424" t="s">
        <v>4081</v>
      </c>
      <c r="Q424" t="str">
        <f t="shared" si="24"/>
        <v xml:space="preserve">    survey_tl_pl: "&lt;a href=\"09_glossary.html#survey\" target=\"_blank\" data-bs-toggle=\"tooltip\" data-bs-title=\"Survey: A unique deployment period (temporal extent) within a project (recorded as 'Survey Name').\"&gt;surveys&lt;button type=\"button\" class=\"btn btn-bd-tip-info-hidden btn-sm position-relative\"&gt;.&lt;span class=\"position-absolute top-0 start-100 translate-middle\"&gt;{{ icon_info }}&lt;/span&gt;&lt;/button&gt;&lt;/a&gt;"</v>
      </c>
      <c r="R424" t="b" cm="1">
        <f t="array" ref="R424">SUMPRODUCT(--EXACT($J$2:$J$490,J424))&gt;1</f>
        <v>0</v>
      </c>
      <c r="S424" t="s">
        <v>4592</v>
      </c>
    </row>
    <row r="425" spans="1:19">
      <c r="A425" s="30">
        <v>2</v>
      </c>
      <c r="B425" s="30" t="s">
        <v>1400</v>
      </c>
      <c r="C425" s="30"/>
      <c r="D425" s="30" t="s">
        <v>1208</v>
      </c>
      <c r="E425" s="30" t="s">
        <v>984</v>
      </c>
      <c r="F425" s="30" t="s">
        <v>513</v>
      </c>
      <c r="G425" s="39" t="str">
        <f>VLOOKUP(F425,glossary!J:N,2,FALSE)</f>
        <v>Survey</v>
      </c>
      <c r="H425" s="30" t="s">
        <v>513</v>
      </c>
      <c r="I425" s="45" t="str">
        <f t="shared" si="22"/>
        <v>survey_tu</v>
      </c>
      <c r="J425" s="39" t="s">
        <v>528</v>
      </c>
      <c r="K425" s="39" t="str">
        <f>VLOOKUP(F425,glossary!J:N,5,FALSE)</f>
        <v>A unique deployment period (temporal extent) within a project (recorded as 'Survey Name').</v>
      </c>
      <c r="L425" s="30" t="s">
        <v>1458</v>
      </c>
      <c r="M425" s="30" t="str">
        <f t="shared" si="23"/>
        <v>{{ survey_tu }}</v>
      </c>
      <c r="N425" t="s">
        <v>896</v>
      </c>
      <c r="O425" s="13" t="s">
        <v>1816</v>
      </c>
      <c r="P425" t="s">
        <v>4081</v>
      </c>
      <c r="Q425" t="str">
        <f t="shared" si="24"/>
        <v xml:space="preserve">    survey_tu: "&lt;a href=\"09_glossary.html#survey\" target=\"_blank\" data-bs-toggle=\"tooltip\" data-bs-title=\"Survey: A unique deployment period (temporal extent) within a project (recorded as 'Survey Name').\"&gt;Survey&lt;button type=\"button\" class=\"btn btn-bd-tip-info-hidden btn-sm position-relative\"&gt;.&lt;span class=\"position-absolute top-0 start-100 translate-middle\"&gt;{{ icon_info }}&lt;/span&gt;&lt;/button&gt;&lt;/a&gt;"</v>
      </c>
      <c r="R425" t="b" cm="1">
        <f t="array" ref="R425">SUMPRODUCT(--EXACT($J$2:$J$490,J425))&gt;1</f>
        <v>0</v>
      </c>
      <c r="S425" t="s">
        <v>4593</v>
      </c>
    </row>
    <row r="426" spans="1:19">
      <c r="A426" s="30">
        <v>1</v>
      </c>
      <c r="B426" s="30" t="s">
        <v>1064</v>
      </c>
      <c r="C426" s="30" t="s">
        <v>0</v>
      </c>
      <c r="D426" s="30" t="s">
        <v>1208</v>
      </c>
      <c r="E426" s="30" t="s">
        <v>1758</v>
      </c>
      <c r="F426" s="30" t="s">
        <v>513</v>
      </c>
      <c r="G426" s="39" t="str">
        <f>VLOOKUP(F426,glossary!J:N,2,FALSE)</f>
        <v>Survey</v>
      </c>
      <c r="H426" s="30" t="s">
        <v>513</v>
      </c>
      <c r="I426" s="45" t="str">
        <f t="shared" si="22"/>
        <v>survey_tu_pl</v>
      </c>
      <c r="J426" s="39" t="s">
        <v>1175</v>
      </c>
      <c r="K426" s="39" t="str">
        <f>VLOOKUP(F426,glossary!J:N,5,FALSE)</f>
        <v>A unique deployment period (temporal extent) within a project (recorded as 'Survey Name').</v>
      </c>
      <c r="L426" s="30" t="s">
        <v>1088</v>
      </c>
      <c r="M426" s="30" t="str">
        <f t="shared" si="23"/>
        <v>{{ survey_tu_pl }}</v>
      </c>
      <c r="N426" t="s">
        <v>896</v>
      </c>
      <c r="O426" s="13" t="s">
        <v>1816</v>
      </c>
      <c r="P426" t="s">
        <v>4081</v>
      </c>
      <c r="Q426" t="str">
        <f t="shared" si="24"/>
        <v xml:space="preserve">    survey_tu_pl: "&lt;a href=\"09_glossary.html#survey\" target=\"_blank\" data-bs-toggle=\"tooltip\" data-bs-title=\"Survey: A unique deployment period (temporal extent) within a project (recorded as 'Survey Name').\"&gt;Surveys&lt;button type=\"button\" class=\"btn btn-bd-tip-info-hidden btn-sm position-relative\"&gt;.&lt;span class=\"position-absolute top-0 start-100 translate-middle\"&gt;{{ icon_info }}&lt;/span&gt;&lt;/button&gt;&lt;/a&gt;"</v>
      </c>
      <c r="R426" t="b" cm="1">
        <f t="array" ref="R426">SUMPRODUCT(--EXACT($J$2:$J$490,J426))&gt;1</f>
        <v>0</v>
      </c>
      <c r="S426" t="s">
        <v>4594</v>
      </c>
    </row>
    <row r="427" spans="1:19">
      <c r="A427" s="30">
        <v>3</v>
      </c>
      <c r="B427" s="30" t="s">
        <v>1393</v>
      </c>
      <c r="C427" s="30"/>
      <c r="D427" s="30" t="s">
        <v>1208</v>
      </c>
      <c r="E427" s="30" t="s">
        <v>984</v>
      </c>
      <c r="F427" s="30" t="s">
        <v>514</v>
      </c>
      <c r="G427" s="39" t="str">
        <f>VLOOKUP(F427,glossary!J:N,2,FALSE)</f>
        <v>Survey Design</v>
      </c>
      <c r="H427" s="34" t="s">
        <v>514</v>
      </c>
      <c r="I427" s="45" t="str">
        <f t="shared" si="22"/>
        <v>survey_design_tu</v>
      </c>
      <c r="J427" s="42" t="s">
        <v>725</v>
      </c>
      <c r="K427" s="39" t="str">
        <f>VLOOKUP(F427,glossary!J:N,5,FALSE)</f>
        <v>The spatial arrangement of remote cameras within the study area for an individual survey. If 'Hierarchical (multiple)*/*,' include additional details in the Survey Design Description. &lt;br&gt; &lt;br&gt; Note that we refer to different configurations of cameras more generally as study design and sampling design; however, the term 'Survey Design' refers to study design as it applies to an individual survey. There may be multiple Survey Designs for surveys within a project; if this occurs, the Survey Design. should be reported separately for each survey.</v>
      </c>
      <c r="L427" t="s">
        <v>1457</v>
      </c>
      <c r="M427" s="30" t="str">
        <f t="shared" si="23"/>
        <v>{{ survey_design_tu }}</v>
      </c>
      <c r="N427" t="s">
        <v>896</v>
      </c>
      <c r="O427" s="13" t="s">
        <v>1816</v>
      </c>
      <c r="P427" t="s">
        <v>4081</v>
      </c>
      <c r="Q427" t="str">
        <f t="shared" si="24"/>
        <v xml:space="preserve">    survey_design_tu: "&lt;a href=\"09_glossary.html#survey_design\" target=\"_blank\" data-bs-toggle=\"tooltip\" data-bs-title=\"Survey Design: The spatial arrangement of remote cameras within the study area for an individual survey. If 'Hierarchical (multiple)*/*,' include additional details in the Survey Design Description. &lt;br&gt; &lt;br&gt; Note that we refer to different configurations of cameras more generally as study design and sampling design; however, the term 'Survey Design' refers to study design as it applies to an individual survey. There may be multiple Survey Designs for surveys within a project; if this occurs, the Survey Design. should be reported separately for each survey.\"&gt;Survey Design&lt;button type=\"button\" class=\"btn btn-bd-tip-info-hidden btn-sm position-relative\"&gt;.&lt;span class=\"position-absolute top-0 start-100 translate-middle\"&gt;{{ icon_info }}&lt;/span&gt;&lt;/button&gt;&lt;/a&gt;"</v>
      </c>
      <c r="R427" t="b" cm="1">
        <f t="array" ref="R427">SUMPRODUCT(--EXACT($J$2:$J$490,J427))&gt;1</f>
        <v>0</v>
      </c>
      <c r="S427" t="s">
        <v>4595</v>
      </c>
    </row>
    <row r="428" spans="1:19">
      <c r="A428" s="30">
        <v>1</v>
      </c>
      <c r="B428" s="30" t="s">
        <v>1064</v>
      </c>
      <c r="C428" s="30" t="s">
        <v>0</v>
      </c>
      <c r="D428" s="30" t="s">
        <v>1208</v>
      </c>
      <c r="E428" s="30" t="s">
        <v>1758</v>
      </c>
      <c r="F428" s="30" t="s">
        <v>514</v>
      </c>
      <c r="G428" s="39" t="str">
        <f>VLOOKUP(F428,glossary!J:N,2,FALSE)</f>
        <v>Survey Design</v>
      </c>
      <c r="H428" s="30" t="s">
        <v>514</v>
      </c>
      <c r="I428" s="45" t="str">
        <f t="shared" si="22"/>
        <v>survey_design_tu_pl</v>
      </c>
      <c r="J428" s="39" t="s">
        <v>1176</v>
      </c>
      <c r="K428" s="39" t="str">
        <f>VLOOKUP(F428,glossary!J:N,5,FALSE)</f>
        <v>The spatial arrangement of remote cameras within the study area for an individual survey. If 'Hierarchical (multiple)*/*,' include additional details in the Survey Design Description. &lt;br&gt; &lt;br&gt; Note that we refer to different configurations of cameras more generally as study design and sampling design; however, the term 'Survey Design' refers to study design as it applies to an individual survey. There may be multiple Survey Designs for surveys within a project; if this occurs, the Survey Design. should be reported separately for each survey.</v>
      </c>
      <c r="L428" s="30" t="s">
        <v>1110</v>
      </c>
      <c r="M428" s="30" t="str">
        <f t="shared" si="23"/>
        <v>{{ survey_design_tu_pl }}</v>
      </c>
      <c r="N428" t="s">
        <v>896</v>
      </c>
      <c r="O428" s="13" t="s">
        <v>1816</v>
      </c>
      <c r="P428" t="s">
        <v>4081</v>
      </c>
      <c r="Q428" t="str">
        <f t="shared" si="24"/>
        <v xml:space="preserve">    survey_design_tu_pl: "&lt;a href=\"09_glossary.html#survey_design\" target=\"_blank\" data-bs-toggle=\"tooltip\" data-bs-title=\"Survey Design: The spatial arrangement of remote cameras within the study area for an individual survey. If 'Hierarchical (multiple)*/*,' include additional details in the Survey Design Description. &lt;br&gt; &lt;br&gt; Note that we refer to different configurations of cameras more generally as study design and sampling design; however, the term 'Survey Design' refers to study design as it applies to an individual survey. There may be multiple Survey Designs for surveys within a project; if this occurs, the Survey Design. should be reported separately for each survey.\"&gt;Survey Designs&lt;button type=\"button\" class=\"btn btn-bd-tip-info-hidden btn-sm position-relative\"&gt;.&lt;span class=\"position-absolute top-0 start-100 translate-middle\"&gt;{{ icon_info }}&lt;/span&gt;&lt;/button&gt;&lt;/a&gt;"</v>
      </c>
      <c r="R428" t="b" cm="1">
        <f t="array" ref="R428">SUMPRODUCT(--EXACT($J$2:$J$490,J428))&gt;1</f>
        <v>0</v>
      </c>
      <c r="S428" t="s">
        <v>4596</v>
      </c>
    </row>
    <row r="429" spans="1:19">
      <c r="A429" s="30">
        <v>3</v>
      </c>
      <c r="B429" s="30" t="s">
        <v>1393</v>
      </c>
      <c r="C429" s="30"/>
      <c r="D429" s="30" t="s">
        <v>1208</v>
      </c>
      <c r="E429" s="30" t="s">
        <v>984</v>
      </c>
      <c r="F429" s="30" t="s">
        <v>515</v>
      </c>
      <c r="G429" s="39" t="str">
        <f>VLOOKUP(F429,glossary!J:N,2,FALSE)</f>
        <v>Survey Design Description</v>
      </c>
      <c r="H429" s="34" t="s">
        <v>515</v>
      </c>
      <c r="I429" s="45" t="str">
        <f t="shared" si="22"/>
        <v>survey_design_description_tu</v>
      </c>
      <c r="J429" s="42" t="s">
        <v>760</v>
      </c>
      <c r="K429" s="39" t="str">
        <f>VLOOKUP(F429,glossary!J:N,5,FALSE)</f>
        <v>A description of any additional details about the Survey Design.</v>
      </c>
      <c r="L429" t="s">
        <v>1456</v>
      </c>
      <c r="M429" s="30" t="str">
        <f t="shared" si="23"/>
        <v>{{ survey_design_description_tu }}</v>
      </c>
      <c r="N429" t="s">
        <v>896</v>
      </c>
      <c r="O429" s="13" t="s">
        <v>1816</v>
      </c>
      <c r="P429" t="s">
        <v>4081</v>
      </c>
      <c r="Q429" t="str">
        <f t="shared" si="24"/>
        <v xml:space="preserve">    survey_design_description_tu: "&lt;a href=\"09_glossary.html#survey_design_description\" target=\"_blank\" data-bs-toggle=\"tooltip\" data-bs-title=\"Survey Design Description: A description of any additional details about the Survey Design.\"&gt;Survey Design Description&lt;button type=\"button\" class=\"btn btn-bd-tip-info-hidden btn-sm position-relative\"&gt;.&lt;span class=\"position-absolute top-0 start-100 translate-middle\"&gt;{{ icon_info }}&lt;/span&gt;&lt;/button&gt;&lt;/a&gt;"</v>
      </c>
      <c r="R429" t="b" cm="1">
        <f t="array" ref="R429">SUMPRODUCT(--EXACT($J$2:$J$490,J429))&gt;1</f>
        <v>0</v>
      </c>
      <c r="S429" t="s">
        <v>4597</v>
      </c>
    </row>
    <row r="430" spans="1:19">
      <c r="A430" s="30">
        <v>3</v>
      </c>
      <c r="B430" s="30" t="s">
        <v>1393</v>
      </c>
      <c r="C430" s="30"/>
      <c r="D430" s="30" t="s">
        <v>1208</v>
      </c>
      <c r="E430" s="30" t="s">
        <v>984</v>
      </c>
      <c r="F430" s="30" t="s">
        <v>516</v>
      </c>
      <c r="G430" s="39" t="str">
        <f>VLOOKUP(F430,glossary!J:N,2,FALSE)</f>
        <v>Survey Name</v>
      </c>
      <c r="H430" s="34" t="s">
        <v>516</v>
      </c>
      <c r="I430" s="45" t="str">
        <f t="shared" si="22"/>
        <v>survey_name_tu</v>
      </c>
      <c r="J430" s="42" t="s">
        <v>726</v>
      </c>
      <c r="K430" s="39" t="str">
        <f>VLOOKUP(F430,glossary!J:N,5,FALSE)</f>
        <v>A unique alphanumeric identifier for each survey period (e.g., 'fortmc_001').</v>
      </c>
      <c r="L430" t="s">
        <v>1455</v>
      </c>
      <c r="M430" s="30" t="str">
        <f t="shared" si="23"/>
        <v>{{ survey_name_tu }}</v>
      </c>
      <c r="N430" t="s">
        <v>896</v>
      </c>
      <c r="O430" s="13" t="s">
        <v>1816</v>
      </c>
      <c r="P430" t="s">
        <v>4081</v>
      </c>
      <c r="Q430" t="str">
        <f t="shared" si="24"/>
        <v xml:space="preserve">    survey_name_tu: "&lt;a href=\"09_glossary.html#survey_name\" target=\"_blank\" data-bs-toggle=\"tooltip\" data-bs-title=\"Survey Name: A unique alphanumeric identifier for each survey period (e.g., 'fortmc_001').\"&gt;Survey Name&lt;button type=\"button\" class=\"btn btn-bd-tip-info-hidden btn-sm position-relative\"&gt;.&lt;span class=\"position-absolute top-0 start-100 translate-middle\"&gt;{{ icon_info }}&lt;/span&gt;&lt;/button&gt;&lt;/a&gt;"</v>
      </c>
      <c r="R430" t="b" cm="1">
        <f t="array" ref="R430">SUMPRODUCT(--EXACT($J$2:$J$490,J430))&gt;1</f>
        <v>0</v>
      </c>
      <c r="S430" t="s">
        <v>4598</v>
      </c>
    </row>
    <row r="431" spans="1:19">
      <c r="A431" s="30">
        <v>1</v>
      </c>
      <c r="B431" s="30" t="s">
        <v>1064</v>
      </c>
      <c r="C431" s="30" t="s">
        <v>0</v>
      </c>
      <c r="D431" s="30" t="s">
        <v>1207</v>
      </c>
      <c r="E431" s="30" t="s">
        <v>1752</v>
      </c>
      <c r="F431" s="30" t="s">
        <v>517</v>
      </c>
      <c r="G431" s="39" t="str">
        <f>VLOOKUP(F431,glossary!J:N,2,FALSE)</f>
        <v>Survey Objectives</v>
      </c>
      <c r="H431" s="30" t="s">
        <v>517</v>
      </c>
      <c r="I431" s="45" t="str">
        <f t="shared" si="22"/>
        <v>survey_objectives_tl_abrv</v>
      </c>
      <c r="J431" s="39" t="s">
        <v>40</v>
      </c>
      <c r="K431" s="39" t="str">
        <f>VLOOKUP(F431,glossary!J:N,5,FALSE)</f>
        <v>The specific objectives of each survey within a project, including the Target Species, the state variables (e.g., occupancy, density), and proposed modelling approach(es). Survey Objectives should be specific, measurable, achievable, relevant, and time-bound (i.e., SMART).</v>
      </c>
      <c r="L431" s="30" t="s">
        <v>1714</v>
      </c>
      <c r="M431" s="30" t="str">
        <f t="shared" si="23"/>
        <v>{{ survey_objectives_tl_abrv }}</v>
      </c>
      <c r="N431" t="s">
        <v>896</v>
      </c>
      <c r="O431" s="13" t="s">
        <v>1816</v>
      </c>
      <c r="P431" t="s">
        <v>4081</v>
      </c>
      <c r="Q431" t="str">
        <f t="shared" si="24"/>
        <v xml:space="preserve">    survey_objectives_tl_abrv: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SMART).\"&gt;objective&lt;button type=\"button\" class=\"btn btn-bd-tip-info-hidden btn-sm position-relative\"&gt;.&lt;span class=\"position-absolute top-0 start-100 translate-middle\"&gt;{{ icon_info }}&lt;/span&gt;&lt;/button&gt;&lt;/a&gt;"</v>
      </c>
      <c r="R431" t="b" cm="1">
        <f t="array" ref="R431">SUMPRODUCT(--EXACT($J$2:$J$490,J431))&gt;1</f>
        <v>0</v>
      </c>
      <c r="S431" t="s">
        <v>4599</v>
      </c>
    </row>
    <row r="432" spans="1:19">
      <c r="A432" s="30">
        <v>1</v>
      </c>
      <c r="B432" s="30" t="s">
        <v>1064</v>
      </c>
      <c r="C432" s="30" t="s">
        <v>0</v>
      </c>
      <c r="D432" s="30" t="s">
        <v>1207</v>
      </c>
      <c r="E432" s="30" t="s">
        <v>1759</v>
      </c>
      <c r="F432" s="30" t="s">
        <v>517</v>
      </c>
      <c r="G432" s="39" t="str">
        <f>VLOOKUP(F432,glossary!J:N,2,FALSE)</f>
        <v>Survey Objectives</v>
      </c>
      <c r="H432" s="30" t="s">
        <v>517</v>
      </c>
      <c r="I432" s="45" t="str">
        <f t="shared" si="22"/>
        <v>survey_objectives_tl_abrv_pl</v>
      </c>
      <c r="J432" s="39" t="s">
        <v>1182</v>
      </c>
      <c r="K432" s="39" t="str">
        <f>VLOOKUP(F432,glossary!J:N,5,FALSE)</f>
        <v>The specific objectives of each survey within a project, including the Target Species, the state variables (e.g., occupancy, density), and proposed modelling approach(es). Survey Objectives should be specific, measurable, achievable, relevant, and time-bound (i.e., SMART).</v>
      </c>
      <c r="L432" s="30" t="s">
        <v>1112</v>
      </c>
      <c r="M432" s="30" t="str">
        <f t="shared" si="23"/>
        <v>{{ survey_objectives_tl_abrv_pl }}</v>
      </c>
      <c r="N432" t="s">
        <v>896</v>
      </c>
      <c r="O432" s="13" t="s">
        <v>1816</v>
      </c>
      <c r="P432" t="s">
        <v>4081</v>
      </c>
      <c r="Q432" t="str">
        <f t="shared" si="24"/>
        <v xml:space="preserve">    survey_objectives_tl_abrv_pl: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SMART).\"&gt;objectives&lt;button type=\"button\" class=\"btn btn-bd-tip-info-hidden btn-sm position-relative\"&gt;.&lt;span class=\"position-absolute top-0 start-100 translate-middle\"&gt;{{ icon_info }}&lt;/span&gt;&lt;/button&gt;&lt;/a&gt;"</v>
      </c>
      <c r="R432" t="b" cm="1">
        <f t="array" ref="R432">SUMPRODUCT(--EXACT($J$2:$J$490,J432))&gt;1</f>
        <v>0</v>
      </c>
      <c r="S432" t="s">
        <v>4600</v>
      </c>
    </row>
    <row r="433" spans="1:19">
      <c r="A433" s="30">
        <v>1</v>
      </c>
      <c r="B433" s="30" t="s">
        <v>1064</v>
      </c>
      <c r="C433" s="30"/>
      <c r="D433" s="30" t="s">
        <v>1207</v>
      </c>
      <c r="E433" s="30" t="s">
        <v>1755</v>
      </c>
      <c r="F433" s="30" t="s">
        <v>517</v>
      </c>
      <c r="G433" s="39" t="str">
        <f>VLOOKUP(F433,glossary!J:N,2,FALSE)</f>
        <v>Survey Objectives</v>
      </c>
      <c r="H433" s="30" t="s">
        <v>517</v>
      </c>
      <c r="I433" s="45" t="str">
        <f t="shared" si="22"/>
        <v>survey_objectives_tl_mod</v>
      </c>
      <c r="J433" s="42" t="s">
        <v>1377</v>
      </c>
      <c r="K433" s="39" t="str">
        <f>VLOOKUP(F433,glossary!J:N,5,FALSE)</f>
        <v>The specific objectives of each survey within a project, including the Target Species, the state variables (e.g., occupancy, density), and proposed modelling approach(es). Survey Objectives should be specific, measurable, achievable, relevant, and time-bound (i.e., SMART).</v>
      </c>
      <c r="L433" s="40" t="s">
        <v>1378</v>
      </c>
      <c r="M433" s="30" t="str">
        <f t="shared" si="23"/>
        <v>{{ survey_objectives_tl_mod }}</v>
      </c>
      <c r="N433" t="s">
        <v>896</v>
      </c>
      <c r="O433" s="13" t="s">
        <v>1816</v>
      </c>
      <c r="P433" t="s">
        <v>4081</v>
      </c>
      <c r="Q433" t="str">
        <f t="shared" si="24"/>
        <v xml:space="preserve">    survey_objectives_tl_mod: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SMART).\"&gt;study objectives&lt;button type=\"button\" class=\"btn btn-bd-tip-info-hidden btn-sm position-relative\"&gt;.&lt;span class=\"position-absolute top-0 start-100 translate-middle\"&gt;{{ icon_info }}&lt;/span&gt;&lt;/button&gt;&lt;/a&gt;"</v>
      </c>
      <c r="R433" t="b">
        <v>0</v>
      </c>
      <c r="S433" t="s">
        <v>4601</v>
      </c>
    </row>
    <row r="434" spans="1:19">
      <c r="A434" s="30">
        <v>2</v>
      </c>
      <c r="B434" s="30" t="s">
        <v>1400</v>
      </c>
      <c r="C434" s="30"/>
      <c r="D434" s="30" t="s">
        <v>1208</v>
      </c>
      <c r="E434" s="30" t="s">
        <v>984</v>
      </c>
      <c r="F434" s="30" t="s">
        <v>517</v>
      </c>
      <c r="G434" s="39" t="str">
        <f>VLOOKUP(F434,glossary!J:N,2,FALSE)</f>
        <v>Survey Objectives</v>
      </c>
      <c r="H434" s="30" t="s">
        <v>517</v>
      </c>
      <c r="I434" s="45" t="str">
        <f t="shared" si="22"/>
        <v>survey_objectives_tu</v>
      </c>
      <c r="J434" s="39" t="s">
        <v>1375</v>
      </c>
      <c r="K434" s="39" t="str">
        <f>VLOOKUP(F434,glossary!J:N,5,FALSE)</f>
        <v>The specific objectives of each survey within a project, including the Target Species, the state variables (e.g., occupancy, density), and proposed modelling approach(es). Survey Objectives should be specific, measurable, achievable, relevant, and time-bound (i.e., SMART).</v>
      </c>
      <c r="L434" s="30" t="s">
        <v>1376</v>
      </c>
      <c r="M434" s="30" t="str">
        <f t="shared" si="23"/>
        <v>{{ survey_objectives_tu }}</v>
      </c>
      <c r="N434" t="s">
        <v>896</v>
      </c>
      <c r="O434" s="13" t="s">
        <v>1816</v>
      </c>
      <c r="P434" t="s">
        <v>4081</v>
      </c>
      <c r="Q434" t="str">
        <f t="shared" si="24"/>
        <v xml:space="preserve">    survey_objectives_tu: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SMART).\"&gt;Survey Objective&lt;button type=\"button\" class=\"btn btn-bd-tip-info-hidden btn-sm position-relative\"&gt;.&lt;span class=\"position-absolute top-0 start-100 translate-middle\"&gt;{{ icon_info }}&lt;/span&gt;&lt;/button&gt;&lt;/a&gt;"</v>
      </c>
      <c r="R434" t="b" cm="1">
        <f t="array" ref="R434">SUMPRODUCT(--EXACT($J$2:$J$490,J434))&gt;1</f>
        <v>0</v>
      </c>
      <c r="S434" t="s">
        <v>4602</v>
      </c>
    </row>
    <row r="435" spans="1:19">
      <c r="A435" s="30">
        <v>1</v>
      </c>
      <c r="B435" s="30" t="s">
        <v>1064</v>
      </c>
      <c r="C435" s="30" t="s">
        <v>0</v>
      </c>
      <c r="D435" s="30" t="s">
        <v>1208</v>
      </c>
      <c r="E435" s="30" t="s">
        <v>1752</v>
      </c>
      <c r="F435" s="30" t="s">
        <v>517</v>
      </c>
      <c r="G435" s="39" t="str">
        <f>VLOOKUP(F435,glossary!J:N,2,FALSE)</f>
        <v>Survey Objectives</v>
      </c>
      <c r="H435" s="30" t="s">
        <v>517</v>
      </c>
      <c r="I435" s="45" t="str">
        <f t="shared" si="22"/>
        <v>survey_objectives_tu_abrv</v>
      </c>
      <c r="J435" s="39" t="s">
        <v>820</v>
      </c>
      <c r="K435" s="39" t="str">
        <f>VLOOKUP(F435,glossary!J:N,5,FALSE)</f>
        <v>The specific objectives of each survey within a project, including the Target Species, the state variables (e.g., occupancy, density), and proposed modelling approach(es). Survey Objectives should be specific, measurable, achievable, relevant, and time-bound (i.e., SMART).</v>
      </c>
      <c r="L435" s="30" t="s">
        <v>1713</v>
      </c>
      <c r="M435" s="30" t="str">
        <f t="shared" si="23"/>
        <v>{{ survey_objectives_tu_abrv }}</v>
      </c>
      <c r="N435" t="s">
        <v>896</v>
      </c>
      <c r="O435" s="13" t="s">
        <v>1816</v>
      </c>
      <c r="P435" t="s">
        <v>4081</v>
      </c>
      <c r="Q435" t="str">
        <f t="shared" si="24"/>
        <v xml:space="preserve">    survey_objectives_tu_abrv: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SMART).\"&gt;Objective&lt;button type=\"button\" class=\"btn btn-bd-tip-info-hidden btn-sm position-relative\"&gt;.&lt;span class=\"position-absolute top-0 start-100 translate-middle\"&gt;{{ icon_info }}&lt;/span&gt;&lt;/button&gt;&lt;/a&gt;"</v>
      </c>
      <c r="R435" t="b" cm="1">
        <f t="array" ref="R435">SUMPRODUCT(--EXACT($J$2:$J$490,J435))&gt;1</f>
        <v>0</v>
      </c>
      <c r="S435" t="s">
        <v>4603</v>
      </c>
    </row>
    <row r="436" spans="1:19">
      <c r="A436" s="30">
        <v>1</v>
      </c>
      <c r="B436" s="30" t="s">
        <v>1064</v>
      </c>
      <c r="C436" s="30" t="s">
        <v>0</v>
      </c>
      <c r="D436" s="30" t="s">
        <v>1208</v>
      </c>
      <c r="E436" s="30" t="s">
        <v>1759</v>
      </c>
      <c r="F436" s="30" t="s">
        <v>517</v>
      </c>
      <c r="G436" s="39" t="str">
        <f>VLOOKUP(F436,glossary!J:N,2,FALSE)</f>
        <v>Survey Objectives</v>
      </c>
      <c r="H436" s="30" t="s">
        <v>517</v>
      </c>
      <c r="I436" s="45" t="str">
        <f t="shared" si="22"/>
        <v>survey_objectives_tu_abrv_pl</v>
      </c>
      <c r="J436" s="39" t="s">
        <v>1160</v>
      </c>
      <c r="K436" s="39" t="str">
        <f>VLOOKUP(F436,glossary!J:N,5,FALSE)</f>
        <v>The specific objectives of each survey within a project, including the Target Species, the state variables (e.g., occupancy, density), and proposed modelling approach(es). Survey Objectives should be specific, measurable, achievable, relevant, and time-bound (i.e., SMART).</v>
      </c>
      <c r="L436" s="30" t="s">
        <v>1111</v>
      </c>
      <c r="M436" s="30" t="str">
        <f t="shared" si="23"/>
        <v>{{ survey_objectives_tu_abrv_pl }}</v>
      </c>
      <c r="N436" t="s">
        <v>896</v>
      </c>
      <c r="O436" s="13" t="s">
        <v>1816</v>
      </c>
      <c r="P436" t="s">
        <v>4081</v>
      </c>
      <c r="Q436" t="str">
        <f t="shared" si="24"/>
        <v xml:space="preserve">    survey_objectives_tu_abrv_pl: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SMART).\"&gt;Objectives&lt;button type=\"button\" class=\"btn btn-bd-tip-info-hidden btn-sm position-relative\"&gt;.&lt;span class=\"position-absolute top-0 start-100 translate-middle\"&gt;{{ icon_info }}&lt;/span&gt;&lt;/button&gt;&lt;/a&gt;"</v>
      </c>
      <c r="R436" t="b" cm="1">
        <f t="array" ref="R436">SUMPRODUCT(--EXACT($J$2:$J$490,J436))&gt;1</f>
        <v>0</v>
      </c>
      <c r="S436" t="s">
        <v>4604</v>
      </c>
    </row>
    <row r="437" spans="1:19">
      <c r="A437" s="30">
        <v>3</v>
      </c>
      <c r="B437" s="30" t="s">
        <v>1393</v>
      </c>
      <c r="C437" s="30"/>
      <c r="D437" s="30" t="s">
        <v>1208</v>
      </c>
      <c r="E437" s="30" t="s">
        <v>1758</v>
      </c>
      <c r="F437" s="30" t="s">
        <v>517</v>
      </c>
      <c r="G437" s="39" t="str">
        <f>VLOOKUP(F437,glossary!J:N,2,FALSE)</f>
        <v>Survey Objectives</v>
      </c>
      <c r="H437" s="34" t="s">
        <v>517</v>
      </c>
      <c r="I437" s="45" t="str">
        <f t="shared" si="22"/>
        <v>survey_objectives_tu_pl</v>
      </c>
      <c r="J437" s="42" t="s">
        <v>727</v>
      </c>
      <c r="K437" s="39" t="str">
        <f>VLOOKUP(F437,glossary!J:N,5,FALSE)</f>
        <v>The specific objectives of each survey within a project, including the Target Species, the state variables (e.g., occupancy, density), and proposed modelling approach(es). Survey Objectives should be specific, measurable, achievable, relevant, and time-bound (i.e., SMART).</v>
      </c>
      <c r="L437" t="s">
        <v>1454</v>
      </c>
      <c r="M437" s="30" t="str">
        <f t="shared" si="23"/>
        <v>{{ survey_objectives_tu_pl }}</v>
      </c>
      <c r="N437" t="s">
        <v>896</v>
      </c>
      <c r="O437" s="13" t="s">
        <v>1816</v>
      </c>
      <c r="P437" t="s">
        <v>4081</v>
      </c>
      <c r="Q437" t="str">
        <f t="shared" si="24"/>
        <v xml:space="preserve">    survey_objectives_tu_pl: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SMART).\"&gt;Survey Objectives&lt;button type=\"button\" class=\"btn btn-bd-tip-info-hidden btn-sm position-relative\"&gt;.&lt;span class=\"position-absolute top-0 start-100 translate-middle\"&gt;{{ icon_info }}&lt;/span&gt;&lt;/button&gt;&lt;/a&gt;"</v>
      </c>
      <c r="R437" t="b" cm="1">
        <f t="array" ref="R437">SUMPRODUCT(--EXACT($J$2:$J$490,J437))&gt;1</f>
        <v>0</v>
      </c>
      <c r="S437" t="s">
        <v>4605</v>
      </c>
    </row>
    <row r="438" spans="1:19">
      <c r="A438" s="30">
        <v>2</v>
      </c>
      <c r="B438" s="30" t="s">
        <v>1400</v>
      </c>
      <c r="C438" s="30"/>
      <c r="D438" s="30" t="s">
        <v>1207</v>
      </c>
      <c r="E438" s="30" t="s">
        <v>984</v>
      </c>
      <c r="F438" s="30" t="s">
        <v>241</v>
      </c>
      <c r="G438" s="39" t="str">
        <f>VLOOKUP(F438,glossary!J:N,2,FALSE)</f>
        <v>Tag</v>
      </c>
      <c r="H438" s="30" t="s">
        <v>241</v>
      </c>
      <c r="I438" s="45" t="str">
        <f t="shared" si="22"/>
        <v>tag_tl</v>
      </c>
      <c r="J438" s="39" t="s">
        <v>241</v>
      </c>
      <c r="K438" s="39" t="str">
        <f>VLOOKUP(F438,glossary!J:N,5,FALSE)</f>
        <v>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v>
      </c>
      <c r="L438" s="30" t="s">
        <v>1453</v>
      </c>
      <c r="M438" s="30" t="str">
        <f t="shared" si="23"/>
        <v>{{ tag_tl }}</v>
      </c>
      <c r="N438" t="s">
        <v>896</v>
      </c>
      <c r="O438" s="13" t="s">
        <v>1816</v>
      </c>
      <c r="P438" t="s">
        <v>4081</v>
      </c>
      <c r="Q438" t="str">
        <f t="shared" si="24"/>
        <v xml:space="preserve">    tag_tl: "&lt;a href=\"09_glossary.html#tag\" target=\"_blank\" data-bs-toggle=\"tooltip\" data-bs-title=\"Tag: 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level).\"&gt;tag&lt;button type=\"button\" class=\"btn btn-bd-tip-info-hidden btn-sm position-relative\"&gt;.&lt;span class=\"position-absolute top-0 start-100 translate-middle\"&gt;{{ icon_info }}&lt;/span&gt;&lt;/button&gt;&lt;/a&gt;"</v>
      </c>
      <c r="R438" t="b" cm="1">
        <f t="array" ref="R438">SUMPRODUCT(--EXACT($J$2:$J$490,J438))&gt;1</f>
        <v>0</v>
      </c>
      <c r="S438" t="s">
        <v>4606</v>
      </c>
    </row>
    <row r="439" spans="1:19">
      <c r="A439" s="30">
        <v>1</v>
      </c>
      <c r="B439" s="30" t="s">
        <v>1064</v>
      </c>
      <c r="C439" s="30" t="s">
        <v>0</v>
      </c>
      <c r="D439" s="30" t="s">
        <v>1207</v>
      </c>
      <c r="E439" s="30" t="s">
        <v>1758</v>
      </c>
      <c r="F439" s="30" t="s">
        <v>241</v>
      </c>
      <c r="G439" s="39" t="str">
        <f>VLOOKUP(F439,glossary!J:N,2,FALSE)</f>
        <v>Tag</v>
      </c>
      <c r="H439" s="30" t="s">
        <v>241</v>
      </c>
      <c r="I439" s="45" t="str">
        <f t="shared" si="22"/>
        <v>tag_tl_pl</v>
      </c>
      <c r="J439" s="39" t="s">
        <v>1188</v>
      </c>
      <c r="K439" s="39" t="str">
        <f>VLOOKUP(F439,glossary!J:N,5,FALSE)</f>
        <v>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v>
      </c>
      <c r="L439" s="30" t="s">
        <v>1115</v>
      </c>
      <c r="M439" s="30" t="str">
        <f t="shared" si="23"/>
        <v>{{ tag_tl_pl }}</v>
      </c>
      <c r="N439" t="s">
        <v>896</v>
      </c>
      <c r="O439" s="13" t="s">
        <v>1816</v>
      </c>
      <c r="P439" t="s">
        <v>4081</v>
      </c>
      <c r="Q439" t="str">
        <f t="shared" si="24"/>
        <v xml:space="preserve">    tag_tl_pl: "&lt;a href=\"09_glossary.html#tag\" target=\"_blank\" data-bs-toggle=\"tooltip\" data-bs-title=\"Tag: 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level).\"&gt;tags&lt;button type=\"button\" class=\"btn btn-bd-tip-info-hidden btn-sm position-relative\"&gt;.&lt;span class=\"position-absolute top-0 start-100 translate-middle\"&gt;{{ icon_info }}&lt;/span&gt;&lt;/button&gt;&lt;/a&gt;"</v>
      </c>
      <c r="R439" t="b" cm="1">
        <f t="array" ref="R439">SUMPRODUCT(--EXACT($J$2:$J$490,J439))&gt;1</f>
        <v>0</v>
      </c>
      <c r="S439" t="s">
        <v>4607</v>
      </c>
    </row>
    <row r="440" spans="1:19">
      <c r="A440" s="30">
        <v>2</v>
      </c>
      <c r="B440" s="30" t="s">
        <v>1400</v>
      </c>
      <c r="C440" s="30"/>
      <c r="D440" s="30" t="s">
        <v>1208</v>
      </c>
      <c r="E440" s="30" t="s">
        <v>984</v>
      </c>
      <c r="F440" s="30" t="s">
        <v>241</v>
      </c>
      <c r="G440" s="39" t="str">
        <f>VLOOKUP(F440,glossary!J:N,2,FALSE)</f>
        <v>Tag</v>
      </c>
      <c r="H440" s="30" t="s">
        <v>241</v>
      </c>
      <c r="I440" s="45" t="str">
        <f t="shared" si="22"/>
        <v>tag_tu</v>
      </c>
      <c r="J440" s="39" t="s">
        <v>728</v>
      </c>
      <c r="K440" s="39" t="str">
        <f>VLOOKUP(F440,glossary!J:N,5,FALSE)</f>
        <v>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v>
      </c>
      <c r="L440" s="30" t="s">
        <v>1452</v>
      </c>
      <c r="M440" s="30" t="str">
        <f t="shared" si="23"/>
        <v>{{ tag_tu }}</v>
      </c>
      <c r="N440" t="s">
        <v>896</v>
      </c>
      <c r="O440" s="13" t="s">
        <v>1816</v>
      </c>
      <c r="P440" t="s">
        <v>4081</v>
      </c>
      <c r="Q440" t="str">
        <f t="shared" si="24"/>
        <v xml:space="preserve">    tag_tu: "&lt;a href=\"09_glossary.html#tag\" target=\"_blank\" data-bs-toggle=\"tooltip\" data-bs-title=\"Tag: 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level).\"&gt;Tag&lt;button type=\"button\" class=\"btn btn-bd-tip-info-hidden btn-sm position-relative\"&gt;.&lt;span class=\"position-absolute top-0 start-100 translate-middle\"&gt;{{ icon_info }}&lt;/span&gt;&lt;/button&gt;&lt;/a&gt;"</v>
      </c>
      <c r="R440" t="b" cm="1">
        <f t="array" ref="R440">SUMPRODUCT(--EXACT($J$2:$J$490,J440))&gt;1</f>
        <v>0</v>
      </c>
      <c r="S440" t="s">
        <v>4608</v>
      </c>
    </row>
    <row r="441" spans="1:19">
      <c r="A441" s="30">
        <v>1</v>
      </c>
      <c r="B441" s="30" t="s">
        <v>1064</v>
      </c>
      <c r="C441" s="30" t="s">
        <v>0</v>
      </c>
      <c r="D441" s="30" t="s">
        <v>1208</v>
      </c>
      <c r="E441" s="30" t="s">
        <v>1758</v>
      </c>
      <c r="F441" s="30" t="s">
        <v>241</v>
      </c>
      <c r="G441" s="39" t="str">
        <f>VLOOKUP(F441,glossary!J:N,2,FALSE)</f>
        <v>Tag</v>
      </c>
      <c r="H441" s="30" t="s">
        <v>241</v>
      </c>
      <c r="I441" s="45" t="str">
        <f t="shared" si="22"/>
        <v>tag_tu_pl</v>
      </c>
      <c r="J441" s="39" t="s">
        <v>1177</v>
      </c>
      <c r="K441" s="39" t="str">
        <f>VLOOKUP(F441,glossary!J:N,5,FALSE)</f>
        <v>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v>
      </c>
      <c r="L441" s="30" t="s">
        <v>1109</v>
      </c>
      <c r="M441" s="30" t="str">
        <f t="shared" si="23"/>
        <v>{{ tag_tu_pl }}</v>
      </c>
      <c r="N441" t="s">
        <v>896</v>
      </c>
      <c r="O441" s="13" t="s">
        <v>1816</v>
      </c>
      <c r="P441" t="s">
        <v>4081</v>
      </c>
      <c r="Q441" t="str">
        <f t="shared" si="24"/>
        <v xml:space="preserve">    tag_tu_pl: "&lt;a href=\"09_glossary.html#tag\" target=\"_blank\" data-bs-toggle=\"tooltip\" data-bs-title=\"Tag: 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level).\"&gt;Tags&lt;button type=\"button\" class=\"btn btn-bd-tip-info-hidden btn-sm position-relative\"&gt;.&lt;span class=\"position-absolute top-0 start-100 translate-middle\"&gt;{{ icon_info }}&lt;/span&gt;&lt;/button&gt;&lt;/a&gt;"</v>
      </c>
      <c r="R441" t="b" cm="1">
        <f t="array" ref="R441">SUMPRODUCT(--EXACT($J$2:$J$490,J441))&gt;1</f>
        <v>0</v>
      </c>
      <c r="S441" t="s">
        <v>4609</v>
      </c>
    </row>
    <row r="442" spans="1:19">
      <c r="A442" s="30">
        <v>3</v>
      </c>
      <c r="B442" s="30" t="s">
        <v>1393</v>
      </c>
      <c r="C442" s="30"/>
      <c r="D442" s="30" t="s">
        <v>1208</v>
      </c>
      <c r="E442" s="30" t="s">
        <v>984</v>
      </c>
      <c r="F442" s="30" t="s">
        <v>240</v>
      </c>
      <c r="G442" s="39" t="str">
        <f>VLOOKUP(F442,glossary!J:N,2,FALSE)</f>
        <v>Target Species</v>
      </c>
      <c r="H442" s="34" t="s">
        <v>240</v>
      </c>
      <c r="I442" s="45" t="str">
        <f t="shared" si="22"/>
        <v>target_species_tu</v>
      </c>
      <c r="J442" s="42" t="s">
        <v>729</v>
      </c>
      <c r="K442" s="39" t="str">
        <f>VLOOKUP(F442,glossary!J:N,5,FALSE)</f>
        <v>The common name(s) of the species that the survey was designed to detect.</v>
      </c>
      <c r="L442" t="s">
        <v>1451</v>
      </c>
      <c r="M442" s="30" t="str">
        <f t="shared" si="23"/>
        <v>{{ target_species_tu }}</v>
      </c>
      <c r="N442" t="s">
        <v>896</v>
      </c>
      <c r="O442" s="13" t="s">
        <v>1816</v>
      </c>
      <c r="P442" t="s">
        <v>4081</v>
      </c>
      <c r="Q442" t="str">
        <f t="shared" si="24"/>
        <v xml:space="preserve">    target_species_tu: "&lt;a href=\"09_glossary.html#target_species\" target=\"_blank\" data-bs-toggle=\"tooltip\" data-bs-title=\"Target Species: The common name(s) of the species that the survey was designed to detect.\"&gt;Target Species&lt;button type=\"button\" class=\"btn btn-bd-tip-info-hidden btn-sm position-relative\"&gt;.&lt;span class=\"position-absolute top-0 start-100 translate-middle\"&gt;{{ icon_info }}&lt;/span&gt;&lt;/button&gt;&lt;/a&gt;"</v>
      </c>
      <c r="R442" t="b" cm="1">
        <f t="array" ref="R442">SUMPRODUCT(--EXACT($J$2:$J$490,J442))&gt;1</f>
        <v>0</v>
      </c>
      <c r="S442" t="s">
        <v>4610</v>
      </c>
    </row>
    <row r="443" spans="1:19">
      <c r="A443" s="30">
        <v>3</v>
      </c>
      <c r="B443" s="30" t="s">
        <v>1393</v>
      </c>
      <c r="C443" s="30"/>
      <c r="D443" s="30" t="s">
        <v>1207</v>
      </c>
      <c r="E443" s="30" t="s">
        <v>984</v>
      </c>
      <c r="F443" s="30" t="s">
        <v>82</v>
      </c>
      <c r="G443" s="39" t="str">
        <f>VLOOKUP(F443,glossary!J:N,2,FALSE)</f>
        <v>Test image</v>
      </c>
      <c r="H443" s="34" t="s">
        <v>82</v>
      </c>
      <c r="I443" s="45" t="str">
        <f t="shared" si="22"/>
        <v>test_image_tl</v>
      </c>
      <c r="J443" s="43" t="s">
        <v>961</v>
      </c>
      <c r="K443" s="39" t="str">
        <f>VLOOKUP(F443,glossary!J:N,5,FALSE)</f>
        <v>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v>
      </c>
      <c r="L443" t="s">
        <v>1450</v>
      </c>
      <c r="M443" s="30" t="str">
        <f t="shared" si="23"/>
        <v>{{ test_image_tl }}</v>
      </c>
      <c r="N443" t="s">
        <v>896</v>
      </c>
      <c r="O443" s="13" t="s">
        <v>1816</v>
      </c>
      <c r="P443" t="s">
        <v>4081</v>
      </c>
      <c r="Q443" t="str">
        <f t="shared" si="24"/>
        <v xml:space="preserve">    test_image_tl: "&lt;a href=\"09_glossary.html#test_image\" target=\"_blank\" data-bs-toggle=\"tooltip\" data-bs-title=\"Test image: 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errors.\"&gt;test image&lt;button type=\"button\" class=\"btn btn-bd-tip-info-hidden btn-sm position-relative\"&gt;.&lt;span class=\"position-absolute top-0 start-100 translate-middle\"&gt;{{ icon_info }}&lt;/span&gt;&lt;/button&gt;&lt;/a&gt;"</v>
      </c>
      <c r="R443" t="b" cm="1">
        <f t="array" ref="R443">SUMPRODUCT(--EXACT($J$2:$J$490,J443))&gt;1</f>
        <v>0</v>
      </c>
      <c r="S443" t="s">
        <v>4611</v>
      </c>
    </row>
    <row r="444" spans="1:19">
      <c r="A444" s="30">
        <v>1</v>
      </c>
      <c r="B444" s="30" t="s">
        <v>1064</v>
      </c>
      <c r="C444" s="30" t="s">
        <v>0</v>
      </c>
      <c r="D444" s="30" t="s">
        <v>1207</v>
      </c>
      <c r="E444" s="30" t="s">
        <v>1758</v>
      </c>
      <c r="F444" s="30" t="s">
        <v>82</v>
      </c>
      <c r="G444" s="39" t="str">
        <f>VLOOKUP(F444,glossary!J:N,2,FALSE)</f>
        <v>Test image</v>
      </c>
      <c r="H444" s="34" t="s">
        <v>82</v>
      </c>
      <c r="I444" s="45" t="str">
        <f t="shared" si="22"/>
        <v>test_image_tl_pl</v>
      </c>
      <c r="J444" s="39" t="s">
        <v>1189</v>
      </c>
      <c r="K444" s="39" t="str">
        <f>VLOOKUP(F444,glossary!J:N,5,FALSE)</f>
        <v>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v>
      </c>
      <c r="L444" s="30" t="s">
        <v>1116</v>
      </c>
      <c r="M444" s="30" t="str">
        <f t="shared" ref="M444:M475" si="25">"{{ "&amp;I444&amp;" }}"</f>
        <v>{{ test_image_tl_pl }}</v>
      </c>
      <c r="N444" t="s">
        <v>896</v>
      </c>
      <c r="O444" s="13" t="s">
        <v>1816</v>
      </c>
      <c r="P444" t="s">
        <v>4081</v>
      </c>
      <c r="Q444" t="str">
        <f t="shared" ref="Q444:Q475" si="26">IF(K444&lt;&gt;"-",("    "&amp;I444&amp;": "&amp;""""&amp;"&lt;a href=\"&amp;""""&amp;"09_glossary.html#"&amp;H444&amp;N444&amp;G444&amp;": "&amp;K444&amp;O444&amp;J444&amp;P444&amp;""""),"-")</f>
        <v xml:space="preserve">    test_image_tl_pl: "&lt;a href=\"09_glossary.html#test_image\" target=\"_blank\" data-bs-toggle=\"tooltip\" data-bs-title=\"Test image: 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errors.\"&gt;test images&lt;button type=\"button\" class=\"btn btn-bd-tip-info-hidden btn-sm position-relative\"&gt;.&lt;span class=\"position-absolute top-0 start-100 translate-middle\"&gt;{{ icon_info }}&lt;/span&gt;&lt;/button&gt;&lt;/a&gt;"</v>
      </c>
      <c r="R444" t="b" cm="1">
        <f t="array" ref="R444">SUMPRODUCT(--EXACT($J$2:$J$490,J444))&gt;1</f>
        <v>0</v>
      </c>
      <c r="S444" t="s">
        <v>4612</v>
      </c>
    </row>
    <row r="445" spans="1:19">
      <c r="A445" s="30">
        <v>3</v>
      </c>
      <c r="B445" s="30" t="s">
        <v>1393</v>
      </c>
      <c r="C445" s="30"/>
      <c r="D445" s="30" t="s">
        <v>1208</v>
      </c>
      <c r="E445" s="30" t="s">
        <v>984</v>
      </c>
      <c r="F445" s="30" t="s">
        <v>82</v>
      </c>
      <c r="G445" s="39" t="str">
        <f>VLOOKUP(F445,glossary!J:N,2,FALSE)</f>
        <v>Test image</v>
      </c>
      <c r="H445" s="34" t="s">
        <v>82</v>
      </c>
      <c r="I445" s="45" t="str">
        <f t="shared" si="22"/>
        <v>test_image_tu</v>
      </c>
      <c r="J445" s="42" t="s">
        <v>84</v>
      </c>
      <c r="K445" s="39" t="str">
        <f>VLOOKUP(F445,glossary!J:N,5,FALSE)</f>
        <v>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v>
      </c>
      <c r="L445" t="s">
        <v>1449</v>
      </c>
      <c r="M445" s="30" t="str">
        <f t="shared" si="25"/>
        <v>{{ test_image_tu }}</v>
      </c>
      <c r="N445" t="s">
        <v>896</v>
      </c>
      <c r="O445" s="13" t="s">
        <v>1816</v>
      </c>
      <c r="P445" t="s">
        <v>4081</v>
      </c>
      <c r="Q445" t="str">
        <f t="shared" si="26"/>
        <v xml:space="preserve">    test_image_tu: "&lt;a href=\"09_glossary.html#test_image\" target=\"_blank\" data-bs-toggle=\"tooltip\" data-bs-title=\"Test image: 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errors.\"&gt;Test image&lt;button type=\"button\" class=\"btn btn-bd-tip-info-hidden btn-sm position-relative\"&gt;.&lt;span class=\"position-absolute top-0 start-100 translate-middle\"&gt;{{ icon_info }}&lt;/span&gt;&lt;/button&gt;&lt;/a&gt;"</v>
      </c>
      <c r="R445" t="b" cm="1">
        <f t="array" ref="R445">SUMPRODUCT(--EXACT($J$2:$J$490,J445))&gt;1</f>
        <v>0</v>
      </c>
      <c r="S445" t="s">
        <v>4613</v>
      </c>
    </row>
    <row r="446" spans="1:19">
      <c r="A446" s="30">
        <v>1</v>
      </c>
      <c r="B446" s="30" t="s">
        <v>1064</v>
      </c>
      <c r="C446" s="30" t="s">
        <v>0</v>
      </c>
      <c r="D446" s="30" t="s">
        <v>1208</v>
      </c>
      <c r="E446" s="30" t="s">
        <v>1758</v>
      </c>
      <c r="F446" s="30" t="s">
        <v>82</v>
      </c>
      <c r="G446" s="39" t="str">
        <f>VLOOKUP(F446,glossary!J:N,2,FALSE)</f>
        <v>Test image</v>
      </c>
      <c r="H446" s="34" t="s">
        <v>82</v>
      </c>
      <c r="I446" s="45" t="str">
        <f t="shared" si="22"/>
        <v>test_image_tu_pl</v>
      </c>
      <c r="J446" s="39" t="s">
        <v>1073</v>
      </c>
      <c r="K446" s="39" t="str">
        <f>VLOOKUP(F446,glossary!J:N,5,FALSE)</f>
        <v>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v>
      </c>
      <c r="L446" s="30" t="s">
        <v>1108</v>
      </c>
      <c r="M446" s="30" t="str">
        <f t="shared" si="25"/>
        <v>{{ test_image_tu_pl }}</v>
      </c>
      <c r="N446" t="s">
        <v>896</v>
      </c>
      <c r="O446" s="13" t="s">
        <v>1816</v>
      </c>
      <c r="P446" t="s">
        <v>4081</v>
      </c>
      <c r="Q446" t="str">
        <f t="shared" si="26"/>
        <v xml:space="preserve">    test_image_tu_pl: "&lt;a href=\"09_glossary.html#test_image\" target=\"_blank\" data-bs-toggle=\"tooltip\" data-bs-title=\"Test image: 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errors.\"&gt;Test images&lt;button type=\"button\" class=\"btn btn-bd-tip-info-hidden btn-sm position-relative\"&gt;.&lt;span class=\"position-absolute top-0 start-100 translate-middle\"&gt;{{ icon_info }}&lt;/span&gt;&lt;/button&gt;&lt;/a&gt;"</v>
      </c>
      <c r="R446" t="b" cm="1">
        <f t="array" ref="R446">SUMPRODUCT(--EXACT($J$2:$J$490,J446))&gt;1</f>
        <v>0</v>
      </c>
      <c r="S446" t="s">
        <v>4614</v>
      </c>
    </row>
    <row r="447" spans="1:19">
      <c r="A447" s="30">
        <v>3</v>
      </c>
      <c r="B447" s="30" t="s">
        <v>1393</v>
      </c>
      <c r="C447" s="30"/>
      <c r="D447" s="30" t="s">
        <v>1208</v>
      </c>
      <c r="E447" s="30" t="s">
        <v>984</v>
      </c>
      <c r="F447" s="30" t="s">
        <v>1394</v>
      </c>
      <c r="G447" s="39" t="str">
        <f>VLOOKUP(F447,glossary!J:N,2,FALSE)</f>
        <v>Test Image Taken</v>
      </c>
      <c r="H447" s="34" t="s">
        <v>1394</v>
      </c>
      <c r="I447" s="45" t="str">
        <f t="shared" si="22"/>
        <v>test_image_taken_tu</v>
      </c>
      <c r="J447" s="42" t="s">
        <v>761</v>
      </c>
      <c r="K447" s="39" t="str">
        <f>VLOOKUP(F447,glossary!J:N,5,FALSE)</f>
        <v>Whether a test image (i.e., an image taken from a camera after it has been set up to provide a permanent record of the visit metadata) was taken. Arm the camera, from ~5 m in front, walk towards the camera while holding the Test Image Sheet.</v>
      </c>
      <c r="L447" t="s">
        <v>1448</v>
      </c>
      <c r="M447" s="30" t="str">
        <f t="shared" si="25"/>
        <v>{{ test_image_taken_tu }}</v>
      </c>
      <c r="N447" t="s">
        <v>896</v>
      </c>
      <c r="O447" s="13" t="s">
        <v>1816</v>
      </c>
      <c r="P447" t="s">
        <v>4081</v>
      </c>
      <c r="Q447" t="str">
        <f t="shared" si="26"/>
        <v xml:space="preserve">    test_image_taken_tu: "&lt;a href=\"09_glossary.html#test_image_taken\" target=\"_blank\" data-bs-toggle=\"tooltip\" data-bs-title=\"Test Image Taken: Whether a test image (i.e., an image taken from a camera after it has been set up to provide a permanent record of the visit metadata) was taken. Arm the camera, from ~5 m in front, walk towards the camera while holding the Test Image Sheet.\"&gt;Test Image Taken&lt;button type=\"button\" class=\"btn btn-bd-tip-info-hidden btn-sm position-relative\"&gt;.&lt;span class=\"position-absolute top-0 start-100 translate-middle\"&gt;{{ icon_info }}&lt;/span&gt;&lt;/button&gt;&lt;/a&gt;"</v>
      </c>
      <c r="R447" t="b" cm="1">
        <f t="array" ref="R447">SUMPRODUCT(--EXACT($J$2:$J$490,J447))&gt;1</f>
        <v>0</v>
      </c>
      <c r="S447" t="s">
        <v>4615</v>
      </c>
    </row>
    <row r="448" spans="1:19">
      <c r="A448" s="30">
        <v>3</v>
      </c>
      <c r="B448" s="30" t="s">
        <v>1393</v>
      </c>
      <c r="C448" s="30"/>
      <c r="D448" s="30" t="s">
        <v>1207</v>
      </c>
      <c r="E448" s="30" t="s">
        <v>984</v>
      </c>
      <c r="F448" s="30" t="s">
        <v>79</v>
      </c>
      <c r="G448" s="39" t="str">
        <f>VLOOKUP(F448,glossary!J:N,2,FALSE)</f>
        <v>Time-lapse image</v>
      </c>
      <c r="H448" s="34" t="s">
        <v>79</v>
      </c>
      <c r="I448" s="45" t="str">
        <f t="shared" si="22"/>
        <v>timelapse_image_tl</v>
      </c>
      <c r="J448" s="43" t="s">
        <v>962</v>
      </c>
      <c r="K448" s="39" t="str">
        <f>VLOOKUP(F448,glossary!J:N,5,FALSE)</f>
        <v>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 estimators' such as REM or time-to-event (TTE) models; see Moeller et al., [2018] for advantages and disadvantages).</v>
      </c>
      <c r="L448" t="s">
        <v>1447</v>
      </c>
      <c r="M448" s="30" t="str">
        <f t="shared" si="25"/>
        <v>{{ timelapse_image_tl }}</v>
      </c>
      <c r="N448" t="s">
        <v>896</v>
      </c>
      <c r="O448" s="13" t="s">
        <v>1816</v>
      </c>
      <c r="P448" t="s">
        <v>4081</v>
      </c>
      <c r="Q448" t="str">
        <f t="shared" si="26"/>
        <v xml:space="preserve">    timelapse_image_tl: "&lt;a href=\"09_glossary.html#timelapse_image\" target=\"_blank\" data-bs-toggle=\"tooltip\" data-bs-title=\"Time-lapse image: 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 estimators' such as REM or time-to-event (TTE) models; see Moeller et al., [2018] for advantages and disadvantages).\"&gt;time-lapse image&lt;button type=\"button\" class=\"btn btn-bd-tip-info-hidden btn-sm position-relative\"&gt;.&lt;span class=\"position-absolute top-0 start-100 translate-middle\"&gt;{{ icon_info }}&lt;/span&gt;&lt;/button&gt;&lt;/a&gt;"</v>
      </c>
      <c r="R448" t="b" cm="1">
        <f t="array" ref="R448">SUMPRODUCT(--EXACT($J$2:$J$490,J448))&gt;1</f>
        <v>0</v>
      </c>
      <c r="S448" t="s">
        <v>4616</v>
      </c>
    </row>
    <row r="449" spans="1:19">
      <c r="A449" s="30">
        <v>1</v>
      </c>
      <c r="B449" s="30" t="s">
        <v>1064</v>
      </c>
      <c r="C449" s="30" t="s">
        <v>0</v>
      </c>
      <c r="D449" s="30" t="s">
        <v>1207</v>
      </c>
      <c r="E449" s="30" t="s">
        <v>1758</v>
      </c>
      <c r="F449" s="30" t="s">
        <v>79</v>
      </c>
      <c r="G449" s="39" t="str">
        <f>VLOOKUP(F449,glossary!J:N,2,FALSE)</f>
        <v>Time-lapse image</v>
      </c>
      <c r="H449" s="34" t="s">
        <v>79</v>
      </c>
      <c r="I449" s="45" t="str">
        <f t="shared" si="22"/>
        <v>timelapse_image_tl_pl</v>
      </c>
      <c r="J449" s="39" t="s">
        <v>1190</v>
      </c>
      <c r="K449" s="39" t="str">
        <f>VLOOKUP(F449,glossary!J:N,5,FALSE)</f>
        <v>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 estimators' such as REM or time-to-event (TTE) models; see Moeller et al., [2018] for advantages and disadvantages).</v>
      </c>
      <c r="L449" s="30" t="s">
        <v>1117</v>
      </c>
      <c r="M449" s="30" t="str">
        <f t="shared" si="25"/>
        <v>{{ timelapse_image_tl_pl }}</v>
      </c>
      <c r="N449" t="s">
        <v>896</v>
      </c>
      <c r="O449" s="13" t="s">
        <v>1816</v>
      </c>
      <c r="P449" t="s">
        <v>4081</v>
      </c>
      <c r="Q449" t="str">
        <f t="shared" si="26"/>
        <v xml:space="preserve">    timelapse_image_tl_pl: "&lt;a href=\"09_glossary.html#timelapse_image\" target=\"_blank\" data-bs-toggle=\"tooltip\" data-bs-title=\"Time-lapse image: 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 estimators' such as REM or time-to-event (TTE) models; see Moeller et al., [2018] for advantages and disadvantages).\"&gt;time-lapse images&lt;button type=\"button\" class=\"btn btn-bd-tip-info-hidden btn-sm position-relative\"&gt;.&lt;span class=\"position-absolute top-0 start-100 translate-middle\"&gt;{{ icon_info }}&lt;/span&gt;&lt;/button&gt;&lt;/a&gt;"</v>
      </c>
      <c r="R449" t="b" cm="1">
        <f t="array" ref="R449">SUMPRODUCT(--EXACT($J$2:$J$490,J449))&gt;1</f>
        <v>0</v>
      </c>
      <c r="S449" t="s">
        <v>4617</v>
      </c>
    </row>
    <row r="450" spans="1:19">
      <c r="A450" s="30">
        <v>3</v>
      </c>
      <c r="B450" s="30" t="s">
        <v>1393</v>
      </c>
      <c r="C450" s="30"/>
      <c r="D450" s="30" t="s">
        <v>1208</v>
      </c>
      <c r="E450" s="30" t="s">
        <v>984</v>
      </c>
      <c r="F450" s="30" t="s">
        <v>79</v>
      </c>
      <c r="G450" s="39" t="str">
        <f>VLOOKUP(F450,glossary!J:N,2,FALSE)</f>
        <v>Time-lapse image</v>
      </c>
      <c r="H450" s="34" t="s">
        <v>79</v>
      </c>
      <c r="I450" s="45" t="str">
        <f t="shared" ref="I450:I495" si="27">IF(D450="-","-",IF(E450&lt;&gt;"-",(H450&amp;"_"&amp;D450&amp;"_"&amp;E450),H450&amp;"_"&amp;D450))</f>
        <v>timelapse_image_tu</v>
      </c>
      <c r="J450" s="42" t="s">
        <v>80</v>
      </c>
      <c r="K450" s="39" t="str">
        <f>VLOOKUP(F450,glossary!J:N,5,FALSE)</f>
        <v>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 estimators' such as REM or time-to-event (TTE) models; see Moeller et al., [2018] for advantages and disadvantages).</v>
      </c>
      <c r="L450" t="s">
        <v>1446</v>
      </c>
      <c r="M450" s="30" t="str">
        <f t="shared" si="25"/>
        <v>{{ timelapse_image_tu }}</v>
      </c>
      <c r="N450" t="s">
        <v>896</v>
      </c>
      <c r="O450" s="13" t="s">
        <v>1816</v>
      </c>
      <c r="P450" t="s">
        <v>4081</v>
      </c>
      <c r="Q450" t="str">
        <f t="shared" si="26"/>
        <v xml:space="preserve">    timelapse_image_tu: "&lt;a href=\"09_glossary.html#timelapse_image\" target=\"_blank\" data-bs-toggle=\"tooltip\" data-bs-title=\"Time-lapse image: 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 estimators' such as REM or time-to-event (TTE) models; see Moeller et al., [2018] for advantages and disadvantages).\"&gt;Time-lapse image&lt;button type=\"button\" class=\"btn btn-bd-tip-info-hidden btn-sm position-relative\"&gt;.&lt;span class=\"position-absolute top-0 start-100 translate-middle\"&gt;{{ icon_info }}&lt;/span&gt;&lt;/button&gt;&lt;/a&gt;"</v>
      </c>
      <c r="R450" t="b" cm="1">
        <f t="array" ref="R450">SUMPRODUCT(--EXACT($J$2:$J$490,J450))&gt;1</f>
        <v>0</v>
      </c>
      <c r="S450" t="s">
        <v>4618</v>
      </c>
    </row>
    <row r="451" spans="1:19">
      <c r="A451" s="30">
        <v>1</v>
      </c>
      <c r="B451" s="30" t="s">
        <v>1064</v>
      </c>
      <c r="C451" s="30" t="s">
        <v>0</v>
      </c>
      <c r="D451" s="30" t="s">
        <v>1208</v>
      </c>
      <c r="E451" s="30" t="s">
        <v>1758</v>
      </c>
      <c r="F451" s="30" t="s">
        <v>79</v>
      </c>
      <c r="G451" s="39" t="str">
        <f>VLOOKUP(F451,glossary!J:N,2,FALSE)</f>
        <v>Time-lapse image</v>
      </c>
      <c r="H451" s="34" t="s">
        <v>79</v>
      </c>
      <c r="I451" s="45" t="str">
        <f t="shared" si="27"/>
        <v>timelapse_image_tu_pl</v>
      </c>
      <c r="J451" s="39" t="s">
        <v>1072</v>
      </c>
      <c r="K451" s="39" t="str">
        <f>VLOOKUP(F451,glossary!J:N,5,FALSE)</f>
        <v>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 estimators' such as REM or time-to-event (TTE) models; see Moeller et al., [2018] for advantages and disadvantages).</v>
      </c>
      <c r="L451" s="30" t="s">
        <v>1107</v>
      </c>
      <c r="M451" s="30" t="str">
        <f t="shared" si="25"/>
        <v>{{ timelapse_image_tu_pl }}</v>
      </c>
      <c r="N451" t="s">
        <v>896</v>
      </c>
      <c r="O451" s="13" t="s">
        <v>1816</v>
      </c>
      <c r="P451" t="s">
        <v>4081</v>
      </c>
      <c r="Q451" t="str">
        <f t="shared" si="26"/>
        <v xml:space="preserve">    timelapse_image_tu_pl: "&lt;a href=\"09_glossary.html#timelapse_image\" target=\"_blank\" data-bs-toggle=\"tooltip\" data-bs-title=\"Time-lapse image: 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 estimators' such as REM or time-to-event (TTE) models; see Moeller et al., [2018] for advantages and disadvantages).\"&gt;Time-lapse images&lt;button type=\"button\" class=\"btn btn-bd-tip-info-hidden btn-sm position-relative\"&gt;.&lt;span class=\"position-absolute top-0 start-100 translate-middle\"&gt;{{ icon_info }}&lt;/span&gt;&lt;/button&gt;&lt;/a&gt;"</v>
      </c>
      <c r="R451" t="b" cm="1">
        <f t="array" ref="R451">SUMPRODUCT(--EXACT($J$2:$J$490,J451))&gt;1</f>
        <v>0</v>
      </c>
      <c r="S451" t="s">
        <v>4619</v>
      </c>
    </row>
    <row r="452" spans="1:19">
      <c r="A452" s="30">
        <v>3</v>
      </c>
      <c r="B452" s="30" t="s">
        <v>1393</v>
      </c>
      <c r="C452" s="30"/>
      <c r="D452" s="30" t="s">
        <v>1207</v>
      </c>
      <c r="E452" s="30" t="s">
        <v>984</v>
      </c>
      <c r="F452" s="30" t="s">
        <v>1246</v>
      </c>
      <c r="G452" s="39" t="str">
        <f>VLOOKUP(F452,glossary!J:N,2,FALSE)</f>
        <v>Total number of camera days</v>
      </c>
      <c r="H452" s="34" t="s">
        <v>1246</v>
      </c>
      <c r="I452" s="45" t="str">
        <f t="shared" si="27"/>
        <v>total_number_of_cam_days_tl</v>
      </c>
      <c r="J452" s="43" t="s">
        <v>963</v>
      </c>
      <c r="K452" s="39" t="str">
        <f>VLOOKUP(F452,glossary!J:N,5,FALSE)</f>
        <v>The number of days that all cameras were active during the survey.</v>
      </c>
      <c r="L452" t="s">
        <v>1445</v>
      </c>
      <c r="M452" s="30" t="str">
        <f t="shared" si="25"/>
        <v>{{ total_number_of_cam_days_tl }}</v>
      </c>
      <c r="N452" t="s">
        <v>896</v>
      </c>
      <c r="O452" s="13" t="s">
        <v>1816</v>
      </c>
      <c r="P452" t="s">
        <v>4081</v>
      </c>
      <c r="Q452" t="str">
        <f t="shared" si="26"/>
        <v xml:space="preserve">    total_number_of_cam_days_tl: "&lt;a href=\"09_glossary.html#total_number_of_cam_days\" target=\"_blank\" data-bs-toggle=\"tooltip\" data-bs-title=\"Total number of camera days: The number of days that all cameras were active during the survey.\"&gt;total number of camera days&lt;button type=\"button\" class=\"btn btn-bd-tip-info-hidden btn-sm position-relative\"&gt;.&lt;span class=\"position-absolute top-0 start-100 translate-middle\"&gt;{{ icon_info }}&lt;/span&gt;&lt;/button&gt;&lt;/a&gt;"</v>
      </c>
      <c r="R452" t="b" cm="1">
        <f t="array" ref="R452">SUMPRODUCT(--EXACT($J$2:$J$490,J452))&gt;1</f>
        <v>0</v>
      </c>
      <c r="S452" t="s">
        <v>4620</v>
      </c>
    </row>
    <row r="453" spans="1:19">
      <c r="A453" s="30">
        <v>3</v>
      </c>
      <c r="B453" s="30" t="s">
        <v>1393</v>
      </c>
      <c r="C453" s="30"/>
      <c r="D453" s="30" t="s">
        <v>1208</v>
      </c>
      <c r="E453" s="30" t="s">
        <v>984</v>
      </c>
      <c r="F453" s="30" t="s">
        <v>1246</v>
      </c>
      <c r="G453" s="39" t="str">
        <f>VLOOKUP(F453,glossary!J:N,2,FALSE)</f>
        <v>Total number of camera days</v>
      </c>
      <c r="H453" s="34" t="s">
        <v>1246</v>
      </c>
      <c r="I453" s="45" t="str">
        <f t="shared" si="27"/>
        <v>total_number_of_cam_days_tu</v>
      </c>
      <c r="J453" s="42" t="s">
        <v>77</v>
      </c>
      <c r="K453" s="39" t="str">
        <f>VLOOKUP(F453,glossary!J:N,5,FALSE)</f>
        <v>The number of days that all cameras were active during the survey.</v>
      </c>
      <c r="L453" t="s">
        <v>1444</v>
      </c>
      <c r="M453" s="30" t="str">
        <f t="shared" si="25"/>
        <v>{{ total_number_of_cam_days_tu }}</v>
      </c>
      <c r="N453" t="s">
        <v>896</v>
      </c>
      <c r="O453" s="13" t="s">
        <v>1816</v>
      </c>
      <c r="P453" t="s">
        <v>4081</v>
      </c>
      <c r="Q453" t="str">
        <f t="shared" si="26"/>
        <v xml:space="preserve">    total_number_of_cam_days_tu: "&lt;a href=\"09_glossary.html#total_number_of_cam_days\" target=\"_blank\" data-bs-toggle=\"tooltip\" data-bs-title=\"Total number of camera days: The number of days that all cameras were active during the survey.\"&gt;Total number of camera days&lt;button type=\"button\" class=\"btn btn-bd-tip-info-hidden btn-sm position-relative\"&gt;.&lt;span class=\"position-absolute top-0 start-100 translate-middle\"&gt;{{ icon_info }}&lt;/span&gt;&lt;/button&gt;&lt;/a&gt;"</v>
      </c>
      <c r="R453" t="b" cm="1">
        <f t="array" ref="R453">SUMPRODUCT(--EXACT($J$2:$J$490,J453))&gt;1</f>
        <v>0</v>
      </c>
      <c r="S453" t="s">
        <v>4621</v>
      </c>
    </row>
    <row r="454" spans="1:19">
      <c r="A454" s="30">
        <v>3</v>
      </c>
      <c r="B454" s="30" t="s">
        <v>1393</v>
      </c>
      <c r="C454" s="30"/>
      <c r="D454" s="30" t="s">
        <v>1207</v>
      </c>
      <c r="E454" s="30" t="s">
        <v>984</v>
      </c>
      <c r="F454" s="30" t="s">
        <v>75</v>
      </c>
      <c r="G454" s="39" t="str">
        <f>VLOOKUP(F454,glossary!J:N,2,FALSE)</f>
        <v>Trigger 'event'</v>
      </c>
      <c r="H454" s="34" t="s">
        <v>75</v>
      </c>
      <c r="I454" s="45" t="str">
        <f t="shared" si="27"/>
        <v>trigger_event_tl</v>
      </c>
      <c r="J454" s="43" t="s">
        <v>964</v>
      </c>
      <c r="K454" s="39" t="str">
        <f>VLOOKUP(F454,glossary!J:N,5,FALSE)</f>
        <v>An activation of the camera detector(s) that initiates the capture of a single or multiple images, or the recording of video.</v>
      </c>
      <c r="L454" t="s">
        <v>1443</v>
      </c>
      <c r="M454" s="30" t="str">
        <f t="shared" si="25"/>
        <v>{{ trigger_event_tl }}</v>
      </c>
      <c r="N454" t="s">
        <v>896</v>
      </c>
      <c r="O454" s="13" t="s">
        <v>1816</v>
      </c>
      <c r="P454" t="s">
        <v>4081</v>
      </c>
      <c r="Q454" t="str">
        <f t="shared" si="26"/>
        <v xml:space="preserve">    trigger_event_tl: "&lt;a href=\"09_glossary.html#trigger_event\" target=\"_blank\" data-bs-toggle=\"tooltip\" data-bs-title=\"Trigger 'event': An activation of the camera detector(s) that initiates the capture of a single or multiple images, or the recording of video.\"&gt;trigger 'event'&lt;button type=\"button\" class=\"btn btn-bd-tip-info-hidden btn-sm position-relative\"&gt;.&lt;span class=\"position-absolute top-0 start-100 translate-middle\"&gt;{{ icon_info }}&lt;/span&gt;&lt;/button&gt;&lt;/a&gt;"</v>
      </c>
      <c r="R454" t="b" cm="1">
        <f t="array" ref="R454">SUMPRODUCT(--EXACT($J$2:$J$490,J454))&gt;1</f>
        <v>0</v>
      </c>
      <c r="S454" t="s">
        <v>4622</v>
      </c>
    </row>
    <row r="455" spans="1:19">
      <c r="A455" s="30">
        <v>1</v>
      </c>
      <c r="B455" s="30" t="s">
        <v>1064</v>
      </c>
      <c r="C455" s="30"/>
      <c r="D455" s="30" t="s">
        <v>1207</v>
      </c>
      <c r="E455" s="30" t="s">
        <v>1752</v>
      </c>
      <c r="F455" s="30" t="s">
        <v>75</v>
      </c>
      <c r="G455" s="39" t="str">
        <f>VLOOKUP(F455,glossary!J:N,2,FALSE)</f>
        <v>Trigger 'event'</v>
      </c>
      <c r="H455" s="30" t="s">
        <v>75</v>
      </c>
      <c r="I455" s="45" t="str">
        <f t="shared" si="27"/>
        <v>trigger_event_tl_abrv</v>
      </c>
      <c r="J455" s="39" t="s">
        <v>1212</v>
      </c>
      <c r="K455" s="39" t="str">
        <f>VLOOKUP(F455,glossary!J:N,5,FALSE)</f>
        <v>An activation of the camera detector(s) that initiates the capture of a single or multiple images, or the recording of video.</v>
      </c>
      <c r="L455" s="30" t="s">
        <v>1211</v>
      </c>
      <c r="M455" s="30" t="str">
        <f t="shared" si="25"/>
        <v>{{ trigger_event_tl_abrv }}</v>
      </c>
      <c r="N455" t="s">
        <v>896</v>
      </c>
      <c r="O455" s="13" t="s">
        <v>1816</v>
      </c>
      <c r="P455" t="s">
        <v>4081</v>
      </c>
      <c r="Q455" t="str">
        <f t="shared" si="26"/>
        <v xml:space="preserve">    trigger_event_tl_abrv: "&lt;a href=\"09_glossary.html#trigger_event\" target=\"_blank\" data-bs-toggle=\"tooltip\" data-bs-title=\"Trigger 'event': An activation of the camera detector(s) that initiates the capture of a single or multiple images, or the recording of video.\"&gt;triggers&lt;button type=\"button\" class=\"btn btn-bd-tip-info-hidden btn-sm position-relative\"&gt;.&lt;span class=\"position-absolute top-0 start-100 translate-middle\"&gt;{{ icon_info }}&lt;/span&gt;&lt;/button&gt;&lt;/a&gt;"</v>
      </c>
      <c r="R455" t="b" cm="1">
        <f t="array" ref="R455">SUMPRODUCT(--EXACT($J$2:$J$490,J455))&gt;1</f>
        <v>0</v>
      </c>
      <c r="S455" t="s">
        <v>4623</v>
      </c>
    </row>
    <row r="456" spans="1:19">
      <c r="A456" s="30">
        <v>3</v>
      </c>
      <c r="B456" s="30" t="s">
        <v>1393</v>
      </c>
      <c r="C456" s="30"/>
      <c r="D456" s="30" t="s">
        <v>1208</v>
      </c>
      <c r="E456" s="30" t="s">
        <v>984</v>
      </c>
      <c r="F456" s="30" t="s">
        <v>75</v>
      </c>
      <c r="G456" s="39" t="str">
        <f>VLOOKUP(F456,glossary!J:N,2,FALSE)</f>
        <v>Trigger 'event'</v>
      </c>
      <c r="H456" s="34" t="s">
        <v>75</v>
      </c>
      <c r="I456" s="45" t="str">
        <f t="shared" si="27"/>
        <v>trigger_event_tu</v>
      </c>
      <c r="J456" s="42" t="s">
        <v>457</v>
      </c>
      <c r="K456" s="39" t="str">
        <f>VLOOKUP(F456,glossary!J:N,5,FALSE)</f>
        <v>An activation of the camera detector(s) that initiates the capture of a single or multiple images, or the recording of video.</v>
      </c>
      <c r="L456" t="s">
        <v>1442</v>
      </c>
      <c r="M456" s="30" t="str">
        <f t="shared" si="25"/>
        <v>{{ trigger_event_tu }}</v>
      </c>
      <c r="N456" t="s">
        <v>896</v>
      </c>
      <c r="O456" s="13" t="s">
        <v>1816</v>
      </c>
      <c r="P456" t="s">
        <v>4081</v>
      </c>
      <c r="Q456" t="str">
        <f t="shared" si="26"/>
        <v xml:space="preserve">    trigger_event_tu: "&lt;a href=\"09_glossary.html#trigger_event\" target=\"_blank\" data-bs-toggle=\"tooltip\" data-bs-title=\"Trigger 'event': An activation of the camera detector(s) that initiates the capture of a single or multiple images, or the recording of video.\"&gt;Trigger 'event'&lt;button type=\"button\" class=\"btn btn-bd-tip-info-hidden btn-sm position-relative\"&gt;.&lt;span class=\"position-absolute top-0 start-100 translate-middle\"&gt;{{ icon_info }}&lt;/span&gt;&lt;/button&gt;&lt;/a&gt;"</v>
      </c>
      <c r="R456" t="b" cm="1">
        <f t="array" ref="R456">SUMPRODUCT(--EXACT($J$2:$J$490,J456))&gt;1</f>
        <v>0</v>
      </c>
      <c r="S456" t="s">
        <v>4624</v>
      </c>
    </row>
    <row r="457" spans="1:19">
      <c r="A457" s="30">
        <v>3</v>
      </c>
      <c r="B457" s="30" t="s">
        <v>1393</v>
      </c>
      <c r="C457" s="30"/>
      <c r="D457" s="30" t="s">
        <v>1207</v>
      </c>
      <c r="E457" s="30" t="s">
        <v>984</v>
      </c>
      <c r="F457" s="30" t="s">
        <v>73</v>
      </c>
      <c r="G457" s="39" t="str">
        <f>VLOOKUP(F457,glossary!J:N,2,FALSE)</f>
        <v>Trigger speed</v>
      </c>
      <c r="H457" s="34" t="s">
        <v>73</v>
      </c>
      <c r="I457" s="45" t="str">
        <f t="shared" si="27"/>
        <v>trigger_speed_tl</v>
      </c>
      <c r="J457" s="43" t="s">
        <v>965</v>
      </c>
      <c r="K457" s="39" t="str">
        <f>VLOOKUP(F457,glossary!J:N,5,FALSE)</f>
        <v>The time delay necessary for the camera to shoot a photo once an animal has interrupted the infrared beam within the camera's detection zone (Trolliet et al., 2014). Trigger speed differs from Motion Image Interval (a camera setting specified by the user) in that the trigger speed is inherent to the Camera Make and Camera Model (e.g., two different cameras, models both with a Motion Image Interval set to 'no delay,' may not be able to capture images at the same speed).</v>
      </c>
      <c r="L457" t="s">
        <v>1441</v>
      </c>
      <c r="M457" s="30" t="str">
        <f t="shared" si="25"/>
        <v>{{ trigger_speed_tl }}</v>
      </c>
      <c r="N457" t="s">
        <v>896</v>
      </c>
      <c r="O457" s="13" t="s">
        <v>1816</v>
      </c>
      <c r="P457" t="s">
        <v>4081</v>
      </c>
      <c r="Q457" t="str">
        <f t="shared" si="26"/>
        <v xml:space="preserve">    trigger_speed_tl: "&lt;a href=\"09_glossary.html#trigger_speed\" target=\"_blank\" data-bs-toggle=\"tooltip\" data-bs-title=\"Trigger speed: The time delay necessary for the camera to shoot a photo once an animal has interrupted the infrared beam within the camera's detection zone (Trolliet et al., 2014). Trigger speed differs from Motion Image Interval (a camera setting specified by the user) in that the trigger speed is inherent to the Camera Make and Camera Model (e.g., two different cameras, models both with a Motion Image Interval set to 'no delay,' may not be able to capture images at the same speed).\"&gt;trigger speed&lt;button type=\"button\" class=\"btn btn-bd-tip-info-hidden btn-sm position-relative\"&gt;.&lt;span class=\"position-absolute top-0 start-100 translate-middle\"&gt;{{ icon_info }}&lt;/span&gt;&lt;/button&gt;&lt;/a&gt;"</v>
      </c>
      <c r="R457" t="b" cm="1">
        <f t="array" ref="R457">SUMPRODUCT(--EXACT($J$2:$J$490,J457))&gt;1</f>
        <v>0</v>
      </c>
      <c r="S457" t="s">
        <v>4625</v>
      </c>
    </row>
    <row r="458" spans="1:19">
      <c r="A458" s="30">
        <v>3</v>
      </c>
      <c r="B458" s="30" t="s">
        <v>1393</v>
      </c>
      <c r="C458" s="30"/>
      <c r="D458" s="30" t="s">
        <v>1208</v>
      </c>
      <c r="E458" s="30" t="s">
        <v>984</v>
      </c>
      <c r="F458" s="30" t="s">
        <v>73</v>
      </c>
      <c r="G458" s="39" t="str">
        <f>VLOOKUP(F458,glossary!J:N,2,FALSE)</f>
        <v>Trigger speed</v>
      </c>
      <c r="H458" s="34" t="s">
        <v>73</v>
      </c>
      <c r="I458" s="45" t="str">
        <f t="shared" si="27"/>
        <v>trigger_speed_tu</v>
      </c>
      <c r="J458" s="42" t="s">
        <v>74</v>
      </c>
      <c r="K458" s="39" t="str">
        <f>VLOOKUP(F458,glossary!J:N,5,FALSE)</f>
        <v>The time delay necessary for the camera to shoot a photo once an animal has interrupted the infrared beam within the camera's detection zone (Trolliet et al., 2014). Trigger speed differs from Motion Image Interval (a camera setting specified by the user) in that the trigger speed is inherent to the Camera Make and Camera Model (e.g., two different cameras, models both with a Motion Image Interval set to 'no delay,' may not be able to capture images at the same speed).</v>
      </c>
      <c r="L458" t="s">
        <v>1440</v>
      </c>
      <c r="M458" s="30" t="str">
        <f t="shared" si="25"/>
        <v>{{ trigger_speed_tu }}</v>
      </c>
      <c r="N458" t="s">
        <v>896</v>
      </c>
      <c r="O458" s="13" t="s">
        <v>1816</v>
      </c>
      <c r="P458" t="s">
        <v>4081</v>
      </c>
      <c r="Q458" t="str">
        <f t="shared" si="26"/>
        <v xml:space="preserve">    trigger_speed_tu: "&lt;a href=\"09_glossary.html#trigger_speed\" target=\"_blank\" data-bs-toggle=\"tooltip\" data-bs-title=\"Trigger speed: The time delay necessary for the camera to shoot a photo once an animal has interrupted the infrared beam within the camera's detection zone (Trolliet et al., 2014). Trigger speed differs from Motion Image Interval (a camera setting specified by the user) in that the trigger speed is inherent to the Camera Make and Camera Model (e.g., two different cameras, models both with a Motion Image Interval set to 'no delay,' may not be able to capture images at the same speed).\"&gt;Trigger speed&lt;button type=\"button\" class=\"btn btn-bd-tip-info-hidden btn-sm position-relative\"&gt;.&lt;span class=\"position-absolute top-0 start-100 translate-middle\"&gt;{{ icon_info }}&lt;/span&gt;&lt;/button&gt;&lt;/a&gt;"</v>
      </c>
      <c r="R458" t="b" cm="1">
        <f t="array" ref="R458">SUMPRODUCT(--EXACT($J$2:$J$490,J458))&gt;1</f>
        <v>0</v>
      </c>
      <c r="S458" t="s">
        <v>4626</v>
      </c>
    </row>
    <row r="459" spans="1:19">
      <c r="A459" s="30">
        <v>1</v>
      </c>
      <c r="B459" s="30" t="s">
        <v>1064</v>
      </c>
      <c r="C459" s="35"/>
      <c r="D459" s="35" t="s">
        <v>1207</v>
      </c>
      <c r="E459" s="30" t="s">
        <v>1752</v>
      </c>
      <c r="F459" s="30" t="s">
        <v>159</v>
      </c>
      <c r="G459" s="39" t="str">
        <f>VLOOKUP(F459,glossary!J:N,2,FALSE)</f>
        <v>Marked individuals / populations / species</v>
      </c>
      <c r="H459" s="35" t="s">
        <v>159</v>
      </c>
      <c r="I459" s="45" t="str">
        <f t="shared" si="27"/>
        <v>typeid_marked_tl_abrv</v>
      </c>
      <c r="J459" s="39" t="s">
        <v>1434</v>
      </c>
      <c r="K459" s="39" t="str">
        <f>VLOOKUP(F459,glossary!J:N,5,FALSE)</f>
        <v>Individuals, populations, or species (varies with modelling approach and context) that can be identified using natural or artificial markings (e.g., coat patterns, scars, tags, collars).</v>
      </c>
      <c r="L459" s="35" t="s">
        <v>1435</v>
      </c>
      <c r="M459" s="30" t="str">
        <f t="shared" si="25"/>
        <v>{{ typeid_marked_tl_abrv }}</v>
      </c>
      <c r="N459" t="s">
        <v>896</v>
      </c>
      <c r="O459" s="13" t="s">
        <v>1816</v>
      </c>
      <c r="P459" t="s">
        <v>4081</v>
      </c>
      <c r="Q459" t="str">
        <f t="shared" si="26"/>
        <v xml:space="preserve">    typeid_marked_tl_abrv: "&lt;a href=\"09_glossary.html#typeid_marked\" target=\"_blank\" data-bs-toggle=\"tooltip\" data-bs-title=\"Marked individuals / populations / species: Individuals, populations, or species (varies with modelling approach and context) that can be identified using natural or artificial markings (e.g., coat patterns, scars, tags, collars).\"&gt;marked&lt;button type=\"button\" class=\"btn btn-bd-tip-info-hidden btn-sm position-relative\"&gt;.&lt;span class=\"position-absolute top-0 start-100 translate-middle\"&gt;{{ icon_info }}&lt;/span&gt;&lt;/button&gt;&lt;/a&gt;"</v>
      </c>
      <c r="R459" t="b" cm="1">
        <f t="array" ref="R459">SUMPRODUCT(--EXACT($J$2:$J$490,J459))&gt;1</f>
        <v>0</v>
      </c>
      <c r="S459" t="s">
        <v>4627</v>
      </c>
    </row>
    <row r="460" spans="1:19">
      <c r="A460" s="30">
        <v>3</v>
      </c>
      <c r="B460" s="30" t="s">
        <v>1393</v>
      </c>
      <c r="C460" s="30"/>
      <c r="D460" s="30" t="s">
        <v>1207</v>
      </c>
      <c r="E460" s="30" t="s">
        <v>1761</v>
      </c>
      <c r="F460" s="30" t="s">
        <v>159</v>
      </c>
      <c r="G460" s="39" t="str">
        <f>VLOOKUP(F460,glossary!J:N,2,FALSE)</f>
        <v>Marked individuals / populations / species</v>
      </c>
      <c r="H460" s="34" t="s">
        <v>159</v>
      </c>
      <c r="I460" s="45" t="str">
        <f t="shared" si="27"/>
        <v>typeid_marked_tl_full</v>
      </c>
      <c r="J460" s="43" t="s">
        <v>1438</v>
      </c>
      <c r="K460" s="39" t="str">
        <f>VLOOKUP(F460,glossary!J:N,5,FALSE)</f>
        <v>Individuals, populations, or species (varies with modelling approach and context) that can be identified using natural or artificial markings (e.g., coat patterns, scars, tags, collars).</v>
      </c>
      <c r="L460" t="s">
        <v>1439</v>
      </c>
      <c r="M460" s="30" t="str">
        <f t="shared" si="25"/>
        <v>{{ typeid_marked_tl_full }}</v>
      </c>
      <c r="N460" t="s">
        <v>896</v>
      </c>
      <c r="O460" s="13" t="s">
        <v>1816</v>
      </c>
      <c r="P460" t="s">
        <v>4081</v>
      </c>
      <c r="Q460" t="str">
        <f t="shared" si="26"/>
        <v xml:space="preserve">    typeid_marked_tl_full: "&lt;a href=\"09_glossary.html#typeid_marked\" target=\"_blank\" data-bs-toggle=\"tooltip\" data-bs-title=\"Marked individuals / populations / species: Individuals, populations, or species (varies with modelling approach and context) that can be identified using natural or artificial markings (e.g., coat patterns, scars, tags, collars).\"&gt;marked individuals / populations / species&lt;button type=\"button\" class=\"btn btn-bd-tip-info-hidden btn-sm position-relative\"&gt;.&lt;span class=\"position-absolute top-0 start-100 translate-middle\"&gt;{{ icon_info }}&lt;/span&gt;&lt;/button&gt;&lt;/a&gt;"</v>
      </c>
      <c r="R460" t="b" cm="1">
        <f t="array" ref="R460">SUMPRODUCT(--EXACT($J$2:$J$490,J460))&gt;1</f>
        <v>0</v>
      </c>
      <c r="S460" t="s">
        <v>4628</v>
      </c>
    </row>
    <row r="461" spans="1:19">
      <c r="A461" s="30">
        <v>1</v>
      </c>
      <c r="B461" s="30" t="s">
        <v>1064</v>
      </c>
      <c r="C461" s="35"/>
      <c r="D461" s="35" t="s">
        <v>1207</v>
      </c>
      <c r="E461" s="30" t="s">
        <v>1755</v>
      </c>
      <c r="F461" s="30" t="s">
        <v>159</v>
      </c>
      <c r="G461" s="39" t="str">
        <f>VLOOKUP(F461,glossary!J:N,2,FALSE)</f>
        <v>Marked individuals / populations / species</v>
      </c>
      <c r="H461" s="35" t="s">
        <v>159</v>
      </c>
      <c r="I461" s="45" t="str">
        <f t="shared" si="27"/>
        <v>typeid_marked_tl_mod</v>
      </c>
      <c r="J461" s="39" t="s">
        <v>1819</v>
      </c>
      <c r="K461" s="39" t="str">
        <f>VLOOKUP(F461,glossary!J:N,5,FALSE)</f>
        <v>Individuals, populations, or species (varies with modelling approach and context) that can be identified using natural or artificial markings (e.g., coat patterns, scars, tags, collars).</v>
      </c>
      <c r="L461" s="30" t="s">
        <v>984</v>
      </c>
      <c r="M461" s="30" t="str">
        <f t="shared" si="25"/>
        <v>{{ typeid_marked_tl_mod }}</v>
      </c>
      <c r="N461" t="s">
        <v>896</v>
      </c>
      <c r="O461" s="13" t="s">
        <v>1816</v>
      </c>
      <c r="P461" t="s">
        <v>4081</v>
      </c>
      <c r="Q461" t="str">
        <f t="shared" si="26"/>
        <v xml:space="preserve">    typeid_marked_tl_mod: "&lt;a href=\"09_glossary.html#typeid_marked\" target=\"_blank\" data-bs-toggle=\"tooltip\" data-bs-title=\"Marked individuals / populations / species: Individuals, populations, or species (varies with modelling approach and context) that can be identified using natural or artificial markings (e.g., coat patterns, scars, tags, collars).\"&gt;marking&lt;button type=\"button\" class=\"btn btn-bd-tip-info-hidden btn-sm position-relative\"&gt;.&lt;span class=\"position-absolute top-0 start-100 translate-middle\"&gt;{{ icon_info }}&lt;/span&gt;&lt;/button&gt;&lt;/a&gt;"</v>
      </c>
      <c r="R461" t="b" cm="1">
        <f t="array" ref="R461">SUMPRODUCT(--EXACT($J$2:$J$490,J461))&gt;1</f>
        <v>0</v>
      </c>
      <c r="S461" t="s">
        <v>4629</v>
      </c>
    </row>
    <row r="462" spans="1:19">
      <c r="A462" s="30">
        <v>1</v>
      </c>
      <c r="B462" s="30" t="s">
        <v>1064</v>
      </c>
      <c r="C462" s="35"/>
      <c r="D462" s="35" t="s">
        <v>1208</v>
      </c>
      <c r="E462" s="30" t="s">
        <v>1752</v>
      </c>
      <c r="F462" s="30" t="s">
        <v>159</v>
      </c>
      <c r="G462" s="39" t="str">
        <f>VLOOKUP(F462,glossary!J:N,2,FALSE)</f>
        <v>Marked individuals / populations / species</v>
      </c>
      <c r="H462" s="35" t="s">
        <v>159</v>
      </c>
      <c r="I462" s="45" t="str">
        <f t="shared" si="27"/>
        <v>typeid_marked_tu_abrv</v>
      </c>
      <c r="J462" s="39" t="s">
        <v>1432</v>
      </c>
      <c r="K462" s="39" t="str">
        <f>VLOOKUP(F462,glossary!J:N,5,FALSE)</f>
        <v>Individuals, populations, or species (varies with modelling approach and context) that can be identified using natural or artificial markings (e.g., coat patterns, scars, tags, collars).</v>
      </c>
      <c r="L462" s="35" t="s">
        <v>1433</v>
      </c>
      <c r="M462" s="30" t="str">
        <f t="shared" si="25"/>
        <v>{{ typeid_marked_tu_abrv }}</v>
      </c>
      <c r="N462" t="s">
        <v>896</v>
      </c>
      <c r="O462" s="13" t="s">
        <v>1816</v>
      </c>
      <c r="P462" t="s">
        <v>4081</v>
      </c>
      <c r="Q462" t="str">
        <f t="shared" si="26"/>
        <v xml:space="preserve">    typeid_marked_tu_abrv: "&lt;a href=\"09_glossary.html#typeid_marked\" target=\"_blank\" data-bs-toggle=\"tooltip\" data-bs-title=\"Marked individuals / populations / species: Individuals, populations, or species (varies with modelling approach and context) that can be identified using natural or artificial markings (e.g., coat patterns, scars, tags, collars).\"&gt;Marked&lt;button type=\"button\" class=\"btn btn-bd-tip-info-hidden btn-sm position-relative\"&gt;.&lt;span class=\"position-absolute top-0 start-100 translate-middle\"&gt;{{ icon_info }}&lt;/span&gt;&lt;/button&gt;&lt;/a&gt;"</v>
      </c>
      <c r="R462" t="b" cm="1">
        <f t="array" ref="R462">SUMPRODUCT(--EXACT($J$2:$J$490,J462))&gt;1</f>
        <v>0</v>
      </c>
      <c r="S462" t="s">
        <v>4630</v>
      </c>
    </row>
    <row r="463" spans="1:19">
      <c r="A463" s="30">
        <v>3</v>
      </c>
      <c r="B463" s="30" t="s">
        <v>1393</v>
      </c>
      <c r="C463" s="30"/>
      <c r="D463" s="30" t="s">
        <v>1208</v>
      </c>
      <c r="E463" s="30" t="s">
        <v>1761</v>
      </c>
      <c r="F463" s="30" t="s">
        <v>159</v>
      </c>
      <c r="G463" s="39" t="str">
        <f>VLOOKUP(F463,glossary!J:N,2,FALSE)</f>
        <v>Marked individuals / populations / species</v>
      </c>
      <c r="H463" s="34" t="s">
        <v>159</v>
      </c>
      <c r="I463" s="45" t="str">
        <f t="shared" si="27"/>
        <v>typeid_marked_tu_full</v>
      </c>
      <c r="J463" s="42" t="s">
        <v>1436</v>
      </c>
      <c r="K463" s="39" t="str">
        <f>VLOOKUP(F463,glossary!J:N,5,FALSE)</f>
        <v>Individuals, populations, or species (varies with modelling approach and context) that can be identified using natural or artificial markings (e.g., coat patterns, scars, tags, collars).</v>
      </c>
      <c r="L463" t="s">
        <v>1437</v>
      </c>
      <c r="M463" s="30" t="str">
        <f t="shared" si="25"/>
        <v>{{ typeid_marked_tu_full }}</v>
      </c>
      <c r="N463" t="s">
        <v>896</v>
      </c>
      <c r="O463" s="13" t="s">
        <v>1816</v>
      </c>
      <c r="P463" t="s">
        <v>4081</v>
      </c>
      <c r="Q463" t="str">
        <f t="shared" si="26"/>
        <v xml:space="preserve">    typeid_marked_tu_full: "&lt;a href=\"09_glossary.html#typeid_marked\" target=\"_blank\" data-bs-toggle=\"tooltip\" data-bs-title=\"Marked individuals / populations / species: Individuals, populations, or species (varies with modelling approach and context) that can be identified using natural or artificial markings (e.g., coat patterns, scars, tags, collars).\"&gt;Marked individuals / populations / species&lt;button type=\"button\" class=\"btn btn-bd-tip-info-hidden btn-sm position-relative\"&gt;.&lt;span class=\"position-absolute top-0 start-100 translate-middle\"&gt;{{ icon_info }}&lt;/span&gt;&lt;/button&gt;&lt;/a&gt;"</v>
      </c>
      <c r="R463" t="b" cm="1">
        <f t="array" ref="R463">SUMPRODUCT(--EXACT($J$2:$J$490,J463))&gt;1</f>
        <v>0</v>
      </c>
      <c r="S463" t="s">
        <v>4631</v>
      </c>
    </row>
    <row r="464" spans="1:19">
      <c r="A464" s="30">
        <v>1</v>
      </c>
      <c r="B464" s="30" t="s">
        <v>1064</v>
      </c>
      <c r="C464" s="35"/>
      <c r="D464" s="35" t="s">
        <v>1208</v>
      </c>
      <c r="E464" s="30" t="s">
        <v>1755</v>
      </c>
      <c r="F464" s="30" t="s">
        <v>159</v>
      </c>
      <c r="G464" s="39" t="str">
        <f>VLOOKUP(F464,glossary!J:N,2,FALSE)</f>
        <v>Marked individuals / populations / species</v>
      </c>
      <c r="H464" s="35" t="s">
        <v>159</v>
      </c>
      <c r="I464" s="45" t="str">
        <f t="shared" si="27"/>
        <v>typeid_marked_tu_mod</v>
      </c>
      <c r="J464" s="39" t="s">
        <v>1820</v>
      </c>
      <c r="K464" s="39" t="str">
        <f>VLOOKUP(F464,glossary!J:N,5,FALSE)</f>
        <v>Individuals, populations, or species (varies with modelling approach and context) that can be identified using natural or artificial markings (e.g., coat patterns, scars, tags, collars).</v>
      </c>
      <c r="L464" s="30" t="s">
        <v>984</v>
      </c>
      <c r="M464" s="30" t="str">
        <f t="shared" si="25"/>
        <v>{{ typeid_marked_tu_mod }}</v>
      </c>
      <c r="N464" t="s">
        <v>896</v>
      </c>
      <c r="O464" s="13" t="s">
        <v>1816</v>
      </c>
      <c r="P464" t="s">
        <v>4081</v>
      </c>
      <c r="Q464" t="str">
        <f t="shared" si="26"/>
        <v xml:space="preserve">    typeid_marked_tu_mod: "&lt;a href=\"09_glossary.html#typeid_marked\" target=\"_blank\" data-bs-toggle=\"tooltip\" data-bs-title=\"Marked individuals / populations / species: Individuals, populations, or species (varies with modelling approach and context) that can be identified using natural or artificial markings (e.g., coat patterns, scars, tags, collars).\"&gt;Marking&lt;button type=\"button\" class=\"btn btn-bd-tip-info-hidden btn-sm position-relative\"&gt;.&lt;span class=\"position-absolute top-0 start-100 translate-middle\"&gt;{{ icon_info }}&lt;/span&gt;&lt;/button&gt;&lt;/a&gt;"</v>
      </c>
      <c r="R464" t="b" cm="1">
        <f t="array" ref="R464">SUMPRODUCT(--EXACT($J$2:$J$490,J464))&gt;1</f>
        <v>0</v>
      </c>
      <c r="S464" t="s">
        <v>4632</v>
      </c>
    </row>
    <row r="465" spans="1:19">
      <c r="A465" s="30">
        <v>1</v>
      </c>
      <c r="B465" s="30" t="s">
        <v>1064</v>
      </c>
      <c r="C465" s="35"/>
      <c r="D465" s="35" t="s">
        <v>1207</v>
      </c>
      <c r="E465" s="30" t="s">
        <v>1752</v>
      </c>
      <c r="F465" s="30" t="s">
        <v>143</v>
      </c>
      <c r="G465" s="39" t="str">
        <f>VLOOKUP(F465,glossary!J:N,2,FALSE)</f>
        <v>Partially marked individuals / populations / species</v>
      </c>
      <c r="H465" s="35" t="s">
        <v>143</v>
      </c>
      <c r="I465" s="45" t="str">
        <f t="shared" si="27"/>
        <v>typeid_partially_marked_tl_abrv</v>
      </c>
      <c r="J465" s="39" t="s">
        <v>1426</v>
      </c>
      <c r="K465" s="39" t="str">
        <f>VLOOKUP(F465,glossary!J:N,5,FALSE)</f>
        <v>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v>
      </c>
      <c r="L465" s="35" t="s">
        <v>1427</v>
      </c>
      <c r="M465" s="30" t="str">
        <f t="shared" si="25"/>
        <v>{{ typeid_partially_marked_tl_abrv }}</v>
      </c>
      <c r="N465" t="s">
        <v>896</v>
      </c>
      <c r="O465" s="13" t="s">
        <v>1816</v>
      </c>
      <c r="P465" t="s">
        <v>4081</v>
      </c>
      <c r="Q465" t="str">
        <f t="shared" si="26"/>
        <v xml:space="preserve">    typeid_partially_marked_tl_abrv: "&lt;a href=\"09_glossary.html#typeid_partially_marked\" target=\"_blank\" data-bs-toggle=\"tooltip\" data-bs-title=\"Partially marked individuals / populations / species: 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marked.\"&gt;partially marked&lt;button type=\"button\" class=\"btn btn-bd-tip-info-hidden btn-sm position-relative\"&gt;.&lt;span class=\"position-absolute top-0 start-100 translate-middle\"&gt;{{ icon_info }}&lt;/span&gt;&lt;/button&gt;&lt;/a&gt;"</v>
      </c>
      <c r="R465" t="b" cm="1">
        <f t="array" ref="R465">SUMPRODUCT(--EXACT($J$2:$J$490,J465))&gt;1</f>
        <v>0</v>
      </c>
      <c r="S465" t="s">
        <v>4633</v>
      </c>
    </row>
    <row r="466" spans="1:19">
      <c r="A466" s="30">
        <v>3</v>
      </c>
      <c r="B466" s="30" t="s">
        <v>1393</v>
      </c>
      <c r="C466" s="30"/>
      <c r="D466" s="30" t="s">
        <v>1207</v>
      </c>
      <c r="E466" s="30" t="s">
        <v>1761</v>
      </c>
      <c r="F466" s="30" t="s">
        <v>143</v>
      </c>
      <c r="G466" s="39" t="str">
        <f>VLOOKUP(F466,glossary!J:N,2,FALSE)</f>
        <v>Partially marked individuals / populations / species</v>
      </c>
      <c r="H466" s="34" t="s">
        <v>143</v>
      </c>
      <c r="I466" s="45" t="str">
        <f t="shared" si="27"/>
        <v>typeid_partially_marked_tl_full</v>
      </c>
      <c r="J466" s="43" t="s">
        <v>1430</v>
      </c>
      <c r="K466" s="39" t="str">
        <f>VLOOKUP(F466,glossary!J:N,5,FALSE)</f>
        <v>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v>
      </c>
      <c r="L466" t="s">
        <v>1431</v>
      </c>
      <c r="M466" s="30" t="str">
        <f t="shared" si="25"/>
        <v>{{ typeid_partially_marked_tl_full }}</v>
      </c>
      <c r="N466" t="s">
        <v>896</v>
      </c>
      <c r="O466" s="13" t="s">
        <v>1816</v>
      </c>
      <c r="P466" t="s">
        <v>4081</v>
      </c>
      <c r="Q466" t="str">
        <f t="shared" si="26"/>
        <v xml:space="preserve">    typeid_partially_marked_tl_full: "&lt;a href=\"09_glossary.html#typeid_partially_marked\" target=\"_blank\" data-bs-toggle=\"tooltip\" data-bs-title=\"Partially marked individuals / populations / species: 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marked.\"&gt;partially marked individuals / populations / species&lt;button type=\"button\" class=\"btn btn-bd-tip-info-hidden btn-sm position-relative\"&gt;.&lt;span class=\"position-absolute top-0 start-100 translate-middle\"&gt;{{ icon_info }}&lt;/span&gt;&lt;/button&gt;&lt;/a&gt;"</v>
      </c>
      <c r="R466" t="b" cm="1">
        <f t="array" ref="R466">SUMPRODUCT(--EXACT($J$2:$J$490,J466))&gt;1</f>
        <v>0</v>
      </c>
      <c r="S466" t="s">
        <v>4634</v>
      </c>
    </row>
    <row r="467" spans="1:19">
      <c r="A467" s="30">
        <v>1</v>
      </c>
      <c r="B467" s="30" t="s">
        <v>1064</v>
      </c>
      <c r="C467" s="35"/>
      <c r="D467" s="35" t="s">
        <v>1208</v>
      </c>
      <c r="E467" s="30" t="s">
        <v>1752</v>
      </c>
      <c r="F467" s="30" t="s">
        <v>143</v>
      </c>
      <c r="G467" s="39" t="str">
        <f>VLOOKUP(F467,glossary!J:N,2,FALSE)</f>
        <v>Partially marked individuals / populations / species</v>
      </c>
      <c r="H467" s="35" t="s">
        <v>143</v>
      </c>
      <c r="I467" s="45" t="str">
        <f t="shared" si="27"/>
        <v>typeid_partially_marked_tu_abrv</v>
      </c>
      <c r="J467" s="39" t="s">
        <v>1424</v>
      </c>
      <c r="K467" s="39" t="str">
        <f>VLOOKUP(F467,glossary!J:N,5,FALSE)</f>
        <v>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v>
      </c>
      <c r="L467" s="35" t="s">
        <v>1425</v>
      </c>
      <c r="M467" s="30" t="str">
        <f t="shared" si="25"/>
        <v>{{ typeid_partially_marked_tu_abrv }}</v>
      </c>
      <c r="N467" t="s">
        <v>896</v>
      </c>
      <c r="O467" s="13" t="s">
        <v>1816</v>
      </c>
      <c r="P467" t="s">
        <v>4081</v>
      </c>
      <c r="Q467" t="str">
        <f t="shared" si="26"/>
        <v xml:space="preserve">    typeid_partially_marked_tu_abrv: "&lt;a href=\"09_glossary.html#typeid_partially_marked\" target=\"_blank\" data-bs-toggle=\"tooltip\" data-bs-title=\"Partially marked individuals / populations / species: 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marked.\"&gt;Partially marked&lt;button type=\"button\" class=\"btn btn-bd-tip-info-hidden btn-sm position-relative\"&gt;.&lt;span class=\"position-absolute top-0 start-100 translate-middle\"&gt;{{ icon_info }}&lt;/span&gt;&lt;/button&gt;&lt;/a&gt;"</v>
      </c>
      <c r="R467" t="b" cm="1">
        <f t="array" ref="R467">SUMPRODUCT(--EXACT($J$2:$J$490,J467))&gt;1</f>
        <v>0</v>
      </c>
      <c r="S467" t="s">
        <v>4635</v>
      </c>
    </row>
    <row r="468" spans="1:19">
      <c r="A468" s="30">
        <v>3</v>
      </c>
      <c r="B468" s="30" t="s">
        <v>1393</v>
      </c>
      <c r="C468" s="30"/>
      <c r="D468" s="30" t="s">
        <v>1208</v>
      </c>
      <c r="E468" s="30" t="s">
        <v>1761</v>
      </c>
      <c r="F468" s="30" t="s">
        <v>143</v>
      </c>
      <c r="G468" s="39" t="str">
        <f>VLOOKUP(F468,glossary!J:N,2,FALSE)</f>
        <v>Partially marked individuals / populations / species</v>
      </c>
      <c r="H468" s="34" t="s">
        <v>143</v>
      </c>
      <c r="I468" s="45" t="str">
        <f t="shared" si="27"/>
        <v>typeid_partially_marked_tu_full</v>
      </c>
      <c r="J468" s="42" t="s">
        <v>1428</v>
      </c>
      <c r="K468" s="39" t="str">
        <f>VLOOKUP(F468,glossary!J:N,5,FALSE)</f>
        <v>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v>
      </c>
      <c r="L468" t="s">
        <v>1429</v>
      </c>
      <c r="M468" s="30" t="str">
        <f t="shared" si="25"/>
        <v>{{ typeid_partially_marked_tu_full }}</v>
      </c>
      <c r="N468" t="s">
        <v>896</v>
      </c>
      <c r="O468" s="13" t="s">
        <v>1816</v>
      </c>
      <c r="P468" t="s">
        <v>4081</v>
      </c>
      <c r="Q468" t="str">
        <f t="shared" si="26"/>
        <v xml:space="preserve">    typeid_partially_marked_tu_full: "&lt;a href=\"09_glossary.html#typeid_partially_marked\" target=\"_blank\" data-bs-toggle=\"tooltip\" data-bs-title=\"Partially marked individuals / populations / species: 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marked.\"&gt;Partially marked individuals / populations / species&lt;button type=\"button\" class=\"btn btn-bd-tip-info-hidden btn-sm position-relative\"&gt;.&lt;span class=\"position-absolute top-0 start-100 translate-middle\"&gt;{{ icon_info }}&lt;/span&gt;&lt;/button&gt;&lt;/a&gt;"</v>
      </c>
      <c r="R468" t="b" cm="1">
        <f t="array" ref="R468">SUMPRODUCT(--EXACT($J$2:$J$490,J468))&gt;1</f>
        <v>0</v>
      </c>
      <c r="S468" t="s">
        <v>4636</v>
      </c>
    </row>
    <row r="469" spans="1:19">
      <c r="A469" s="30">
        <v>1</v>
      </c>
      <c r="B469" s="30" t="s">
        <v>1064</v>
      </c>
      <c r="C469" s="35"/>
      <c r="D469" s="35" t="s">
        <v>1207</v>
      </c>
      <c r="E469" s="30" t="s">
        <v>1752</v>
      </c>
      <c r="F469" s="30" t="s">
        <v>71</v>
      </c>
      <c r="G469" s="39" t="str">
        <f>VLOOKUP(F469,glossary!J:N,2,FALSE)</f>
        <v>Unmarked individuals / populations / species</v>
      </c>
      <c r="H469" s="35" t="s">
        <v>71</v>
      </c>
      <c r="I469" s="45" t="str">
        <f t="shared" si="27"/>
        <v>typeid_unmarked_tl_abrv</v>
      </c>
      <c r="J469" s="39" t="s">
        <v>1418</v>
      </c>
      <c r="K469" s="39" t="str">
        <f>VLOOKUP(F469,glossary!J:N,5,FALSE)</f>
        <v>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v>
      </c>
      <c r="L469" s="35" t="s">
        <v>1419</v>
      </c>
      <c r="M469" s="30" t="str">
        <f t="shared" si="25"/>
        <v>{{ typeid_unmarked_tl_abrv }}</v>
      </c>
      <c r="N469" t="s">
        <v>896</v>
      </c>
      <c r="O469" s="13" t="s">
        <v>1816</v>
      </c>
      <c r="P469" t="s">
        <v>4081</v>
      </c>
      <c r="Q469" t="str">
        <f t="shared" si="26"/>
        <v xml:space="preserve">    typeid_unmarked_tl_abrv: "&lt;a href=\"09_glossary.html#typeid_unmarked\" target=\"_blank\" data-bs-toggle=\"tooltip\" data-bs-title=\"Unmarked individuals / populations / species: 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2022).\"&gt;unmarked&lt;button type=\"button\" class=\"btn btn-bd-tip-info-hidden btn-sm position-relative\"&gt;.&lt;span class=\"position-absolute top-0 start-100 translate-middle\"&gt;{{ icon_info }}&lt;/span&gt;&lt;/button&gt;&lt;/a&gt;"</v>
      </c>
      <c r="R469" t="b" cm="1">
        <f t="array" ref="R469">SUMPRODUCT(--EXACT($J$2:$J$490,J469))&gt;1</f>
        <v>0</v>
      </c>
      <c r="S469" t="s">
        <v>4637</v>
      </c>
    </row>
    <row r="470" spans="1:19">
      <c r="A470" s="30">
        <v>3</v>
      </c>
      <c r="B470" s="30" t="s">
        <v>1393</v>
      </c>
      <c r="C470" s="30"/>
      <c r="D470" s="30" t="s">
        <v>1207</v>
      </c>
      <c r="E470" s="30" t="s">
        <v>1761</v>
      </c>
      <c r="F470" s="30" t="s">
        <v>71</v>
      </c>
      <c r="G470" s="39" t="str">
        <f>VLOOKUP(F470,glossary!J:N,2,FALSE)</f>
        <v>Unmarked individuals / populations / species</v>
      </c>
      <c r="H470" s="34" t="s">
        <v>71</v>
      </c>
      <c r="I470" s="45" t="str">
        <f t="shared" si="27"/>
        <v>typeid_unmarked_tl_full</v>
      </c>
      <c r="J470" s="43" t="s">
        <v>1422</v>
      </c>
      <c r="K470" s="39" t="str">
        <f>VLOOKUP(F470,glossary!J:N,5,FALSE)</f>
        <v>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v>
      </c>
      <c r="L470" t="s">
        <v>1423</v>
      </c>
      <c r="M470" s="30" t="str">
        <f t="shared" si="25"/>
        <v>{{ typeid_unmarked_tl_full }}</v>
      </c>
      <c r="N470" t="s">
        <v>896</v>
      </c>
      <c r="O470" s="13" t="s">
        <v>1816</v>
      </c>
      <c r="P470" t="s">
        <v>4081</v>
      </c>
      <c r="Q470" t="str">
        <f t="shared" si="26"/>
        <v xml:space="preserve">    typeid_unmarked_tl_full: "&lt;a href=\"09_glossary.html#typeid_unmarked\" target=\"_blank\" data-bs-toggle=\"tooltip\" data-bs-title=\"Unmarked individuals / populations / species: 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2022).\"&gt;unmarked individuals / populations / species&lt;button type=\"button\" class=\"btn btn-bd-tip-info-hidden btn-sm position-relative\"&gt;.&lt;span class=\"position-absolute top-0 start-100 translate-middle\"&gt;{{ icon_info }}&lt;/span&gt;&lt;/button&gt;&lt;/a&gt;"</v>
      </c>
      <c r="R470" t="b" cm="1">
        <f t="array" ref="R470">SUMPRODUCT(--EXACT($J$2:$J$490,J470))&gt;1</f>
        <v>0</v>
      </c>
      <c r="S470" t="s">
        <v>4638</v>
      </c>
    </row>
    <row r="471" spans="1:19">
      <c r="A471" s="30">
        <v>1</v>
      </c>
      <c r="B471" s="30" t="s">
        <v>1064</v>
      </c>
      <c r="C471" s="35"/>
      <c r="D471" s="35" t="s">
        <v>1208</v>
      </c>
      <c r="E471" s="30" t="s">
        <v>1752</v>
      </c>
      <c r="F471" s="30" t="s">
        <v>71</v>
      </c>
      <c r="G471" s="39" t="str">
        <f>VLOOKUP(F471,glossary!J:N,2,FALSE)</f>
        <v>Unmarked individuals / populations / species</v>
      </c>
      <c r="H471" s="35" t="s">
        <v>71</v>
      </c>
      <c r="I471" s="45" t="str">
        <f t="shared" si="27"/>
        <v>typeid_unmarked_tu_abrv</v>
      </c>
      <c r="J471" s="39" t="s">
        <v>1416</v>
      </c>
      <c r="K471" s="39" t="str">
        <f>VLOOKUP(F471,glossary!J:N,5,FALSE)</f>
        <v>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v>
      </c>
      <c r="L471" s="35" t="s">
        <v>1417</v>
      </c>
      <c r="M471" s="30" t="str">
        <f t="shared" si="25"/>
        <v>{{ typeid_unmarked_tu_abrv }}</v>
      </c>
      <c r="N471" t="s">
        <v>896</v>
      </c>
      <c r="O471" s="13" t="s">
        <v>1816</v>
      </c>
      <c r="P471" t="s">
        <v>4081</v>
      </c>
      <c r="Q471" t="str">
        <f t="shared" si="26"/>
        <v xml:space="preserve">    typeid_unmarked_tu_abrv: "&lt;a href=\"09_glossary.html#typeid_unmarked\" target=\"_blank\" data-bs-toggle=\"tooltip\" data-bs-title=\"Unmarked individuals / populations / species: 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2022).\"&gt;Unmarked&lt;button type=\"button\" class=\"btn btn-bd-tip-info-hidden btn-sm position-relative\"&gt;.&lt;span class=\"position-absolute top-0 start-100 translate-middle\"&gt;{{ icon_info }}&lt;/span&gt;&lt;/button&gt;&lt;/a&gt;"</v>
      </c>
      <c r="R471" t="b" cm="1">
        <f t="array" ref="R471">SUMPRODUCT(--EXACT($J$2:$J$490,J471))&gt;1</f>
        <v>0</v>
      </c>
      <c r="S471" t="s">
        <v>4639</v>
      </c>
    </row>
    <row r="472" spans="1:19">
      <c r="A472" s="30">
        <v>3</v>
      </c>
      <c r="B472" s="30" t="s">
        <v>1393</v>
      </c>
      <c r="C472" s="30"/>
      <c r="D472" s="30" t="s">
        <v>1208</v>
      </c>
      <c r="E472" s="30" t="s">
        <v>1761</v>
      </c>
      <c r="F472" s="30" t="s">
        <v>71</v>
      </c>
      <c r="G472" s="39" t="str">
        <f>VLOOKUP(F472,glossary!J:N,2,FALSE)</f>
        <v>Unmarked individuals / populations / species</v>
      </c>
      <c r="H472" s="34" t="s">
        <v>71</v>
      </c>
      <c r="I472" s="45" t="str">
        <f t="shared" si="27"/>
        <v>typeid_unmarked_tu_full</v>
      </c>
      <c r="J472" s="42" t="s">
        <v>1420</v>
      </c>
      <c r="K472" s="39" t="str">
        <f>VLOOKUP(F472,glossary!J:N,5,FALSE)</f>
        <v>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v>
      </c>
      <c r="L472" t="s">
        <v>1421</v>
      </c>
      <c r="M472" s="30" t="str">
        <f t="shared" si="25"/>
        <v>{{ typeid_unmarked_tu_full }}</v>
      </c>
      <c r="N472" t="s">
        <v>896</v>
      </c>
      <c r="O472" s="13" t="s">
        <v>1816</v>
      </c>
      <c r="P472" t="s">
        <v>4081</v>
      </c>
      <c r="Q472" t="str">
        <f t="shared" si="26"/>
        <v xml:space="preserve">    typeid_unmarked_tu_full: "&lt;a href=\"09_glossary.html#typeid_unmarked\" target=\"_blank\" data-bs-toggle=\"tooltip\" data-bs-title=\"Unmarked individuals / populations / species: 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2022).\"&gt;Unmarked individuals / populations / species&lt;button type=\"button\" class=\"btn btn-bd-tip-info-hidden btn-sm position-relative\"&gt;.&lt;span class=\"position-absolute top-0 start-100 translate-middle\"&gt;{{ icon_info }}&lt;/span&gt;&lt;/button&gt;&lt;/a&gt;"</v>
      </c>
      <c r="R472" t="b" cm="1">
        <f t="array" ref="R472">SUMPRODUCT(--EXACT($J$2:$J$490,J472))&gt;1</f>
        <v>0</v>
      </c>
      <c r="S472" t="s">
        <v>4640</v>
      </c>
    </row>
    <row r="473" spans="1:19">
      <c r="A473" s="30">
        <v>3</v>
      </c>
      <c r="B473" s="30" t="s">
        <v>1393</v>
      </c>
      <c r="C473" s="30"/>
      <c r="D473" s="30" t="s">
        <v>1207</v>
      </c>
      <c r="E473" s="30" t="s">
        <v>984</v>
      </c>
      <c r="F473" s="30" t="s">
        <v>562</v>
      </c>
      <c r="G473" s="39" t="str">
        <f>VLOOKUP(F473,glossary!J:N,2,FALSE)</f>
        <v>Intensity of use</v>
      </c>
      <c r="H473" s="34" t="s">
        <v>562</v>
      </c>
      <c r="I473" s="45" t="str">
        <f t="shared" si="27"/>
        <v>use_intensity_tl</v>
      </c>
      <c r="J473" s="43" t="s">
        <v>930</v>
      </c>
      <c r="K473" s="39" t="str">
        <f>VLOOKUP(F473,glossary!J:N,5,FALSE)</f>
        <v>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v>
      </c>
      <c r="L473" t="s">
        <v>1415</v>
      </c>
      <c r="M473" s="30" t="str">
        <f t="shared" si="25"/>
        <v>{{ use_intensity_tl }}</v>
      </c>
      <c r="N473" t="s">
        <v>896</v>
      </c>
      <c r="O473" s="13" t="s">
        <v>1816</v>
      </c>
      <c r="P473" t="s">
        <v>4081</v>
      </c>
      <c r="Q473" t="str">
        <f t="shared" si="26"/>
        <v xml:space="preserve">    use_intensity_tl: "&lt;a href=\"09_glossary.html#use_intensity\" target=\"_blank\" data-bs-toggle=\"tooltip\" data-bs-title=\"Intensity of use: 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2013).\"&gt;intensity of use&lt;button type=\"button\" class=\"btn btn-bd-tip-info-hidden btn-sm position-relative\"&gt;.&lt;span class=\"position-absolute top-0 start-100 translate-middle\"&gt;{{ icon_info }}&lt;/span&gt;&lt;/button&gt;&lt;/a&gt;"</v>
      </c>
      <c r="R473" t="b" cm="1">
        <f t="array" ref="R473">SUMPRODUCT(--EXACT($J$2:$J$490,J473))&gt;1</f>
        <v>0</v>
      </c>
      <c r="S473" t="s">
        <v>4641</v>
      </c>
    </row>
    <row r="474" spans="1:19">
      <c r="A474" s="30">
        <v>3</v>
      </c>
      <c r="B474" s="30" t="s">
        <v>1393</v>
      </c>
      <c r="C474" s="30"/>
      <c r="D474" s="30" t="s">
        <v>1207</v>
      </c>
      <c r="E474" s="30" t="s">
        <v>823</v>
      </c>
      <c r="F474" s="30" t="s">
        <v>562</v>
      </c>
      <c r="G474" s="39" t="str">
        <f>VLOOKUP(F474,glossary!J:N,2,FALSE)</f>
        <v>Intensity of use</v>
      </c>
      <c r="H474" s="34" t="s">
        <v>562</v>
      </c>
      <c r="I474" s="45" t="str">
        <f t="shared" si="27"/>
        <v>use_intensity_tl_ref</v>
      </c>
      <c r="J474" s="43" t="s">
        <v>931</v>
      </c>
      <c r="K474" s="39" t="str">
        <f>VLOOKUP(F474,glossary!J:N,5,FALSE)</f>
        <v>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v>
      </c>
      <c r="L474" t="s">
        <v>1413</v>
      </c>
      <c r="M474" s="30" t="str">
        <f t="shared" si="25"/>
        <v>{{ use_intensity_tl_ref }}</v>
      </c>
      <c r="N474" t="s">
        <v>896</v>
      </c>
      <c r="O474" s="13" t="s">
        <v>1816</v>
      </c>
      <c r="P474" t="s">
        <v>4081</v>
      </c>
      <c r="Q474" t="str">
        <f t="shared" si="26"/>
        <v xml:space="preserve">    use_intensity_tl_ref: "&lt;a href=\"09_glossary.html#use_intensity\" target=\"_blank\" data-bs-toggle=\"tooltip\" data-bs-title=\"Intensity of use: 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2013).\"&gt;intensity of use (Keim et al., 2019)&lt;button type=\"button\" class=\"btn btn-bd-tip-info-hidden btn-sm position-relative\"&gt;.&lt;span class=\"position-absolute top-0 start-100 translate-middle\"&gt;{{ icon_info }}&lt;/span&gt;&lt;/button&gt;&lt;/a&gt;"</v>
      </c>
      <c r="R474" t="b" cm="1">
        <f t="array" ref="R474">SUMPRODUCT(--EXACT($J$2:$J$490,J474))&gt;1</f>
        <v>0</v>
      </c>
      <c r="S474" t="s">
        <v>4642</v>
      </c>
    </row>
    <row r="475" spans="1:19">
      <c r="A475" s="30">
        <v>3</v>
      </c>
      <c r="B475" s="30" t="s">
        <v>1393</v>
      </c>
      <c r="C475" s="30"/>
      <c r="D475" s="30" t="s">
        <v>1208</v>
      </c>
      <c r="E475" s="30" t="s">
        <v>984</v>
      </c>
      <c r="F475" s="30" t="s">
        <v>562</v>
      </c>
      <c r="G475" s="39" t="str">
        <f>VLOOKUP(F475,glossary!J:N,2,FALSE)</f>
        <v>Intensity of use</v>
      </c>
      <c r="H475" s="34" t="s">
        <v>562</v>
      </c>
      <c r="I475" s="45" t="str">
        <f t="shared" si="27"/>
        <v>use_intensity_tu</v>
      </c>
      <c r="J475" s="42" t="s">
        <v>561</v>
      </c>
      <c r="K475" s="39" t="str">
        <f>VLOOKUP(F475,glossary!J:N,5,FALSE)</f>
        <v>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v>
      </c>
      <c r="L475" t="s">
        <v>1414</v>
      </c>
      <c r="M475" s="30" t="str">
        <f t="shared" si="25"/>
        <v>{{ use_intensity_tu }}</v>
      </c>
      <c r="N475" t="s">
        <v>896</v>
      </c>
      <c r="O475" s="13" t="s">
        <v>1816</v>
      </c>
      <c r="P475" t="s">
        <v>4081</v>
      </c>
      <c r="Q475" t="str">
        <f t="shared" si="26"/>
        <v xml:space="preserve">    use_intensity_tu: "&lt;a href=\"09_glossary.html#use_intensity\" target=\"_blank\" data-bs-toggle=\"tooltip\" data-bs-title=\"Intensity of use: 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2013).\"&gt;Intensity of use&lt;button type=\"button\" class=\"btn btn-bd-tip-info-hidden btn-sm position-relative\"&gt;.&lt;span class=\"position-absolute top-0 start-100 translate-middle\"&gt;{{ icon_info }}&lt;/span&gt;&lt;/button&gt;&lt;/a&gt;"</v>
      </c>
      <c r="R475" t="b" cm="1">
        <f t="array" ref="R475">SUMPRODUCT(--EXACT($J$2:$J$490,J475))&gt;1</f>
        <v>0</v>
      </c>
      <c r="S475" t="s">
        <v>4643</v>
      </c>
    </row>
    <row r="476" spans="1:19">
      <c r="A476" s="30">
        <v>1</v>
      </c>
      <c r="B476" s="30" t="s">
        <v>1064</v>
      </c>
      <c r="C476" s="30"/>
      <c r="D476" s="30" t="s">
        <v>1208</v>
      </c>
      <c r="E476" s="30" t="s">
        <v>823</v>
      </c>
      <c r="F476" s="30" t="s">
        <v>562</v>
      </c>
      <c r="G476" s="39" t="str">
        <f>VLOOKUP(F476,glossary!J:N,2,FALSE)</f>
        <v>Intensity of use</v>
      </c>
      <c r="H476" s="34" t="s">
        <v>562</v>
      </c>
      <c r="I476" s="45" t="str">
        <f t="shared" si="27"/>
        <v>use_intensity_tu_ref</v>
      </c>
      <c r="J476" s="42" t="s">
        <v>166</v>
      </c>
      <c r="K476" s="39" t="str">
        <f>VLOOKUP(F476,glossary!J:N,5,FALSE)</f>
        <v>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v>
      </c>
      <c r="L476" t="s">
        <v>1412</v>
      </c>
      <c r="M476" s="30" t="str">
        <f t="shared" ref="M476:M495" si="28">"{{ "&amp;I476&amp;" }}"</f>
        <v>{{ use_intensity_tu_ref }}</v>
      </c>
      <c r="N476" t="s">
        <v>896</v>
      </c>
      <c r="O476" s="13" t="s">
        <v>1816</v>
      </c>
      <c r="P476" t="s">
        <v>4081</v>
      </c>
      <c r="Q476" t="str">
        <f t="shared" ref="Q476:Q495" si="29">IF(K476&lt;&gt;"-",("    "&amp;I476&amp;": "&amp;""""&amp;"&lt;a href=\"&amp;""""&amp;"09_glossary.html#"&amp;H476&amp;N476&amp;G476&amp;": "&amp;K476&amp;O476&amp;J476&amp;P476&amp;""""),"-")</f>
        <v xml:space="preserve">    use_intensity_tu_ref: "&lt;a href=\"09_glossary.html#use_intensity\" target=\"_blank\" data-bs-toggle=\"tooltip\" data-bs-title=\"Intensity of use: 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2013).\"&gt;Intensity of use (Keim et al., 2019)&lt;button type=\"button\" class=\"btn btn-bd-tip-info-hidden btn-sm position-relative\"&gt;.&lt;span class=\"position-absolute top-0 start-100 translate-middle\"&gt;{{ icon_info }}&lt;/span&gt;&lt;/button&gt;&lt;/a&gt;"</v>
      </c>
      <c r="R476" t="b" cm="1">
        <f t="array" ref="R476">SUMPRODUCT(--EXACT($J$2:$J$490,J476))&gt;1</f>
        <v>0</v>
      </c>
      <c r="S476" t="s">
        <v>4644</v>
      </c>
    </row>
    <row r="477" spans="1:19">
      <c r="A477" s="30">
        <v>3</v>
      </c>
      <c r="B477" s="30" t="s">
        <v>1393</v>
      </c>
      <c r="C477" s="30"/>
      <c r="D477" s="30" t="s">
        <v>1207</v>
      </c>
      <c r="E477" s="30" t="s">
        <v>984</v>
      </c>
      <c r="F477" s="30" t="s">
        <v>563</v>
      </c>
      <c r="G477" s="39" t="str">
        <f>VLOOKUP(F477,glossary!J:N,2,FALSE)</f>
        <v>Probability of use</v>
      </c>
      <c r="H477" s="34" t="s">
        <v>563</v>
      </c>
      <c r="I477" s="45" t="str">
        <f t="shared" si="27"/>
        <v>use_probability_tl</v>
      </c>
      <c r="J477" s="43" t="s">
        <v>942</v>
      </c>
      <c r="K477" s="39" t="str">
        <f>VLOOKUP(F477,glossary!J:N,5,FALSE)</f>
        <v>The probability of at least one, use event of that resource unit during a unit of time' (i.e.,  would a particular resource unit be used at least once) (Keim et al., 2019).</v>
      </c>
      <c r="L477" t="s">
        <v>1411</v>
      </c>
      <c r="M477" s="30" t="str">
        <f t="shared" si="28"/>
        <v>{{ use_probability_tl }}</v>
      </c>
      <c r="N477" t="s">
        <v>896</v>
      </c>
      <c r="O477" s="13" t="s">
        <v>1816</v>
      </c>
      <c r="P477" t="s">
        <v>4081</v>
      </c>
      <c r="Q477" t="str">
        <f t="shared" si="29"/>
        <v xml:space="preserve">    use_probability_tl: "&lt;a href=\"09_glossary.html#use_probability\" target=\"_blank\" data-bs-toggle=\"tooltip\" data-bs-title=\"Probability of use: The probability of at least one, use event of that resource unit during a unit of time' (i.e.,  would a particular resource unit be used at least once) (Keim et al., 2019).\"&gt;probability of use&lt;button type=\"button\" class=\"btn btn-bd-tip-info-hidden btn-sm position-relative\"&gt;.&lt;span class=\"position-absolute top-0 start-100 translate-middle\"&gt;{{ icon_info }}&lt;/span&gt;&lt;/button&gt;&lt;/a&gt;"</v>
      </c>
      <c r="R477" t="b" cm="1">
        <f t="array" ref="R477">SUMPRODUCT(--EXACT($J$2:$J$490,J477))&gt;1</f>
        <v>0</v>
      </c>
      <c r="S477" t="s">
        <v>4645</v>
      </c>
    </row>
    <row r="478" spans="1:19">
      <c r="A478" s="30">
        <v>3</v>
      </c>
      <c r="B478" s="30" t="s">
        <v>1393</v>
      </c>
      <c r="C478" s="30"/>
      <c r="D478" s="30" t="s">
        <v>1208</v>
      </c>
      <c r="E478" s="30" t="s">
        <v>984</v>
      </c>
      <c r="F478" s="30" t="s">
        <v>563</v>
      </c>
      <c r="G478" s="39" t="str">
        <f>VLOOKUP(F478,glossary!J:N,2,FALSE)</f>
        <v>Probability of use</v>
      </c>
      <c r="H478" s="34" t="s">
        <v>563</v>
      </c>
      <c r="I478" s="45" t="str">
        <f t="shared" si="27"/>
        <v>use_probability_tu</v>
      </c>
      <c r="J478" s="42" t="s">
        <v>560</v>
      </c>
      <c r="K478" s="39" t="str">
        <f>VLOOKUP(F478,glossary!J:N,5,FALSE)</f>
        <v>The probability of at least one, use event of that resource unit during a unit of time' (i.e.,  would a particular resource unit be used at least once) (Keim et al., 2019).</v>
      </c>
      <c r="L478" t="s">
        <v>1410</v>
      </c>
      <c r="M478" s="30" t="str">
        <f t="shared" si="28"/>
        <v>{{ use_probability_tu }}</v>
      </c>
      <c r="N478" t="s">
        <v>896</v>
      </c>
      <c r="O478" s="13" t="s">
        <v>1816</v>
      </c>
      <c r="P478" t="s">
        <v>4081</v>
      </c>
      <c r="Q478" t="str">
        <f t="shared" si="29"/>
        <v xml:space="preserve">    use_probability_tu: "&lt;a href=\"09_glossary.html#use_probability\" target=\"_blank\" data-bs-toggle=\"tooltip\" data-bs-title=\"Probability of use: The probability of at least one, use event of that resource unit during a unit of time' (i.e.,  would a particular resource unit be used at least once) (Keim et al., 2019).\"&gt;Probability of use&lt;button type=\"button\" class=\"btn btn-bd-tip-info-hidden btn-sm position-relative\"&gt;.&lt;span class=\"position-absolute top-0 start-100 translate-middle\"&gt;{{ icon_info }}&lt;/span&gt;&lt;/button&gt;&lt;/a&gt;"</v>
      </c>
      <c r="R478" t="b" cm="1">
        <f t="array" ref="R478">SUMPRODUCT(--EXACT($J$2:$J$490,J478))&gt;1</f>
        <v>0</v>
      </c>
      <c r="S478" t="s">
        <v>4646</v>
      </c>
    </row>
    <row r="479" spans="1:19">
      <c r="A479" s="30">
        <v>3</v>
      </c>
      <c r="B479" s="30" t="s">
        <v>1393</v>
      </c>
      <c r="C479" s="30"/>
      <c r="D479" s="30" t="s">
        <v>1208</v>
      </c>
      <c r="E479" s="30" t="s">
        <v>984</v>
      </c>
      <c r="F479" s="30" t="s">
        <v>1225</v>
      </c>
      <c r="G479" s="39" t="str">
        <f>VLOOKUP(F479,glossary!J:N,2,FALSE)</f>
        <v>UTM Zone Camera Location</v>
      </c>
      <c r="H479" s="34" t="s">
        <v>1225</v>
      </c>
      <c r="I479" s="45" t="str">
        <f t="shared" si="27"/>
        <v>utm_zone_cam_location_tu</v>
      </c>
      <c r="J479" s="42" t="s">
        <v>732</v>
      </c>
      <c r="K479" s="39" t="str">
        <f>VLOOKUP(F479,glossary!J:N,5,FALSE)</f>
        <v>The number corresponding to the Universal Transverse Mercator (UTM) grid zone where the camera was placed (e.g., '12'). UTM is a coordinate system that divides the earth into grid zones that are identified with a number (representing a width of latitude) and letter (representing the hemisphere). &lt;br&gt; &lt;br&gt;In Alberta the UTM zones are either 11, 12, or TTM. Enter all other UTM zones in the Camera Location Comments field (e.g., zones 7-10 for British Columbia), or use Latitude and Longitude instead of UTM coordinates. &lt;br&gt; &lt;br&gt;</v>
      </c>
      <c r="L479" t="s">
        <v>1409</v>
      </c>
      <c r="M479" s="30" t="str">
        <f t="shared" si="28"/>
        <v>{{ utm_zone_cam_location_tu }}</v>
      </c>
      <c r="N479" t="s">
        <v>896</v>
      </c>
      <c r="O479" s="13" t="s">
        <v>1816</v>
      </c>
      <c r="P479" t="s">
        <v>4081</v>
      </c>
      <c r="Q479" t="str">
        <f t="shared" si="29"/>
        <v xml:space="preserve">    utm_zone_cam_location_tu: "&lt;a href=\"09_glossary.html#utm_zone_cam_location\" target=\"_blank\" data-bs-toggle=\"tooltip\" data-bs-title=\"UTM Zone Camera Location: The number corresponding to the Universal Transverse Mercator (UTM) grid zone where the camera was placed (e.g., '12'). UTM is a coordinate system that divides the earth into grid zones that are identified with a number (representing a width of latitude) and letter (representing the hemisphere). &lt;br&gt; &lt;br&gt;In Alberta the UTM zones are either 11, 12, or TTM. Enter all other UTM zones in the Camera Location Comments field (e.g., zones 7-10 for British Columbia), or use Latitude and Longitude instead of UTM coordinates. &lt;br&gt; &lt;br&gt;\"&gt;UTM Zone Camera Location&lt;button type=\"button\" class=\"btn btn-bd-tip-info-hidden btn-sm position-relative\"&gt;.&lt;span class=\"position-absolute top-0 start-100 translate-middle\"&gt;{{ icon_info }}&lt;/span&gt;&lt;/button&gt;&lt;/a&gt;"</v>
      </c>
      <c r="R479" t="b" cm="1">
        <f t="array" ref="R479">SUMPRODUCT(--EXACT($J$2:$J$490,J479))&gt;1</f>
        <v>0</v>
      </c>
      <c r="S479" t="s">
        <v>4647</v>
      </c>
    </row>
    <row r="480" spans="1:19">
      <c r="B480" s="30" t="s">
        <v>768</v>
      </c>
      <c r="D480" s="30" t="s">
        <v>1207</v>
      </c>
      <c r="E480" s="30" t="s">
        <v>984</v>
      </c>
      <c r="F480" s="30" t="s">
        <v>790</v>
      </c>
      <c r="G480" s="39" t="str">
        <f>VLOOKUP(F480,glossary!J:N,2,FALSE)</f>
        <v>Variance</v>
      </c>
      <c r="H480" s="30" t="s">
        <v>790</v>
      </c>
      <c r="I480" s="45" t="str">
        <f t="shared" si="27"/>
        <v>variance_tl</v>
      </c>
      <c r="J480" s="30" t="s">
        <v>790</v>
      </c>
      <c r="K480" s="39" t="str">
        <f>VLOOKUP(F480,glossary!J:N,5,FALSE)</f>
        <v>The spread of numbers in a dataset compared to the mean of the dataset' (Clarke et al., 2023).</v>
      </c>
      <c r="L480" s="30" t="s">
        <v>984</v>
      </c>
      <c r="M480" s="30" t="str">
        <f t="shared" si="28"/>
        <v>{{ variance_tl }}</v>
      </c>
      <c r="N480" t="s">
        <v>896</v>
      </c>
      <c r="O480" s="13" t="s">
        <v>1816</v>
      </c>
      <c r="P480" t="s">
        <v>4081</v>
      </c>
      <c r="Q480" t="str">
        <f t="shared" si="29"/>
        <v xml:space="preserve">    variance_tl: "&lt;a href=\"09_glossary.html#variance\" target=\"_blank\" data-bs-toggle=\"tooltip\" data-bs-title=\"Variance: The spread of numbers in a dataset compared to the mean of the dataset' (Clarke et al., 2023).\"&gt;variance&lt;button type=\"button\" class=\"btn btn-bd-tip-info-hidden btn-sm position-relative\"&gt;.&lt;span class=\"position-absolute top-0 start-100 translate-middle\"&gt;{{ icon_info }}&lt;/span&gt;&lt;/button&gt;&lt;/a&gt;"</v>
      </c>
      <c r="R480" t="b" cm="1">
        <f t="array" ref="R480">SUMPRODUCT(--EXACT($J$2:$J$490,J480))&gt;1</f>
        <v>0</v>
      </c>
      <c r="S480" t="s">
        <v>4648</v>
      </c>
    </row>
    <row r="481" spans="1:19">
      <c r="B481" s="30" t="s">
        <v>768</v>
      </c>
      <c r="D481" s="30" t="s">
        <v>1208</v>
      </c>
      <c r="E481" s="30" t="s">
        <v>984</v>
      </c>
      <c r="F481" s="30" t="s">
        <v>790</v>
      </c>
      <c r="G481" s="39" t="str">
        <f>VLOOKUP(F481,glossary!J:N,2,FALSE)</f>
        <v>Variance</v>
      </c>
      <c r="H481" s="30" t="s">
        <v>790</v>
      </c>
      <c r="I481" s="45" t="str">
        <f t="shared" si="27"/>
        <v>variance_tu</v>
      </c>
      <c r="J481" s="30" t="s">
        <v>664</v>
      </c>
      <c r="K481" s="39" t="str">
        <f>VLOOKUP(F481,glossary!J:N,5,FALSE)</f>
        <v>The spread of numbers in a dataset compared to the mean of the dataset' (Clarke et al., 2023).</v>
      </c>
      <c r="L481" s="30" t="s">
        <v>984</v>
      </c>
      <c r="M481" s="30" t="str">
        <f t="shared" si="28"/>
        <v>{{ variance_tu }}</v>
      </c>
      <c r="N481" t="s">
        <v>896</v>
      </c>
      <c r="O481" s="13" t="s">
        <v>1816</v>
      </c>
      <c r="P481" t="s">
        <v>4081</v>
      </c>
      <c r="Q481" t="str">
        <f t="shared" si="29"/>
        <v xml:space="preserve">    variance_tu: "&lt;a href=\"09_glossary.html#variance\" target=\"_blank\" data-bs-toggle=\"tooltip\" data-bs-title=\"Variance: The spread of numbers in a dataset compared to the mean of the dataset' (Clarke et al., 2023).\"&gt;Variance&lt;button type=\"button\" class=\"btn btn-bd-tip-info-hidden btn-sm position-relative\"&gt;.&lt;span class=\"position-absolute top-0 start-100 translate-middle\"&gt;{{ icon_info }}&lt;/span&gt;&lt;/button&gt;&lt;/a&gt;"</v>
      </c>
      <c r="R481" t="b" cm="1">
        <f t="array" ref="R481">SUMPRODUCT(--EXACT($J$2:$J$490,J481))&gt;1</f>
        <v>0</v>
      </c>
      <c r="S481" t="s">
        <v>4649</v>
      </c>
    </row>
    <row r="482" spans="1:19">
      <c r="A482" s="30">
        <v>2</v>
      </c>
      <c r="B482" s="30" t="s">
        <v>1400</v>
      </c>
      <c r="C482" s="30"/>
      <c r="D482" s="30" t="s">
        <v>1207</v>
      </c>
      <c r="E482" s="30" t="s">
        <v>984</v>
      </c>
      <c r="F482" s="30" t="s">
        <v>63</v>
      </c>
      <c r="G482" s="39" t="str">
        <f>VLOOKUP(F482,glossary!J:N,2,FALSE)</f>
        <v>Visit</v>
      </c>
      <c r="H482" s="30" t="s">
        <v>63</v>
      </c>
      <c r="I482" s="45" t="str">
        <f t="shared" si="27"/>
        <v>visit_tl</v>
      </c>
      <c r="J482" s="39" t="s">
        <v>63</v>
      </c>
      <c r="K482" s="39" t="str">
        <f>VLOOKUP(F482,glossary!J:N,5,FALSE)</f>
        <v>When a crew has gone to a location to deploy, service, or retrieve a remote camera.</v>
      </c>
      <c r="L482" s="30" t="s">
        <v>1408</v>
      </c>
      <c r="M482" s="30" t="str">
        <f t="shared" si="28"/>
        <v>{{ visit_tl }}</v>
      </c>
      <c r="N482" t="s">
        <v>896</v>
      </c>
      <c r="O482" s="13" t="s">
        <v>1816</v>
      </c>
      <c r="P482" t="s">
        <v>4081</v>
      </c>
      <c r="Q482" t="str">
        <f t="shared" si="29"/>
        <v xml:space="preserve">    visit_tl: "&lt;a href=\"09_glossary.html#visit\" target=\"_blank\" data-bs-toggle=\"tooltip\" data-bs-title=\"Visit: When a crew has gone to a location to deploy, service, or retrieve a remote camera.\"&gt;visit&lt;button type=\"button\" class=\"btn btn-bd-tip-info-hidden btn-sm position-relative\"&gt;.&lt;span class=\"position-absolute top-0 start-100 translate-middle\"&gt;{{ icon_info }}&lt;/span&gt;&lt;/button&gt;&lt;/a&gt;"</v>
      </c>
      <c r="R482" t="b" cm="1">
        <f t="array" ref="R482">SUMPRODUCT(--EXACT($J$2:$J$490,J482))&gt;1</f>
        <v>0</v>
      </c>
      <c r="S482" t="s">
        <v>4650</v>
      </c>
    </row>
    <row r="483" spans="1:19">
      <c r="A483" s="30">
        <v>1</v>
      </c>
      <c r="B483" s="30" t="s">
        <v>1064</v>
      </c>
      <c r="C483" s="30" t="s">
        <v>429</v>
      </c>
      <c r="D483" s="30" t="s">
        <v>1207</v>
      </c>
      <c r="E483" s="30" t="s">
        <v>1758</v>
      </c>
      <c r="F483" s="30" t="s">
        <v>63</v>
      </c>
      <c r="G483" s="39" t="str">
        <f>VLOOKUP(F483,glossary!J:N,2,FALSE)</f>
        <v>Visit</v>
      </c>
      <c r="H483" s="30" t="s">
        <v>63</v>
      </c>
      <c r="I483" s="45" t="str">
        <f t="shared" si="27"/>
        <v>visit_tl_pl</v>
      </c>
      <c r="J483" s="39" t="s">
        <v>1197</v>
      </c>
      <c r="K483" s="39" t="str">
        <f>VLOOKUP(F483,glossary!J:N,5,FALSE)</f>
        <v>When a crew has gone to a location to deploy, service, or retrieve a remote camera.</v>
      </c>
      <c r="L483" s="30" t="s">
        <v>1118</v>
      </c>
      <c r="M483" s="30" t="str">
        <f t="shared" si="28"/>
        <v>{{ visit_tl_pl }}</v>
      </c>
      <c r="N483" t="s">
        <v>896</v>
      </c>
      <c r="O483" s="13" t="s">
        <v>1816</v>
      </c>
      <c r="P483" t="s">
        <v>4081</v>
      </c>
      <c r="Q483" t="str">
        <f t="shared" si="29"/>
        <v xml:space="preserve">    visit_tl_pl: "&lt;a href=\"09_glossary.html#visit\" target=\"_blank\" data-bs-toggle=\"tooltip\" data-bs-title=\"Visit: When a crew has gone to a location to deploy, service, or retrieve a remote camera.\"&gt;visits&lt;button type=\"button\" class=\"btn btn-bd-tip-info-hidden btn-sm position-relative\"&gt;.&lt;span class=\"position-absolute top-0 start-100 translate-middle\"&gt;{{ icon_info }}&lt;/span&gt;&lt;/button&gt;&lt;/a&gt;"</v>
      </c>
      <c r="R483" t="b" cm="1">
        <f t="array" ref="R483">SUMPRODUCT(--EXACT($J$2:$J$490,J483))&gt;1</f>
        <v>0</v>
      </c>
      <c r="S483" t="s">
        <v>4651</v>
      </c>
    </row>
    <row r="484" spans="1:19">
      <c r="A484" s="30">
        <v>2</v>
      </c>
      <c r="B484" s="30" t="s">
        <v>1400</v>
      </c>
      <c r="C484" s="30"/>
      <c r="D484" s="30" t="s">
        <v>1208</v>
      </c>
      <c r="E484" s="30" t="s">
        <v>984</v>
      </c>
      <c r="F484" s="30" t="s">
        <v>63</v>
      </c>
      <c r="G484" s="39" t="str">
        <f>VLOOKUP(F484,glossary!J:N,2,FALSE)</f>
        <v>Visit</v>
      </c>
      <c r="H484" s="30" t="s">
        <v>63</v>
      </c>
      <c r="I484" s="45" t="str">
        <f t="shared" si="27"/>
        <v>visit_tu</v>
      </c>
      <c r="J484" s="39" t="s">
        <v>65</v>
      </c>
      <c r="K484" s="39" t="str">
        <f>VLOOKUP(F484,glossary!J:N,5,FALSE)</f>
        <v>When a crew has gone to a location to deploy, service, or retrieve a remote camera.</v>
      </c>
      <c r="L484" s="30" t="s">
        <v>1407</v>
      </c>
      <c r="M484" s="30" t="str">
        <f t="shared" si="28"/>
        <v>{{ visit_tu }}</v>
      </c>
      <c r="N484" t="s">
        <v>896</v>
      </c>
      <c r="O484" s="13" t="s">
        <v>1816</v>
      </c>
      <c r="P484" t="s">
        <v>4081</v>
      </c>
      <c r="Q484" t="str">
        <f t="shared" si="29"/>
        <v xml:space="preserve">    visit_tu: "&lt;a href=\"09_glossary.html#visit\" target=\"_blank\" data-bs-toggle=\"tooltip\" data-bs-title=\"Visit: When a crew has gone to a location to deploy, service, or retrieve a remote camera.\"&gt;Visit&lt;button type=\"button\" class=\"btn btn-bd-tip-info-hidden btn-sm position-relative\"&gt;.&lt;span class=\"position-absolute top-0 start-100 translate-middle\"&gt;{{ icon_info }}&lt;/span&gt;&lt;/button&gt;&lt;/a&gt;"</v>
      </c>
      <c r="R484" t="b" cm="1">
        <f t="array" ref="R484">SUMPRODUCT(--EXACT($J$2:$J$490,J484))&gt;1</f>
        <v>0</v>
      </c>
      <c r="S484" t="s">
        <v>4652</v>
      </c>
    </row>
    <row r="485" spans="1:19">
      <c r="A485" s="30">
        <v>1</v>
      </c>
      <c r="B485" s="30" t="s">
        <v>1064</v>
      </c>
      <c r="C485" s="30" t="s">
        <v>429</v>
      </c>
      <c r="D485" s="30" t="s">
        <v>1208</v>
      </c>
      <c r="E485" s="30" t="s">
        <v>1758</v>
      </c>
      <c r="F485" s="30" t="s">
        <v>63</v>
      </c>
      <c r="G485" s="39" t="str">
        <f>VLOOKUP(F485,glossary!J:N,2,FALSE)</f>
        <v>Visit</v>
      </c>
      <c r="H485" s="30" t="s">
        <v>63</v>
      </c>
      <c r="I485" s="45" t="str">
        <f t="shared" si="27"/>
        <v>visit_tu_pl</v>
      </c>
      <c r="J485" s="39" t="s">
        <v>1178</v>
      </c>
      <c r="K485" s="39" t="str">
        <f>VLOOKUP(F485,glossary!J:N,5,FALSE)</f>
        <v>When a crew has gone to a location to deploy, service, or retrieve a remote camera.</v>
      </c>
      <c r="L485" s="30" t="s">
        <v>1106</v>
      </c>
      <c r="M485" s="30" t="str">
        <f t="shared" si="28"/>
        <v>{{ visit_tu_pl }}</v>
      </c>
      <c r="N485" t="s">
        <v>896</v>
      </c>
      <c r="O485" s="13" t="s">
        <v>1816</v>
      </c>
      <c r="P485" t="s">
        <v>4081</v>
      </c>
      <c r="Q485" t="str">
        <f t="shared" si="29"/>
        <v xml:space="preserve">    visit_tu_pl: "&lt;a href=\"09_glossary.html#visit\" target=\"_blank\" data-bs-toggle=\"tooltip\" data-bs-title=\"Visit: When a crew has gone to a location to deploy, service, or retrieve a remote camera.\"&gt;Visits&lt;button type=\"button\" class=\"btn btn-bd-tip-info-hidden btn-sm position-relative\"&gt;.&lt;span class=\"position-absolute top-0 start-100 translate-middle\"&gt;{{ icon_info }}&lt;/span&gt;&lt;/button&gt;&lt;/a&gt;"</v>
      </c>
      <c r="R485" t="b" cm="1">
        <f t="array" ref="R485">SUMPRODUCT(--EXACT($J$2:$J$490,J485))&gt;1</f>
        <v>0</v>
      </c>
      <c r="S485" t="s">
        <v>4653</v>
      </c>
    </row>
    <row r="486" spans="1:19">
      <c r="A486" s="30">
        <v>3</v>
      </c>
      <c r="B486" s="30" t="s">
        <v>1393</v>
      </c>
      <c r="C486" s="30"/>
      <c r="D486" s="30" t="s">
        <v>1208</v>
      </c>
      <c r="E486" s="30" t="s">
        <v>984</v>
      </c>
      <c r="F486" s="30" t="s">
        <v>310</v>
      </c>
      <c r="G486" s="39" t="str">
        <f>VLOOKUP(F486,glossary!J:N,2,FALSE)</f>
        <v>Visit Comments</v>
      </c>
      <c r="H486" s="34" t="s">
        <v>310</v>
      </c>
      <c r="I486" s="45" t="str">
        <f t="shared" si="27"/>
        <v>visit_comments_tu</v>
      </c>
      <c r="J486" s="42" t="s">
        <v>762</v>
      </c>
      <c r="K486" s="39" t="str">
        <f>VLOOKUP(F486,glossary!J:N,5,FALSE)</f>
        <v>Comments describing additional details about the deployment and*/or Service*/Retrieval visits.</v>
      </c>
      <c r="L486" t="s">
        <v>1406</v>
      </c>
      <c r="M486" s="30" t="str">
        <f t="shared" si="28"/>
        <v>{{ visit_comments_tu }}</v>
      </c>
      <c r="N486" t="s">
        <v>896</v>
      </c>
      <c r="O486" s="13" t="s">
        <v>1816</v>
      </c>
      <c r="P486" t="s">
        <v>4081</v>
      </c>
      <c r="Q486" t="str">
        <f t="shared" si="29"/>
        <v xml:space="preserve">    visit_comments_tu: "&lt;a href=\"09_glossary.html#visit_comments\" target=\"_blank\" data-bs-toggle=\"tooltip\" data-bs-title=\"Visit Comments: Comments describing additional details about the deployment and*/or Service*/Retrieval visits.\"&gt;Visit Comments&lt;button type=\"button\" class=\"btn btn-bd-tip-info-hidden btn-sm position-relative\"&gt;.&lt;span class=\"position-absolute top-0 start-100 translate-middle\"&gt;{{ icon_info }}&lt;/span&gt;&lt;/button&gt;&lt;/a&gt;"</v>
      </c>
      <c r="R486" t="b" cm="1">
        <f t="array" ref="R486">SUMPRODUCT(--EXACT($J$2:$J$490,J486))&gt;1</f>
        <v>0</v>
      </c>
      <c r="S486" t="s">
        <v>4654</v>
      </c>
    </row>
    <row r="487" spans="1:19">
      <c r="A487" s="30">
        <v>3</v>
      </c>
      <c r="B487" s="30" t="s">
        <v>1393</v>
      </c>
      <c r="C487" s="30"/>
      <c r="D487" s="30" t="s">
        <v>1207</v>
      </c>
      <c r="E487" s="30" t="s">
        <v>984</v>
      </c>
      <c r="F487" s="30" t="s">
        <v>60</v>
      </c>
      <c r="G487" s="39" t="str">
        <f>VLOOKUP(F487,glossary!J:N,2,FALSE)</f>
        <v>Visit metadata</v>
      </c>
      <c r="H487" s="34" t="s">
        <v>60</v>
      </c>
      <c r="I487" s="45" t="str">
        <f t="shared" si="27"/>
        <v>visit_metadata_tl</v>
      </c>
      <c r="J487" s="43" t="s">
        <v>968</v>
      </c>
      <c r="K487" s="39" t="str">
        <f>VLOOKUP(F487,glossary!J:N,5,FALSE)</f>
        <v>Metadata that should be collected each time a camera location is visited to deploy, Service*/Retrieval Field Datasheet.</v>
      </c>
      <c r="L487" t="s">
        <v>1405</v>
      </c>
      <c r="M487" s="30" t="str">
        <f t="shared" si="28"/>
        <v>{{ visit_metadata_tl }}</v>
      </c>
      <c r="N487" t="s">
        <v>896</v>
      </c>
      <c r="O487" s="13" t="s">
        <v>1816</v>
      </c>
      <c r="P487" t="s">
        <v>4081</v>
      </c>
      <c r="Q487" t="str">
        <f t="shared" si="29"/>
        <v xml:space="preserve">    visit_metadata_tl: "&lt;a href=\"09_glossary.html#visit_metadata\" target=\"_blank\" data-bs-toggle=\"tooltip\" data-bs-title=\"Visit metadata: Metadata that should be collected each time a camera location is visited to deploy, Service*/Retrieval Field Datasheet.\"&gt;visit metadata&lt;button type=\"button\" class=\"btn btn-bd-tip-info-hidden btn-sm position-relative\"&gt;.&lt;span class=\"position-absolute top-0 start-100 translate-middle\"&gt;{{ icon_info }}&lt;/span&gt;&lt;/button&gt;&lt;/a&gt;"</v>
      </c>
      <c r="R487" t="b" cm="1">
        <f t="array" ref="R487">SUMPRODUCT(--EXACT($J$2:$J$490,J487))&gt;1</f>
        <v>0</v>
      </c>
      <c r="S487" t="s">
        <v>4655</v>
      </c>
    </row>
    <row r="488" spans="1:19">
      <c r="A488" s="30">
        <v>3</v>
      </c>
      <c r="B488" s="30" t="s">
        <v>1393</v>
      </c>
      <c r="C488" s="30"/>
      <c r="D488" s="30" t="s">
        <v>1208</v>
      </c>
      <c r="E488" s="30" t="s">
        <v>984</v>
      </c>
      <c r="F488" s="30" t="s">
        <v>60</v>
      </c>
      <c r="G488" s="39" t="str">
        <f>VLOOKUP(F488,glossary!J:N,2,FALSE)</f>
        <v>Visit metadata</v>
      </c>
      <c r="H488" s="34" t="s">
        <v>60</v>
      </c>
      <c r="I488" s="45" t="str">
        <f t="shared" si="27"/>
        <v>visit_metadata_tu</v>
      </c>
      <c r="J488" s="42" t="s">
        <v>62</v>
      </c>
      <c r="K488" s="39" t="str">
        <f>VLOOKUP(F488,glossary!J:N,5,FALSE)</f>
        <v>Metadata that should be collected each time a camera location is visited to deploy, Service*/Retrieval Field Datasheet.</v>
      </c>
      <c r="L488" t="s">
        <v>1404</v>
      </c>
      <c r="M488" s="30" t="str">
        <f t="shared" si="28"/>
        <v>{{ visit_metadata_tu }}</v>
      </c>
      <c r="N488" t="s">
        <v>896</v>
      </c>
      <c r="O488" s="13" t="s">
        <v>1816</v>
      </c>
      <c r="P488" t="s">
        <v>4081</v>
      </c>
      <c r="Q488" t="str">
        <f t="shared" si="29"/>
        <v xml:space="preserve">    visit_metadata_tu: "&lt;a href=\"09_glossary.html#visit_metadata\" target=\"_blank\" data-bs-toggle=\"tooltip\" data-bs-title=\"Visit metadata: Metadata that should be collected each time a camera location is visited to deploy, Service*/Retrieval Field Datasheet.\"&gt;Visit metadata&lt;button type=\"button\" class=\"btn btn-bd-tip-info-hidden btn-sm position-relative\"&gt;.&lt;span class=\"position-absolute top-0 start-100 translate-middle\"&gt;{{ icon_info }}&lt;/span&gt;&lt;/button&gt;&lt;/a&gt;"</v>
      </c>
      <c r="R488" t="b" cm="1">
        <f t="array" ref="R488">SUMPRODUCT(--EXACT($J$2:$J$490,J488))&gt;1</f>
        <v>0</v>
      </c>
      <c r="S488" t="s">
        <v>4656</v>
      </c>
    </row>
    <row r="489" spans="1:19">
      <c r="A489" s="30">
        <v>2</v>
      </c>
      <c r="B489" s="30" t="s">
        <v>1400</v>
      </c>
      <c r="C489" s="30"/>
      <c r="D489" s="30" t="s">
        <v>1207</v>
      </c>
      <c r="E489" s="30" t="s">
        <v>984</v>
      </c>
      <c r="F489" s="30" t="s">
        <v>56</v>
      </c>
      <c r="G489" s="39" t="str">
        <f>VLOOKUP(F489,glossary!J:N,2,FALSE)</f>
        <v>Walktest</v>
      </c>
      <c r="H489" s="30" t="s">
        <v>56</v>
      </c>
      <c r="I489" s="45" t="str">
        <f t="shared" si="27"/>
        <v>walktest_tl</v>
      </c>
      <c r="J489" s="39" t="s">
        <v>56</v>
      </c>
      <c r="K489" s="39" t="str">
        <f>VLOOKUP(F489,glossary!J:N,5,FALSE)</f>
        <v>A test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v>
      </c>
      <c r="L489" s="30" t="s">
        <v>1403</v>
      </c>
      <c r="M489" s="30" t="str">
        <f t="shared" si="28"/>
        <v>{{ walktest_tl }}</v>
      </c>
      <c r="N489" t="s">
        <v>896</v>
      </c>
      <c r="O489" s="13" t="s">
        <v>1816</v>
      </c>
      <c r="P489" t="s">
        <v>4081</v>
      </c>
      <c r="Q489" t="str">
        <f t="shared" si="29"/>
        <v xml:space="preserve">    walktest_tl: "&lt;a href=\"09_glossary.html#walktest\" target=\"_blank\" data-bs-toggle=\"tooltip\" data-bs-title=\"Walktest: A test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flash).\"&gt;walktest&lt;button type=\"button\" class=\"btn btn-bd-tip-info-hidden btn-sm position-relative\"&gt;.&lt;span class=\"position-absolute top-0 start-100 translate-middle\"&gt;{{ icon_info }}&lt;/span&gt;&lt;/button&gt;&lt;/a&gt;"</v>
      </c>
      <c r="R489" t="b" cm="1">
        <f t="array" ref="R489">SUMPRODUCT(--EXACT($J$2:$J$490,J489))&gt;1</f>
        <v>0</v>
      </c>
      <c r="S489" t="s">
        <v>4657</v>
      </c>
    </row>
    <row r="490" spans="1:19">
      <c r="A490" s="30">
        <v>2</v>
      </c>
      <c r="B490" s="30" t="s">
        <v>1400</v>
      </c>
      <c r="C490" s="30"/>
      <c r="D490" s="30" t="s">
        <v>1208</v>
      </c>
      <c r="E490" s="30" t="s">
        <v>984</v>
      </c>
      <c r="F490" s="30" t="s">
        <v>56</v>
      </c>
      <c r="G490" s="39" t="str">
        <f>VLOOKUP(F490,glossary!J:N,2,FALSE)</f>
        <v>Walktest</v>
      </c>
      <c r="H490" s="30" t="s">
        <v>56</v>
      </c>
      <c r="I490" s="45" t="str">
        <f t="shared" si="27"/>
        <v>walktest_tu</v>
      </c>
      <c r="J490" s="39" t="s">
        <v>57</v>
      </c>
      <c r="K490" s="39" t="str">
        <f>VLOOKUP(F490,glossary!J:N,5,FALSE)</f>
        <v>A test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v>
      </c>
      <c r="L490" s="30" t="s">
        <v>1402</v>
      </c>
      <c r="M490" s="30" t="str">
        <f t="shared" si="28"/>
        <v>{{ walktest_tu }}</v>
      </c>
      <c r="N490" t="s">
        <v>896</v>
      </c>
      <c r="O490" s="13" t="s">
        <v>1816</v>
      </c>
      <c r="P490" t="s">
        <v>4081</v>
      </c>
      <c r="Q490" t="str">
        <f t="shared" si="29"/>
        <v xml:space="preserve">    walktest_tu: "&lt;a href=\"09_glossary.html#walktest\" target=\"_blank\" data-bs-toggle=\"tooltip\" data-bs-title=\"Walktest: A test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flash).\"&gt;Walktest&lt;button type=\"button\" class=\"btn btn-bd-tip-info-hidden btn-sm position-relative\"&gt;.&lt;span class=\"position-absolute top-0 start-100 translate-middle\"&gt;{{ icon_info }}&lt;/span&gt;&lt;/button&gt;&lt;/a&gt;"</v>
      </c>
      <c r="R490" t="b" cm="1">
        <f t="array" ref="R490">SUMPRODUCT(--EXACT($J$2:$J$490,J490))&gt;1</f>
        <v>0</v>
      </c>
      <c r="S490" t="s">
        <v>4658</v>
      </c>
    </row>
    <row r="491" spans="1:19">
      <c r="A491" s="30">
        <v>3</v>
      </c>
      <c r="B491" s="30" t="s">
        <v>1393</v>
      </c>
      <c r="C491" s="30"/>
      <c r="D491" s="30" t="s">
        <v>1208</v>
      </c>
      <c r="E491" s="30" t="s">
        <v>984</v>
      </c>
      <c r="F491" s="30" t="s">
        <v>309</v>
      </c>
      <c r="G491" s="39" t="str">
        <f>VLOOKUP(F491,glossary!J:N,2,FALSE)</f>
        <v>Walktest Complete</v>
      </c>
      <c r="H491" s="34" t="s">
        <v>309</v>
      </c>
      <c r="I491" s="45" t="str">
        <f t="shared" si="27"/>
        <v>walktest_complete_tu</v>
      </c>
      <c r="J491" s="42" t="s">
        <v>763</v>
      </c>
      <c r="K491" s="39" t="str">
        <f>VLOOKUP(F491,glossary!J:N,5,FALSE)</f>
        <v>Whether a walktest was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v>
      </c>
      <c r="L491" t="s">
        <v>1401</v>
      </c>
      <c r="M491" s="30" t="str">
        <f t="shared" si="28"/>
        <v>{{ walktest_complete_tu }}</v>
      </c>
      <c r="N491" t="s">
        <v>896</v>
      </c>
      <c r="O491" s="13" t="s">
        <v>1816</v>
      </c>
      <c r="P491" t="s">
        <v>4081</v>
      </c>
      <c r="Q491" t="str">
        <f t="shared" si="29"/>
        <v xml:space="preserve">    walktest_complete_tu: "&lt;a href=\"09_glossary.html#walktest_complete\" target=\"_blank\" data-bs-toggle=\"tooltip\" data-bs-title=\"Walktest Complete: Whether a walktest was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flash).\"&gt;Walktest Complete&lt;button type=\"button\" class=\"btn btn-bd-tip-info-hidden btn-sm position-relative\"&gt;.&lt;span class=\"position-absolute top-0 start-100 translate-middle\"&gt;{{ icon_info }}&lt;/span&gt;&lt;/button&gt;&lt;/a&gt;"</v>
      </c>
      <c r="R491" t="b" cm="1">
        <f t="array" ref="R491">SUMPRODUCT(--EXACT($J$2:$J$490,J491))&gt;1</f>
        <v>0</v>
      </c>
      <c r="S491" t="s">
        <v>4659</v>
      </c>
    </row>
    <row r="492" spans="1:19">
      <c r="A492" s="30">
        <v>1</v>
      </c>
      <c r="B492" s="30" t="s">
        <v>1064</v>
      </c>
      <c r="C492" s="30" t="s">
        <v>429</v>
      </c>
      <c r="D492" s="30" t="s">
        <v>1208</v>
      </c>
      <c r="E492" s="30" t="s">
        <v>1757</v>
      </c>
      <c r="F492" s="30" t="s">
        <v>307</v>
      </c>
      <c r="G492" s="39" t="str">
        <f>VLOOKUP(F492,glossary!J:N,2,FALSE)</f>
        <v>Walktest Distance (m)</v>
      </c>
      <c r="H492" s="30" t="s">
        <v>307</v>
      </c>
      <c r="I492" s="45" t="str">
        <f t="shared" si="27"/>
        <v>walktest_distance_tu_nu</v>
      </c>
      <c r="J492" s="39" t="s">
        <v>1083</v>
      </c>
      <c r="K492" s="39" t="str">
        <f>VLOOKUP(F492,glossary!J:N,5,FALSE)</f>
        <v>The horizontal distance from the camera at which the crew performs the walktest (metres; to the nearest 0.05 m). Leave blank if not applicable.</v>
      </c>
      <c r="L492" s="30" t="s">
        <v>1097</v>
      </c>
      <c r="M492" s="30" t="str">
        <f t="shared" si="28"/>
        <v>{{ walktest_distance_tu_nu }}</v>
      </c>
      <c r="N492" t="s">
        <v>896</v>
      </c>
      <c r="O492" s="13" t="s">
        <v>1816</v>
      </c>
      <c r="P492" t="s">
        <v>4081</v>
      </c>
      <c r="Q492" t="str">
        <f t="shared" si="29"/>
        <v xml:space="preserve">    walktest_distance_tu_nu: "&lt;a href=\"09_glossary.html#walktest_distance\" target=\"_blank\" data-bs-toggle=\"tooltip\" data-bs-title=\"Walktest Distance (m): The horizontal distance from the camera at which the crew performs the walktest (metres; to the nearest 0.05 m). Leave blank if not applicable.\"&gt;Walktest Distance&lt;button type=\"button\" class=\"btn btn-bd-tip-info-hidden btn-sm position-relative\"&gt;.&lt;span class=\"position-absolute top-0 start-100 translate-middle\"&gt;{{ icon_info }}&lt;/span&gt;&lt;/button&gt;&lt;/a&gt;"</v>
      </c>
      <c r="R492" t="b" cm="1">
        <f t="array" ref="R492">SUMPRODUCT(--EXACT($J$2:$J$490,J492))&gt;1</f>
        <v>0</v>
      </c>
      <c r="S492" t="s">
        <v>4660</v>
      </c>
    </row>
    <row r="493" spans="1:19">
      <c r="A493" s="30">
        <v>3</v>
      </c>
      <c r="B493" s="30" t="s">
        <v>1393</v>
      </c>
      <c r="C493" s="30"/>
      <c r="D493" s="30" t="s">
        <v>1208</v>
      </c>
      <c r="E493" s="30" t="s">
        <v>1751</v>
      </c>
      <c r="F493" s="30" t="s">
        <v>307</v>
      </c>
      <c r="G493" s="39" t="str">
        <f>VLOOKUP(F493,glossary!J:N,2,FALSE)</f>
        <v>Walktest Distance (m)</v>
      </c>
      <c r="H493" s="34" t="s">
        <v>307</v>
      </c>
      <c r="I493" s="45" t="str">
        <f t="shared" si="27"/>
        <v>walktest_distance_tu_u</v>
      </c>
      <c r="J493" s="42" t="s">
        <v>1373</v>
      </c>
      <c r="K493" s="39" t="str">
        <f>VLOOKUP(F493,glossary!J:N,5,FALSE)</f>
        <v>The horizontal distance from the camera at which the crew performs the walktest (metres; to the nearest 0.05 m). Leave blank if not applicable.</v>
      </c>
      <c r="L493" t="s">
        <v>1374</v>
      </c>
      <c r="M493" s="30" t="str">
        <f t="shared" si="28"/>
        <v>{{ walktest_distance_tu_u }}</v>
      </c>
      <c r="N493" t="s">
        <v>896</v>
      </c>
      <c r="O493" s="13" t="s">
        <v>1816</v>
      </c>
      <c r="P493" t="s">
        <v>4081</v>
      </c>
      <c r="Q493" t="str">
        <f t="shared" si="29"/>
        <v xml:space="preserve">    walktest_distance_tu_u: "&lt;a href=\"09_glossary.html#walktest_distance\" target=\"_blank\" data-bs-toggle=\"tooltip\" data-bs-title=\"Walktest Distance (m): The horizontal distance from the camera at which the crew performs the walktest (metres; to the nearest 0.05 m). Leave blank if not applicable.\"&gt;Walktest Distance (m)&lt;button type=\"button\" class=\"btn btn-bd-tip-info-hidden btn-sm position-relative\"&gt;.&lt;span class=\"position-absolute top-0 start-100 translate-middle\"&gt;{{ icon_info }}&lt;/span&gt;&lt;/button&gt;&lt;/a&gt;"</v>
      </c>
      <c r="R493" t="b" cm="1">
        <f t="array" ref="R493">SUMPRODUCT(--EXACT($J$2:$J$490,J493))&gt;1</f>
        <v>0</v>
      </c>
      <c r="S493" t="s">
        <v>4661</v>
      </c>
    </row>
    <row r="494" spans="1:19">
      <c r="A494" s="30">
        <v>1</v>
      </c>
      <c r="B494" s="30" t="s">
        <v>1064</v>
      </c>
      <c r="C494" s="30" t="s">
        <v>0</v>
      </c>
      <c r="D494" s="30" t="s">
        <v>1208</v>
      </c>
      <c r="E494" s="30" t="s">
        <v>1757</v>
      </c>
      <c r="F494" s="30" t="s">
        <v>305</v>
      </c>
      <c r="G494" s="39" t="str">
        <f>VLOOKUP(F494,glossary!J:N,2,FALSE)</f>
        <v>Walktest Height (m)</v>
      </c>
      <c r="H494" s="30" t="s">
        <v>305</v>
      </c>
      <c r="I494" s="45" t="str">
        <f t="shared" si="27"/>
        <v>walktest_height_tu_nu</v>
      </c>
      <c r="J494" s="39" t="s">
        <v>1082</v>
      </c>
      <c r="K494" s="39" t="str">
        <f>VLOOKUP(F494,glossary!J:N,5,FALSE)</f>
        <v>The vertical distance from the camera at which the crew performs the walktest (metres; to the nearest 0.05 m). Leave blank if not applicable.</v>
      </c>
      <c r="L494" s="30" t="s">
        <v>1098</v>
      </c>
      <c r="M494" s="30" t="str">
        <f t="shared" si="28"/>
        <v>{{ walktest_height_tu_nu }}</v>
      </c>
      <c r="N494" t="s">
        <v>896</v>
      </c>
      <c r="O494" s="13" t="s">
        <v>1816</v>
      </c>
      <c r="P494" t="s">
        <v>4081</v>
      </c>
      <c r="Q494" t="str">
        <f t="shared" si="29"/>
        <v xml:space="preserve">    walktest_height_tu_nu: "&lt;a href=\"09_glossary.html#walktest_height\" target=\"_blank\" data-bs-toggle=\"tooltip\" data-bs-title=\"Walktest Height (m): The vertical distance from the camera at which the crew performs the walktest (metres; to the nearest 0.05 m). Leave blank if not applicable.\"&gt;Walktest Height&lt;button type=\"button\" class=\"btn btn-bd-tip-info-hidden btn-sm position-relative\"&gt;.&lt;span class=\"position-absolute top-0 start-100 translate-middle\"&gt;{{ icon_info }}&lt;/span&gt;&lt;/button&gt;&lt;/a&gt;"</v>
      </c>
      <c r="R494" t="b" cm="1">
        <f t="array" ref="R494">SUMPRODUCT(--EXACT($J$2:$J$490,J494))&gt;1</f>
        <v>0</v>
      </c>
      <c r="S494" t="s">
        <v>4662</v>
      </c>
    </row>
    <row r="495" spans="1:19">
      <c r="A495" s="30">
        <v>3</v>
      </c>
      <c r="B495" s="30" t="s">
        <v>1393</v>
      </c>
      <c r="C495" s="30"/>
      <c r="D495" s="30" t="s">
        <v>1208</v>
      </c>
      <c r="E495" s="30" t="s">
        <v>1751</v>
      </c>
      <c r="F495" s="30" t="s">
        <v>305</v>
      </c>
      <c r="G495" s="39" t="str">
        <f>VLOOKUP(F495,glossary!J:N,2,FALSE)</f>
        <v>Walktest Height (m)</v>
      </c>
      <c r="H495" s="34" t="s">
        <v>305</v>
      </c>
      <c r="I495" s="45" t="str">
        <f t="shared" si="27"/>
        <v>walktest_height_tu_u</v>
      </c>
      <c r="J495" s="42" t="s">
        <v>764</v>
      </c>
      <c r="K495" s="39" t="str">
        <f>VLOOKUP(F495,glossary!J:N,5,FALSE)</f>
        <v>The vertical distance from the camera at which the crew performs the walktest (metres; to the nearest 0.05 m). Leave blank if not applicable.</v>
      </c>
      <c r="L495" t="s">
        <v>1399</v>
      </c>
      <c r="M495" s="30" t="str">
        <f t="shared" si="28"/>
        <v>{{ walktest_height_tu_u }}</v>
      </c>
      <c r="N495" t="s">
        <v>896</v>
      </c>
      <c r="O495" s="13" t="s">
        <v>1816</v>
      </c>
      <c r="P495" t="s">
        <v>4081</v>
      </c>
      <c r="Q495" t="str">
        <f t="shared" si="29"/>
        <v xml:space="preserve">    walktest_height_tu_u: "&lt;a href=\"09_glossary.html#walktest_height\" target=\"_blank\" data-bs-toggle=\"tooltip\" data-bs-title=\"Walktest Height (m): The vertical distance from the camera at which the crew performs the walktest (metres; to the nearest 0.05 m). Leave blank if not applicable.\"&gt;Walktest Height (m)&lt;button type=\"button\" class=\"btn btn-bd-tip-info-hidden btn-sm position-relative\"&gt;.&lt;span class=\"position-absolute top-0 start-100 translate-middle\"&gt;{{ icon_info }}&lt;/span&gt;&lt;/button&gt;&lt;/a&gt;"</v>
      </c>
      <c r="R495" t="b" cm="1">
        <f t="array" ref="R495">SUMPRODUCT(--EXACT($J$2:$J$490,J495))&gt;1</f>
        <v>0</v>
      </c>
      <c r="S495" t="s">
        <v>4663</v>
      </c>
    </row>
    <row r="496" spans="1:19">
      <c r="O496" s="13"/>
    </row>
    <row r="497" spans="15:15">
      <c r="O497" s="13"/>
    </row>
    <row r="498" spans="15:15">
      <c r="O498" s="13"/>
    </row>
  </sheetData>
  <autoFilter ref="A1:R495" xr:uid="{C79C8A1F-581D-493B-AC1B-735B9965A843}">
    <sortState xmlns:xlrd2="http://schemas.microsoft.com/office/spreadsheetml/2017/richdata2" ref="A2:R495">
      <sortCondition ref="F1:F495"/>
    </sortState>
  </autoFilter>
  <conditionalFormatting sqref="M1:M1048576">
    <cfRule type="duplicateValues" dxfId="17" priority="1"/>
  </conditionalFormatting>
  <conditionalFormatting sqref="R1:R1048576">
    <cfRule type="containsText" dxfId="16" priority="2" operator="containsText" text="true">
      <formula>NOT(ISERROR(SEARCH("true",R1)))</formula>
    </cfRule>
  </conditionalFormatting>
  <pageMargins left="0.7" right="0.7" top="0.75" bottom="0.75" header="0.3" footer="0.3"/>
  <pageSetup orientation="portrait" horizontalDpi="360" verticalDpi="36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CF646-10F1-4CE2-9BD0-9D8A1C536272}">
  <sheetPr codeName="Sheet9">
    <tabColor theme="8" tint="0.79998168889431442"/>
  </sheetPr>
  <dimension ref="A1:F74"/>
  <sheetViews>
    <sheetView topLeftCell="A24" workbookViewId="0">
      <selection activeCell="C55" sqref="C55"/>
    </sheetView>
  </sheetViews>
  <sheetFormatPr defaultRowHeight="14.25"/>
  <cols>
    <col min="1" max="1" width="41.625" customWidth="1"/>
    <col min="2" max="2" width="29.625" customWidth="1"/>
    <col min="3" max="4" width="27.25" customWidth="1"/>
    <col min="5" max="5" width="21.625" customWidth="1"/>
  </cols>
  <sheetData>
    <row r="1" spans="1:6" ht="15">
      <c r="A1" s="36" t="s">
        <v>3950</v>
      </c>
      <c r="B1" s="36" t="s">
        <v>347</v>
      </c>
      <c r="C1" t="s">
        <v>347</v>
      </c>
      <c r="E1" s="36" t="s">
        <v>3951</v>
      </c>
      <c r="F1" s="36" t="s">
        <v>1393</v>
      </c>
    </row>
    <row r="2" spans="1:6" ht="15">
      <c r="A2" t="s">
        <v>786</v>
      </c>
      <c r="B2" s="71" t="str" cm="1">
        <f t="array" ref="B2">"{{ "&amp;_xlfn.XLOOKUP(TRUE, EXACT(A2, find_replace!J:J), find_replace!I:I, "not found")&amp;" }}"</f>
        <v>{{ accuracy_tl }}</v>
      </c>
      <c r="C2" t="s">
        <v>4076</v>
      </c>
      <c r="E2" t="s">
        <v>1395</v>
      </c>
      <c r="F2" t="str" cm="1">
        <f t="array" ref="F2">"{{ "&amp;_xlfn.XLOOKUP(TRUE, EXACT(E2, find_replace!I:I), find_replace!J:J, "not found")&amp;" }}"</f>
        <v>{{ Target Species }}</v>
      </c>
    </row>
    <row r="3" spans="1:6" ht="15">
      <c r="A3" t="s">
        <v>777</v>
      </c>
      <c r="B3" s="71" t="str" cm="1">
        <f t="array" ref="B3">"{{ "&amp;_xlfn.XLOOKUP(TRUE, EXACT(A3, find_replace!J:J), find_replace!I:I, "not found")&amp;" }}"</f>
        <v>{{ obj_abundance_tl_abrv2 }}</v>
      </c>
      <c r="C3" t="s">
        <v>4051</v>
      </c>
    </row>
    <row r="4" spans="1:6" ht="15">
      <c r="A4" t="s">
        <v>3972</v>
      </c>
      <c r="B4" s="71" t="str" cm="1">
        <f t="array" ref="B4">"{{ "&amp;_xlfn.XLOOKUP(TRUE, EXACT(A4, find_replace!J:J), find_replace!I:I, "not found")&amp;" }}"</f>
        <v>{{ accurate_tu_op }}</v>
      </c>
      <c r="C4" t="s">
        <v>4012</v>
      </c>
    </row>
    <row r="5" spans="1:6" ht="15">
      <c r="A5" t="s">
        <v>3971</v>
      </c>
      <c r="B5" s="71" t="str" cm="1">
        <f t="array" ref="B5">"{{ "&amp;_xlfn.XLOOKUP(TRUE, EXACT(A5, find_replace!J:J), find_replace!I:I, "not found")&amp;" }}"</f>
        <v>{{ accurate_tl }}</v>
      </c>
      <c r="C5" t="s">
        <v>4027</v>
      </c>
    </row>
    <row r="6" spans="1:6" ht="15">
      <c r="A6" t="s">
        <v>1722</v>
      </c>
      <c r="B6" s="71" t="str" cm="1">
        <f t="array" ref="B6">"{{ "&amp;_xlfn.XLOOKUP(TRUE, EXACT(A6, find_replace!J:J), find_replace!I:I, "not found")&amp;" }}"</f>
        <v>{{ mod_assumption_tl_abrv }}</v>
      </c>
      <c r="C6" t="s">
        <v>4022</v>
      </c>
    </row>
    <row r="7" spans="1:6" ht="15">
      <c r="A7" t="s">
        <v>1722</v>
      </c>
      <c r="B7" s="71" t="str" cm="1">
        <f t="array" ref="B7">"{{ "&amp;_xlfn.XLOOKUP(TRUE, EXACT(A7, find_replace!J:J), find_replace!I:I, "not found")&amp;" }}"</f>
        <v>{{ mod_assumption_tl_abrv }}</v>
      </c>
    </row>
    <row r="8" spans="1:6" ht="15">
      <c r="A8" t="s">
        <v>3979</v>
      </c>
      <c r="B8" s="71" t="str" cm="1">
        <f t="array" ref="B8">"{{ "&amp;_xlfn.XLOOKUP(TRUE, EXACT(A8, find_replace!J:J), find_replace!I:I, "not found")&amp;" }}"</f>
        <v>{{ mod_assumption_tu_abrv_pl }}</v>
      </c>
      <c r="C8" t="s">
        <v>3987</v>
      </c>
    </row>
    <row r="9" spans="1:6" ht="15">
      <c r="A9" t="s">
        <v>1195</v>
      </c>
      <c r="B9" s="71" t="str" cm="1">
        <f t="array" ref="B9">"{{ "&amp;_xlfn.XLOOKUP(TRUE, EXACT(A9, find_replace!J:J), find_replace!I:I, "not found")&amp;" }}"</f>
        <v>{{ mod_assumption_tl_abrv_pl }}</v>
      </c>
      <c r="C9" t="s">
        <v>3986</v>
      </c>
    </row>
    <row r="10" spans="1:6" ht="15">
      <c r="A10" t="s">
        <v>903</v>
      </c>
      <c r="B10" s="71" t="str" cm="1">
        <f t="array" ref="B10">"{{ "&amp;_xlfn.XLOOKUP(TRUE, EXACT(A10, find_replace!J:J), find_replace!I:I, "not found")&amp;" }}"</f>
        <v>{{ baitlure_bait_tl }}</v>
      </c>
      <c r="C10" t="s">
        <v>4040</v>
      </c>
    </row>
    <row r="11" spans="1:6" ht="15">
      <c r="A11" t="s">
        <v>779</v>
      </c>
      <c r="B11" s="71" t="str" cm="1">
        <f t="array" ref="B11">"{{ "&amp;_xlfn.XLOOKUP(TRUE, EXACT(A11, find_replace!J:J), find_replace!I:I, "not found")&amp;" }}"</f>
        <v>{{ bias_tl }}</v>
      </c>
      <c r="C11" t="s">
        <v>4074</v>
      </c>
    </row>
    <row r="12" spans="1:6" ht="15">
      <c r="A12" t="s">
        <v>1822</v>
      </c>
      <c r="B12" s="71" t="str" cm="1">
        <f t="array" ref="B12">"{{ "&amp;_xlfn.XLOOKUP(TRUE, EXACT(A12, find_replace!J:J), find_replace!I:I, "not found")&amp;" }}"</f>
        <v>{{ bias_tl_mod }}</v>
      </c>
      <c r="C12" t="s">
        <v>4017</v>
      </c>
    </row>
    <row r="13" spans="1:6" ht="15.75">
      <c r="A13" s="15" t="s">
        <v>1193</v>
      </c>
      <c r="B13" s="71" t="str" cm="1">
        <f t="array" ref="B13">"{{ "&amp;_xlfn.XLOOKUP(TRUE, EXACT(A13, find_replace!J:J), find_replace!I:I, "not found")&amp;" }}"</f>
        <v>{{ cam_location_tl_pl }}</v>
      </c>
      <c r="C13" t="s">
        <v>4004</v>
      </c>
    </row>
    <row r="14" spans="1:6" ht="15.75">
      <c r="A14" s="70" t="s">
        <v>1193</v>
      </c>
      <c r="B14" s="71" t="str" cm="1">
        <f t="array" ref="B14">"{{ "&amp;_xlfn.XLOOKUP(TRUE, EXACT(A14, find_replace!J:J), find_replace!I:I, "not found")&amp;" }}"</f>
        <v>{{ cam_location_tl_pl }}</v>
      </c>
      <c r="C14" t="s">
        <v>4004</v>
      </c>
    </row>
    <row r="15" spans="1:6" ht="15">
      <c r="A15" t="s">
        <v>1361</v>
      </c>
      <c r="B15" s="71" t="str" cm="1">
        <f t="array" ref="B15">"{{ "&amp;_xlfn.XLOOKUP(TRUE, EXACT(A15, find_replace!J:J), find_replace!I:I, "not found")&amp;" }}"</f>
        <v>{{ not found }}</v>
      </c>
    </row>
    <row r="16" spans="1:6" ht="15">
      <c r="A16" t="s">
        <v>1196</v>
      </c>
      <c r="B16" s="71" t="str" cm="1">
        <f t="array" ref="B16">"{{ "&amp;_xlfn.XLOOKUP(TRUE, EXACT(A16, find_replace!J:J), find_replace!I:I, "not found")&amp;" }}"</f>
        <v>{{ mod_cr_tu_abrv }}</v>
      </c>
      <c r="C16" t="s">
        <v>4075</v>
      </c>
    </row>
    <row r="17" spans="1:3" ht="15">
      <c r="A17" s="61" t="s">
        <v>1727</v>
      </c>
      <c r="B17" s="71" t="str" cm="1">
        <f t="array" ref="B17">"{{ "&amp;_xlfn.XLOOKUP(TRUE, EXACT(A17, find_replace!J:J), find_replace!I:I, "not found")&amp;" }}"</f>
        <v>{{ detection_probability_tl_abrv2 }}</v>
      </c>
      <c r="C17" t="s">
        <v>4001</v>
      </c>
    </row>
    <row r="18" spans="1:3" ht="15">
      <c r="A18" s="61" t="s">
        <v>1191</v>
      </c>
      <c r="B18" s="71" t="str" cm="1">
        <f t="array" ref="B18">"{{ "&amp;_xlfn.XLOOKUP(TRUE, EXACT(A18, find_replace!J:J), find_replace!I:I, "not found")&amp;" }}"</f>
        <v>{{ detection_probability_tl_abrv }}</v>
      </c>
      <c r="C18" t="s">
        <v>4002</v>
      </c>
    </row>
    <row r="19" spans="1:3" ht="15">
      <c r="A19" t="s">
        <v>918</v>
      </c>
      <c r="B19" s="71" t="str" cm="1">
        <f t="array" ref="B19">"{{ "&amp;_xlfn.XLOOKUP(TRUE, EXACT(A19, find_replace!J:J), find_replace!I:I, "not found")&amp;" }}"</f>
        <v>{{ detection_zone_tl }}</v>
      </c>
      <c r="C19" t="s">
        <v>4013</v>
      </c>
    </row>
    <row r="20" spans="1:3" ht="15">
      <c r="A20" t="s">
        <v>1161</v>
      </c>
      <c r="B20" s="71" t="str" cm="1">
        <f t="array" ref="B20">"{{ "&amp;_xlfn.XLOOKUP(TRUE, EXACT(A20, find_replace!J:J), find_replace!I:I, "not found")&amp;" }}"</f>
        <v>{{ field_of_view_tu_abrv }}</v>
      </c>
      <c r="C20" t="s">
        <v>4016</v>
      </c>
    </row>
    <row r="21" spans="1:3" ht="15.75">
      <c r="A21" s="15" t="s">
        <v>1807</v>
      </c>
      <c r="B21" s="71" t="str" cm="1">
        <f t="array" ref="B21">"{{ "&amp;_xlfn.XLOOKUP(TRUE, EXACT(A21, find_replace!J:J), find_replace!I:I, "not found")&amp;" }}"</f>
        <v>{{ hr_tl }}</v>
      </c>
      <c r="C21" t="s">
        <v>4003</v>
      </c>
    </row>
    <row r="22" spans="1:3" ht="15">
      <c r="A22" t="s">
        <v>3977</v>
      </c>
      <c r="B22" s="71" t="str" cm="1">
        <f t="array" ref="B22">"{{ "&amp;_xlfn.XLOOKUP(TRUE, EXACT(A22, find_replace!J:J), find_replace!I:I, "not found")&amp;" }}"</f>
        <v>{{ not found }}</v>
      </c>
      <c r="C22" t="s">
        <v>4007</v>
      </c>
    </row>
    <row r="23" spans="1:3" ht="15">
      <c r="A23" t="s">
        <v>4052</v>
      </c>
      <c r="B23" s="71" t="str" cm="1">
        <f t="array" ref="B23">"{{ "&amp;_xlfn.XLOOKUP(TRUE, EXACT(A23, find_replace!J:J), find_replace!I:I, "not found")&amp;" }}"</f>
        <v>{{ accurate_tl_op }}</v>
      </c>
      <c r="C23" t="s">
        <v>4054</v>
      </c>
    </row>
    <row r="24" spans="1:3" ht="15">
      <c r="A24" t="s">
        <v>935</v>
      </c>
      <c r="B24" s="71" t="str" cm="1">
        <f t="array" ref="B24">"{{ "&amp;_xlfn.XLOOKUP(TRUE, EXACT(A24, find_replace!J:J), find_replace!I:I, "not found")&amp;" }}"</f>
        <v>{{ baitlure_lure_tl }}</v>
      </c>
      <c r="C24" t="s">
        <v>4041</v>
      </c>
    </row>
    <row r="25" spans="1:3" ht="15">
      <c r="A25" t="s">
        <v>1385</v>
      </c>
      <c r="B25" s="71" t="str" cm="1">
        <f t="array" ref="B25">"{{ "&amp;_xlfn.XLOOKUP(TRUE, EXACT(A25, find_replace!J:J), find_replace!I:I, "not found")&amp;" }}"</f>
        <v>{{ mod_occupancy_tl_abrv_pl }}</v>
      </c>
      <c r="C25" t="s">
        <v>4049</v>
      </c>
    </row>
    <row r="26" spans="1:3" ht="15">
      <c r="A26" t="s">
        <v>3990</v>
      </c>
      <c r="B26" s="71" t="str" cm="1">
        <f t="array" ref="B26">"{{ "&amp;_xlfn.XLOOKUP(TRUE, EXACT(A26, find_replace!J:J), find_replace!I:I, "not found")&amp;" }}"</f>
        <v>{{ sampledesign_paired_tl_abrv }}</v>
      </c>
      <c r="C26" t="s">
        <v>4015</v>
      </c>
    </row>
    <row r="27" spans="1:3" ht="15">
      <c r="A27" t="s">
        <v>4039</v>
      </c>
      <c r="B27" s="71" t="str" cm="1">
        <f t="array" ref="B27">"{{ "&amp;_xlfn.XLOOKUP(TRUE, EXACT(A27, find_replace!J:J), find_replace!I:I, "not found")&amp;" }}"</f>
        <v>{{ not found }}</v>
      </c>
    </row>
    <row r="28" spans="1:3" ht="15">
      <c r="A28" t="s">
        <v>3964</v>
      </c>
      <c r="B28" s="71" t="str" cm="1">
        <f t="array" ref="B28">"{{ "&amp;_xlfn.XLOOKUP(TRUE, EXACT(A28, find_replace!J:J), find_replace!I:I, "not found")&amp;" }}"</f>
        <v>{{ precision_tl_abrv }}</v>
      </c>
      <c r="C28" t="s">
        <v>4006</v>
      </c>
    </row>
    <row r="29" spans="1:3" ht="15">
      <c r="A29" t="s">
        <v>662</v>
      </c>
      <c r="B29" s="71" t="str" cm="1">
        <f t="array" ref="B29">"{{ "&amp;_xlfn.XLOOKUP(TRUE, EXACT(A29, find_replace!J:J), find_replace!I:I, "not found")&amp;" }}"</f>
        <v>{{ precision_tu }}</v>
      </c>
      <c r="C29" t="s">
        <v>4014</v>
      </c>
    </row>
    <row r="30" spans="1:3" ht="15.75">
      <c r="A30" s="70" t="s">
        <v>4073</v>
      </c>
      <c r="B30" s="71" t="str" cm="1">
        <f t="array" ref="B30">"{{ "&amp;_xlfn.XLOOKUP(TRUE, EXACT(A30, find_replace!J:J), find_replace!I:I, "not found")&amp;" }}"</f>
        <v>{{ not found }}</v>
      </c>
      <c r="C30" t="s">
        <v>4007</v>
      </c>
    </row>
    <row r="31" spans="1:3" ht="15">
      <c r="A31" t="s">
        <v>942</v>
      </c>
      <c r="B31" s="71" t="str" cm="1">
        <f t="array" ref="B31">"{{ "&amp;_xlfn.XLOOKUP(TRUE, EXACT(A31, find_replace!J:J), find_replace!I:I, "not found")&amp;" }}"</f>
        <v>{{ use_probability_tl }}</v>
      </c>
      <c r="C31" t="s">
        <v>4044</v>
      </c>
    </row>
    <row r="32" spans="1:3" ht="15.75">
      <c r="A32" s="70" t="s">
        <v>942</v>
      </c>
      <c r="B32" s="71" t="str" cm="1">
        <f t="array" ref="B32">"{{ "&amp;_xlfn.XLOOKUP(TRUE, EXACT(A32, find_replace!J:J), find_replace!I:I, "not found")&amp;" }}"</f>
        <v>{{ use_probability_tl }}</v>
      </c>
      <c r="C32" t="s">
        <v>4044</v>
      </c>
    </row>
    <row r="33" spans="1:3" ht="15">
      <c r="A33" t="s">
        <v>1198</v>
      </c>
      <c r="B33" s="71" t="str" cm="1">
        <f t="array" ref="B33">"{{ "&amp;_xlfn.XLOOKUP(TRUE, EXACT(A33, find_replace!J:J), find_replace!I:I, "not found")&amp;" }}"</f>
        <v>{{ sampledesign_random_tl_abrv2 }}</v>
      </c>
      <c r="C33" t="s">
        <v>4009</v>
      </c>
    </row>
    <row r="34" spans="1:3" ht="15">
      <c r="A34" t="s">
        <v>1199</v>
      </c>
      <c r="B34" s="71" t="str" cm="1">
        <f t="array" ref="B34">"{{ "&amp;_xlfn.XLOOKUP(TRUE, EXACT(A34, find_replace!J:J), find_replace!I:I, "not found")&amp;" }}"</f>
        <v>{{ sampledesign_random_tu_abrv }}</v>
      </c>
      <c r="C34" t="s">
        <v>4021</v>
      </c>
    </row>
    <row r="35" spans="1:3" ht="15">
      <c r="A35" s="30" t="s">
        <v>1154</v>
      </c>
      <c r="B35" s="71" t="str" cm="1">
        <f t="array" ref="B35">"{{ "&amp;_xlfn.XLOOKUP(TRUE, EXACT(A35, find_replace!J:J), find_replace!I:I, "not found")&amp;" }}"</f>
        <v>{{ mod_rem_tu_abrv }}</v>
      </c>
      <c r="C35" t="s">
        <v>4024</v>
      </c>
    </row>
    <row r="36" spans="1:3" ht="15">
      <c r="A36" t="s">
        <v>1157</v>
      </c>
      <c r="B36" s="71" t="str" cm="1">
        <f t="array" ref="B36">"{{ "&amp;_xlfn.XLOOKUP(TRUE, EXACT(A36, find_replace!J:J), find_replace!I:I, "not found")&amp;" }}"</f>
        <v>{{ mod_secr_tu_abrv }}</v>
      </c>
      <c r="C36" t="s">
        <v>3985</v>
      </c>
    </row>
    <row r="37" spans="1:3" ht="15">
      <c r="A37" t="s">
        <v>1158</v>
      </c>
      <c r="B37" s="71" t="str" cm="1">
        <f t="array" ref="B37">"{{ "&amp;_xlfn.XLOOKUP(TRUE, EXACT(A37, find_replace!J:J), find_replace!I:I, "not found")&amp;" }}"</f>
        <v>{{ mod_smr_tu_abrv }}</v>
      </c>
      <c r="C37" t="s">
        <v>4008</v>
      </c>
    </row>
    <row r="38" spans="1:3" ht="15">
      <c r="A38" t="s">
        <v>1766</v>
      </c>
      <c r="B38" s="71" t="str" cm="1">
        <f t="array" ref="B38">"{{ "&amp;_xlfn.XLOOKUP(TRUE, EXACT(A38, find_replace!J:J), find_replace!I:I, "not found")&amp;" }}"</f>
        <v>{{ stratum_tl }}</v>
      </c>
      <c r="C38" t="s">
        <v>4072</v>
      </c>
    </row>
    <row r="39" spans="1:3" ht="15">
      <c r="A39" t="s">
        <v>3976</v>
      </c>
      <c r="B39" s="71" t="str" cm="1">
        <f t="array" ref="B39">"{{ "&amp;_xlfn.XLOOKUP(TRUE, EXACT(A39, find_replace!J:J), find_replace!I:I, "not found")&amp;" }}"</f>
        <v>{{ sampledesign_systematic_tl_abrv }}</v>
      </c>
      <c r="C39" t="s">
        <v>4010</v>
      </c>
    </row>
    <row r="40" spans="1:3" ht="15">
      <c r="A40" t="s">
        <v>3975</v>
      </c>
      <c r="B40" s="71" t="str" cm="1">
        <f t="array" ref="B40">"{{ "&amp;_xlfn.XLOOKUP(TRUE, EXACT(A40, find_replace!J:J), find_replace!I:I, "not found")&amp;" }}"</f>
        <v>{{ sampledesign_systematic_random_tl_abrv }}</v>
      </c>
      <c r="C40" t="s">
        <v>4011</v>
      </c>
    </row>
    <row r="41" spans="1:3" ht="15">
      <c r="A41" s="61" t="s">
        <v>729</v>
      </c>
      <c r="B41" s="71" t="str" cm="1">
        <f t="array" ref="B41">"{{ "&amp;_xlfn.XLOOKUP(TRUE, EXACT(A41, find_replace!J:J), find_replace!I:I, "not found")&amp;" }}"</f>
        <v>{{ target_species_tu }}</v>
      </c>
      <c r="C41" t="s">
        <v>4000</v>
      </c>
    </row>
    <row r="42" spans="1:3" ht="15">
      <c r="A42" t="s">
        <v>3983</v>
      </c>
      <c r="B42" s="71" t="str" cm="1">
        <f t="array" ref="B42">"{{ "&amp;_xlfn.XLOOKUP(TRUE, EXACT(A42, find_replace!J:J), find_replace!I:I, "not found")&amp;" }}"</f>
        <v>{{ bias_tu_op }}</v>
      </c>
      <c r="C42" t="s">
        <v>4020</v>
      </c>
    </row>
    <row r="43" spans="1:3" ht="15">
      <c r="A43" t="s">
        <v>1418</v>
      </c>
      <c r="B43" s="71" t="str" cm="1">
        <f t="array" ref="B43">"{{ "&amp;_xlfn.XLOOKUP(TRUE, EXACT(A43, find_replace!J:J), find_replace!I:I, "not found")&amp;" }}"</f>
        <v>{{ typeid_unmarked_tl_abrv }}</v>
      </c>
      <c r="C43" t="s">
        <v>4005</v>
      </c>
    </row>
    <row r="44" spans="1:3" ht="15">
      <c r="A44" t="s">
        <v>1206</v>
      </c>
      <c r="B44" s="71" t="str" cm="1">
        <f t="array" ref="B44">"{{ "&amp;_xlfn.XLOOKUP(TRUE, EXACT(A44, find_replace!J:J), find_replace!I:I, "not found")&amp;" }}"</f>
        <v>{{ detection_rate_tl_pl }}</v>
      </c>
      <c r="C44" t="s">
        <v>4077</v>
      </c>
    </row>
    <row r="45" spans="1:3" ht="15">
      <c r="A45" t="s">
        <v>1389</v>
      </c>
      <c r="B45" s="71" t="str" cm="1">
        <f t="array" ref="B45">"{{ "&amp;_xlfn.XLOOKUP(TRUE, EXACT(A45, find_replace!J:J), find_replace!I:I, "not found")&amp;" }}"</f>
        <v>{{ mod_approach_tl_pl }}</v>
      </c>
    </row>
    <row r="46" spans="1:3" ht="15">
      <c r="A46" s="61" t="s">
        <v>4179</v>
      </c>
      <c r="B46" s="71" t="str" cm="1">
        <f t="array" ref="B46">"{{ "&amp;_xlfn.XLOOKUP(TRUE, EXACT(A46, find_replace!J:J), find_replace!I:I, "not found")&amp;" }}"</f>
        <v>{{ not found }}</v>
      </c>
    </row>
    <row r="47" spans="1:3" ht="15">
      <c r="A47" s="61" t="s">
        <v>1722</v>
      </c>
      <c r="B47" s="71" t="str" cm="1">
        <f t="array" ref="B47">"{{ "&amp;_xlfn.XLOOKUP(TRUE, EXACT(A47, find_replace!J:J), find_replace!I:I, "not found")&amp;" }}"</f>
        <v>{{ mod_assumption_tl_abrv }}</v>
      </c>
      <c r="C47" t="s">
        <v>4022</v>
      </c>
    </row>
    <row r="48" spans="1:3" ht="15">
      <c r="A48" s="61" t="s">
        <v>1389</v>
      </c>
      <c r="B48" s="71" t="str" cm="1">
        <f t="array" ref="B48">"{{ "&amp;_xlfn.XLOOKUP(TRUE, EXACT(A48, find_replace!J:J), find_replace!I:I, "not found")&amp;" }}"</f>
        <v>{{ mod_approach_tl_pl }}</v>
      </c>
      <c r="C48" t="s">
        <v>4180</v>
      </c>
    </row>
    <row r="49" spans="1:3" ht="15">
      <c r="A49" s="61" t="s">
        <v>4181</v>
      </c>
      <c r="B49" s="71" t="str" cm="1">
        <f t="array" ref="B49">"{{ "&amp;_xlfn.XLOOKUP(TRUE, EXACT(A49, find_replace!J:J), find_replace!I:I, "not found")&amp;" }}"</f>
        <v>{{ not found }}</v>
      </c>
    </row>
    <row r="50" spans="1:3" ht="15">
      <c r="A50" s="61" t="s">
        <v>4664</v>
      </c>
      <c r="B50" s="71" t="str" cm="1">
        <f t="array" ref="B50">"{{ "&amp;_xlfn.XLOOKUP(TRUE, EXACT(A50, find_replace!J:J), find_replace!I:I, "not found")&amp;" }}"</f>
        <v>{{ sampledesign_clustered_tl_abrv }}</v>
      </c>
      <c r="C50" t="s">
        <v>4670</v>
      </c>
    </row>
    <row r="51" spans="1:3" ht="15">
      <c r="A51" t="s">
        <v>3992</v>
      </c>
      <c r="B51" s="71" t="str" cm="1">
        <f t="array" ref="B51">"{{ "&amp;_xlfn.XLOOKUP(TRUE, EXACT(A51, find_replace!J:J), find_replace!I:I, "not found")&amp;" }}"</f>
        <v>{{ sampledesign_stratified_random_tl_abrv }}</v>
      </c>
      <c r="C51" t="s">
        <v>4665</v>
      </c>
    </row>
    <row r="52" spans="1:3" ht="15">
      <c r="A52" t="s">
        <v>3975</v>
      </c>
      <c r="B52" s="71" t="str" cm="1">
        <f t="array" ref="B52">"{{ "&amp;_xlfn.XLOOKUP(TRUE, EXACT(A52, find_replace!J:J), find_replace!I:I, "not found")&amp;" }}"</f>
        <v>{{ sampledesign_systematic_random_tl_abrv }}</v>
      </c>
      <c r="C52" t="s">
        <v>4011</v>
      </c>
    </row>
    <row r="53" spans="1:3" ht="15">
      <c r="A53" t="s">
        <v>4666</v>
      </c>
      <c r="B53" s="71" t="str" cm="1">
        <f t="array" ref="B53">"{{ "&amp;_xlfn.XLOOKUP(TRUE, EXACT(A53, find_replace!J:J), find_replace!I:I, "not found")&amp;" }}"</f>
        <v>{{ sampledesign_random_tl_abrv3 }}</v>
      </c>
    </row>
    <row r="54" spans="1:3" ht="15">
      <c r="A54" t="s">
        <v>930</v>
      </c>
      <c r="B54" s="71" t="str" cm="1">
        <f t="array" ref="B54">"{{ "&amp;_xlfn.XLOOKUP(TRUE, EXACT(A54, find_replace!J:J), find_replace!I:I, "not found")&amp;" }}"</f>
        <v>{{ use_intensity_tl }}</v>
      </c>
      <c r="C54" t="s">
        <v>4669</v>
      </c>
    </row>
    <row r="55" spans="1:3" ht="15">
      <c r="A55" t="s">
        <v>3998</v>
      </c>
      <c r="B55" s="71" t="str" cm="1">
        <f t="array" ref="B55">"{{ "&amp;_xlfn.XLOOKUP(TRUE, EXACT(A55, find_replace!J:J), find_replace!I:I, "not found")&amp;" }}"</f>
        <v>{{ sampledesign_targeted_tl_abrv }}</v>
      </c>
      <c r="C55" t="s">
        <v>4671</v>
      </c>
    </row>
    <row r="56" spans="1:3" ht="15">
      <c r="A56" t="s">
        <v>149</v>
      </c>
      <c r="B56" s="71" t="str" cm="1">
        <f t="array" ref="B56">"{{ "&amp;_xlfn.XLOOKUP(TRUE, EXACT(A56, find_replace!J:J), find_replace!I:I, "not found")&amp;" }}"</f>
        <v>{{ obj_occupancy_tl }}</v>
      </c>
      <c r="C56" t="s">
        <v>4672</v>
      </c>
    </row>
    <row r="57" spans="1:3" ht="15">
      <c r="A57" s="93" t="s">
        <v>894</v>
      </c>
      <c r="B57" s="71" t="str" cm="1">
        <f t="array" ref="B57">"{{ "&amp;_xlfn.XLOOKUP(TRUE, EXACT(A57, find_replace!J:J), find_replace!I:I, "not found")&amp;" }}"</f>
        <v>{{ obj_vital_rate_tu }}</v>
      </c>
      <c r="C57" t="s">
        <v>4675</v>
      </c>
    </row>
    <row r="58" spans="1:3" ht="15">
      <c r="A58" s="94" t="s">
        <v>103</v>
      </c>
      <c r="B58" s="71" t="str" cm="1">
        <f t="array" ref="B58">"{{ "&amp;_xlfn.XLOOKUP(TRUE, EXACT(A58, find_replace!J:J), find_replace!I:I, "not found")&amp;" }}"</f>
        <v>{{ state_variable_tu }}</v>
      </c>
    </row>
    <row r="59" spans="1:3" ht="15">
      <c r="A59" s="61" t="s">
        <v>1809</v>
      </c>
      <c r="B59" s="71" t="str" cm="1">
        <f t="array" ref="B59">"{{ "&amp;_xlfn.XLOOKUP(TRUE, EXACT(A59, find_replace!J:J), find_replace!I:I, "not found")&amp;" }}"</f>
        <v>{{ sp_rarity_tl }}</v>
      </c>
    </row>
    <row r="60" spans="1:3" ht="15">
      <c r="A60" s="61" t="s">
        <v>87</v>
      </c>
      <c r="B60" s="71" t="str" cm="1">
        <f t="array" ref="B60">"{{ "&amp;_xlfn.XLOOKUP(TRUE, EXACT(A60, find_replace!J:J), find_replace!I:I, "not found")&amp;" }}"</f>
        <v>{{ sampledesign_targeted_tu }}</v>
      </c>
      <c r="C60" t="s">
        <v>4689</v>
      </c>
    </row>
    <row r="61" spans="1:3" ht="15">
      <c r="A61" t="s">
        <v>1196</v>
      </c>
      <c r="B61" s="71" t="str" cm="1">
        <f t="array" ref="B61">"{{ "&amp;_xlfn.XLOOKUP(TRUE, EXACT(A61, find_replace!J:J), find_replace!I:I, "not found")&amp;" }}"</f>
        <v>{{ mod_cr_tu_abrv }}</v>
      </c>
    </row>
    <row r="62" spans="1:3" ht="15">
      <c r="A62" s="61" t="s">
        <v>4179</v>
      </c>
      <c r="B62" s="71" t="str" cm="1">
        <f t="array" ref="B62">"{{ "&amp;_xlfn.XLOOKUP(TRUE, EXACT(A62, find_replace!J:J), find_replace!I:I, "not found")&amp;" }}"</f>
        <v>{{ not found }}</v>
      </c>
    </row>
    <row r="63" spans="1:3" ht="15.75">
      <c r="A63" s="70" t="s">
        <v>957</v>
      </c>
      <c r="B63" s="71" t="str" cm="1">
        <f t="array" ref="B63">"{{ "&amp;_xlfn.XLOOKUP(TRUE, EXACT(A63, find_replace!J:J), find_replace!I:I, "not found")&amp;" }}"</f>
        <v>{{ study_area_tl }}</v>
      </c>
    </row>
    <row r="64" spans="1:3" ht="15.75">
      <c r="A64" s="70" t="s">
        <v>1191</v>
      </c>
      <c r="B64" s="71" t="str" cm="1">
        <f t="array" ref="B64">"{{ "&amp;_xlfn.XLOOKUP(TRUE, EXACT(A64, find_replace!J:J), find_replace!I:I, "not found")&amp;" }}"</f>
        <v>{{ detection_probability_tl_abrv }}</v>
      </c>
    </row>
    <row r="65" spans="1:2" ht="15">
      <c r="A65" t="s">
        <v>1822</v>
      </c>
      <c r="B65" s="71" t="str" cm="1">
        <f t="array" ref="B65">"{{ "&amp;_xlfn.XLOOKUP(TRUE, EXACT(A65, find_replace!J:J), find_replace!I:I, "not found")&amp;" }}"</f>
        <v>{{ bias_tl_mod }}</v>
      </c>
    </row>
    <row r="66" spans="1:2" ht="15.75">
      <c r="A66" s="70" t="s">
        <v>1808</v>
      </c>
      <c r="B66" s="71" t="str" cm="1">
        <f t="array" ref="B66">"{{ "&amp;_xlfn.XLOOKUP(TRUE, EXACT(A66, find_replace!J:J), find_replace!I:I, "not found")&amp;" }}"</f>
        <v>{{ distribution_species_tl }}</v>
      </c>
    </row>
    <row r="67" spans="1:2" ht="15.75">
      <c r="A67" s="70" t="s">
        <v>1071</v>
      </c>
      <c r="B67" s="71" t="str" cm="1">
        <f t="array" ref="B67">"{{ "&amp;_xlfn.XLOOKUP(TRUE, EXACT(A67, find_replace!J:J), find_replace!I:I, "not found")&amp;" }}"</f>
        <v>{{ cam_location_tu_pl }}</v>
      </c>
    </row>
    <row r="68" spans="1:2" ht="15.75">
      <c r="A68" s="70" t="s">
        <v>953</v>
      </c>
      <c r="B68" s="71" t="str" cm="1">
        <f t="array" ref="B68">"{{ "&amp;_xlfn.XLOOKUP(TRUE, EXACT(A68, find_replace!J:J), find_replace!I:I, "not found")&amp;" }}"</f>
        <v>{{ mod_divers_rich_rich_tl }}</v>
      </c>
    </row>
    <row r="69" spans="1:2" ht="15.75">
      <c r="A69" s="70" t="s">
        <v>946</v>
      </c>
      <c r="B69" s="71" t="str" cm="1">
        <f t="array" ref="B69">"{{ "&amp;_xlfn.XLOOKUP(TRUE, EXACT(A69, find_replace!J:J), find_replace!I:I, "not found")&amp;" }}"</f>
        <v>{{ obj_rel_abund_tl }}</v>
      </c>
    </row>
    <row r="70" spans="1:2" ht="15.75">
      <c r="A70" s="70" t="s">
        <v>1192</v>
      </c>
      <c r="B70" s="71" t="str" cm="1">
        <f t="array" ref="B70">"{{ "&amp;_xlfn.XLOOKUP(TRUE, EXACT(A70, find_replace!J:J), find_replace!I:I, "not found")&amp;" }}"</f>
        <v>{{ behaviour_tl_pl }}</v>
      </c>
    </row>
    <row r="71" spans="1:2" ht="15.75">
      <c r="A71" s="70" t="s">
        <v>5945</v>
      </c>
      <c r="B71" s="71" t="str" cm="1">
        <f t="array" ref="B71">"{{ "&amp;_xlfn.XLOOKUP(TRUE, EXACT(A71, find_replace!J:J), find_replace!I:I, "not found")&amp;" }}"</f>
        <v>{{ not found }}</v>
      </c>
    </row>
    <row r="72" spans="1:2" ht="15.75">
      <c r="A72" s="70" t="s">
        <v>788</v>
      </c>
      <c r="B72" s="71" t="str" cm="1">
        <f t="array" ref="B72">"{{ "&amp;_xlfn.XLOOKUP(TRUE, EXACT(A72, find_replace!J:J), find_replace!I:I, "not found")&amp;" }}"</f>
        <v>{{ precision_tl }}</v>
      </c>
    </row>
    <row r="73" spans="1:2" ht="15">
      <c r="B73" s="71" t="str" cm="1">
        <f t="array" ref="B73">"{{ "&amp;_xlfn.XLOOKUP(TRUE, EXACT(A73, find_replace!J:J), find_replace!I:I, "not found")&amp;" }}"</f>
        <v>{{  }}</v>
      </c>
    </row>
    <row r="74" spans="1:2" ht="15">
      <c r="B74" s="71" t="str" cm="1">
        <f t="array" ref="B74">"{{ "&amp;_xlfn.XLOOKUP(TRUE, EXACT(A74, find_replace!J:J), find_replace!I:I, "not found")&amp;" }}"</f>
        <v>{{  }}</v>
      </c>
    </row>
  </sheetData>
  <autoFilter ref="A1:C45" xr:uid="{492CF646-10F1-4CE2-9BD0-9D8A1C536272}">
    <sortState xmlns:xlrd2="http://schemas.microsoft.com/office/spreadsheetml/2017/richdata2" ref="A2:C45">
      <sortCondition ref="A1:A45"/>
    </sortState>
  </autoFilter>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E54D5-F14E-437B-9501-E5D15C99EBD4}">
  <sheetPr codeName="Sheet3">
    <tabColor theme="8" tint="0.79998168889431442"/>
  </sheetPr>
  <dimension ref="A1:J48"/>
  <sheetViews>
    <sheetView workbookViewId="0">
      <selection activeCell="F12" sqref="F12"/>
    </sheetView>
  </sheetViews>
  <sheetFormatPr defaultRowHeight="14.25"/>
  <cols>
    <col min="1" max="1" width="16.125" customWidth="1"/>
    <col min="2" max="2" width="28.25" customWidth="1"/>
    <col min="4" max="4" width="28.25" customWidth="1"/>
    <col min="5" max="5" width="18.75" customWidth="1"/>
    <col min="6" max="7" width="16.875" customWidth="1"/>
    <col min="8" max="8" width="27.375" customWidth="1"/>
    <col min="9" max="9" width="18.625" customWidth="1"/>
  </cols>
  <sheetData>
    <row r="1" spans="1:10" ht="15">
      <c r="A1" s="6" t="s">
        <v>1747</v>
      </c>
      <c r="B1" s="5" t="s">
        <v>428</v>
      </c>
      <c r="C1" s="38" t="s">
        <v>1746</v>
      </c>
      <c r="D1" s="19" t="s">
        <v>347</v>
      </c>
      <c r="E1" s="22" t="s">
        <v>1747</v>
      </c>
      <c r="F1" s="22" t="s">
        <v>1746</v>
      </c>
      <c r="G1" s="22" t="s">
        <v>1746</v>
      </c>
      <c r="H1" s="38" t="s">
        <v>1746</v>
      </c>
    </row>
    <row r="2" spans="1:10" ht="15">
      <c r="A2" s="6" t="s">
        <v>1745</v>
      </c>
      <c r="B2" s="38" t="s">
        <v>430</v>
      </c>
      <c r="C2" t="s">
        <v>1208</v>
      </c>
      <c r="D2" s="38" t="s">
        <v>303</v>
      </c>
      <c r="E2" s="8" t="s">
        <v>672</v>
      </c>
      <c r="F2" s="22" t="str">
        <f t="shared" ref="F2:F47" si="0">". "&amp;E2</f>
        <v>. Adult</v>
      </c>
      <c r="G2" s="21" t="str">
        <f t="shared" ref="G2:G47" si="1">E2&amp;"."</f>
        <v>Adult.</v>
      </c>
      <c r="H2" s="38" t="str">
        <f t="shared" ref="H2:H47" si="2">"{{ "&amp;C2&amp;"_"&amp;D2&amp;" }}"&amp;"."</f>
        <v>{{ tu_age_class_adult }}.</v>
      </c>
      <c r="I2" t="str">
        <f t="shared" ref="I2:I21" si="3">PROPER(G2)</f>
        <v>Adult.</v>
      </c>
      <c r="J2" t="str">
        <f t="shared" ref="J2:J21" si="4">"{{ tu_"&amp;D2&amp;" }}"&amp;"."</f>
        <v>{{ tu_age_class_adult }}.</v>
      </c>
    </row>
    <row r="3" spans="1:10" ht="15">
      <c r="A3" s="6" t="s">
        <v>1745</v>
      </c>
      <c r="B3" s="38" t="s">
        <v>430</v>
      </c>
      <c r="C3" t="s">
        <v>1208</v>
      </c>
      <c r="D3" s="38" t="s">
        <v>280</v>
      </c>
      <c r="E3" s="8" t="s">
        <v>673</v>
      </c>
      <c r="F3" s="22" t="str">
        <f t="shared" si="0"/>
        <v>. Juvenile</v>
      </c>
      <c r="G3" s="21" t="str">
        <f t="shared" si="1"/>
        <v>Juvenile.</v>
      </c>
      <c r="H3" s="38" t="str">
        <f t="shared" si="2"/>
        <v>{{ tu_age_class_juvenile }}.</v>
      </c>
      <c r="I3" t="str">
        <f t="shared" si="3"/>
        <v>Juvenile.</v>
      </c>
      <c r="J3" t="str">
        <f t="shared" si="4"/>
        <v>{{ tu_age_class_juvenile }}.</v>
      </c>
    </row>
    <row r="4" spans="1:10" ht="15">
      <c r="A4" s="6" t="s">
        <v>1745</v>
      </c>
      <c r="B4" s="38" t="s">
        <v>430</v>
      </c>
      <c r="C4" t="s">
        <v>1208</v>
      </c>
      <c r="D4" s="38" t="s">
        <v>243</v>
      </c>
      <c r="E4" s="8" t="s">
        <v>674</v>
      </c>
      <c r="F4" s="22" t="str">
        <f t="shared" si="0"/>
        <v>. Subadult</v>
      </c>
      <c r="G4" s="21" t="str">
        <f t="shared" si="1"/>
        <v>Subadult.</v>
      </c>
      <c r="H4" s="38" t="str">
        <f t="shared" si="2"/>
        <v>{{ tu_age_class_subadult }}.</v>
      </c>
      <c r="I4" t="str">
        <f t="shared" si="3"/>
        <v>Subadult.</v>
      </c>
      <c r="J4" t="str">
        <f t="shared" si="4"/>
        <v>{{ tu_age_class_subadult }}.</v>
      </c>
    </row>
    <row r="5" spans="1:10" ht="15">
      <c r="A5" s="6" t="s">
        <v>1745</v>
      </c>
      <c r="B5" s="38" t="s">
        <v>429</v>
      </c>
      <c r="C5" t="s">
        <v>1208</v>
      </c>
      <c r="D5" s="38" t="s">
        <v>300</v>
      </c>
      <c r="E5" s="8" t="s">
        <v>677</v>
      </c>
      <c r="F5" s="22" t="str">
        <f t="shared" si="0"/>
        <v>. Analyst</v>
      </c>
      <c r="G5" s="21" t="str">
        <f t="shared" si="1"/>
        <v>Analyst.</v>
      </c>
      <c r="H5" s="38" t="str">
        <f t="shared" si="2"/>
        <v>{{ tu_analyst }}.</v>
      </c>
      <c r="I5" t="str">
        <f t="shared" si="3"/>
        <v>Analyst.</v>
      </c>
      <c r="J5" t="str">
        <f t="shared" si="4"/>
        <v>{{ tu_analyst }}.</v>
      </c>
    </row>
    <row r="6" spans="1:10">
      <c r="A6" s="6" t="s">
        <v>1745</v>
      </c>
      <c r="B6" s="38" t="s">
        <v>0</v>
      </c>
      <c r="C6" s="38" t="s">
        <v>1207</v>
      </c>
      <c r="D6" s="38" t="s">
        <v>234</v>
      </c>
      <c r="E6" s="21" t="s">
        <v>903</v>
      </c>
      <c r="F6" s="22" t="str">
        <f t="shared" si="0"/>
        <v>. bait</v>
      </c>
      <c r="G6" s="21" t="str">
        <f t="shared" si="1"/>
        <v>bait.</v>
      </c>
      <c r="H6" s="38" t="str">
        <f t="shared" si="2"/>
        <v>{{ tl_baitlure_bait }}.</v>
      </c>
      <c r="I6" t="str">
        <f t="shared" si="3"/>
        <v>Bait.</v>
      </c>
      <c r="J6" t="str">
        <f t="shared" si="4"/>
        <v>{{ tu_baitlure_bait }}.</v>
      </c>
    </row>
    <row r="7" spans="1:10">
      <c r="A7" s="6" t="s">
        <v>1745</v>
      </c>
      <c r="B7" s="38" t="s">
        <v>0</v>
      </c>
      <c r="C7" t="s">
        <v>1208</v>
      </c>
      <c r="D7" s="38" t="s">
        <v>234</v>
      </c>
      <c r="E7" s="6" t="s">
        <v>235</v>
      </c>
      <c r="F7" s="22" t="str">
        <f t="shared" si="0"/>
        <v>. Bait</v>
      </c>
      <c r="G7" s="21" t="str">
        <f t="shared" si="1"/>
        <v>Bait.</v>
      </c>
      <c r="H7" s="38" t="str">
        <f t="shared" si="2"/>
        <v>{{ tu_baitlure_bait }}.</v>
      </c>
      <c r="I7" t="str">
        <f t="shared" si="3"/>
        <v>Bait.</v>
      </c>
      <c r="J7" t="str">
        <f t="shared" si="4"/>
        <v>{{ tu_baitlure_bait }}.</v>
      </c>
    </row>
    <row r="8" spans="1:10">
      <c r="A8" s="6" t="s">
        <v>1745</v>
      </c>
      <c r="B8" s="38" t="s">
        <v>0</v>
      </c>
      <c r="C8" s="38" t="s">
        <v>1207</v>
      </c>
      <c r="D8" s="38" t="s">
        <v>161</v>
      </c>
      <c r="E8" s="21" t="s">
        <v>935</v>
      </c>
      <c r="F8" s="22" t="str">
        <f t="shared" si="0"/>
        <v>. lure</v>
      </c>
      <c r="G8" s="21" t="str">
        <f t="shared" si="1"/>
        <v>lure.</v>
      </c>
      <c r="H8" s="38" t="str">
        <f t="shared" si="2"/>
        <v>{{ tl_baitlure_lure }}.</v>
      </c>
      <c r="I8" t="str">
        <f t="shared" si="3"/>
        <v>Lure.</v>
      </c>
      <c r="J8" t="str">
        <f t="shared" si="4"/>
        <v>{{ tu_baitlure_lure }}.</v>
      </c>
    </row>
    <row r="9" spans="1:10">
      <c r="A9" s="6" t="s">
        <v>1745</v>
      </c>
      <c r="B9" s="38" t="s">
        <v>0</v>
      </c>
      <c r="C9" t="s">
        <v>1208</v>
      </c>
      <c r="D9" s="38" t="s">
        <v>161</v>
      </c>
      <c r="E9" s="38" t="s">
        <v>162</v>
      </c>
      <c r="F9" s="22" t="str">
        <f t="shared" si="0"/>
        <v>. Lure</v>
      </c>
      <c r="G9" s="21" t="str">
        <f t="shared" si="1"/>
        <v>Lure.</v>
      </c>
      <c r="H9" s="38" t="str">
        <f t="shared" si="2"/>
        <v>{{ tu_baitlure_lure }}.</v>
      </c>
      <c r="I9" t="str">
        <f t="shared" si="3"/>
        <v>Lure.</v>
      </c>
      <c r="J9" t="str">
        <f t="shared" si="4"/>
        <v>{{ tu_baitlure_lure }}.</v>
      </c>
    </row>
    <row r="10" spans="1:10">
      <c r="A10" s="6" t="s">
        <v>1745</v>
      </c>
      <c r="B10" s="38" t="s">
        <v>429</v>
      </c>
      <c r="C10" s="38" t="s">
        <v>1207</v>
      </c>
      <c r="D10" s="38" t="s">
        <v>339</v>
      </c>
      <c r="E10" s="21" t="s">
        <v>339</v>
      </c>
      <c r="F10" s="22" t="str">
        <f t="shared" si="0"/>
        <v>. behaviour</v>
      </c>
      <c r="G10" s="21" t="str">
        <f t="shared" si="1"/>
        <v>behaviour.</v>
      </c>
      <c r="H10" s="38" t="str">
        <f t="shared" si="2"/>
        <v>{{ tl_behaviour }}.</v>
      </c>
      <c r="I10" t="str">
        <f t="shared" si="3"/>
        <v>Behaviour.</v>
      </c>
      <c r="J10" t="str">
        <f t="shared" si="4"/>
        <v>{{ tu_behaviour }}.</v>
      </c>
    </row>
    <row r="11" spans="1:10" ht="15">
      <c r="A11" s="6" t="s">
        <v>1745</v>
      </c>
      <c r="B11" s="38" t="s">
        <v>429</v>
      </c>
      <c r="C11" t="s">
        <v>1208</v>
      </c>
      <c r="D11" s="38" t="s">
        <v>339</v>
      </c>
      <c r="E11" s="25" t="s">
        <v>30</v>
      </c>
      <c r="F11" s="22" t="str">
        <f t="shared" si="0"/>
        <v>. Behaviour</v>
      </c>
      <c r="G11" s="21" t="str">
        <f t="shared" si="1"/>
        <v>Behaviour.</v>
      </c>
      <c r="H11" s="38" t="str">
        <f t="shared" si="2"/>
        <v>{{ tu_behaviour }}.</v>
      </c>
      <c r="I11" t="str">
        <f t="shared" si="3"/>
        <v>Behaviour.</v>
      </c>
      <c r="J11" t="str">
        <f t="shared" si="4"/>
        <v>{{ tu_behaviour }}.</v>
      </c>
    </row>
    <row r="12" spans="1:10">
      <c r="A12" s="6" t="s">
        <v>1745</v>
      </c>
      <c r="B12" s="38" t="s">
        <v>0</v>
      </c>
      <c r="C12" s="38" t="s">
        <v>1207</v>
      </c>
      <c r="D12" s="38" t="s">
        <v>220</v>
      </c>
      <c r="E12" s="21" t="s">
        <v>220</v>
      </c>
      <c r="F12" s="22" t="str">
        <f t="shared" si="0"/>
        <v>. crew</v>
      </c>
      <c r="G12" s="21" t="str">
        <f t="shared" si="1"/>
        <v>crew.</v>
      </c>
      <c r="H12" s="38" t="str">
        <f t="shared" si="2"/>
        <v>{{ tl_crew }}.</v>
      </c>
      <c r="I12" t="str">
        <f t="shared" si="3"/>
        <v>Crew.</v>
      </c>
      <c r="J12" t="str">
        <f t="shared" si="4"/>
        <v>{{ tu_crew }}.</v>
      </c>
    </row>
    <row r="13" spans="1:10">
      <c r="A13" s="6" t="s">
        <v>1745</v>
      </c>
      <c r="B13" s="38" t="s">
        <v>0</v>
      </c>
      <c r="C13" t="s">
        <v>1208</v>
      </c>
      <c r="D13" s="38" t="s">
        <v>220</v>
      </c>
      <c r="E13" s="38" t="s">
        <v>221</v>
      </c>
      <c r="F13" s="22" t="str">
        <f t="shared" si="0"/>
        <v>. Crew</v>
      </c>
      <c r="G13" s="21" t="str">
        <f t="shared" si="1"/>
        <v>Crew.</v>
      </c>
      <c r="H13" s="38" t="str">
        <f t="shared" si="2"/>
        <v>{{ tu_crew }}.</v>
      </c>
      <c r="I13" t="str">
        <f t="shared" si="3"/>
        <v>Crew.</v>
      </c>
      <c r="J13" t="str">
        <f t="shared" si="4"/>
        <v>{{ tu_crew }}.</v>
      </c>
    </row>
    <row r="14" spans="1:10">
      <c r="A14" s="6" t="s">
        <v>1745</v>
      </c>
      <c r="B14" s="38" t="s">
        <v>0</v>
      </c>
      <c r="C14" s="38" t="s">
        <v>1207</v>
      </c>
      <c r="D14" s="38" t="s">
        <v>518</v>
      </c>
      <c r="E14" s="22" t="s">
        <v>518</v>
      </c>
      <c r="F14" s="22" t="str">
        <f t="shared" si="0"/>
        <v>. density</v>
      </c>
      <c r="G14" s="21" t="str">
        <f t="shared" si="1"/>
        <v>density.</v>
      </c>
      <c r="H14" s="38" t="str">
        <f t="shared" si="2"/>
        <v>{{ tl_density }}.</v>
      </c>
      <c r="I14" t="str">
        <f t="shared" si="3"/>
        <v>Density.</v>
      </c>
      <c r="J14" t="str">
        <f t="shared" si="4"/>
        <v>{{ tu_density }}.</v>
      </c>
    </row>
    <row r="15" spans="1:10">
      <c r="A15" s="6" t="s">
        <v>1745</v>
      </c>
      <c r="B15" s="38" t="s">
        <v>0</v>
      </c>
      <c r="C15" t="s">
        <v>1208</v>
      </c>
      <c r="D15" s="38" t="s">
        <v>518</v>
      </c>
      <c r="E15" s="3" t="s">
        <v>527</v>
      </c>
      <c r="F15" s="22" t="str">
        <f t="shared" si="0"/>
        <v>. Density</v>
      </c>
      <c r="G15" s="21" t="str">
        <f t="shared" si="1"/>
        <v>Density.</v>
      </c>
      <c r="H15" s="38" t="str">
        <f t="shared" si="2"/>
        <v>{{ tu_density }}.</v>
      </c>
      <c r="I15" t="str">
        <f t="shared" si="3"/>
        <v>Density.</v>
      </c>
      <c r="J15" t="str">
        <f t="shared" si="4"/>
        <v>{{ tu_density }}.</v>
      </c>
    </row>
    <row r="16" spans="1:10">
      <c r="A16" s="6" t="s">
        <v>1745</v>
      </c>
      <c r="B16" s="38" t="s">
        <v>0</v>
      </c>
      <c r="C16" s="38" t="s">
        <v>1207</v>
      </c>
      <c r="D16" s="38" t="s">
        <v>216</v>
      </c>
      <c r="E16" s="21" t="s">
        <v>216</v>
      </c>
      <c r="F16" s="22" t="str">
        <f t="shared" si="0"/>
        <v>. deployment</v>
      </c>
      <c r="G16" s="21" t="str">
        <f t="shared" si="1"/>
        <v>deployment.</v>
      </c>
      <c r="H16" s="38" t="str">
        <f t="shared" si="2"/>
        <v>{{ tl_deployment }}.</v>
      </c>
      <c r="I16" t="str">
        <f t="shared" si="3"/>
        <v>Deployment.</v>
      </c>
      <c r="J16" t="str">
        <f t="shared" si="4"/>
        <v>{{ tu_deployment }}.</v>
      </c>
    </row>
    <row r="17" spans="1:10">
      <c r="A17" s="6" t="s">
        <v>1745</v>
      </c>
      <c r="B17" s="38" t="s">
        <v>0</v>
      </c>
      <c r="C17" t="s">
        <v>1208</v>
      </c>
      <c r="D17" s="38" t="s">
        <v>216</v>
      </c>
      <c r="E17" s="38" t="s">
        <v>217</v>
      </c>
      <c r="F17" s="22" t="str">
        <f t="shared" si="0"/>
        <v>. Deployment</v>
      </c>
      <c r="G17" s="21" t="str">
        <f t="shared" si="1"/>
        <v>Deployment.</v>
      </c>
      <c r="H17" s="38" t="str">
        <f t="shared" si="2"/>
        <v>{{ tu_deployment }}.</v>
      </c>
      <c r="I17" t="str">
        <f t="shared" si="3"/>
        <v>Deployment.</v>
      </c>
      <c r="J17" t="str">
        <f t="shared" si="4"/>
        <v>{{ tu_deployment }}.</v>
      </c>
    </row>
    <row r="18" spans="1:10">
      <c r="A18" s="6" t="s">
        <v>1745</v>
      </c>
      <c r="B18" s="38" t="s">
        <v>0</v>
      </c>
      <c r="C18" s="38" t="s">
        <v>1207</v>
      </c>
      <c r="D18" s="38" t="s">
        <v>66</v>
      </c>
      <c r="E18" s="21" t="s">
        <v>791</v>
      </c>
      <c r="F18" s="22" t="str">
        <f t="shared" si="0"/>
        <v>. viewshed</v>
      </c>
      <c r="G18" s="21" t="str">
        <f t="shared" si="1"/>
        <v>viewshed.</v>
      </c>
      <c r="H18" s="38" t="str">
        <f t="shared" si="2"/>
        <v>{{ tl_fov_viewshed }}.</v>
      </c>
      <c r="I18" t="str">
        <f t="shared" si="3"/>
        <v>Viewshed.</v>
      </c>
      <c r="J18" t="str">
        <f t="shared" si="4"/>
        <v>{{ tu_fov_viewshed }}.</v>
      </c>
    </row>
    <row r="19" spans="1:10">
      <c r="A19" s="6" t="s">
        <v>1745</v>
      </c>
      <c r="B19" s="38" t="s">
        <v>0</v>
      </c>
      <c r="C19" t="s">
        <v>1208</v>
      </c>
      <c r="D19" s="38" t="s">
        <v>66</v>
      </c>
      <c r="E19" s="6" t="s">
        <v>68</v>
      </c>
      <c r="F19" s="22" t="str">
        <f t="shared" si="0"/>
        <v>. Viewshed</v>
      </c>
      <c r="G19" s="21" t="str">
        <f t="shared" si="1"/>
        <v>Viewshed.</v>
      </c>
      <c r="H19" s="38" t="str">
        <f t="shared" si="2"/>
        <v>{{ tu_fov_viewshed }}.</v>
      </c>
      <c r="I19" t="str">
        <f t="shared" si="3"/>
        <v>Viewshed.</v>
      </c>
      <c r="J19" t="str">
        <f t="shared" si="4"/>
        <v>{{ tu_fov_viewshed }}.</v>
      </c>
    </row>
    <row r="20" spans="1:10">
      <c r="A20" s="6" t="s">
        <v>1745</v>
      </c>
      <c r="B20" s="38" t="s">
        <v>0</v>
      </c>
      <c r="C20" s="38" t="s">
        <v>1207</v>
      </c>
      <c r="D20" s="38" t="s">
        <v>183</v>
      </c>
      <c r="E20" s="21" t="s">
        <v>183</v>
      </c>
      <c r="F20" s="22" t="str">
        <f t="shared" si="0"/>
        <v>. image</v>
      </c>
      <c r="G20" s="21" t="str">
        <f t="shared" si="1"/>
        <v>image.</v>
      </c>
      <c r="H20" s="38" t="str">
        <f t="shared" si="2"/>
        <v>{{ tl_image }}.</v>
      </c>
      <c r="I20" t="str">
        <f t="shared" si="3"/>
        <v>Image.</v>
      </c>
      <c r="J20" t="str">
        <f t="shared" si="4"/>
        <v>{{ tu_image }}.</v>
      </c>
    </row>
    <row r="21" spans="1:10">
      <c r="A21" s="6" t="s">
        <v>1745</v>
      </c>
      <c r="B21" s="38" t="s">
        <v>0</v>
      </c>
      <c r="C21" t="s">
        <v>1208</v>
      </c>
      <c r="D21" s="38" t="s">
        <v>183</v>
      </c>
      <c r="E21" s="38" t="s">
        <v>184</v>
      </c>
      <c r="F21" s="22" t="str">
        <f t="shared" si="0"/>
        <v>. Image</v>
      </c>
      <c r="G21" s="21" t="str">
        <f t="shared" si="1"/>
        <v>Image.</v>
      </c>
      <c r="H21" s="38" t="str">
        <f t="shared" si="2"/>
        <v>{{ tu_image }}.</v>
      </c>
      <c r="I21" t="str">
        <f t="shared" si="3"/>
        <v>Image.</v>
      </c>
      <c r="J21" t="str">
        <f t="shared" si="4"/>
        <v>{{ tu_image }}.</v>
      </c>
    </row>
    <row r="22" spans="1:10">
      <c r="A22" s="6" t="s">
        <v>1745</v>
      </c>
      <c r="B22" s="38" t="s">
        <v>0</v>
      </c>
      <c r="C22" s="38" t="s">
        <v>1207</v>
      </c>
      <c r="D22" s="38" t="s">
        <v>155</v>
      </c>
      <c r="E22" s="21" t="s">
        <v>155</v>
      </c>
      <c r="F22" s="22" t="str">
        <f t="shared" si="0"/>
        <v>. metadata</v>
      </c>
      <c r="G22" s="21" t="str">
        <f t="shared" si="1"/>
        <v>metadata.</v>
      </c>
      <c r="H22" s="38" t="str">
        <f t="shared" si="2"/>
        <v>{{ tl_metadata }}.</v>
      </c>
    </row>
    <row r="23" spans="1:10">
      <c r="A23" s="6" t="s">
        <v>1745</v>
      </c>
      <c r="B23" s="38" t="s">
        <v>0</v>
      </c>
      <c r="C23" t="s">
        <v>1208</v>
      </c>
      <c r="D23" s="38" t="s">
        <v>155</v>
      </c>
      <c r="E23" s="38" t="s">
        <v>157</v>
      </c>
      <c r="F23" s="22" t="str">
        <f t="shared" si="0"/>
        <v>. Metadata</v>
      </c>
      <c r="G23" s="21" t="str">
        <f t="shared" si="1"/>
        <v>Metadata.</v>
      </c>
      <c r="H23" s="38" t="str">
        <f t="shared" si="2"/>
        <v>{{ tu_metadata }}.</v>
      </c>
    </row>
    <row r="24" spans="1:10">
      <c r="A24" s="6" t="s">
        <v>1745</v>
      </c>
      <c r="B24" s="38" t="s">
        <v>0</v>
      </c>
      <c r="C24" s="38" t="s">
        <v>1207</v>
      </c>
      <c r="D24" s="38" t="s">
        <v>38</v>
      </c>
      <c r="E24" s="21" t="s">
        <v>933</v>
      </c>
      <c r="F24" s="22" t="str">
        <f t="shared" si="0"/>
        <v>. inventory</v>
      </c>
      <c r="G24" s="21" t="str">
        <f t="shared" si="1"/>
        <v>inventory.</v>
      </c>
      <c r="H24" s="38" t="str">
        <f t="shared" si="2"/>
        <v>{{ tl_mod_inventory }}.</v>
      </c>
    </row>
    <row r="25" spans="1:10">
      <c r="A25" s="6" t="s">
        <v>1745</v>
      </c>
      <c r="B25" s="38" t="s">
        <v>0</v>
      </c>
      <c r="C25" t="s">
        <v>1208</v>
      </c>
      <c r="D25" s="38" t="s">
        <v>38</v>
      </c>
      <c r="E25" s="38" t="s">
        <v>163</v>
      </c>
      <c r="F25" s="22" t="str">
        <f t="shared" si="0"/>
        <v>. Inventory</v>
      </c>
      <c r="G25" s="21" t="str">
        <f t="shared" si="1"/>
        <v>Inventory.</v>
      </c>
      <c r="H25" s="38" t="str">
        <f t="shared" si="2"/>
        <v>{{ tu_mod_inventory }}.</v>
      </c>
    </row>
    <row r="26" spans="1:10">
      <c r="A26" s="6" t="s">
        <v>1745</v>
      </c>
      <c r="B26" s="38" t="s">
        <v>0</v>
      </c>
      <c r="C26" s="38" t="s">
        <v>1207</v>
      </c>
      <c r="D26" s="38" t="s">
        <v>460</v>
      </c>
      <c r="E26" s="21" t="s">
        <v>464</v>
      </c>
      <c r="F26" s="22" t="str">
        <f t="shared" si="0"/>
        <v>. overdispersion</v>
      </c>
      <c r="G26" s="21" t="str">
        <f t="shared" si="1"/>
        <v>overdispersion.</v>
      </c>
      <c r="H26" s="38" t="str">
        <f t="shared" si="2"/>
        <v>{{ tl_mod_overdispersion }}.</v>
      </c>
    </row>
    <row r="27" spans="1:10">
      <c r="A27" s="6" t="s">
        <v>1745</v>
      </c>
      <c r="B27" s="38" t="s">
        <v>0</v>
      </c>
      <c r="C27" t="s">
        <v>1208</v>
      </c>
      <c r="D27" s="38" t="s">
        <v>460</v>
      </c>
      <c r="E27" s="6" t="s">
        <v>146</v>
      </c>
      <c r="F27" s="22" t="str">
        <f t="shared" si="0"/>
        <v>. Overdispersion</v>
      </c>
      <c r="G27" s="21" t="str">
        <f t="shared" si="1"/>
        <v>Overdispersion.</v>
      </c>
      <c r="H27" s="38" t="str">
        <f t="shared" si="2"/>
        <v>{{ tu_mod_overdispersion }}.</v>
      </c>
    </row>
    <row r="28" spans="1:10">
      <c r="A28" s="6" t="s">
        <v>1745</v>
      </c>
      <c r="B28" s="38" t="s">
        <v>0</v>
      </c>
      <c r="C28" s="38" t="s">
        <v>1207</v>
      </c>
      <c r="D28" s="38" t="s">
        <v>47</v>
      </c>
      <c r="E28" s="21" t="s">
        <v>149</v>
      </c>
      <c r="F28" s="22" t="str">
        <f t="shared" si="0"/>
        <v>. occupancy</v>
      </c>
      <c r="G28" s="21" t="str">
        <f t="shared" si="1"/>
        <v>occupancy.</v>
      </c>
      <c r="H28" s="38" t="str">
        <f t="shared" si="2"/>
        <v>{{ tl_obj_occupancy }}.</v>
      </c>
    </row>
    <row r="29" spans="1:10">
      <c r="A29" s="6" t="s">
        <v>1745</v>
      </c>
      <c r="B29" s="38" t="s">
        <v>0</v>
      </c>
      <c r="C29" t="s">
        <v>1208</v>
      </c>
      <c r="D29" s="38" t="s">
        <v>47</v>
      </c>
      <c r="E29" s="38" t="s">
        <v>46</v>
      </c>
      <c r="F29" s="22" t="str">
        <f t="shared" si="0"/>
        <v>. Occupancy</v>
      </c>
      <c r="G29" s="21" t="str">
        <f t="shared" si="1"/>
        <v>Occupancy.</v>
      </c>
      <c r="H29" s="38" t="str">
        <f t="shared" si="2"/>
        <v>{{ tu_obj_occupancy }}.</v>
      </c>
    </row>
    <row r="30" spans="1:10">
      <c r="A30" s="6" t="s">
        <v>1745</v>
      </c>
      <c r="B30" s="38" t="s">
        <v>0</v>
      </c>
      <c r="C30" s="38" t="s">
        <v>1207</v>
      </c>
      <c r="D30" s="38" t="s">
        <v>139</v>
      </c>
      <c r="E30" s="21" t="s">
        <v>139</v>
      </c>
      <c r="F30" s="22" t="str">
        <f t="shared" si="0"/>
        <v>. project</v>
      </c>
      <c r="G30" s="21" t="str">
        <f t="shared" si="1"/>
        <v>project.</v>
      </c>
      <c r="H30" s="38" t="str">
        <f t="shared" si="2"/>
        <v>{{ tl_project }}.</v>
      </c>
    </row>
    <row r="31" spans="1:10">
      <c r="A31" s="6" t="s">
        <v>1745</v>
      </c>
      <c r="B31" s="38" t="s">
        <v>0</v>
      </c>
      <c r="C31" t="s">
        <v>1208</v>
      </c>
      <c r="D31" s="38" t="s">
        <v>139</v>
      </c>
      <c r="E31" s="38" t="s">
        <v>140</v>
      </c>
      <c r="F31" s="22" t="str">
        <f t="shared" si="0"/>
        <v>. Project</v>
      </c>
      <c r="G31" s="21" t="str">
        <f t="shared" si="1"/>
        <v>Project.</v>
      </c>
      <c r="H31" s="38" t="str">
        <f t="shared" si="2"/>
        <v>{{ tu_project }}.</v>
      </c>
    </row>
    <row r="32" spans="1:10">
      <c r="A32" s="6" t="s">
        <v>1745</v>
      </c>
      <c r="B32" s="38" t="s">
        <v>0</v>
      </c>
      <c r="C32" s="38" t="s">
        <v>1207</v>
      </c>
      <c r="D32" s="38" t="s">
        <v>136</v>
      </c>
      <c r="E32" s="21" t="s">
        <v>136</v>
      </c>
      <c r="F32" s="22" t="str">
        <f t="shared" si="0"/>
        <v>. pseudoreplication</v>
      </c>
      <c r="G32" s="21" t="str">
        <f t="shared" si="1"/>
        <v>pseudoreplication.</v>
      </c>
      <c r="H32" s="38" t="str">
        <f t="shared" si="2"/>
        <v>{{ tl_pseudoreplication }}.</v>
      </c>
    </row>
    <row r="33" spans="1:8">
      <c r="A33" s="6" t="s">
        <v>1745</v>
      </c>
      <c r="B33" s="38" t="s">
        <v>0</v>
      </c>
      <c r="C33" t="s">
        <v>1208</v>
      </c>
      <c r="D33" s="38" t="s">
        <v>136</v>
      </c>
      <c r="E33" s="38" t="s">
        <v>138</v>
      </c>
      <c r="F33" s="22" t="str">
        <f t="shared" si="0"/>
        <v>. Pseudoreplication</v>
      </c>
      <c r="G33" s="21" t="str">
        <f t="shared" si="1"/>
        <v>Pseudoreplication.</v>
      </c>
      <c r="H33" s="38" t="str">
        <f t="shared" si="2"/>
        <v>{{ tu_pseudoreplication }}.</v>
      </c>
    </row>
    <row r="34" spans="1:8" ht="15">
      <c r="A34" s="6" t="s">
        <v>1745</v>
      </c>
      <c r="B34" s="38" t="s">
        <v>429</v>
      </c>
      <c r="C34" t="s">
        <v>1208</v>
      </c>
      <c r="D34" s="38" t="s">
        <v>318</v>
      </c>
      <c r="E34" s="8" t="s">
        <v>756</v>
      </c>
      <c r="F34" s="22" t="str">
        <f t="shared" si="0"/>
        <v>. Security</v>
      </c>
      <c r="G34" s="21" t="str">
        <f t="shared" si="1"/>
        <v>Security.</v>
      </c>
      <c r="H34" s="38" t="str">
        <f t="shared" si="2"/>
        <v>{{ tu_security }}.</v>
      </c>
    </row>
    <row r="35" spans="1:8">
      <c r="A35" s="6" t="s">
        <v>1745</v>
      </c>
      <c r="B35" s="38" t="s">
        <v>0</v>
      </c>
      <c r="C35" s="38" t="s">
        <v>1207</v>
      </c>
      <c r="D35" s="38" t="s">
        <v>118</v>
      </c>
      <c r="E35" s="21" t="s">
        <v>118</v>
      </c>
      <c r="F35" s="22" t="str">
        <f t="shared" si="0"/>
        <v>. sequence</v>
      </c>
      <c r="G35" s="21" t="str">
        <f t="shared" si="1"/>
        <v>sequence.</v>
      </c>
      <c r="H35" s="38" t="str">
        <f t="shared" si="2"/>
        <v>{{ tl_sequence }}.</v>
      </c>
    </row>
    <row r="36" spans="1:8">
      <c r="A36" s="6" t="s">
        <v>1745</v>
      </c>
      <c r="B36" s="38" t="s">
        <v>0</v>
      </c>
      <c r="C36" t="s">
        <v>1208</v>
      </c>
      <c r="D36" s="38" t="s">
        <v>118</v>
      </c>
      <c r="E36" s="38" t="s">
        <v>119</v>
      </c>
      <c r="F36" s="22" t="str">
        <f t="shared" si="0"/>
        <v>. Sequence</v>
      </c>
      <c r="G36" s="21" t="str">
        <f t="shared" si="1"/>
        <v>Sequence.</v>
      </c>
      <c r="H36" s="38" t="str">
        <f t="shared" si="2"/>
        <v>{{ tu_sequence }}.</v>
      </c>
    </row>
    <row r="37" spans="1:8" ht="15">
      <c r="A37" s="6" t="s">
        <v>1745</v>
      </c>
      <c r="B37" s="38" t="s">
        <v>429</v>
      </c>
      <c r="C37" t="s">
        <v>1208</v>
      </c>
      <c r="D37" s="38" t="s">
        <v>253</v>
      </c>
      <c r="E37" s="8" t="s">
        <v>644</v>
      </c>
      <c r="F37" s="22" t="str">
        <f t="shared" si="0"/>
        <v>. Species</v>
      </c>
      <c r="G37" s="21" t="str">
        <f t="shared" si="1"/>
        <v>Species.</v>
      </c>
      <c r="H37" s="38" t="str">
        <f t="shared" si="2"/>
        <v>{{ tu_species }}.</v>
      </c>
    </row>
    <row r="38" spans="1:8">
      <c r="A38" s="6" t="s">
        <v>1745</v>
      </c>
      <c r="B38" s="38" t="s">
        <v>0</v>
      </c>
      <c r="C38" s="38" t="s">
        <v>1207</v>
      </c>
      <c r="D38" s="38" t="s">
        <v>765</v>
      </c>
      <c r="E38" s="21" t="s">
        <v>765</v>
      </c>
      <c r="F38" s="22" t="str">
        <f t="shared" si="0"/>
        <v>. strata</v>
      </c>
      <c r="G38" s="21" t="str">
        <f t="shared" si="1"/>
        <v>strata.</v>
      </c>
      <c r="H38" s="38" t="str">
        <f t="shared" si="2"/>
        <v>{{ tl_strata }}.</v>
      </c>
    </row>
    <row r="39" spans="1:8" ht="15">
      <c r="A39" s="6" t="s">
        <v>1745</v>
      </c>
      <c r="B39" s="38" t="s">
        <v>0</v>
      </c>
      <c r="C39" t="s">
        <v>1208</v>
      </c>
      <c r="D39" s="38" t="s">
        <v>765</v>
      </c>
      <c r="E39" s="8" t="s">
        <v>766</v>
      </c>
      <c r="F39" s="22" t="str">
        <f t="shared" si="0"/>
        <v>. Strata</v>
      </c>
      <c r="G39" s="21" t="str">
        <f t="shared" si="1"/>
        <v>Strata.</v>
      </c>
      <c r="H39" s="38" t="str">
        <f t="shared" si="2"/>
        <v>{{ tu_strata }}.</v>
      </c>
    </row>
    <row r="40" spans="1:8">
      <c r="A40" s="6" t="s">
        <v>1745</v>
      </c>
      <c r="B40" s="38" t="s">
        <v>0</v>
      </c>
      <c r="C40" s="38" t="s">
        <v>1207</v>
      </c>
      <c r="D40" s="38" t="s">
        <v>513</v>
      </c>
      <c r="E40" s="21" t="s">
        <v>513</v>
      </c>
      <c r="F40" s="22" t="str">
        <f t="shared" si="0"/>
        <v>. survey</v>
      </c>
      <c r="G40" s="21" t="str">
        <f t="shared" si="1"/>
        <v>survey.</v>
      </c>
      <c r="H40" s="38" t="str">
        <f t="shared" si="2"/>
        <v>{{ tl_survey }}.</v>
      </c>
    </row>
    <row r="41" spans="1:8">
      <c r="A41" s="6" t="s">
        <v>1745</v>
      </c>
      <c r="B41" s="38" t="s">
        <v>0</v>
      </c>
      <c r="C41" t="s">
        <v>1208</v>
      </c>
      <c r="D41" s="38" t="s">
        <v>513</v>
      </c>
      <c r="E41" s="38" t="s">
        <v>528</v>
      </c>
      <c r="F41" s="22" t="str">
        <f t="shared" si="0"/>
        <v>. Survey</v>
      </c>
      <c r="G41" s="21" t="str">
        <f t="shared" si="1"/>
        <v>Survey.</v>
      </c>
      <c r="H41" s="38" t="str">
        <f t="shared" si="2"/>
        <v>{{ tu_survey }}.</v>
      </c>
    </row>
    <row r="42" spans="1:8">
      <c r="A42" s="6" t="s">
        <v>1745</v>
      </c>
      <c r="B42" s="38" t="s">
        <v>429</v>
      </c>
      <c r="C42" s="38" t="s">
        <v>1207</v>
      </c>
      <c r="D42" s="38" t="s">
        <v>241</v>
      </c>
      <c r="E42" s="6" t="s">
        <v>241</v>
      </c>
      <c r="F42" s="22" t="str">
        <f t="shared" si="0"/>
        <v>. tag</v>
      </c>
      <c r="G42" s="21" t="str">
        <f t="shared" si="1"/>
        <v>tag.</v>
      </c>
      <c r="H42" s="38" t="str">
        <f t="shared" si="2"/>
        <v>{{ tl_tag }}.</v>
      </c>
    </row>
    <row r="43" spans="1:8" ht="15">
      <c r="A43" s="6" t="s">
        <v>1745</v>
      </c>
      <c r="B43" s="38" t="s">
        <v>429</v>
      </c>
      <c r="C43" t="s">
        <v>1208</v>
      </c>
      <c r="D43" s="38" t="s">
        <v>241</v>
      </c>
      <c r="E43" s="8" t="s">
        <v>728</v>
      </c>
      <c r="F43" s="22" t="str">
        <f t="shared" si="0"/>
        <v>. Tag</v>
      </c>
      <c r="G43" s="21" t="str">
        <f t="shared" si="1"/>
        <v>Tag.</v>
      </c>
      <c r="H43" s="38" t="str">
        <f t="shared" si="2"/>
        <v>{{ tu_tag }}.</v>
      </c>
    </row>
    <row r="44" spans="1:8">
      <c r="A44" s="6" t="s">
        <v>1745</v>
      </c>
      <c r="B44" s="38" t="s">
        <v>0</v>
      </c>
      <c r="C44" s="38" t="s">
        <v>1207</v>
      </c>
      <c r="D44" s="38" t="s">
        <v>63</v>
      </c>
      <c r="E44" s="21" t="s">
        <v>63</v>
      </c>
      <c r="F44" s="22" t="str">
        <f t="shared" si="0"/>
        <v>. visit</v>
      </c>
      <c r="G44" s="21" t="str">
        <f t="shared" si="1"/>
        <v>visit.</v>
      </c>
      <c r="H44" s="38" t="str">
        <f t="shared" si="2"/>
        <v>{{ tl_visit }}.</v>
      </c>
    </row>
    <row r="45" spans="1:8">
      <c r="A45" s="6" t="s">
        <v>1745</v>
      </c>
      <c r="B45" s="38" t="s">
        <v>0</v>
      </c>
      <c r="C45" t="s">
        <v>1208</v>
      </c>
      <c r="D45" s="38" t="s">
        <v>63</v>
      </c>
      <c r="E45" s="38" t="s">
        <v>65</v>
      </c>
      <c r="F45" s="22" t="str">
        <f t="shared" si="0"/>
        <v>. Visit</v>
      </c>
      <c r="G45" s="21" t="str">
        <f t="shared" si="1"/>
        <v>Visit.</v>
      </c>
      <c r="H45" s="38" t="str">
        <f t="shared" si="2"/>
        <v>{{ tu_visit }}.</v>
      </c>
    </row>
    <row r="46" spans="1:8">
      <c r="A46" s="6" t="s">
        <v>1745</v>
      </c>
      <c r="B46" s="38" t="s">
        <v>0</v>
      </c>
      <c r="C46" s="38" t="s">
        <v>1207</v>
      </c>
      <c r="D46" s="38" t="s">
        <v>56</v>
      </c>
      <c r="E46" s="21" t="s">
        <v>56</v>
      </c>
      <c r="F46" s="22" t="str">
        <f t="shared" si="0"/>
        <v>. walktest</v>
      </c>
      <c r="G46" s="21" t="str">
        <f t="shared" si="1"/>
        <v>walktest.</v>
      </c>
      <c r="H46" s="38" t="str">
        <f t="shared" si="2"/>
        <v>{{ tl_walktest }}.</v>
      </c>
    </row>
    <row r="47" spans="1:8">
      <c r="A47" s="6" t="s">
        <v>1745</v>
      </c>
      <c r="B47" s="38" t="s">
        <v>0</v>
      </c>
      <c r="C47" t="s">
        <v>1208</v>
      </c>
      <c r="D47" s="38" t="s">
        <v>56</v>
      </c>
      <c r="E47" s="38" t="s">
        <v>57</v>
      </c>
      <c r="F47" s="22" t="str">
        <f t="shared" si="0"/>
        <v>. Walktest</v>
      </c>
      <c r="G47" s="21" t="str">
        <f t="shared" si="1"/>
        <v>Walktest.</v>
      </c>
      <c r="H47" s="38" t="str">
        <f t="shared" si="2"/>
        <v>{{ tu_walktest }}.</v>
      </c>
    </row>
    <row r="48" spans="1:8">
      <c r="C48" s="38" t="s">
        <v>1207</v>
      </c>
      <c r="D48" s="19" t="s">
        <v>777</v>
      </c>
      <c r="E48" s="26" t="s">
        <v>777</v>
      </c>
    </row>
  </sheetData>
  <autoFilter ref="A1:H47" xr:uid="{6566AB39-DB87-419B-A2E5-3972991F2028}">
    <sortState xmlns:xlrd2="http://schemas.microsoft.com/office/spreadsheetml/2017/richdata2" ref="A2:H47">
      <sortCondition ref="D1:D47"/>
    </sortState>
  </autoFilter>
  <conditionalFormatting sqref="A1:B47">
    <cfRule type="containsText" dxfId="15" priority="3" operator="containsText" text="\">
      <formula>NOT(ISERROR(SEARCH("\",A1)))</formula>
    </cfRule>
    <cfRule type="containsText" dxfId="14" priority="4" operator="containsText" text="/">
      <formula>NOT(ISERROR(SEARCH("/",A1)))</formula>
    </cfRule>
  </conditionalFormatting>
  <conditionalFormatting sqref="B2:D47 C1:D1 E1:G47">
    <cfRule type="containsText" dxfId="13" priority="5" operator="containsText" text=" ">
      <formula>NOT(ISERROR(SEARCH(" ",B1)))</formula>
    </cfRule>
  </conditionalFormatting>
  <conditionalFormatting sqref="C48">
    <cfRule type="containsText" dxfId="12" priority="1" operator="containsText" text=" ">
      <formula>NOT(ISERROR(SEARCH(" ",C48)))</formula>
    </cfRule>
  </conditionalFormatting>
  <conditionalFormatting sqref="H1:H1048576">
    <cfRule type="duplicateValues" dxfId="11" priority="2"/>
  </conditionalFormatting>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FDF34-47F1-4589-8184-0190809406A7}">
  <sheetPr>
    <tabColor theme="5" tint="0.79998168889431442"/>
  </sheetPr>
  <dimension ref="A1:V508"/>
  <sheetViews>
    <sheetView tabSelected="1" topLeftCell="K1" zoomScale="95" zoomScaleNormal="95" workbookViewId="0">
      <pane ySplit="1" topLeftCell="A2" activePane="bottomLeft" state="frozen"/>
      <selection pane="bottomLeft" activeCell="Q16" sqref="Q16"/>
    </sheetView>
  </sheetViews>
  <sheetFormatPr defaultColWidth="9" defaultRowHeight="14.25"/>
  <cols>
    <col min="1" max="1" width="9" style="63"/>
    <col min="2" max="4" width="9" style="72" hidden="1" customWidth="1"/>
    <col min="5" max="5" width="16.125" style="63" customWidth="1"/>
    <col min="6" max="6" width="22.25" style="63" customWidth="1"/>
    <col min="7" max="7" width="32.625" style="63" customWidth="1"/>
    <col min="8" max="8" width="26.125" style="63" customWidth="1"/>
    <col min="9" max="9" width="9" style="63" customWidth="1"/>
    <col min="10" max="10" width="92.75" style="62" customWidth="1"/>
    <col min="11" max="11" width="30" style="63" customWidth="1"/>
    <col min="12" max="12" width="20" style="63" customWidth="1"/>
    <col min="13" max="13" width="16.5" style="63" customWidth="1"/>
    <col min="14" max="14" width="46.25" style="152" customWidth="1"/>
    <col min="15" max="15" width="30.625" style="63" customWidth="1"/>
    <col min="16" max="16" width="28.125" style="63" customWidth="1"/>
    <col min="17" max="17" width="17.375" style="63" customWidth="1"/>
    <col min="18" max="18" width="16" style="152" customWidth="1"/>
    <col min="19" max="19" width="20.25" style="152" customWidth="1"/>
    <col min="20" max="20" width="10.125" style="63" customWidth="1"/>
    <col min="21" max="16384" width="9" style="63"/>
  </cols>
  <sheetData>
    <row r="1" spans="1:22" s="1" customFormat="1" ht="15.75">
      <c r="A1" s="69" t="s">
        <v>3941</v>
      </c>
      <c r="B1" s="69" t="s">
        <v>512</v>
      </c>
      <c r="C1" s="69" t="s">
        <v>3940</v>
      </c>
      <c r="D1" s="69" t="s">
        <v>3939</v>
      </c>
      <c r="E1" s="69" t="s">
        <v>1210</v>
      </c>
      <c r="F1" s="69" t="s">
        <v>50</v>
      </c>
      <c r="G1" s="69" t="s">
        <v>3937</v>
      </c>
      <c r="H1" s="69" t="s">
        <v>3936</v>
      </c>
      <c r="I1" s="69" t="s">
        <v>3938</v>
      </c>
      <c r="J1" s="69" t="s">
        <v>3935</v>
      </c>
      <c r="K1" s="69" t="s">
        <v>5561</v>
      </c>
      <c r="L1" s="69" t="s">
        <v>3930</v>
      </c>
      <c r="M1" s="69" t="s">
        <v>511</v>
      </c>
      <c r="N1" s="154" t="s">
        <v>6070</v>
      </c>
      <c r="O1" s="153" t="s">
        <v>3934</v>
      </c>
      <c r="P1" s="153" t="s">
        <v>3933</v>
      </c>
      <c r="Q1" s="154" t="s">
        <v>3932</v>
      </c>
      <c r="R1" s="154" t="s">
        <v>3931</v>
      </c>
      <c r="S1" s="154" t="s">
        <v>3931</v>
      </c>
      <c r="T1" s="69" t="s">
        <v>3929</v>
      </c>
    </row>
    <row r="2" spans="1:22" ht="15.75">
      <c r="A2" s="65"/>
      <c r="B2" s="155"/>
      <c r="C2" s="155"/>
      <c r="D2" s="155"/>
      <c r="E2" s="65"/>
      <c r="F2" s="65" t="s">
        <v>2510</v>
      </c>
      <c r="G2" s="65" t="s">
        <v>2511</v>
      </c>
      <c r="H2" s="65"/>
      <c r="I2" s="65" t="b">
        <v>0</v>
      </c>
      <c r="J2" s="65" t="s">
        <v>984</v>
      </c>
      <c r="K2" s="65" t="s">
        <v>984</v>
      </c>
      <c r="L2" s="65" t="s">
        <v>984</v>
      </c>
      <c r="M2" s="65"/>
      <c r="N2" s="65" t="str">
        <f>"&lt;div class="&amp;""""&amp;"hanging"&amp;""""&amp;"&gt;"&amp;K2&amp;"&lt;a href="&amp;""""&amp;L2&amp;""""&amp;" target="&amp;""""&amp;"_blank"&amp;""""&amp;"&gt;"&amp;L2&amp;"&lt;/a&gt;&lt;span style="&amp;""""&amp;"color:white"&amp;""""&amp;"&gt;[.]{#"&amp;F2&amp;"}}&lt;/span&gt;&lt;/div&gt;&lt;br&gt;"</f>
        <v>&lt;div class="hanging"&gt;-&lt;a href="-" target="_blank"&gt;-&lt;/a&gt;&lt;span style="color:white"&gt;[.]{#rcsc_2024b}}&lt;/span&gt;&lt;/div&gt;&lt;br&gt;</v>
      </c>
      <c r="O2" s="65" t="str">
        <f>"{{ rtxt_"&amp;F2&amp;" }}"</f>
        <v>{{ rtxt_rcsc_2024b }}</v>
      </c>
      <c r="P2" s="65" t="str">
        <f>"{{ rbib_"&amp;F2&amp;" }}"</f>
        <v>{{ rbib_rcsc_2024b }}</v>
      </c>
      <c r="Q2" s="65" t="str">
        <f>"    rtxt_"&amp;F2&amp;": "&amp;""""&amp;"&lt;a href=\"&amp;""""&amp;"/08_references.html#"&amp;F2&amp;"\"&amp;""""&amp;" target=\"&amp;""""&amp;"_blank\"&amp;""""&amp;"&gt;"&amp;G2&amp;"&lt;/a&gt;"&amp;""""</f>
        <v xml:space="preserve">    rtxt_rcsc_2024b: "&lt;a href=\"/08_references.html#rcsc_2024b\" target=\"_blank\"&gt;Alberta Remote Camera Steering Committee [RCSC], 2024b&lt;/a&gt;"</v>
      </c>
      <c r="R2" s="65" t="s">
        <v>984</v>
      </c>
      <c r="S2" s="65" t="str">
        <f>"    rbib_"&amp;F2&amp;": "&amp;""""&amp;"&lt;div class=\"&amp;""""&amp;"hanging\"&amp;""""&amp;"&gt;"&amp;J2&amp;"&lt;/div&gt;"&amp;""""</f>
        <v xml:space="preserve">    rbib_rcsc_2024b: "&lt;div class=\"hanging\"&gt;-&lt;/div&gt;"</v>
      </c>
      <c r="T2" s="65" t="s">
        <v>984</v>
      </c>
      <c r="V2" s="99" t="s">
        <v>6090</v>
      </c>
    </row>
    <row r="3" spans="1:22" ht="15.75">
      <c r="A3" s="65"/>
      <c r="B3" s="155" t="b">
        <v>0</v>
      </c>
      <c r="C3" s="155" t="b">
        <v>0</v>
      </c>
      <c r="D3" s="155" t="s">
        <v>1993</v>
      </c>
      <c r="E3" s="65" t="s">
        <v>1904</v>
      </c>
      <c r="F3" s="65" t="s">
        <v>3924</v>
      </c>
      <c r="G3" s="65" t="s">
        <v>3923</v>
      </c>
      <c r="H3" s="65" t="s">
        <v>3922</v>
      </c>
      <c r="I3" s="65" t="b">
        <v>1</v>
      </c>
      <c r="J3" s="65" t="s">
        <v>3921</v>
      </c>
      <c r="K3" s="65" t="s">
        <v>5277</v>
      </c>
      <c r="L3" s="65" t="s">
        <v>3920</v>
      </c>
      <c r="M3" s="65" t="s">
        <v>984</v>
      </c>
      <c r="N3" s="65" t="str">
        <f>"&lt;div class="&amp;""""&amp;"hanging"&amp;""""&amp;"&gt;"&amp;K3&amp;"&lt;a href="&amp;""""&amp;L3&amp;""""&amp;" target="&amp;""""&amp;"_blank"&amp;""""&amp;"&gt;"&amp;L3&amp;"&lt;/a&gt;&lt;span style="&amp;""""&amp;"color:white"&amp;""""&amp;"&gt;[.]{#"&amp;F3&amp;"}}&lt;/span&gt;&lt;/div&gt;&lt;br&gt;"</f>
        <v>&lt;div class="hanging"&gt;Abolaffio, M., Focardi, S., &amp; Santini, G. (2019). Avoiding misleading messages: Population assessment using camera trapping is not a simple task. &lt;i&gt;Journal of Animal Ecology, 88&lt;/i&gt;(12), 2011-2016. Medline.&lt;a href="https://doi.org/10.1111/1365-2656.13085" target="_blank"&gt;https://doi.org/10.1111/1365-2656.13085&lt;/a&gt;&lt;span style="color:white"&gt;[.]{#abolaffio_et_al_2019}}&lt;/span&gt;&lt;/div&gt;&lt;br&gt;</v>
      </c>
      <c r="O3" s="65" t="str">
        <f>"{{ rtxt_"&amp;F3&amp;" }}"</f>
        <v>{{ rtxt_abolaffio_et_al_2019 }}</v>
      </c>
      <c r="P3" s="65" t="str">
        <f>"{{ rbib_"&amp;F3&amp;" }}"</f>
        <v>{{ rbib_abolaffio_et_al_2019 }}</v>
      </c>
      <c r="Q3" s="65" t="str">
        <f>"    rtxt_"&amp;F3&amp;": "&amp;""""&amp;"&lt;a href=\"&amp;""""&amp;"/08_references.html#"&amp;F3&amp;"\"&amp;""""&amp;" target=\"&amp;""""&amp;"_blank\"&amp;""""&amp;"&gt;"&amp;G3&amp;"&lt;/a&gt;"&amp;""""</f>
        <v xml:space="preserve">    rtxt_abolaffio_et_al_2019: "&lt;a href=\"/08_references.html#abolaffio_et_al_2019\" target=\"_blank\"&gt;Abolaffio et al, 2019&lt;/a&gt;"</v>
      </c>
      <c r="R3" s="65" t="str">
        <f>"    rbib_"&amp;F3&amp;": "&amp;""""&amp;K3&amp;"&lt;a href=\"&amp;""""&amp;L3&amp;""""&amp;" target=\"&amp;""""&amp;"_blank\"&amp;""""&amp;"&gt;"&amp;L3&amp;"&lt;/a&gt;"&amp;""""</f>
        <v xml:space="preserve">    rbib_abolaffio_et_al_2019: "Abolaffio, M., Focardi, S., &amp; Santini, G. (2019). Avoiding misleading messages: Population assessment using camera trapping is not a simple task. &lt;i&gt;Journal of Animal Ecology, 88&lt;/i&gt;(12), 2011-2016. Medline.&lt;a href=\"https://doi.org/10.1111/1365-2656.13085" target=\"_blank\"&gt;https://doi.org/10.1111/1365-2656.13085&lt;/a&gt;"</v>
      </c>
      <c r="S3" s="65" t="str">
        <f>"    rbib_"&amp;F3&amp;": "&amp;""""&amp;"&lt;div class=\"&amp;""""&amp;"hanging\"&amp;""""&amp;"&gt;"&amp;J3&amp;"&lt;/div&gt;"&amp;""""</f>
        <v xml:space="preserve">    rbib_abolaffio_et_al_2019: "&lt;div class=\"hanging\"&gt;Abolaffio, M., Focardi, S., &amp; Santini, G. (2019). Avoiding misleading messages: Population assessment using camera trapping is not a simple task. *Journal of Animal Ecology, 88*(12), 2011-2016. Medline. &lt;https://doi.org/10.1111/1365-2656.13085&gt;&lt;/div&gt;"</v>
      </c>
      <c r="T3" s="65"/>
    </row>
    <row r="4" spans="1:22" ht="15.75">
      <c r="A4" s="65"/>
      <c r="B4" s="155" t="b">
        <v>1</v>
      </c>
      <c r="C4" s="155" t="b">
        <v>1</v>
      </c>
      <c r="D4" s="155" t="b">
        <v>0</v>
      </c>
      <c r="E4" s="65" t="s">
        <v>1904</v>
      </c>
      <c r="F4" s="65" t="s">
        <v>3911</v>
      </c>
      <c r="G4" s="65" t="s">
        <v>3910</v>
      </c>
      <c r="H4" s="65" t="s">
        <v>3910</v>
      </c>
      <c r="I4" s="65" t="b">
        <v>1</v>
      </c>
      <c r="J4" s="65" t="s">
        <v>3909</v>
      </c>
      <c r="K4" s="65" t="s">
        <v>5244</v>
      </c>
      <c r="L4" s="65" t="s">
        <v>3908</v>
      </c>
      <c r="M4" s="65" t="s">
        <v>984</v>
      </c>
      <c r="N4" s="65" t="str">
        <f>"&lt;div class="&amp;""""&amp;"hanging"&amp;""""&amp;"&gt;"&amp;K4&amp;"&lt;a href="&amp;""""&amp;L4&amp;""""&amp;" target="&amp;""""&amp;"_blank"&amp;""""&amp;"&gt;"&amp;L4&amp;"&lt;/a&gt;&lt;span style="&amp;""""&amp;"color:white"&amp;""""&amp;"&gt;[.]{#"&amp;F4&amp;"}}&lt;/span&gt;&lt;/div&gt;&lt;br&gt;"</f>
        <v>&lt;div class="hanging"&gt;Ahumada, J. A., Fegraus, E., Birch, T., Flores, N., Kays, R., O'Brien, T. G., Palmer, J., Schuttler, S., Zhao, J. Y., Jetz, W., Kinnaird, M., Kulkarni, S., Lyet, A., Thau, D., Duong, M., Oliver, R., &amp; Dancer, A. (2019). Wildlife Insights: A Platform to Maximize the Potential of Camera Trap and Other Passive Sensor Wildlife Data for the Planet. &lt;i&gt;Environmental Conservation, 47&lt;/i&gt;(1), 1-6.&lt;a href="https://doi.org/10.1017/s0376892919000298" target="_blank"&gt;https://doi.org/10.1017/s0376892919000298&lt;/a&gt;&lt;span style="color:white"&gt;[.]{#ahumada_et_al_2019}}&lt;/span&gt;&lt;/div&gt;&lt;br&gt;</v>
      </c>
      <c r="O4" s="65" t="str">
        <f>"{{ rtxt_"&amp;F4&amp;" }}"</f>
        <v>{{ rtxt_ahumada_et_al_2019 }}</v>
      </c>
      <c r="P4" s="65" t="str">
        <f>"{{ rbib_"&amp;F4&amp;" }}"</f>
        <v>{{ rbib_ahumada_et_al_2019 }}</v>
      </c>
      <c r="Q4" s="65" t="str">
        <f>"    rtxt_"&amp;F4&amp;": "&amp;""""&amp;"&lt;a href=\"&amp;""""&amp;"/08_references.html#"&amp;F4&amp;"\"&amp;""""&amp;" target=\"&amp;""""&amp;"_blank\"&amp;""""&amp;"&gt;"&amp;G4&amp;"&lt;/a&gt;"&amp;""""</f>
        <v xml:space="preserve">    rtxt_ahumada_et_al_2019: "&lt;a href=\"/08_references.html#ahumada_et_al_2019\" target=\"_blank\"&gt;Ahumada et al., 2019&lt;/a&gt;"</v>
      </c>
      <c r="R4" s="65" t="str">
        <f>"    rbib_"&amp;F4&amp;": "&amp;""""&amp;K4&amp;"&lt;a href=\"&amp;""""&amp;L4&amp;""""&amp;" target=\"&amp;""""&amp;"_blank\"&amp;""""&amp;"&gt;"&amp;L4&amp;"&lt;/a&gt;"&amp;""""</f>
        <v xml:space="preserve">    rbib_ahumada_et_al_2019: "Ahumada, J. A., Fegraus, E., Birch, T., Flores, N., Kays, R., O'Brien, T. G., Palmer, J., Schuttler, S., Zhao, J. Y., Jetz, W., Kinnaird, M., Kulkarni, S., Lyet, A., Thau, D., Duong, M., Oliver, R., &amp; Dancer, A. (2019). Wildlife Insights: A Platform to Maximize the Potential of Camera Trap and Other Passive Sensor Wildlife Data for the Planet. &lt;i&gt;Environmental Conservation, 47&lt;/i&gt;(1), 1-6.&lt;a href=\"https://doi.org/10.1017/s0376892919000298" target=\"_blank\"&gt;https://doi.org/10.1017/s0376892919000298&lt;/a&gt;"</v>
      </c>
      <c r="S4" s="65" t="str">
        <f>"    rbib_"&amp;F4&amp;": "&amp;""""&amp;"&lt;div class=\"&amp;""""&amp;"hanging\"&amp;""""&amp;"&gt;"&amp;J4&amp;"&lt;/div&gt;"&amp;""""</f>
        <v xml:space="preserve">    rbib_ahumada_et_al_2019: "&lt;div class=\"hanging\"&gt;Ahumada, J. A., Fegraus, E., Birch, T., Flores, N., Kays, R., O'Brien, T. G., Palmer, J., Schuttler, S., Zhao, J. Y., Jetz, W., Kinnaird, M., Kulkarni, S., Lyet, A., Thau, D., Duong, M., Oliver, R., &amp; Dancer, A. (2019). Wildlife Insights: A Platform to Maximize the Potential of Camera Trap and Other Passive Sensor Wildlife Data for the Planet. *Environmental Conservation, 47*(1), 1-6. &lt;https://doi.org/10.1017/s0376892919000298&gt;&lt;/div&gt;"</v>
      </c>
      <c r="T4" s="65"/>
    </row>
    <row r="5" spans="1:22" ht="15.75">
      <c r="A5" s="65"/>
      <c r="B5" s="155" t="b">
        <v>1</v>
      </c>
      <c r="C5" s="155" t="b">
        <v>1</v>
      </c>
      <c r="D5" s="155" t="b">
        <v>1</v>
      </c>
      <c r="E5" s="65" t="s">
        <v>1904</v>
      </c>
      <c r="F5" s="65" t="s">
        <v>3915</v>
      </c>
      <c r="G5" s="65" t="s">
        <v>3914</v>
      </c>
      <c r="H5" s="65" t="s">
        <v>3914</v>
      </c>
      <c r="I5" s="65" t="b">
        <v>1</v>
      </c>
      <c r="J5" s="65" t="s">
        <v>3913</v>
      </c>
      <c r="K5" s="65" t="s">
        <v>5270</v>
      </c>
      <c r="L5" s="65" t="s">
        <v>3912</v>
      </c>
      <c r="M5" s="65" t="s">
        <v>984</v>
      </c>
      <c r="N5" s="65" t="str">
        <f>"&lt;div class="&amp;""""&amp;"hanging"&amp;""""&amp;"&gt;"&amp;K5&amp;"&lt;a href="&amp;""""&amp;L5&amp;""""&amp;" target="&amp;""""&amp;"_blank"&amp;""""&amp;"&gt;"&amp;L5&amp;"&lt;/a&gt;&lt;span style="&amp;""""&amp;"color:white"&amp;""""&amp;"&gt;[.]{#"&amp;F5&amp;"}}&lt;/span&gt;&lt;/div&gt;&lt;br&gt;"</f>
        <v>&lt;div class="hanging"&gt;Ahumada, J. A., Silva, C. E. F., Gajapersad, K., Hallam, C., Hurtado, J., Martin, E., McWilliam, A., Mugerwa, B., O'Brien, T., Rovero, F., Sheil, D., Spironello, W. R., Winarni, N., &amp; Andelman, S. J. (2011). Community Structure and Diversity of Tropical Forest Mammals: Data from a Global Camera Trap Network. &lt;i&gt;Philosophical Transactions: Biological Sciences, 366&lt;/i&gt;(1578), 2703-2711.&lt;a href="https://doi.org/10.1098/rstb.2011.0115" target="_blank"&gt;https://doi.org/10.1098/rstb.2011.0115&lt;/a&gt;&lt;span style="color:white"&gt;[.]{#ahumada_et_al_2011}}&lt;/span&gt;&lt;/div&gt;&lt;br&gt;</v>
      </c>
      <c r="O5" s="65" t="str">
        <f>"{{ rtxt_"&amp;F5&amp;" }}"</f>
        <v>{{ rtxt_ahumada_et_al_2011 }}</v>
      </c>
      <c r="P5" s="65" t="str">
        <f>"{{ rbib_"&amp;F5&amp;" }}"</f>
        <v>{{ rbib_ahumada_et_al_2011 }}</v>
      </c>
      <c r="Q5" s="65" t="str">
        <f>"    rtxt_"&amp;F5&amp;": "&amp;""""&amp;"&lt;a href=\"&amp;""""&amp;"/08_references.html#"&amp;F5&amp;"\"&amp;""""&amp;" target=\"&amp;""""&amp;"_blank\"&amp;""""&amp;"&gt;"&amp;G5&amp;"&lt;/a&gt;"&amp;""""</f>
        <v xml:space="preserve">    rtxt_ahumada_et_al_2011: "&lt;a href=\"/08_references.html#ahumada_et_al_2011\" target=\"_blank\"&gt;Ahumada et al., 2011&lt;/a&gt;"</v>
      </c>
      <c r="R5" s="65" t="str">
        <f>"    rbib_"&amp;F5&amp;": "&amp;""""&amp;K5&amp;"&lt;a href=\"&amp;""""&amp;L5&amp;""""&amp;" target=\"&amp;""""&amp;"_blank\"&amp;""""&amp;"&gt;"&amp;L5&amp;"&lt;/a&gt;"&amp;""""</f>
        <v xml:space="preserve">    rbib_ahumada_et_al_2011: "Ahumada, J. A., Silva, C. E. F., Gajapersad, K., Hallam, C., Hurtado, J., Martin, E., McWilliam, A., Mugerwa, B., O'Brien, T., Rovero, F., Sheil, D., Spironello, W. R., Winarni, N., &amp; Andelman, S. J. (2011). Community Structure and Diversity of Tropical Forest Mammals: Data from a Global Camera Trap Network. &lt;i&gt;Philosophical Transactions: Biological Sciences, 366&lt;/i&gt;(1578), 2703-2711.&lt;a href=\"https://doi.org/10.1098/rstb.2011.0115" target=\"_blank\"&gt;https://doi.org/10.1098/rstb.2011.0115&lt;/a&gt;"</v>
      </c>
      <c r="S5" s="65" t="str">
        <f>"    rbib_"&amp;F5&amp;": "&amp;""""&amp;"&lt;div class=\"&amp;""""&amp;"hanging\"&amp;""""&amp;"&gt;"&amp;J5&amp;"&lt;/div&gt;"&amp;""""</f>
        <v xml:space="preserve">    rbib_ahumada_et_al_2011: "&lt;div class=\"hanging\"&gt;Ahumada, J. A., Silva, C. E. F., Gajapersad, K., Hallam, C., Hurtado, J., Martin, E., McWilliam, A., Mugerwa, B., O'Brien, T., Rovero, F., Sheil, D., Spironello, W. R., Winarni, N., &amp; Andelman, S. J. (2011). Community Structure and Diversity of Tropical Forest Mammals: Data from a Global Camera Trap Network. *Philosophical Transactions: Biological Sciences, 366*(1578), 2703-2711. &lt;https://doi.org/10.1098/rstb.2011.0115&gt;&lt;/div&gt;"</v>
      </c>
      <c r="T5" s="157"/>
    </row>
    <row r="6" spans="1:22" ht="15.75">
      <c r="A6" s="65"/>
      <c r="B6" s="155" t="b">
        <v>1</v>
      </c>
      <c r="C6" s="155" t="b">
        <v>0</v>
      </c>
      <c r="D6" s="155" t="b">
        <v>0</v>
      </c>
      <c r="E6" s="65" t="s">
        <v>2480</v>
      </c>
      <c r="F6" s="65" t="s">
        <v>3928</v>
      </c>
      <c r="G6" s="65" t="s">
        <v>3927</v>
      </c>
      <c r="H6" s="65" t="s">
        <v>3927</v>
      </c>
      <c r="I6" s="65" t="b">
        <v>1</v>
      </c>
      <c r="J6" s="65" t="s">
        <v>3926</v>
      </c>
      <c r="K6" s="65" t="s">
        <v>5103</v>
      </c>
      <c r="L6" s="65" t="s">
        <v>3925</v>
      </c>
      <c r="M6" s="65" t="s">
        <v>984</v>
      </c>
      <c r="N6" s="65" t="str">
        <f>"&lt;div class="&amp;""""&amp;"hanging"&amp;""""&amp;"&gt;"&amp;K6&amp;"&lt;a href="&amp;""""&amp;L6&amp;""""&amp;" target="&amp;""""&amp;"_blank"&amp;""""&amp;"&gt;"&amp;L6&amp;"&lt;/a&gt;&lt;span style="&amp;""""&amp;"color:white"&amp;""""&amp;"&gt;[.]{#"&amp;F6&amp;"}}&lt;/span&gt;&lt;/div&gt;&lt;br&gt;"</f>
        <v>&lt;div class="hanging"&gt;Alberta Biodiversity Monitoring Institute [ABMI] (2021). &lt;i&gt;Terrestrial ARU and Remote Camera Trap Protocols.&lt;/i&gt; Edmonton, Alberta.&lt;a href="https://abmi.ca/home/publications/551-600/599" target="_blank"&gt;https://abmi.ca/home/publications/551-600/599&lt;/a&gt;&lt;span style="color:white"&gt;[.]{#abmi_2021}}&lt;/span&gt;&lt;/div&gt;&lt;br&gt;</v>
      </c>
      <c r="O6" s="65" t="str">
        <f>"{{ rtxt_"&amp;F6&amp;" }}"</f>
        <v>{{ rtxt_abmi_2021 }}</v>
      </c>
      <c r="P6" s="65" t="str">
        <f>"{{ rbib_"&amp;F6&amp;" }}"</f>
        <v>{{ rbib_abmi_2021 }}</v>
      </c>
      <c r="Q6" s="65" t="str">
        <f>"    rtxt_"&amp;F6&amp;": "&amp;""""&amp;"&lt;a href=\"&amp;""""&amp;"/08_references.html#"&amp;F6&amp;"\"&amp;""""&amp;" target=\"&amp;""""&amp;"_blank\"&amp;""""&amp;"&gt;"&amp;G6&amp;"&lt;/a&gt;"&amp;""""</f>
        <v xml:space="preserve">    rtxt_abmi_2021: "&lt;a href=\"/08_references.html#abmi_2021\" target=\"_blank\"&gt;Alberta Biodiversity Monitoring Institute [ABMI], 2021&lt;/a&gt;"</v>
      </c>
      <c r="R6" s="65" t="str">
        <f>"    rbib_"&amp;F6&amp;": "&amp;""""&amp;K6&amp;"&lt;a href=\"&amp;""""&amp;L6&amp;""""&amp;" target=\"&amp;""""&amp;"_blank\"&amp;""""&amp;"&gt;"&amp;L6&amp;"&lt;/a&gt;"&amp;""""</f>
        <v xml:space="preserve">    rbib_abmi_2021: "Alberta Biodiversity Monitoring Institute [ABMI] (2021). &lt;i&gt;Terrestrial ARU and Remote Camera Trap Protocols.&lt;/i&gt; Edmonton, Alberta.&lt;a href=\"https://abmi.ca/home/publications/551-600/599" target=\"_blank\"&gt;https://abmi.ca/home/publications/551-600/599&lt;/a&gt;"</v>
      </c>
      <c r="S6" s="65" t="str">
        <f>"    rbib_"&amp;F6&amp;": "&amp;""""&amp;"&lt;div class=\"&amp;""""&amp;"hanging\"&amp;""""&amp;"&gt;"&amp;J6&amp;"&lt;/div&gt;"&amp;""""</f>
        <v xml:space="preserve">    rbib_abmi_2021: "&lt;div class=\"hanging\"&gt;Alberta Biodiversity Monitoring Institute [ABMI] (2021). *Terrestrial ARU and Remote Camera Trap Protocols.* Edmonton, Alberta. &lt;https://abmi.ca/home/publications/551-600/599&gt;&lt;/div&gt;"</v>
      </c>
      <c r="T6" s="65"/>
    </row>
    <row r="7" spans="1:22" ht="15.75">
      <c r="A7" s="65"/>
      <c r="B7" s="155"/>
      <c r="C7" s="155"/>
      <c r="D7" s="155"/>
      <c r="E7" s="65" t="s">
        <v>2480</v>
      </c>
      <c r="F7" s="65" t="s">
        <v>3919</v>
      </c>
      <c r="G7" s="65" t="s">
        <v>3918</v>
      </c>
      <c r="H7" s="65" t="s">
        <v>3918</v>
      </c>
      <c r="I7" s="65" t="b">
        <v>1</v>
      </c>
      <c r="J7" s="65" t="s">
        <v>3917</v>
      </c>
      <c r="K7" s="65" t="s">
        <v>5456</v>
      </c>
      <c r="L7" s="65" t="s">
        <v>3916</v>
      </c>
      <c r="M7" s="65" t="s">
        <v>984</v>
      </c>
      <c r="N7" s="65" t="str">
        <f>"&lt;div class="&amp;""""&amp;"hanging"&amp;""""&amp;"&gt;"&amp;K7&amp;"&lt;a href="&amp;""""&amp;L7&amp;""""&amp;" target="&amp;""""&amp;"_blank"&amp;""""&amp;"&gt;"&amp;L7&amp;"&lt;/a&gt;&lt;span style="&amp;""""&amp;"color:white"&amp;""""&amp;"&gt;[.]{#"&amp;F7&amp;"}}&lt;/span&gt;&lt;/div&gt;&lt;br&gt;"</f>
        <v>&lt;div class="hanging"&gt;Alberta Environment and Parks. (2016). &lt;i&gt;Aerial Ungulate Surveys using Distance Sampling Techniques Protocol Manual.&lt;/i&gt;&lt;a href="https://open.alberta.ca/dataset/71c53d7b-0802-4800-9f95-0520b64b63c2/resource/ee933caa-bfc7-4334-a4d0-6085ebf198e7/download/aep-aerial-ungulate-surveys-using-distance-sampling-2016.pdf" target="_blank"&gt;https://open.alberta.ca/dataset/71c53d7b-0802-4800-9f95-0520b64b63c2/resource/ee933caa-bfc7-4334-a4d0-6085ebf198e7/download/aep-aerial-ungulate-surveys-using-distance-sampling-2016.pdf&lt;/a&gt;&lt;span style="color:white"&gt;[.]{#aep_2016}}&lt;/span&gt;&lt;/div&gt;&lt;br&gt;</v>
      </c>
      <c r="O7" s="65" t="str">
        <f>"{{ rtxt_"&amp;F7&amp;" }}"</f>
        <v>{{ rtxt_aep_2016 }}</v>
      </c>
      <c r="P7" s="65" t="str">
        <f>"{{ rbib_"&amp;F7&amp;" }}"</f>
        <v>{{ rbib_aep_2016 }}</v>
      </c>
      <c r="Q7" s="65" t="str">
        <f>"    rtxt_"&amp;F7&amp;": "&amp;""""&amp;"&lt;a href=\"&amp;""""&amp;"/08_references.html#"&amp;F7&amp;"\"&amp;""""&amp;" target=\"&amp;""""&amp;"_blank\"&amp;""""&amp;"&gt;"&amp;G7&amp;"&lt;/a&gt;"&amp;""""</f>
        <v xml:space="preserve">    rtxt_aep_2016: "&lt;a href=\"/08_references.html#aep_2016\" target=\"_blank\"&gt;Alberta Environment and Parks, 2016&lt;/a&gt;"</v>
      </c>
      <c r="R7" s="65" t="str">
        <f>"    rbib_"&amp;F7&amp;": "&amp;""""&amp;K7&amp;"&lt;a href=\"&amp;""""&amp;L7&amp;""""&amp;" target=\"&amp;""""&amp;"_blank\"&amp;""""&amp;"&gt;"&amp;L7&amp;"&lt;/a&gt;"&amp;""""</f>
        <v xml:space="preserve">    rbib_aep_2016: "Alberta Environment and Parks. (2016). &lt;i&gt;Aerial Ungulate Surveys using Distance Sampling Techniques Protocol Manual.&lt;/i&gt;&lt;a href=\"https://open.alberta.ca/dataset/71c53d7b-0802-4800-9f95-0520b64b63c2/resource/ee933caa-bfc7-4334-a4d0-6085ebf198e7/download/aep-aerial-ungulate-surveys-using-distance-sampling-2016.pdf" target=\"_blank\"&gt;https://open.alberta.ca/dataset/71c53d7b-0802-4800-9f95-0520b64b63c2/resource/ee933caa-bfc7-4334-a4d0-6085ebf198e7/download/aep-aerial-ungulate-surveys-using-distance-sampling-2016.pdf&lt;/a&gt;"</v>
      </c>
      <c r="S7" s="65" t="str">
        <f>"    rbib_"&amp;F7&amp;": "&amp;""""&amp;"&lt;div class=\"&amp;""""&amp;"hanging\"&amp;""""&amp;"&gt;"&amp;J7&amp;"&lt;/div&gt;"&amp;""""</f>
        <v xml:space="preserve">    rbib_aep_2016: "&lt;div class=\"hanging\"&gt;Alberta Environment and Parks. (2016). *Aerial Ungulate Surveys using Distance Sampling Techniques Protocol Manual.* &lt;https://open.alberta.ca/dataset/71c53d7b-0802-4800-9f95-0520b64b63c2/resource/ee933caa-bfc7-4334-a4d0-6085ebf198e7/download/aep-aerial-ungulate-surveys-using-distance-sampling-2016.pdf&gt;&lt;/div&gt;"</v>
      </c>
      <c r="T7" s="65"/>
    </row>
    <row r="8" spans="1:22" ht="15.75">
      <c r="A8" s="65"/>
      <c r="B8" s="155" t="b">
        <v>0</v>
      </c>
      <c r="C8" s="155" t="b">
        <v>1</v>
      </c>
      <c r="D8" s="155" t="b">
        <v>1</v>
      </c>
      <c r="E8" s="65" t="s">
        <v>2480</v>
      </c>
      <c r="F8" s="65" t="s">
        <v>5944</v>
      </c>
      <c r="G8" s="65" t="s">
        <v>2508</v>
      </c>
      <c r="H8" s="65" t="s">
        <v>2508</v>
      </c>
      <c r="I8" s="65" t="b">
        <v>1</v>
      </c>
      <c r="J8" s="65" t="s">
        <v>2507</v>
      </c>
      <c r="K8" s="65" t="s">
        <v>5105</v>
      </c>
      <c r="L8" s="65" t="s">
        <v>2506</v>
      </c>
      <c r="M8" s="65" t="s">
        <v>984</v>
      </c>
      <c r="N8" s="65" t="str">
        <f>"&lt;div class="&amp;""""&amp;"hanging"&amp;""""&amp;"&gt;"&amp;K8&amp;"&lt;a href="&amp;""""&amp;L8&amp;""""&amp;" target="&amp;""""&amp;"_blank"&amp;""""&amp;"&gt;"&amp;L8&amp;"&lt;/a&gt;&lt;span style="&amp;""""&amp;"color:white"&amp;""""&amp;"&gt;[.]{#"&amp;F8&amp;"}}&lt;/span&gt;&lt;/div&gt;&lt;br&gt;"</f>
        <v>&lt;div class="hanging"&gt;Alberta Remote Camera Steering Committee [RCSC], Stevenson, C., Hubbs, A., &amp; Wildlife Cameras for Adaptive Management (WildCAM). (2024). &lt;i&gt;Remote Camera Survey Guidelines: Guidelines for Western Canada&lt;/i&gt;. Version 3.0. Edmonton, Alberta.&lt;a href="https://ab-rcsc.github.io/RCSC-WildCAM_Remote-Camera-Survey-Guidelines-and-Metadata-Standards/1_Survey-guidelines/1_0.1_Citation-and-Info.html" target="_blank"&gt;https://ab-rcsc.github.io/RCSC-WildCAM_Remote-Camera-Survey-Guidelines-and-Metadata-Standards/1_Survey-guidelines/1_0.1_Citation-and-Info.html&lt;/a&gt;&lt;span style="color:white"&gt;[.]{#rcsc_2024c}}&lt;/span&gt;&lt;/div&gt;&lt;br&gt;</v>
      </c>
      <c r="O8" s="65" t="str">
        <f>"{{ rtxt_"&amp;F8&amp;" }}"</f>
        <v>{{ rtxt_rcsc_2024c }}</v>
      </c>
      <c r="P8" s="65" t="str">
        <f>"{{ rbib_"&amp;F8&amp;" }}"</f>
        <v>{{ rbib_rcsc_2024c }}</v>
      </c>
      <c r="Q8" s="65" t="str">
        <f>"    rtxt_"&amp;F8&amp;": "&amp;""""&amp;"&lt;a href=\"&amp;""""&amp;"/08_references.html#"&amp;F8&amp;"\"&amp;""""&amp;" target=\"&amp;""""&amp;"_blank\"&amp;""""&amp;"&gt;"&amp;G8&amp;"&lt;/a&gt;"&amp;""""</f>
        <v xml:space="preserve">    rtxt_rcsc_2024c: "&lt;a href=\"/08_references.html#rcsc_2024c\" target=\"_blank\"&gt;Alberta Remote Camera Steering Committee [RCSC] et al., 2024&lt;/a&gt;"</v>
      </c>
      <c r="R8" s="65" t="str">
        <f>"    rbib_"&amp;F8&amp;": "&amp;""""&amp;K8&amp;"&lt;a href=\"&amp;""""&amp;L8&amp;""""&amp;" target=\"&amp;""""&amp;"_blank\"&amp;""""&amp;"&gt;"&amp;L8&amp;"&lt;/a&gt;"&amp;""""</f>
        <v xml:space="preserve">    rbib_rcsc_2024c: "Alberta Remote Camera Steering Committee [RCSC], Stevenson, C., Hubbs, A., &amp; Wildlife Cameras for Adaptive Management (WildCAM). (2024). &lt;i&gt;Remote Camera Survey Guidelines: Guidelines for Western Canada&lt;/i&gt;. Version 3.0. Edmonton, Alberta.&lt;a href=\"https://ab-rcsc.github.io/RCSC-WildCAM_Remote-Camera-Survey-Guidelines-and-Metadata-Standards/1_Survey-guidelines/1_0.1_Citation-and-Info.html" target=\"_blank\"&gt;https://ab-rcsc.github.io/RCSC-WildCAM_Remote-Camera-Survey-Guidelines-and-Metadata-Standards/1_Survey-guidelines/1_0.1_Citation-and-Info.html&lt;/a&gt;"</v>
      </c>
      <c r="S8" s="65" t="str">
        <f>"    rbib_"&amp;F8&amp;": "&amp;""""&amp;"&lt;div class=\"&amp;""""&amp;"hanging\"&amp;""""&amp;"&gt;"&amp;J8&amp;"&lt;/div&gt;"&amp;""""</f>
        <v xml:space="preserve">    rbib_rcsc_2024c: "&lt;div class=\"hanging\"&gt;Alberta Remote Camera Steering Committee [RCSC], Stevenson, C., Hubbs, A., &amp; Wildlife Cameras for Adaptive Management (WildCAM). (2024). *Remote Camera Survey Guidelines: Guidelines for Western Canada*. Version 3.0. Edmonton, Alberta. &lt;https://ab-rcsc.github.io/RCSC-WildCAM_Remote-Camera-Survey-Guidelines-and-Metadata-Standards/1_Survey-guidelines/1_0.1_Citation-and-Info.html&gt;&lt;/div&gt;"</v>
      </c>
      <c r="T8" s="65"/>
    </row>
    <row r="9" spans="1:22" ht="15.75">
      <c r="A9" s="65"/>
      <c r="B9" s="155" t="b">
        <v>1</v>
      </c>
      <c r="C9" s="155" t="b">
        <v>0</v>
      </c>
      <c r="D9" s="155" t="b">
        <v>1</v>
      </c>
      <c r="E9" s="65" t="s">
        <v>2480</v>
      </c>
      <c r="F9" s="65" t="s">
        <v>2516</v>
      </c>
      <c r="G9" s="65" t="s">
        <v>2515</v>
      </c>
      <c r="H9" s="65" t="s">
        <v>2514</v>
      </c>
      <c r="I9" s="65" t="b">
        <v>1</v>
      </c>
      <c r="J9" s="65" t="s">
        <v>2513</v>
      </c>
      <c r="K9" s="65" t="s">
        <v>5106</v>
      </c>
      <c r="L9" s="65" t="s">
        <v>2512</v>
      </c>
      <c r="M9" s="65" t="s">
        <v>984</v>
      </c>
      <c r="N9" s="65" t="str">
        <f>"&lt;div class="&amp;""""&amp;"hanging"&amp;""""&amp;"&gt;"&amp;K9&amp;"&lt;a href="&amp;""""&amp;L9&amp;""""&amp;" target="&amp;""""&amp;"_blank"&amp;""""&amp;"&gt;"&amp;L9&amp;"&lt;/a&gt;&lt;span style="&amp;""""&amp;"color:white"&amp;""""&amp;"&gt;[.]{#"&amp;F9&amp;"}}&lt;/span&gt;&lt;/div&gt;&lt;br&gt;"</f>
        <v>&lt;div class="hanging"&gt;Alberta Remote Camera Steering Committee [RCSC]. (2024). &lt;i&gt;Remote Camera Metadata Standards: Standards for Alberta&lt;/i&gt;. Version 2.0. Edmonton, Alberta.&lt;a href="https://ab-rcsc.github.io/RCSC-WildCAM_Remote-Camera-Survey-Guidelines-and-Metadata-Standards/2_metadata-standards/2_0.1_Citation-and-Info.html" target="_blank"&gt;https://ab-rcsc.github.io/RCSC-WildCAM_Remote-Camera-Survey-Guidelines-and-Metadata-Standards/2_metadata-standards/2_0.1_Citation-and-Info.html&lt;/a&gt;&lt;span style="color:white"&gt;[.]{#rcsc_2024a}}&lt;/span&gt;&lt;/div&gt;&lt;br&gt;</v>
      </c>
      <c r="O9" s="65" t="str">
        <f>"{{ rtxt_"&amp;F9&amp;" }}"</f>
        <v>{{ rtxt_rcsc_2024a }}</v>
      </c>
      <c r="P9" s="65" t="str">
        <f>"{{ rbib_"&amp;F9&amp;" }}"</f>
        <v>{{ rbib_rcsc_2024a }}</v>
      </c>
      <c r="Q9" s="65" t="str">
        <f>"    rtxt_"&amp;F9&amp;": "&amp;""""&amp;"&lt;a href=\"&amp;""""&amp;"/08_references.html#"&amp;F9&amp;"\"&amp;""""&amp;" target=\"&amp;""""&amp;"_blank\"&amp;""""&amp;"&gt;"&amp;G9&amp;"&lt;/a&gt;"&amp;""""</f>
        <v xml:space="preserve">    rtxt_rcsc_2024a: "&lt;a href=\"/08_references.html#rcsc_2024a\" target=\"_blank\"&gt;Alberta Remote Camera Steering Committee [RCSC], 2024a&lt;/a&gt;"</v>
      </c>
      <c r="R9" s="65" t="str">
        <f>"    rbib_"&amp;F9&amp;": "&amp;""""&amp;K9&amp;"&lt;a href=\"&amp;""""&amp;L9&amp;""""&amp;" target=\"&amp;""""&amp;"_blank\"&amp;""""&amp;"&gt;"&amp;L9&amp;"&lt;/a&gt;"&amp;""""</f>
        <v xml:space="preserve">    rbib_rcsc_2024a: "Alberta Remote Camera Steering Committee [RCSC]. (2024). &lt;i&gt;Remote Camera Metadata Standards: Standards for Alberta&lt;/i&gt;. Version 2.0. Edmonton, Alberta.&lt;a href=\"https://ab-rcsc.github.io/RCSC-WildCAM_Remote-Camera-Survey-Guidelines-and-Metadata-Standards/2_metadata-standards/2_0.1_Citation-and-Info.html" target=\"_blank\"&gt;https://ab-rcsc.github.io/RCSC-WildCAM_Remote-Camera-Survey-Guidelines-and-Metadata-Standards/2_metadata-standards/2_0.1_Citation-and-Info.html&lt;/a&gt;"</v>
      </c>
      <c r="S9" s="65" t="str">
        <f>"    rbib_"&amp;F9&amp;": "&amp;""""&amp;"&lt;div class=\"&amp;""""&amp;"hanging\"&amp;""""&amp;"&gt;"&amp;J9&amp;"&lt;/div&gt;"&amp;""""</f>
        <v xml:space="preserve">    rbib_rcsc_2024a: "&lt;div class=\"hanging\"&gt;Alberta Remote Camera Steering Committee [RCSC]. (2024a). *Remote Camera Metadata Standards: Standards for Alberta*. Version 2.0. Edmonton, Alberta. &lt;https://ab-rcsc.github.io/RCSC-WildCAM_Remote-Camera-Survey-Guidelines-and-Metadata-Standards/2_metadata-standards/2_0.1_Citation-and-Info.html&gt;&lt;/div&gt;"</v>
      </c>
      <c r="T9" s="65"/>
    </row>
    <row r="10" spans="1:22" ht="15.75">
      <c r="A10" s="65"/>
      <c r="B10" s="155" t="b">
        <v>1</v>
      </c>
      <c r="C10" s="155" t="b">
        <v>0</v>
      </c>
      <c r="D10" s="155" t="b">
        <v>0</v>
      </c>
      <c r="E10" s="65" t="s">
        <v>1904</v>
      </c>
      <c r="F10" s="65" t="s">
        <v>3907</v>
      </c>
      <c r="G10" s="65" t="s">
        <v>3906</v>
      </c>
      <c r="H10" s="65" t="s">
        <v>3906</v>
      </c>
      <c r="I10" s="65" t="b">
        <v>1</v>
      </c>
      <c r="J10" s="65" t="s">
        <v>3905</v>
      </c>
      <c r="K10" s="65" t="s">
        <v>5360</v>
      </c>
      <c r="L10" s="65" t="s">
        <v>3904</v>
      </c>
      <c r="M10" s="65" t="s">
        <v>984</v>
      </c>
      <c r="N10" s="65" t="str">
        <f>"&lt;div class="&amp;""""&amp;"hanging"&amp;""""&amp;"&gt;"&amp;K10&amp;"&lt;a href="&amp;""""&amp;L10&amp;""""&amp;" target="&amp;""""&amp;"_blank"&amp;""""&amp;"&gt;"&amp;L10&amp;"&lt;/a&gt;&lt;span style="&amp;""""&amp;"color:white"&amp;""""&amp;"&gt;[.]{#"&amp;F10&amp;"}}&lt;/span&gt;&lt;/div&gt;&lt;br&gt;"</f>
        <v>&lt;div class="hanging"&gt;Alonso, R. S., McClintock, B. T., Lyren, L. M., Boydston, E. E., &amp; Crooks, K. R. (2015). Mark-recapture and Mark-resight Methods for Estimating Abundance with Remote Cameras: A Carnivore Case Study. &lt;i&gt;PLoS One, 10&lt;/i&gt;(3), e0123032.&lt;a href="https://doi.org/10.1371/journal.pone.0123032" target="_blank"&gt;https://doi.org/10.1371/journal.pone.0123032&lt;/a&gt;&lt;span style="color:white"&gt;[.]{#alonso_et_al_2015}}&lt;/span&gt;&lt;/div&gt;&lt;br&gt;</v>
      </c>
      <c r="O10" s="65" t="str">
        <f>"{{ rtxt_"&amp;F10&amp;" }}"</f>
        <v>{{ rtxt_alonso_et_al_2015 }}</v>
      </c>
      <c r="P10" s="65" t="str">
        <f>"{{ rbib_"&amp;F10&amp;" }}"</f>
        <v>{{ rbib_alonso_et_al_2015 }}</v>
      </c>
      <c r="Q10" s="65" t="str">
        <f>"    rtxt_"&amp;F10&amp;": "&amp;""""&amp;"&lt;a href=\"&amp;""""&amp;"/08_references.html#"&amp;F10&amp;"\"&amp;""""&amp;" target=\"&amp;""""&amp;"_blank\"&amp;""""&amp;"&gt;"&amp;G10&amp;"&lt;/a&gt;"&amp;""""</f>
        <v xml:space="preserve">    rtxt_alonso_et_al_2015: "&lt;a href=\"/08_references.html#alonso_et_al_2015\" target=\"_blank\"&gt;Alonso et al., 2015&lt;/a&gt;"</v>
      </c>
      <c r="R10" s="65" t="str">
        <f>"    rbib_"&amp;F10&amp;": "&amp;""""&amp;K10&amp;"&lt;a href=\"&amp;""""&amp;L10&amp;""""&amp;" target=\"&amp;""""&amp;"_blank\"&amp;""""&amp;"&gt;"&amp;L10&amp;"&lt;/a&gt;"&amp;""""</f>
        <v xml:space="preserve">    rbib_alonso_et_al_2015: "Alonso, R. S., McClintock, B. T., Lyren, L. M., Boydston, E. E., &amp; Crooks, K. R. (2015). Mark-recapture and Mark-resight Methods for Estimating Abundance with Remote Cameras: A Carnivore Case Study. &lt;i&gt;PLoS One, 10&lt;/i&gt;(3), e0123032.&lt;a href=\"https://doi.org/10.1371/journal.pone.0123032" target=\"_blank\"&gt;https://doi.org/10.1371/journal.pone.0123032&lt;/a&gt;"</v>
      </c>
      <c r="S10" s="65" t="str">
        <f>"    rbib_"&amp;F10&amp;": "&amp;""""&amp;"&lt;div class=\"&amp;""""&amp;"hanging\"&amp;""""&amp;"&gt;"&amp;J10&amp;"&lt;/div&gt;"&amp;""""</f>
        <v xml:space="preserve">    rbib_alonso_et_al_2015: "&lt;div class=\"hanging\"&gt;Alonso, R. S., McClintock, B. T., Lyren, L. M., Boydston, E. E., &amp; Crooks, K. R. (2015). Mark-recapture and Mark-resight Methods for Estimating Abundance with Remote Cameras: A Carnivore Case Study. *PLoS One, 10*(3), e0123032. &lt;https://doi.org/10.1371/journal.pone.0123032&gt;&lt;/div&gt;"</v>
      </c>
      <c r="T10" s="65"/>
    </row>
    <row r="11" spans="1:22" ht="15.75">
      <c r="A11" s="65"/>
      <c r="B11" s="155" t="b">
        <v>0</v>
      </c>
      <c r="C11" s="155" t="b">
        <v>0</v>
      </c>
      <c r="D11" s="155" t="s">
        <v>1993</v>
      </c>
      <c r="E11" s="65" t="s">
        <v>1904</v>
      </c>
      <c r="F11" s="65" t="s">
        <v>3903</v>
      </c>
      <c r="G11" s="65" t="s">
        <v>3902</v>
      </c>
      <c r="H11" s="65" t="s">
        <v>3902</v>
      </c>
      <c r="I11" s="65" t="b">
        <v>1</v>
      </c>
      <c r="J11" s="65" t="s">
        <v>3901</v>
      </c>
      <c r="K11" s="65" t="s">
        <v>5262</v>
      </c>
      <c r="L11" s="65" t="s">
        <v>3900</v>
      </c>
      <c r="M11" s="65" t="s">
        <v>984</v>
      </c>
      <c r="N11" s="65" t="str">
        <f>"&lt;div class="&amp;""""&amp;"hanging"&amp;""""&amp;"&gt;"&amp;K11&amp;"&lt;a href="&amp;""""&amp;L11&amp;""""&amp;" target="&amp;""""&amp;"_blank"&amp;""""&amp;"&gt;"&amp;L11&amp;"&lt;/a&gt;&lt;span style="&amp;""""&amp;"color:white"&amp;""""&amp;"&gt;[.]{#"&amp;F11&amp;"}}&lt;/span&gt;&lt;/div&gt;&lt;br&gt;"</f>
        <v>&lt;div class="hanging"&gt;Ames E. M., Gade M. R., Nieman C. L., Wright J. R, Tonra C. M., Marroquin C. M., Tutterow A. M, &amp; Gray S. M. (2020) Striving for population-level conservation: integrating physiology across the biological hierarchy. &lt;i&gt;Conservation Physiology, 8&lt;/i&gt;(1): coaa019.&lt;a href="https://doi.org/10.1093/conphys/coaa019" target="_blank"&gt;https://doi.org/10.1093/conphys/coaa019&lt;/a&gt;&lt;span style="color:white"&gt;[.]{#ames_et_al_2011}}&lt;/span&gt;&lt;/div&gt;&lt;br&gt;</v>
      </c>
      <c r="O11" s="65" t="str">
        <f>"{{ rtxt_"&amp;F11&amp;" }}"</f>
        <v>{{ rtxt_ames_et_al_2011 }}</v>
      </c>
      <c r="P11" s="65" t="str">
        <f>"{{ rbib_"&amp;F11&amp;" }}"</f>
        <v>{{ rbib_ames_et_al_2011 }}</v>
      </c>
      <c r="Q11" s="65" t="str">
        <f>"    rtxt_"&amp;F11&amp;": "&amp;""""&amp;"&lt;a href=\"&amp;""""&amp;"/08_references.html#"&amp;F11&amp;"\"&amp;""""&amp;" target=\"&amp;""""&amp;"_blank\"&amp;""""&amp;"&gt;"&amp;G11&amp;"&lt;/a&gt;"&amp;""""</f>
        <v xml:space="preserve">    rtxt_ames_et_al_2011: "&lt;a href=\"/08_references.html#ames_et_al_2011\" target=\"_blank\"&gt;Ames et al., 2020&lt;/a&gt;"</v>
      </c>
      <c r="R11" s="65" t="str">
        <f>"    rbib_"&amp;F11&amp;": "&amp;""""&amp;K11&amp;"&lt;a href=\"&amp;""""&amp;L11&amp;""""&amp;" target=\"&amp;""""&amp;"_blank\"&amp;""""&amp;"&gt;"&amp;L11&amp;"&lt;/a&gt;"&amp;""""</f>
        <v xml:space="preserve">    rbib_ames_et_al_2011: "Ames E. M., Gade M. R., Nieman C. L., Wright J. R, Tonra C. M., Marroquin C. M., Tutterow A. M, &amp; Gray S. M. (2020) Striving for population-level conservation: integrating physiology across the biological hierarchy. &lt;i&gt;Conservation Physiology, 8&lt;/i&gt;(1): coaa019.&lt;a href=\"https://doi.org/10.1093/conphys/coaa019" target=\"_blank\"&gt;https://doi.org/10.1093/conphys/coaa019&lt;/a&gt;"</v>
      </c>
      <c r="S11" s="65" t="str">
        <f>"    rbib_"&amp;F11&amp;": "&amp;""""&amp;"&lt;div class=\"&amp;""""&amp;"hanging\"&amp;""""&amp;"&gt;"&amp;J11&amp;"&lt;/div&gt;"&amp;""""</f>
        <v xml:space="preserve">    rbib_ames_et_al_2011: "&lt;div class=\"hanging\"&gt;Ames E. M., Gade M. R., Nieman C. L., Wright J. R, Tonra C. M., Marroquin C. M., Tutterow A. M, &amp; Gray S. M. (2020) Striving for population-level conservation: integrating physiology across the biological hierarchy. *Conservation Physiology, 8*(1): coaa019. &lt;https://doi.org/10.1093/conphys/coaa019&gt;&lt;/div&gt;"</v>
      </c>
      <c r="T11" s="65"/>
    </row>
    <row r="12" spans="1:22" ht="15.75">
      <c r="A12" s="65"/>
      <c r="B12" s="155"/>
      <c r="C12" s="155"/>
      <c r="D12" s="155"/>
      <c r="E12" s="65" t="s">
        <v>1904</v>
      </c>
      <c r="F12" s="65" t="s">
        <v>3899</v>
      </c>
      <c r="G12" s="65" t="s">
        <v>3898</v>
      </c>
      <c r="H12" s="65" t="s">
        <v>3898</v>
      </c>
      <c r="I12" s="65" t="b">
        <v>1</v>
      </c>
      <c r="J12" s="65" t="s">
        <v>3897</v>
      </c>
      <c r="K12" s="65" t="s">
        <v>5492</v>
      </c>
      <c r="L12" s="65" t="s">
        <v>3896</v>
      </c>
      <c r="M12" s="65" t="s">
        <v>984</v>
      </c>
      <c r="N12" s="65" t="str">
        <f>"&lt;div class="&amp;""""&amp;"hanging"&amp;""""&amp;"&gt;"&amp;K12&amp;"&lt;a href="&amp;""""&amp;L12&amp;""""&amp;" target="&amp;""""&amp;"_blank"&amp;""""&amp;"&gt;"&amp;L12&amp;"&lt;/a&gt;&lt;span style="&amp;""""&amp;"color:white"&amp;""""&amp;"&gt;[.]{#"&amp;F12&amp;"}}&lt;/span&gt;&lt;/div&gt;&lt;br&gt;"</f>
        <v>&lt;div class="hanging"&gt;Anderson, D. R. (2001). The Need to Get the Basics Right in Wildlife Field Studies. &lt;i&gt;Wildlife Society Bulletin, 29&lt;/i&gt;(4), 1294-1297.&lt;a href="https://www.jstor.org/stable/3784156" target="_blank"&gt;https://www.jstor.org/stable/3784156&lt;/a&gt;&lt;span style="color:white"&gt;[.]{#anderson_2001}}&lt;/span&gt;&lt;/div&gt;&lt;br&gt;</v>
      </c>
      <c r="O12" s="65" t="str">
        <f>"{{ rtxt_"&amp;F12&amp;" }}"</f>
        <v>{{ rtxt_anderson_2001 }}</v>
      </c>
      <c r="P12" s="65" t="str">
        <f>"{{ rbib_"&amp;F12&amp;" }}"</f>
        <v>{{ rbib_anderson_2001 }}</v>
      </c>
      <c r="Q12" s="65" t="str">
        <f>"    rtxt_"&amp;F12&amp;": "&amp;""""&amp;"&lt;a href=\"&amp;""""&amp;"/08_references.html#"&amp;F12&amp;"\"&amp;""""&amp;" target=\"&amp;""""&amp;"_blank\"&amp;""""&amp;"&gt;"&amp;G12&amp;"&lt;/a&gt;"&amp;""""</f>
        <v xml:space="preserve">    rtxt_anderson_2001: "&lt;a href=\"/08_references.html#anderson_2001\" target=\"_blank\"&gt;Anderson, 2001&lt;/a&gt;"</v>
      </c>
      <c r="R12" s="65" t="str">
        <f>"    rbib_"&amp;F12&amp;": "&amp;""""&amp;K12&amp;"&lt;a href=\"&amp;""""&amp;L12&amp;""""&amp;" target=\"&amp;""""&amp;"_blank\"&amp;""""&amp;"&gt;"&amp;L12&amp;"&lt;/a&gt;"&amp;""""</f>
        <v xml:space="preserve">    rbib_anderson_2001: "Anderson, D. R. (2001). The Need to Get the Basics Right in Wildlife Field Studies. &lt;i&gt;Wildlife Society Bulletin, 29&lt;/i&gt;(4), 1294-1297.&lt;a href=\"https://www.jstor.org/stable/3784156" target=\"_blank\"&gt;https://www.jstor.org/stable/3784156&lt;/a&gt;"</v>
      </c>
      <c r="S12" s="65" t="str">
        <f>"    rbib_"&amp;F12&amp;": "&amp;""""&amp;"&lt;div class=\"&amp;""""&amp;"hanging\"&amp;""""&amp;"&gt;"&amp;J12&amp;"&lt;/div&gt;"&amp;""""</f>
        <v xml:space="preserve">    rbib_anderson_2001: "&lt;div class=\"hanging\"&gt;Anderson, D. R. (2001). The Need to Get the Basics Right in Wildlife Field Studies. *Wildlife Society Bulletin, 29*(4), 1294-1297. &lt;https://www.jstor.org/stable/3784156&gt;&lt;/div&gt;"</v>
      </c>
      <c r="T12" s="65"/>
    </row>
    <row r="13" spans="1:22" ht="15.75">
      <c r="A13" s="65"/>
      <c r="B13" s="155" t="b">
        <v>1</v>
      </c>
      <c r="C13" s="155" t="b">
        <v>0</v>
      </c>
      <c r="D13" s="155" t="b">
        <v>1</v>
      </c>
      <c r="E13" s="65" t="s">
        <v>1904</v>
      </c>
      <c r="F13" s="65" t="s">
        <v>3895</v>
      </c>
      <c r="G13" s="65" t="s">
        <v>3894</v>
      </c>
      <c r="H13" s="65" t="s">
        <v>3894</v>
      </c>
      <c r="I13" s="65" t="b">
        <v>1</v>
      </c>
      <c r="J13" s="65" t="s">
        <v>3893</v>
      </c>
      <c r="K13" s="65" t="s">
        <v>5300</v>
      </c>
      <c r="L13" s="65" t="s">
        <v>3892</v>
      </c>
      <c r="M13" s="65" t="s">
        <v>984</v>
      </c>
      <c r="N13" s="65" t="str">
        <f>"&lt;div class="&amp;""""&amp;"hanging"&amp;""""&amp;"&gt;"&amp;K13&amp;"&lt;a href="&amp;""""&amp;L13&amp;""""&amp;" target="&amp;""""&amp;"_blank"&amp;""""&amp;"&gt;"&amp;L13&amp;"&lt;/a&gt;&lt;span style="&amp;""""&amp;"color:white"&amp;""""&amp;"&gt;[.]{#"&amp;F13&amp;"}}&lt;/span&gt;&lt;/div&gt;&lt;br&gt;"</f>
        <v>&lt;div class="hanging"&gt;Anile, S., &amp; Devillard, S. (2016). Study Design and Body Mass Influence RAIs from Camera Trap Studies: Evidence from the Felidae. &lt;i&gt;Animal Conservation, 19&lt;/i&gt;(1), 35-45.&lt;a href="https://doi.org/10.1111/acv.12214" target="_blank"&gt;https://doi.org/10.1111/acv.12214&lt;/a&gt;&lt;span style="color:white"&gt;[.]{#anile_devillard_2016}}&lt;/span&gt;&lt;/div&gt;&lt;br&gt;</v>
      </c>
      <c r="O13" s="65" t="str">
        <f>"{{ rtxt_"&amp;F13&amp;" }}"</f>
        <v>{{ rtxt_anile_devillard_2016 }}</v>
      </c>
      <c r="P13" s="65" t="str">
        <f>"{{ rbib_"&amp;F13&amp;" }}"</f>
        <v>{{ rbib_anile_devillard_2016 }}</v>
      </c>
      <c r="Q13" s="65" t="str">
        <f>"    rtxt_"&amp;F13&amp;": "&amp;""""&amp;"&lt;a href=\"&amp;""""&amp;"/08_references.html#"&amp;F13&amp;"\"&amp;""""&amp;" target=\"&amp;""""&amp;"_blank\"&amp;""""&amp;"&gt;"&amp;G13&amp;"&lt;/a&gt;"&amp;""""</f>
        <v xml:space="preserve">    rtxt_anile_devillard_2016: "&lt;a href=\"/08_references.html#anile_devillard_2016\" target=\"_blank\"&gt;Anile &amp; Devillard, 2016&lt;/a&gt;"</v>
      </c>
      <c r="R13" s="65" t="str">
        <f>"    rbib_"&amp;F13&amp;": "&amp;""""&amp;K13&amp;"&lt;a href=\"&amp;""""&amp;L13&amp;""""&amp;" target=\"&amp;""""&amp;"_blank\"&amp;""""&amp;"&gt;"&amp;L13&amp;"&lt;/a&gt;"&amp;""""</f>
        <v xml:space="preserve">    rbib_anile_devillard_2016: "Anile, S., &amp; Devillard, S. (2016). Study Design and Body Mass Influence RAIs from Camera Trap Studies: Evidence from the Felidae. &lt;i&gt;Animal Conservation, 19&lt;/i&gt;(1), 35-45.&lt;a href=\"https://doi.org/10.1111/acv.12214" target=\"_blank\"&gt;https://doi.org/10.1111/acv.12214&lt;/a&gt;"</v>
      </c>
      <c r="S13" s="65" t="str">
        <f>"    rbib_"&amp;F13&amp;": "&amp;""""&amp;"&lt;div class=\"&amp;""""&amp;"hanging\"&amp;""""&amp;"&gt;"&amp;J13&amp;"&lt;/div&gt;"&amp;""""</f>
        <v xml:space="preserve">    rbib_anile_devillard_2016: "&lt;div class=\"hanging\"&gt;Anile, S., &amp; Devillard, S. (2016). Study Design and Body Mass Influence RAIs from Camera Trap Studies: Evidence from the Felidae. *Animal Conservation, 19*(1), 35-45. &lt;https://doi.org/10.1111/acv.12214&gt;&lt;/div&gt;"</v>
      </c>
      <c r="T13" s="65"/>
    </row>
    <row r="14" spans="1:22" ht="15.75">
      <c r="A14" s="65"/>
      <c r="B14" s="155" t="b">
        <v>1</v>
      </c>
      <c r="C14" s="155" t="b">
        <v>0</v>
      </c>
      <c r="D14" s="155" t="b">
        <v>0</v>
      </c>
      <c r="E14" s="65" t="s">
        <v>1904</v>
      </c>
      <c r="F14" s="65" t="s">
        <v>3891</v>
      </c>
      <c r="G14" s="65" t="s">
        <v>3890</v>
      </c>
      <c r="H14" s="65" t="s">
        <v>3890</v>
      </c>
      <c r="I14" s="65" t="b">
        <v>1</v>
      </c>
      <c r="J14" s="65" t="s">
        <v>3889</v>
      </c>
      <c r="K14" s="65" t="s">
        <v>5302</v>
      </c>
      <c r="L14" s="65" t="s">
        <v>3888</v>
      </c>
      <c r="M14" s="65" t="s">
        <v>984</v>
      </c>
      <c r="N14" s="65" t="str">
        <f>"&lt;div class="&amp;""""&amp;"hanging"&amp;""""&amp;"&gt;"&amp;K14&amp;"&lt;a href="&amp;""""&amp;L14&amp;""""&amp;" target="&amp;""""&amp;"_blank"&amp;""""&amp;"&gt;"&amp;L14&amp;"&lt;/a&gt;&lt;span style="&amp;""""&amp;"color:white"&amp;""""&amp;"&gt;[.]{#"&amp;F14&amp;"}}&lt;/span&gt;&lt;/div&gt;&lt;br&gt;"</f>
        <v>&lt;div class="hanging"&gt;Apps, P. J., &amp; McNutt, J. W. (2018). How Camera Traps work and how to work them. &lt;i&gt;African Journal of Ecology, 56&lt;/i&gt;(4), 702-709.&lt;a href="https://doi.org/10.1111/aje.12563" target="_blank"&gt;https://doi.org/10.1111/aje.12563&lt;/a&gt;&lt;span style="color:white"&gt;[.]{#apps_mcnutt_2018}}&lt;/span&gt;&lt;/div&gt;&lt;br&gt;</v>
      </c>
      <c r="O14" s="65" t="str">
        <f>"{{ rtxt_"&amp;F14&amp;" }}"</f>
        <v>{{ rtxt_apps_mcnutt_2018 }}</v>
      </c>
      <c r="P14" s="65" t="str">
        <f>"{{ rbib_"&amp;F14&amp;" }}"</f>
        <v>{{ rbib_apps_mcnutt_2018 }}</v>
      </c>
      <c r="Q14" s="65" t="str">
        <f>"    rtxt_"&amp;F14&amp;": "&amp;""""&amp;"&lt;a href=\"&amp;""""&amp;"/08_references.html#"&amp;F14&amp;"\"&amp;""""&amp;" target=\"&amp;""""&amp;"_blank\"&amp;""""&amp;"&gt;"&amp;G14&amp;"&lt;/a&gt;"&amp;""""</f>
        <v xml:space="preserve">    rtxt_apps_mcnutt_2018: "&lt;a href=\"/08_references.html#apps_mcnutt_2018\" target=\"_blank\"&gt;Apps &amp; McNutt, 2018&lt;/a&gt;"</v>
      </c>
      <c r="R14" s="65" t="str">
        <f>"    rbib_"&amp;F14&amp;": "&amp;""""&amp;K14&amp;"&lt;a href=\"&amp;""""&amp;L14&amp;""""&amp;" target=\"&amp;""""&amp;"_blank\"&amp;""""&amp;"&gt;"&amp;L14&amp;"&lt;/a&gt;"&amp;""""</f>
        <v xml:space="preserve">    rbib_apps_mcnutt_2018: "Apps, P. J., &amp; McNutt, J. W. (2018). How Camera Traps work and how to work them. &lt;i&gt;African Journal of Ecology, 56&lt;/i&gt;(4), 702-709.&lt;a href=\"https://doi.org/10.1111/aje.12563" target=\"_blank\"&gt;https://doi.org/10.1111/aje.12563&lt;/a&gt;"</v>
      </c>
      <c r="S14" s="65" t="str">
        <f>"    rbib_"&amp;F14&amp;": "&amp;""""&amp;"&lt;div class=\"&amp;""""&amp;"hanging\"&amp;""""&amp;"&gt;"&amp;J14&amp;"&lt;/div&gt;"&amp;""""</f>
        <v xml:space="preserve">    rbib_apps_mcnutt_2018: "&lt;div class=\"hanging\"&gt;Apps, P. J., &amp; McNutt, J. W. (2018). How Camera Traps work and how to work them. *African Journal of Ecology, 56*(4), 702-709. &lt;https://doi.org/10.1111/aje.12563&gt;&lt;/div&gt;"</v>
      </c>
      <c r="T14" s="65"/>
    </row>
    <row r="15" spans="1:22" ht="15.75">
      <c r="A15" s="65"/>
      <c r="B15" s="155" t="b">
        <v>1</v>
      </c>
      <c r="C15" s="155" t="b">
        <v>0</v>
      </c>
      <c r="D15" s="155" t="b">
        <v>0</v>
      </c>
      <c r="E15" s="65" t="s">
        <v>1904</v>
      </c>
      <c r="F15" s="65" t="s">
        <v>3887</v>
      </c>
      <c r="G15" s="65" t="s">
        <v>3886</v>
      </c>
      <c r="H15" s="65" t="s">
        <v>3885</v>
      </c>
      <c r="I15" s="65" t="b">
        <v>1</v>
      </c>
      <c r="J15" s="65" t="s">
        <v>3884</v>
      </c>
      <c r="K15" s="65" t="s">
        <v>5400</v>
      </c>
      <c r="L15" s="65" t="s">
        <v>3883</v>
      </c>
      <c r="M15" s="65" t="s">
        <v>984</v>
      </c>
      <c r="N15" s="65" t="str">
        <f>"&lt;div class="&amp;""""&amp;"hanging"&amp;""""&amp;"&gt;"&amp;K15&amp;"&lt;a href="&amp;""""&amp;L15&amp;""""&amp;" target="&amp;""""&amp;"_blank"&amp;""""&amp;"&gt;"&amp;L15&amp;"&lt;/a&gt;&lt;span style="&amp;""""&amp;"color:white"&amp;""""&amp;"&gt;[.]{#"&amp;F15&amp;"}}&lt;/span&gt;&lt;/div&gt;&lt;br&gt;"</f>
        <v>&lt;div class="hanging"&gt;Arnason, A. N., Schwarz, C. J., &amp; Gerrard, J. M. (1991). Estimating Closed Population Size and Number of Marked Animals from Sighting Data. &lt;i&gt;Journal of Wildlife Management, 55&lt;/i&gt;(4), 716-730.&lt;a href="https://doi.org/10.2307/3809524" target="_blank"&gt;https://doi.org/10.2307/3809524&lt;/a&gt;&lt;span style="color:white"&gt;[.]{#arnason_et_al_1991}}&lt;/span&gt;&lt;/div&gt;&lt;br&gt;</v>
      </c>
      <c r="O15" s="65" t="str">
        <f>"{{ rtxt_"&amp;F15&amp;" }}"</f>
        <v>{{ rtxt_arnason_et_al_1991 }}</v>
      </c>
      <c r="P15" s="65" t="str">
        <f>"{{ rbib_"&amp;F15&amp;" }}"</f>
        <v>{{ rbib_arnason_et_al_1991 }}</v>
      </c>
      <c r="Q15" s="65" t="str">
        <f>"    rtxt_"&amp;F15&amp;": "&amp;""""&amp;"&lt;a href=\"&amp;""""&amp;"/08_references.html#"&amp;F15&amp;"\"&amp;""""&amp;" target=\"&amp;""""&amp;"_blank\"&amp;""""&amp;"&gt;"&amp;G15&amp;"&lt;/a&gt;"&amp;""""</f>
        <v xml:space="preserve">    rtxt_arnason_et_al_1991: "&lt;a href=\"/08_references.html#arnason_et_al_1991\" target=\"_blank\"&gt;Arnason et al., 1991&lt;/a&gt;"</v>
      </c>
      <c r="R15" s="65" t="str">
        <f>"    rbib_"&amp;F15&amp;": "&amp;""""&amp;K15&amp;"&lt;a href=\"&amp;""""&amp;L15&amp;""""&amp;" target=\"&amp;""""&amp;"_blank\"&amp;""""&amp;"&gt;"&amp;L15&amp;"&lt;/a&gt;"&amp;""""</f>
        <v xml:space="preserve">    rbib_arnason_et_al_1991: "Arnason, A. N., Schwarz, C. J., &amp; Gerrard, J. M. (1991). Estimating Closed Population Size and Number of Marked Animals from Sighting Data. &lt;i&gt;Journal of Wildlife Management, 55&lt;/i&gt;(4), 716-730.&lt;a href=\"https://doi.org/10.2307/3809524" target=\"_blank\"&gt;https://doi.org/10.2307/3809524&lt;/a&gt;"</v>
      </c>
      <c r="S15" s="65" t="str">
        <f>"    rbib_"&amp;F15&amp;": "&amp;""""&amp;"&lt;div class=\"&amp;""""&amp;"hanging\"&amp;""""&amp;"&gt;"&amp;J15&amp;"&lt;/div&gt;"&amp;""""</f>
        <v xml:space="preserve">    rbib_arnason_et_al_1991: "&lt;div class=\"hanging\"&gt;Arnason, A. N., Schwarz, C. J., &amp; Gerrard, J. M. (1991). Estimating Closed Population Size and Number of Marked Animals from Sighting Data. *Journal of Wildlife Management, 55*(4), 716-730. &lt;https://doi.org/10.2307/3809524&gt;&lt;/div&gt;"</v>
      </c>
      <c r="T15" s="65"/>
    </row>
    <row r="16" spans="1:22" ht="15.75">
      <c r="A16" s="65"/>
      <c r="B16" s="155" t="b">
        <v>1</v>
      </c>
      <c r="C16" s="155" t="b">
        <v>0</v>
      </c>
      <c r="D16" s="155" t="b">
        <v>0</v>
      </c>
      <c r="E16" s="65" t="s">
        <v>1904</v>
      </c>
      <c r="F16" s="65" t="s">
        <v>3882</v>
      </c>
      <c r="G16" s="65" t="s">
        <v>3881</v>
      </c>
      <c r="H16" s="65" t="s">
        <v>3877</v>
      </c>
      <c r="I16" s="65" t="b">
        <v>1</v>
      </c>
      <c r="J16" s="65" t="s">
        <v>3880</v>
      </c>
      <c r="K16" s="65" t="s">
        <v>5099</v>
      </c>
      <c r="L16" s="65" t="s">
        <v>3879</v>
      </c>
      <c r="M16" s="65" t="s">
        <v>984</v>
      </c>
      <c r="N16" s="65" t="str">
        <f>"&lt;div class="&amp;""""&amp;"hanging"&amp;""""&amp;"&gt;"&amp;K16&amp;"&lt;a href="&amp;""""&amp;L16&amp;""""&amp;" target="&amp;""""&amp;"_blank"&amp;""""&amp;"&gt;"&amp;L16&amp;"&lt;/a&gt;&lt;span style="&amp;""""&amp;"color:white"&amp;""""&amp;"&gt;[.]{#"&amp;F16&amp;"}}&lt;/span&gt;&lt;/div&gt;&lt;br&gt;"</f>
        <v>&lt;div class="hanging"&gt;Augustine, B. C., Royle, J. A., Kelly, M. J., Satter, C. B., Alonso, R. S., Boydston, E. E., &amp; Crooks, K. R. (2016). Spatial capture-recapture with partial identity: An application to camera traps. &lt;i&gt;bioRxiv.&lt;/i&gt;&lt;a href="http://dx.doi.org/10.1101/056804" target="_blank"&gt;http://dx.doi.org/10.1101/056804&lt;/a&gt;&lt;span style="color:white"&gt;[.]{#augustine_et_al_2016}}&lt;/span&gt;&lt;/div&gt;&lt;br&gt;</v>
      </c>
      <c r="O16" s="65" t="str">
        <f>"{{ rtxt_"&amp;F16&amp;" }}"</f>
        <v>{{ rtxt_augustine_et_al_2016 }}</v>
      </c>
      <c r="P16" s="65" t="str">
        <f>"{{ rbib_"&amp;F16&amp;" }}"</f>
        <v>{{ rbib_augustine_et_al_2016 }}</v>
      </c>
      <c r="Q16" s="65" t="str">
        <f>"    rtxt_"&amp;F16&amp;": "&amp;""""&amp;"&lt;a href=\"&amp;""""&amp;"/08_references.html#"&amp;F16&amp;"\"&amp;""""&amp;" target=\"&amp;""""&amp;"_blank\"&amp;""""&amp;"&gt;"&amp;G16&amp;"&lt;/a&gt;"&amp;""""</f>
        <v xml:space="preserve">    rtxt_augustine_et_al_2016: "&lt;a href=\"/08_references.html#augustine_et_al_2016\" target=\"_blank\"&gt;Augustine et al., 2016&lt;/a&gt;"</v>
      </c>
      <c r="R16" s="65" t="str">
        <f>"    rbib_"&amp;F16&amp;": "&amp;""""&amp;K16&amp;"&lt;a href=\"&amp;""""&amp;L16&amp;""""&amp;" target=\"&amp;""""&amp;"_blank\"&amp;""""&amp;"&gt;"&amp;L16&amp;"&lt;/a&gt;"&amp;""""</f>
        <v xml:space="preserve">    rbib_augustine_et_al_2016: "Augustine, B. C., Royle, J. A., Kelly, M. J., Satter, C. B., Alonso, R. S., Boydston, E. E., &amp; Crooks, K. R. (2016). Spatial capture-recapture with partial identity: An application to camera traps. &lt;i&gt;bioRxiv.&lt;/i&gt;&lt;a href=\"http://dx.doi.org/10.1101/056804" target=\"_blank\"&gt;http://dx.doi.org/10.1101/056804&lt;/a&gt;"</v>
      </c>
      <c r="S16" s="65" t="str">
        <f>"    rbib_"&amp;F16&amp;": "&amp;""""&amp;"&lt;div class=\"&amp;""""&amp;"hanging\"&amp;""""&amp;"&gt;"&amp;J16&amp;"&lt;/div&gt;"&amp;""""</f>
        <v xml:space="preserve">    rbib_augustine_et_al_2016: "&lt;div class=\"hanging\"&gt;Augustine, B. C., Royle, J. A., Kelly, M. J., Satter, C. B., Alonso, R. S., Boydston, E. E., &amp; Crooks, K. R. (2016). Spatial capture-recapture with partial identity: An application to camera traps. *bioRxiv.* &lt;http://dx.doi.org/10.1101/056804&gt;&lt;/div&gt;"</v>
      </c>
      <c r="T16" s="65"/>
    </row>
    <row r="17" spans="1:20" ht="15.75">
      <c r="A17" s="65"/>
      <c r="B17" s="155" t="b">
        <v>1</v>
      </c>
      <c r="C17" s="155" t="b">
        <v>0</v>
      </c>
      <c r="D17" s="155" t="b">
        <v>0</v>
      </c>
      <c r="E17" s="65" t="s">
        <v>1904</v>
      </c>
      <c r="F17" s="65" t="s">
        <v>3878</v>
      </c>
      <c r="G17" s="65" t="s">
        <v>3877</v>
      </c>
      <c r="H17" s="65" t="s">
        <v>3877</v>
      </c>
      <c r="I17" s="65" t="b">
        <v>1</v>
      </c>
      <c r="J17" s="65" t="s">
        <v>3876</v>
      </c>
      <c r="K17" s="65" t="s">
        <v>5352</v>
      </c>
      <c r="L17" s="65" t="s">
        <v>3875</v>
      </c>
      <c r="M17" s="65" t="s">
        <v>984</v>
      </c>
      <c r="N17" s="65" t="str">
        <f>"&lt;div class="&amp;""""&amp;"hanging"&amp;""""&amp;"&gt;"&amp;K17&amp;"&lt;a href="&amp;""""&amp;L17&amp;""""&amp;" target="&amp;""""&amp;"_blank"&amp;""""&amp;"&gt;"&amp;L17&amp;"&lt;/a&gt;&lt;span style="&amp;""""&amp;"color:white"&amp;""""&amp;"&gt;[.]{#"&amp;F17&amp;"}}&lt;/span&gt;&lt;/div&gt;&lt;br&gt;"</f>
        <v>&lt;div class="hanging"&gt;Augustine, B. C., Royle, J. A., Kelly, M. J., Satter, C. B., Alonso, R. S., Boydston, E. E., &amp; Crooks, K. R. (2018). Spatial Capture-Recapture with Partial Identity: An Application to Camera Traps. &lt;i&gt;The Annals of Applied Statistics, 12&lt;/i&gt;(1), 67-95.&lt;a href="https://doi.org/10.1214/17AOAS1091" target="_blank"&gt;https://doi.org/10.1214/17AOAS1091&lt;/a&gt;&lt;span style="color:white"&gt;[.]{#augustine_et_al_2018}}&lt;/span&gt;&lt;/div&gt;&lt;br&gt;</v>
      </c>
      <c r="O17" s="65" t="str">
        <f>"{{ rtxt_"&amp;F17&amp;" }}"</f>
        <v>{{ rtxt_augustine_et_al_2018 }}</v>
      </c>
      <c r="P17" s="65" t="str">
        <f>"{{ rbib_"&amp;F17&amp;" }}"</f>
        <v>{{ rbib_augustine_et_al_2018 }}</v>
      </c>
      <c r="Q17" s="65" t="str">
        <f>"    rtxt_"&amp;F17&amp;": "&amp;""""&amp;"&lt;a href=\"&amp;""""&amp;"/08_references.html#"&amp;F17&amp;"\"&amp;""""&amp;" target=\"&amp;""""&amp;"_blank\"&amp;""""&amp;"&gt;"&amp;G17&amp;"&lt;/a&gt;"&amp;""""</f>
        <v xml:space="preserve">    rtxt_augustine_et_al_2018: "&lt;a href=\"/08_references.html#augustine_et_al_2018\" target=\"_blank\"&gt;Augustine et al., 2018&lt;/a&gt;"</v>
      </c>
      <c r="R17" s="65" t="str">
        <f>"    rbib_"&amp;F17&amp;": "&amp;""""&amp;K17&amp;"&lt;a href=\"&amp;""""&amp;L17&amp;""""&amp;" target=\"&amp;""""&amp;"_blank\"&amp;""""&amp;"&gt;"&amp;L17&amp;"&lt;/a&gt;"&amp;""""</f>
        <v xml:space="preserve">    rbib_augustine_et_al_2018: "Augustine, B. C., Royle, J. A., Kelly, M. J., Satter, C. B., Alonso, R. S., Boydston, E. E., &amp; Crooks, K. R. (2018). Spatial Capture-Recapture with Partial Identity: An Application to Camera Traps. &lt;i&gt;The Annals of Applied Statistics, 12&lt;/i&gt;(1), 67-95.&lt;a href=\"https://doi.org/10.1214/17AOAS1091" target=\"_blank\"&gt;https://doi.org/10.1214/17AOAS1091&lt;/a&gt;"</v>
      </c>
      <c r="S17" s="65" t="str">
        <f>"    rbib_"&amp;F17&amp;": "&amp;""""&amp;"&lt;div class=\"&amp;""""&amp;"hanging\"&amp;""""&amp;"&gt;"&amp;J17&amp;"&lt;/div&gt;"&amp;""""</f>
        <v xml:space="preserve">    rbib_augustine_et_al_2018: "&lt;div class=\"hanging\"&gt;Augustine, B. C., Royle, J. A., Kelly, M. J., Satter, C. B., Alonso, R. S., Boydston, E. E., &amp; Crooks, K. R. (2018). Spatial Capture-Recapture with Partial Identity: An Application to Camera Traps. *The Annals of Applied Statistics, 12*(1), 67-95. &lt;https://doi.org/10.1214/17AOAS1091&gt;&lt;/div&gt;"</v>
      </c>
      <c r="T17" s="65"/>
    </row>
    <row r="18" spans="1:20" ht="15.75">
      <c r="A18" s="65"/>
      <c r="B18" s="155" t="b">
        <v>1</v>
      </c>
      <c r="C18" s="155" t="b">
        <v>0</v>
      </c>
      <c r="D18" s="155" t="b">
        <v>0</v>
      </c>
      <c r="E18" s="65" t="s">
        <v>1904</v>
      </c>
      <c r="F18" s="65" t="s">
        <v>3874</v>
      </c>
      <c r="G18" s="65" t="s">
        <v>3873</v>
      </c>
      <c r="H18" s="65" t="s">
        <v>3873</v>
      </c>
      <c r="I18" s="65" t="b">
        <v>1</v>
      </c>
      <c r="J18" s="65" t="s">
        <v>3872</v>
      </c>
      <c r="K18" s="65" t="s">
        <v>5151</v>
      </c>
      <c r="L18" s="65" t="s">
        <v>3871</v>
      </c>
      <c r="M18" s="65" t="s">
        <v>984</v>
      </c>
      <c r="N18" s="65" t="str">
        <f>"&lt;div class="&amp;""""&amp;"hanging"&amp;""""&amp;"&gt;"&amp;K18&amp;"&lt;a href="&amp;""""&amp;L18&amp;""""&amp;" target="&amp;""""&amp;"_blank"&amp;""""&amp;"&gt;"&amp;L18&amp;"&lt;/a&gt;&lt;span style="&amp;""""&amp;"color:white"&amp;""""&amp;"&gt;[.]{#"&amp;F18&amp;"}}&lt;/span&gt;&lt;/div&gt;&lt;br&gt;"</f>
        <v>&lt;div class="hanging"&gt;Augustine, B. C., Royle, J. A., Murphy, S. M., Chandler, R. B., Cox, J. J., &amp; Kelly, M. J. (2019). Spatial Capture-Recapture for Categorically Marked Populations with an Application to Genetic Capture-Recapture. &lt;i&gt;Ecosphere, 10&lt;/i&gt;(4) e02627-n/a.&lt;a href="https://doi.org/10.1002/ecs2.2627" target="_blank"&gt;https://doi.org/10.1002/ecs2.2627&lt;/a&gt;&lt;span style="color:white"&gt;[.]{#augustine_et_al_2019}}&lt;/span&gt;&lt;/div&gt;&lt;br&gt;</v>
      </c>
      <c r="O18" s="65" t="str">
        <f>"{{ rtxt_"&amp;F18&amp;" }}"</f>
        <v>{{ rtxt_augustine_et_al_2019 }}</v>
      </c>
      <c r="P18" s="65" t="str">
        <f>"{{ rbib_"&amp;F18&amp;" }}"</f>
        <v>{{ rbib_augustine_et_al_2019 }}</v>
      </c>
      <c r="Q18" s="65" t="str">
        <f>"    rtxt_"&amp;F18&amp;": "&amp;""""&amp;"&lt;a href=\"&amp;""""&amp;"/08_references.html#"&amp;F18&amp;"\"&amp;""""&amp;" target=\"&amp;""""&amp;"_blank\"&amp;""""&amp;"&gt;"&amp;G18&amp;"&lt;/a&gt;"&amp;""""</f>
        <v xml:space="preserve">    rtxt_augustine_et_al_2019: "&lt;a href=\"/08_references.html#augustine_et_al_2019\" target=\"_blank\"&gt;Augustine et al., 2019&lt;/a&gt;"</v>
      </c>
      <c r="R18" s="65" t="str">
        <f>"    rbib_"&amp;F18&amp;": "&amp;""""&amp;K18&amp;"&lt;a href=\"&amp;""""&amp;L18&amp;""""&amp;" target=\"&amp;""""&amp;"_blank\"&amp;""""&amp;"&gt;"&amp;L18&amp;"&lt;/a&gt;"&amp;""""</f>
        <v xml:space="preserve">    rbib_augustine_et_al_2019: "Augustine, B. C., Royle, J. A., Murphy, S. M., Chandler, R. B., Cox, J. J., &amp; Kelly, M. J. (2019). Spatial Capture-Recapture for Categorically Marked Populations with an Application to Genetic Capture-Recapture. &lt;i&gt;Ecosphere, 10&lt;/i&gt;(4) e02627-n/a.&lt;a href=\"https://doi.org/10.1002/ecs2.2627" target=\"_blank\"&gt;https://doi.org/10.1002/ecs2.2627&lt;/a&gt;"</v>
      </c>
      <c r="S18" s="65" t="str">
        <f>"    rbib_"&amp;F18&amp;": "&amp;""""&amp;"&lt;div class=\"&amp;""""&amp;"hanging\"&amp;""""&amp;"&gt;"&amp;J18&amp;"&lt;/div&gt;"&amp;""""</f>
        <v xml:space="preserve">    rbib_augustine_et_al_2019: "&lt;div class=\"hanging\"&gt;Augustine, B. C., Royle, J. A., Murphy, S. M., Chandler, R. B., Cox, J. J., &amp; Kelly, M. J. (2019). Spatial Capture-Recapture for Categorically Marked Populations with an Application to Genetic Capture-Recapture. *Ecosphere, 10*(4) e02627-n/a. &lt;https://doi.org/10.1002/ecs2.2627&gt;&lt;/div&gt;"</v>
      </c>
      <c r="T18" s="65"/>
    </row>
    <row r="19" spans="1:20" ht="15.75">
      <c r="A19" s="65"/>
      <c r="B19" s="155"/>
      <c r="C19" s="155"/>
      <c r="D19" s="155"/>
      <c r="E19" s="65" t="s">
        <v>1904</v>
      </c>
      <c r="F19" s="65" t="s">
        <v>3870</v>
      </c>
      <c r="G19" s="65" t="s">
        <v>3869</v>
      </c>
      <c r="H19" s="65" t="s">
        <v>3869</v>
      </c>
      <c r="I19" s="65" t="b">
        <v>1</v>
      </c>
      <c r="J19" s="65" t="s">
        <v>3953</v>
      </c>
      <c r="K19" s="65" t="s">
        <v>5155</v>
      </c>
      <c r="L19" s="65" t="s">
        <v>3868</v>
      </c>
      <c r="M19" s="65" t="s">
        <v>984</v>
      </c>
      <c r="N19" s="65" t="str">
        <f>"&lt;div class="&amp;""""&amp;"hanging"&amp;""""&amp;"&gt;"&amp;K19&amp;"&lt;a href="&amp;""""&amp;L19&amp;""""&amp;" target="&amp;""""&amp;"_blank"&amp;""""&amp;"&gt;"&amp;L19&amp;"&lt;/a&gt;&lt;span style="&amp;""""&amp;"color:white"&amp;""""&amp;"&gt;[.]{#"&amp;F19&amp;"}}&lt;/span&gt;&lt;/div&gt;&lt;br&gt;"</f>
        <v>&lt;div class="hanging"&gt;Ausband, D. E., Lukacs, P. M., Hurley, M., Roberts, S., Strickfaden, K., &amp; Moeller, A. K. (2022). Estimating Wolf Abundance from Cameras. &lt;i&gt;Ecosphere, 13&lt;/i&gt;(2), e3933.&lt;a href="https://doi.org/10.1002/ecs2.3933" target="_blank"&gt;https://doi.org/10.1002/ecs2.3933&lt;/a&gt;&lt;span style="color:white"&gt;[.]{#ausband_et_al_2022}}&lt;/span&gt;&lt;/div&gt;&lt;br&gt;</v>
      </c>
      <c r="O19" s="65" t="str">
        <f>"{{ rtxt_"&amp;F19&amp;" }}"</f>
        <v>{{ rtxt_ausband_et_al_2022 }}</v>
      </c>
      <c r="P19" s="65" t="str">
        <f>"{{ rbib_"&amp;F19&amp;" }}"</f>
        <v>{{ rbib_ausband_et_al_2022 }}</v>
      </c>
      <c r="Q19" s="65" t="str">
        <f>"    rtxt_"&amp;F19&amp;": "&amp;""""&amp;"&lt;a href=\"&amp;""""&amp;"/08_references.html#"&amp;F19&amp;"\"&amp;""""&amp;" target=\"&amp;""""&amp;"_blank\"&amp;""""&amp;"&gt;"&amp;G19&amp;"&lt;/a&gt;"&amp;""""</f>
        <v xml:space="preserve">    rtxt_ausband_et_al_2022: "&lt;a href=\"/08_references.html#ausband_et_al_2022\" target=\"_blank\"&gt;Ausband et al., 2022&lt;/a&gt;"</v>
      </c>
      <c r="R19" s="65" t="str">
        <f>"    rbib_"&amp;F19&amp;": "&amp;""""&amp;K19&amp;"&lt;a href=\"&amp;""""&amp;L19&amp;""""&amp;" target=\"&amp;""""&amp;"_blank\"&amp;""""&amp;"&gt;"&amp;L19&amp;"&lt;/a&gt;"&amp;""""</f>
        <v xml:space="preserve">    rbib_ausband_et_al_2022: "Ausband, D. E., Lukacs, P. M., Hurley, M., Roberts, S., Strickfaden, K., &amp; Moeller, A. K. (2022). Estimating Wolf Abundance from Cameras. &lt;i&gt;Ecosphere, 13&lt;/i&gt;(2), e3933.&lt;a href=\"https://doi.org/10.1002/ecs2.3933" target=\"_blank\"&gt;https://doi.org/10.1002/ecs2.3933&lt;/a&gt;"</v>
      </c>
      <c r="S19" s="65" t="str">
        <f>"    rbib_"&amp;F19&amp;": "&amp;""""&amp;"&lt;div class=\"&amp;""""&amp;"hanging\"&amp;""""&amp;"&gt;"&amp;J19&amp;"&lt;/div&gt;"&amp;""""</f>
        <v xml:space="preserve">    rbib_ausband_et_al_2022: "&lt;div class=\"hanging\"&gt;Ausband, D. E., Lukacs, P. M., Hurley, M., Roberts, S., Strickfaden, K., &amp; Moeller, A. K. (2022). Estimating Wolf Abundance from Cameras. *Ecosphere, 13*(2), e3933. &lt;https://doi.org/10.1002/ecs2.3933&gt;&lt;/div&gt;"</v>
      </c>
      <c r="T19" s="65"/>
    </row>
    <row r="20" spans="1:20" ht="15.75">
      <c r="A20" s="65"/>
      <c r="B20" s="155"/>
      <c r="C20" s="155"/>
      <c r="D20" s="155"/>
      <c r="E20" s="65"/>
      <c r="F20" s="65" t="s">
        <v>3867</v>
      </c>
      <c r="G20" s="65" t="s">
        <v>3866</v>
      </c>
      <c r="H20" s="65"/>
      <c r="I20" s="65"/>
      <c r="J20" s="65" t="s">
        <v>3865</v>
      </c>
      <c r="K20" s="65" t="s">
        <v>5427</v>
      </c>
      <c r="L20" s="65" t="s">
        <v>3962</v>
      </c>
      <c r="M20" s="65" t="s">
        <v>984</v>
      </c>
      <c r="N20" s="65" t="str">
        <f>"&lt;div class="&amp;""""&amp;"hanging"&amp;""""&amp;"&gt;"&amp;K20&amp;"&lt;a href="&amp;""""&amp;L20&amp;""""&amp;" target="&amp;""""&amp;"_blank"&amp;""""&amp;"&gt;"&amp;L20&amp;"&lt;/a&gt;&lt;span style="&amp;""""&amp;"color:white"&amp;""""&amp;"&gt;[.]{#"&amp;F20&amp;"}}&lt;/span&gt;&lt;/div&gt;&lt;br&gt;"</f>
        <v>&lt;div class="hanging"&gt;Babu, A. (N.D.). &lt;i&gt;Alpha, Beta and Gamma Diversity: Biodiversity at different scales&lt;/i&gt;.&lt;a href="https://eco-intelligent.com/2016/10/14/alpha-beta-gamma-diversity" target="_blank"&gt;https://eco-intelligent.com/2016/10/14/alpha-beta-gamma-diversity&lt;/a&gt;&lt;span style="color:white"&gt;[.]{#babu_nd}}&lt;/span&gt;&lt;/div&gt;&lt;br&gt;</v>
      </c>
      <c r="O20" s="65" t="str">
        <f>"{{ rtxt_"&amp;F20&amp;" }}"</f>
        <v>{{ rtxt_babu_nd }}</v>
      </c>
      <c r="P20" s="65" t="str">
        <f>"{{ rbib_"&amp;F20&amp;" }}"</f>
        <v>{{ rbib_babu_nd }}</v>
      </c>
      <c r="Q20" s="65" t="str">
        <f>"    rtxt_"&amp;F20&amp;": "&amp;""""&amp;"&lt;a href=\"&amp;""""&amp;"/08_references.html#"&amp;F20&amp;"\"&amp;""""&amp;" target=\"&amp;""""&amp;"_blank\"&amp;""""&amp;"&gt;"&amp;G20&amp;"&lt;/a&gt;"&amp;""""</f>
        <v xml:space="preserve">    rtxt_babu_nd: "&lt;a href=\"/08_references.html#babu_nd\" target=\"_blank\"&gt;Babu, N.D.&lt;/a&gt;"</v>
      </c>
      <c r="R20" s="65" t="str">
        <f>"    rbib_"&amp;F20&amp;": "&amp;""""&amp;K20&amp;"&lt;a href=\"&amp;""""&amp;L20&amp;""""&amp;" target=\"&amp;""""&amp;"_blank\"&amp;""""&amp;"&gt;"&amp;L20&amp;"&lt;/a&gt;"&amp;""""</f>
        <v xml:space="preserve">    rbib_babu_nd: "Babu, A. (N.D.). &lt;i&gt;Alpha, Beta and Gamma Diversity: Biodiversity at different scales&lt;/i&gt;.&lt;a href=\"https://eco-intelligent.com/2016/10/14/alpha-beta-gamma-diversity" target=\"_blank\"&gt;https://eco-intelligent.com/2016/10/14/alpha-beta-gamma-diversity&lt;/a&gt;"</v>
      </c>
      <c r="S20" s="65" t="str">
        <f>"    rbib_"&amp;F20&amp;": "&amp;""""&amp;"&lt;div class=\"&amp;""""&amp;"hanging\"&amp;""""&amp;"&gt;"&amp;J20&amp;"&lt;/div&gt;"&amp;""""</f>
        <v xml:space="preserve">    rbib_babu_nd: "&lt;div class=\"hanging\"&gt;Babu, A. (N.D.). *Alpha, Beta and Gamma Diversity: Biodiversity at different scales*. &lt;https://eco-intelligent.com/2016/10/14/alpha-beta-gamma-diversity&gt;&lt;/div&gt;"</v>
      </c>
      <c r="T20" s="65"/>
    </row>
    <row r="21" spans="1:20" ht="15.75">
      <c r="A21" s="65"/>
      <c r="B21" s="155"/>
      <c r="C21" s="155"/>
      <c r="D21" s="155"/>
      <c r="E21" s="65" t="s">
        <v>984</v>
      </c>
      <c r="F21" s="65" t="s">
        <v>3864</v>
      </c>
      <c r="G21" s="65" t="s">
        <v>3863</v>
      </c>
      <c r="H21" s="65" t="s">
        <v>3863</v>
      </c>
      <c r="I21" s="65" t="b">
        <v>1</v>
      </c>
      <c r="J21" s="65" t="s">
        <v>3862</v>
      </c>
      <c r="K21" s="65" t="s">
        <v>5505</v>
      </c>
      <c r="L21" s="65" t="s">
        <v>3861</v>
      </c>
      <c r="M21" s="65" t="s">
        <v>984</v>
      </c>
      <c r="N21" s="65" t="str">
        <f>"&lt;div class="&amp;""""&amp;"hanging"&amp;""""&amp;"&gt;"&amp;K21&amp;"&lt;a href="&amp;""""&amp;L21&amp;""""&amp;" target="&amp;""""&amp;"_blank"&amp;""""&amp;"&gt;"&amp;L21&amp;"&lt;/a&gt;&lt;span style="&amp;""""&amp;"color:white"&amp;""""&amp;"&gt;[.]{#"&amp;F21&amp;"}}&lt;/span&gt;&lt;/div&gt;&lt;br&gt;"</f>
        <v>&lt;div class="hanging"&gt;Baddeley, A. (N.D.) &lt;i&gt;Spatial Point Processes and Their Applications.&lt;/i&gt; School of Mathematics &amp; Statistics, University of Western Australia.&lt;a href="https://www.researchgate.net/profile/Mohamed-Mourad-Lafifi/post/One-dimensional-spatial-point-processes/attachment/59d641b279197b807799d9fb/AS%3A436024913469445%401480967848679/download/07-baddeley-point-process-poisson-coverage-sensor-simulation.pdf" target="_blank"&gt;https://www.researchgate.net/profile/Mohamed-Mourad-Lafifi/post/One-dimensional-spatial-point-processes/attachment/59d641b279197b807799d9fb/AS%3A436024913469445%401480967848679/download/07-baddeley-point-process-poisson-coverage-sensor-simulation.pdf&lt;/a&gt;&lt;span style="color:white"&gt;[.]{#baddeley_nd}}&lt;/span&gt;&lt;/div&gt;&lt;br&gt;</v>
      </c>
      <c r="O21" s="65" t="str">
        <f>"{{ rtxt_"&amp;F21&amp;" }}"</f>
        <v>{{ rtxt_baddeley_nd }}</v>
      </c>
      <c r="P21" s="65" t="str">
        <f>"{{ rbib_"&amp;F21&amp;" }}"</f>
        <v>{{ rbib_baddeley_nd }}</v>
      </c>
      <c r="Q21" s="65" t="str">
        <f>"    rtxt_"&amp;F21&amp;": "&amp;""""&amp;"&lt;a href=\"&amp;""""&amp;"/08_references.html#"&amp;F21&amp;"\"&amp;""""&amp;" target=\"&amp;""""&amp;"_blank\"&amp;""""&amp;"&gt;"&amp;G21&amp;"&lt;/a&gt;"&amp;""""</f>
        <v xml:space="preserve">    rtxt_baddeley_nd: "&lt;a href=\"/08_references.html#baddeley_nd\" target=\"_blank\"&gt;Baddeley, n.d.&lt;/a&gt;"</v>
      </c>
      <c r="R21" s="65" t="str">
        <f>"    rbib_"&amp;F21&amp;": "&amp;""""&amp;K21&amp;"&lt;a href=\"&amp;""""&amp;L21&amp;""""&amp;" target=\"&amp;""""&amp;"_blank\"&amp;""""&amp;"&gt;"&amp;L21&amp;"&lt;/a&gt;"&amp;""""</f>
        <v xml:space="preserve">    rbib_baddeley_nd: "Baddeley, A. (N.D.) &lt;i&gt;Spatial Point Processes and Their Applications.&lt;/i&gt; School of Mathematics &amp; Statistics, University of Western Australia.&lt;a href=\"https://www.researchgate.net/profile/Mohamed-Mourad-Lafifi/post/One-dimensional-spatial-point-processes/attachment/59d641b279197b807799d9fb/AS%3A436024913469445%401480967848679/download/07-baddeley-point-process-poisson-coverage-sensor-simulation.pdf" target=\"_blank\"&gt;https://www.researchgate.net/profile/Mohamed-Mourad-Lafifi/post/One-dimensional-spatial-point-processes/attachment/59d641b279197b807799d9fb/AS%3A436024913469445%401480967848679/download/07-baddeley-point-process-poisson-coverage-sensor-simulation.pdf&lt;/a&gt;"</v>
      </c>
      <c r="S21" s="65" t="str">
        <f>"    rbib_"&amp;F21&amp;": "&amp;""""&amp;"&lt;div class=\"&amp;""""&amp;"hanging\"&amp;""""&amp;"&gt;"&amp;J21&amp;"&lt;/div&gt;"&amp;""""</f>
        <v xml:space="preserve">    rbib_baddeley_nd: "&lt;div class=\"hanging\"&gt;Baddeley, A. (N.D.) *Spatial Point Processes and Their Applications.* School of Mathematics &amp; Statistics, University of Western Australia. &lt;https://www.researchgate.net/profile/Mohamed-Mourad-Lafifi/post/One-dimensional-spatial-point-processes/attachment/59d641b279197b807799d9fb/AS%3A436024913469445%401480967848679/download/07-baddeley-point-process-poisson-coverage-sensor-simulation.pdf&gt;&lt;/div&gt;"</v>
      </c>
      <c r="T21" s="65"/>
    </row>
    <row r="22" spans="1:20" ht="15.75">
      <c r="A22" s="65"/>
      <c r="B22" s="155"/>
      <c r="C22" s="155"/>
      <c r="D22" s="155"/>
      <c r="E22" s="65" t="s">
        <v>1904</v>
      </c>
      <c r="F22" s="65" t="s">
        <v>3860</v>
      </c>
      <c r="G22" s="65" t="s">
        <v>3859</v>
      </c>
      <c r="H22" s="65" t="s">
        <v>3859</v>
      </c>
      <c r="I22" s="65" t="b">
        <v>1</v>
      </c>
      <c r="J22" s="65" t="s">
        <v>3858</v>
      </c>
      <c r="K22" s="65" t="s">
        <v>6092</v>
      </c>
      <c r="L22" s="65" t="s">
        <v>3857</v>
      </c>
      <c r="M22" s="65" t="s">
        <v>984</v>
      </c>
      <c r="N22" s="65" t="str">
        <f>"&lt;div class="&amp;""""&amp;"hanging"&amp;""""&amp;"&gt;"&amp;K22&amp;"&lt;a href="&amp;""""&amp;L22&amp;""""&amp;" target="&amp;""""&amp;"_blank"&amp;""""&amp;"&gt;"&amp;L22&amp;"&lt;/a&gt;&lt;span style="&amp;""""&amp;"color:white"&amp;""""&amp;"&gt;[.]{#"&amp;F22&amp;"}}&lt;/span&gt;&lt;/div&gt;&lt;br&gt;"</f>
        <v>&lt;div class="hanging"&gt;Bailey, L. L., Hines, J. E., Nichols, J. D., &amp; MacKenzie, D. I. (2007). Sampling Design Trade-Offs in Occupancy Studies with Imperfect Detection: Examples and Software. &lt;i&gt;Ecological Applications, 17&lt;/i&gt;(1), 281-290.&lt;a href="https://www.jstor.org/stable/40061993" target="_blank"&gt;https://www.jstor.org/stable/40061993&lt;/a&gt;&lt;span style="color:white"&gt;[.]{#bailey_et_al_2007}}&lt;/span&gt;&lt;/div&gt;&lt;br&gt;</v>
      </c>
      <c r="O22" s="65" t="str">
        <f>"{{ rtxt_"&amp;F22&amp;" }}"</f>
        <v>{{ rtxt_bailey_et_al_2007 }}</v>
      </c>
      <c r="P22" s="65" t="str">
        <f>"{{ rbib_"&amp;F22&amp;" }}"</f>
        <v>{{ rbib_bailey_et_al_2007 }}</v>
      </c>
      <c r="Q22" s="65" t="str">
        <f>"    rtxt_"&amp;F22&amp;": "&amp;""""&amp;"&lt;a href=\"&amp;""""&amp;"/08_references.html#"&amp;F22&amp;"\"&amp;""""&amp;" target=\"&amp;""""&amp;"_blank\"&amp;""""&amp;"&gt;"&amp;G22&amp;"&lt;/a&gt;"&amp;""""</f>
        <v xml:space="preserve">    rtxt_bailey_et_al_2007: "&lt;a href=\"/08_references.html#bailey_et_al_2007\" target=\"_blank\"&gt;Bailey et al., 2007&lt;/a&gt;"</v>
      </c>
      <c r="R22" s="65" t="str">
        <f>"    rbib_"&amp;F22&amp;": "&amp;""""&amp;K22&amp;"&lt;a href=\"&amp;""""&amp;L22&amp;""""&amp;" target=\"&amp;""""&amp;"_blank\"&amp;""""&amp;"&gt;"&amp;L22&amp;"&lt;/a&gt;"&amp;""""</f>
        <v xml:space="preserve">    rbib_bailey_et_al_2007: "Bailey, L. L., Hines, J. E., Nichols, J. D., &amp; MacKenzie, D. I. (2007). Sampling Design Trade-Offs in Occupancy Studies with Imperfect Detection: Examples and Software. &lt;i&gt;Ecological Applications, 17&lt;/i&gt;(1), 281-290.&lt;a href=\"https://www.jstor.org/stable/40061993" target=\"_blank\"&gt;https://www.jstor.org/stable/40061993&lt;/a&gt;"</v>
      </c>
      <c r="S22" s="65" t="str">
        <f>"    rbib_"&amp;F22&amp;": "&amp;""""&amp;"&lt;div class=\"&amp;""""&amp;"hanging\"&amp;""""&amp;"&gt;"&amp;J22&amp;"&lt;/div&gt;"&amp;""""</f>
        <v xml:space="preserve">    rbib_bailey_et_al_2007: "&lt;div class=\"hanging\"&gt;Bailey, L. L., Hines, J. E., Nichols, J. D., &amp; MacKenzie, D. I. (2007). Sampling Design Trade-Offs in Occupancy Studies with Imperfect Detection: Examples and Software. *Ecological Applications, 17*(1), 281-290. &lt;https://www.jstor.org/stable/40061993&gt;&lt;/div&gt;"</v>
      </c>
      <c r="T22" s="65"/>
    </row>
    <row r="23" spans="1:20" ht="15.75">
      <c r="A23" s="65"/>
      <c r="B23" s="155"/>
      <c r="C23" s="155"/>
      <c r="D23" s="155"/>
      <c r="E23" s="65" t="s">
        <v>1904</v>
      </c>
      <c r="F23" s="65" t="s">
        <v>3856</v>
      </c>
      <c r="G23" s="65" t="s">
        <v>3855</v>
      </c>
      <c r="H23" s="65" t="s">
        <v>3855</v>
      </c>
      <c r="I23" s="65" t="b">
        <v>1</v>
      </c>
      <c r="J23" s="65" t="s">
        <v>3854</v>
      </c>
      <c r="K23" s="65" t="s">
        <v>6093</v>
      </c>
      <c r="L23" s="65" t="s">
        <v>3853</v>
      </c>
      <c r="M23" s="65" t="s">
        <v>984</v>
      </c>
      <c r="N23" s="65" t="str">
        <f>"&lt;div class="&amp;""""&amp;"hanging"&amp;""""&amp;"&gt;"&amp;K23&amp;"&lt;a href="&amp;""""&amp;L23&amp;""""&amp;" target="&amp;""""&amp;"_blank"&amp;""""&amp;"&gt;"&amp;L23&amp;"&lt;/a&gt;&lt;span style="&amp;""""&amp;"color:white"&amp;""""&amp;"&gt;[.]{#"&amp;F23&amp;"}}&lt;/span&gt;&lt;/div&gt;&lt;br&gt;"</f>
        <v>&lt;div class="hanging"&gt;Balestrieri, A., Ruiz-González, A., Vergara, M., Capelli, E., Tirozzi, P., Alfino, S., Minuti, G., Prigioni, C., &amp; Saino, N. (2016). Pine marten density in lowland riparian woods: A test of the Random Encounter Model based on genetic data. &lt;i&gt;Mammalian Biology, 81&lt;/i&gt;(5), 439-446.&lt;a href="https://doi.org/10.1016/j.mambio.2016.05.005" target="_blank"&gt;https://doi.org/10.1016/j.mambio.2016.05.005&lt;/a&gt;&lt;span style="color:white"&gt;[.]{#balestrieri_et_al_2016}}&lt;/span&gt;&lt;/div&gt;&lt;br&gt;</v>
      </c>
      <c r="O23" s="65" t="str">
        <f>"{{ rtxt_"&amp;F23&amp;" }}"</f>
        <v>{{ rtxt_balestrieri_et_al_2016 }}</v>
      </c>
      <c r="P23" s="65" t="str">
        <f>"{{ rbib_"&amp;F23&amp;" }}"</f>
        <v>{{ rbib_balestrieri_et_al_2016 }}</v>
      </c>
      <c r="Q23" s="65" t="str">
        <f>"    rtxt_"&amp;F23&amp;": "&amp;""""&amp;"&lt;a href=\"&amp;""""&amp;"/08_references.html#"&amp;F23&amp;"\"&amp;""""&amp;" target=\"&amp;""""&amp;"_blank\"&amp;""""&amp;"&gt;"&amp;G23&amp;"&lt;/a&gt;"&amp;""""</f>
        <v xml:space="preserve">    rtxt_balestrieri_et_al_2016: "&lt;a href=\"/08_references.html#balestrieri_et_al_2016\" target=\"_blank\"&gt;Balestrieri et al., 2016&lt;/a&gt;"</v>
      </c>
      <c r="R23" s="65" t="str">
        <f>"    rbib_"&amp;F23&amp;": "&amp;""""&amp;K23&amp;"&lt;a href=\"&amp;""""&amp;L23&amp;""""&amp;" target=\"&amp;""""&amp;"_blank\"&amp;""""&amp;"&gt;"&amp;L23&amp;"&lt;/a&gt;"&amp;""""</f>
        <v xml:space="preserve">    rbib_balestrieri_et_al_2016: "Balestrieri, A., Ruiz-González, A., Vergara, M., Capelli, E., Tirozzi, P., Alfino, S., Minuti, G., Prigioni, C., &amp; Saino, N. (2016). Pine marten density in lowland riparian woods: A test of the Random Encounter Model based on genetic data. &lt;i&gt;Mammalian Biology, 81&lt;/i&gt;(5), 439-446.&lt;a href=\"https://doi.org/10.1016/j.mambio.2016.05.005" target=\"_blank\"&gt;https://doi.org/10.1016/j.mambio.2016.05.005&lt;/a&gt;"</v>
      </c>
      <c r="S23" s="65" t="str">
        <f>"    rbib_"&amp;F23&amp;": "&amp;""""&amp;"&lt;div class=\"&amp;""""&amp;"hanging\"&amp;""""&amp;"&gt;"&amp;J23&amp;"&lt;/div&gt;"&amp;""""</f>
        <v xml:space="preserve">    rbib_balestrieri_et_al_2016: "&lt;div class=\"hanging\"&gt;Balestrieri, A., Ruiz-González, A., Vergara, M., Capelli, E., Tirozzi, P., Alfino, S., Minuti, G., Prigioni, C., &amp; Saino, N. (2016). Pine marten density in lowland riparian woods: A test of the Random Encounter Model based on genetic data. *Mammalian Biology, 81*(5), 439-446. &lt;https://doi.org/10.1016/j.mambio.2016.05.005&gt;&lt;/div&gt;"</v>
      </c>
      <c r="T23" s="65"/>
    </row>
    <row r="24" spans="1:20" ht="15.75">
      <c r="A24" s="65"/>
      <c r="B24" s="155"/>
      <c r="C24" s="155"/>
      <c r="D24" s="155"/>
      <c r="E24" s="65" t="s">
        <v>1904</v>
      </c>
      <c r="F24" s="65" t="s">
        <v>3852</v>
      </c>
      <c r="G24" s="65" t="s">
        <v>3851</v>
      </c>
      <c r="H24" s="65" t="s">
        <v>3851</v>
      </c>
      <c r="I24" s="65" t="b">
        <v>1</v>
      </c>
      <c r="J24" s="65" t="s">
        <v>3850</v>
      </c>
      <c r="K24" s="65" t="s">
        <v>5281</v>
      </c>
      <c r="L24" s="65" t="s">
        <v>3849</v>
      </c>
      <c r="M24" s="65" t="s">
        <v>984</v>
      </c>
      <c r="N24" s="65" t="str">
        <f>"&lt;div class="&amp;""""&amp;"hanging"&amp;""""&amp;"&gt;"&amp;K24&amp;"&lt;a href="&amp;""""&amp;L24&amp;""""&amp;" target="&amp;""""&amp;"_blank"&amp;""""&amp;"&gt;"&amp;L24&amp;"&lt;/a&gt;&lt;span style="&amp;""""&amp;"color:white"&amp;""""&amp;"&gt;[.]{#"&amp;F24&amp;"}}&lt;/span&gt;&lt;/div&gt;&lt;br&gt;"</f>
        <v>&lt;div class="hanging"&gt;Banks‐Leite, C., Pardini, R., Boscolo, D., Cassano, C. R., Püttker, T., Barros, C. S., &amp; Barlow, J. (2014). Assessing the utility of statistical adjustments for imperfect detection in tropical conservation science. &lt;i&gt;Journal of Applied Ecology, 51&lt;/i&gt;(4), 849-859.&lt;a href="https://doi.org/10.1111/1365-2664.12272" target="_blank"&gt;https://doi.org/10.1111/1365-2664.12272&lt;/a&gt;&lt;span style="color:white"&gt;[.]{#banksleite_2014}}&lt;/span&gt;&lt;/div&gt;&lt;br&gt;</v>
      </c>
      <c r="O24" s="65" t="str">
        <f>"{{ rtxt_"&amp;F24&amp;" }}"</f>
        <v>{{ rtxt_banksleite_2014 }}</v>
      </c>
      <c r="P24" s="65" t="str">
        <f>"{{ rbib_"&amp;F24&amp;" }}"</f>
        <v>{{ rbib_banksleite_2014 }}</v>
      </c>
      <c r="Q24" s="65" t="str">
        <f>"    rtxt_"&amp;F24&amp;": "&amp;""""&amp;"&lt;a href=\"&amp;""""&amp;"/08_references.html#"&amp;F24&amp;"\"&amp;""""&amp;" target=\"&amp;""""&amp;"_blank\"&amp;""""&amp;"&gt;"&amp;G24&amp;"&lt;/a&gt;"&amp;""""</f>
        <v xml:space="preserve">    rtxt_banksleite_2014: "&lt;a href=\"/08_references.html#banksleite_2014\" target=\"_blank\"&gt;Banks‐Leite et al., 2014&lt;/a&gt;"</v>
      </c>
      <c r="R24" s="65" t="str">
        <f>"    rbib_"&amp;F24&amp;": "&amp;""""&amp;K24&amp;"&lt;a href=\"&amp;""""&amp;L24&amp;""""&amp;" target=\"&amp;""""&amp;"_blank\"&amp;""""&amp;"&gt;"&amp;L24&amp;"&lt;/a&gt;"&amp;""""</f>
        <v xml:space="preserve">    rbib_banksleite_2014: "Banks‐Leite, C., Pardini, R., Boscolo, D., Cassano, C. R., Püttker, T., Barros, C. S., &amp; Barlow, J. (2014). Assessing the utility of statistical adjustments for imperfect detection in tropical conservation science. &lt;i&gt;Journal of Applied Ecology, 51&lt;/i&gt;(4), 849-859.&lt;a href=\"https://doi.org/10.1111/1365-2664.12272" target=\"_blank\"&gt;https://doi.org/10.1111/1365-2664.12272&lt;/a&gt;"</v>
      </c>
      <c r="S24" s="65" t="str">
        <f>"    rbib_"&amp;F24&amp;": "&amp;""""&amp;"&lt;div class=\"&amp;""""&amp;"hanging\"&amp;""""&amp;"&gt;"&amp;J24&amp;"&lt;/div&gt;"&amp;""""</f>
        <v xml:space="preserve">    rbib_banksleite_2014: "&lt;div class=\"hanging\"&gt;Banks‐Leite, C., Pardini, R., Boscolo, D., Cassano, C. R., Püttker, T., Barros, C. S., &amp; Barlow, J. (2014). Assessing the utility of statistical adjustments for imperfect detection in tropical conservation science. *Journal of Applied Ecology, 51*(4), 849-859. &lt;https://doi.org/10.1111/1365-2664.12272&gt;&lt;/div&gt;"</v>
      </c>
      <c r="T24" s="65"/>
    </row>
    <row r="25" spans="1:20" ht="15.75">
      <c r="A25" s="65"/>
      <c r="B25" s="155" t="b">
        <v>0</v>
      </c>
      <c r="C25" s="155" t="b">
        <v>0</v>
      </c>
      <c r="D25" s="155"/>
      <c r="E25" s="65" t="s">
        <v>1945</v>
      </c>
      <c r="F25" s="65" t="s">
        <v>3848</v>
      </c>
      <c r="G25" s="65" t="s">
        <v>3847</v>
      </c>
      <c r="H25" s="65" t="s">
        <v>3847</v>
      </c>
      <c r="I25" s="65" t="b">
        <v>1</v>
      </c>
      <c r="J25" s="65" t="s">
        <v>3846</v>
      </c>
      <c r="K25" s="65" t="s">
        <v>5547</v>
      </c>
      <c r="L25" s="65" t="s">
        <v>3845</v>
      </c>
      <c r="M25" s="65" t="s">
        <v>984</v>
      </c>
      <c r="N25" s="65" t="str">
        <f>"&lt;div class="&amp;""""&amp;"hanging"&amp;""""&amp;"&gt;"&amp;K25&amp;"&lt;a href="&amp;""""&amp;L25&amp;""""&amp;" target="&amp;""""&amp;"_blank"&amp;""""&amp;"&gt;"&amp;L25&amp;"&lt;/a&gt;&lt;span style="&amp;""""&amp;"color:white"&amp;""""&amp;"&gt;[.]{#"&amp;F25&amp;"}}&lt;/span&gt;&lt;/div&gt;&lt;br&gt;"</f>
        <v>&lt;div class="hanging"&gt;Baylor Tutoring Center. (2021, July 31). &lt;i&gt;Species Diversity and Species Richness&lt;/i&gt; [Video]. YouTube.&lt;a href="https://www.youtube.com/watch?v=UXJ0r4hjbqI" target="_blank"&gt;https://www.youtube.com/watch?v=UXJ0r4hjbqI&lt;/a&gt;&lt;span style="color:white"&gt;[.]{#baylor_tutoring_center_2021}}&lt;/span&gt;&lt;/div&gt;&lt;br&gt;</v>
      </c>
      <c r="O25" s="65" t="str">
        <f>"{{ rtxt_"&amp;F25&amp;" }}"</f>
        <v>{{ rtxt_baylor_tutoring_center_2021 }}</v>
      </c>
      <c r="P25" s="65" t="str">
        <f>"{{ rbib_"&amp;F25&amp;" }}"</f>
        <v>{{ rbib_baylor_tutoring_center_2021 }}</v>
      </c>
      <c r="Q25" s="65" t="str">
        <f>"    rtxt_"&amp;F25&amp;": "&amp;""""&amp;"&lt;a href=\"&amp;""""&amp;"/08_references.html#"&amp;F25&amp;"\"&amp;""""&amp;" target=\"&amp;""""&amp;"_blank\"&amp;""""&amp;"&gt;"&amp;G25&amp;"&lt;/a&gt;"&amp;""""</f>
        <v xml:space="preserve">    rtxt_baylor_tutoring_center_2021: "&lt;a href=\"/08_references.html#baylor_tutoring_center_2021\" target=\"_blank\"&gt;Baylor Tutoring Center, 2021&lt;/a&gt;"</v>
      </c>
      <c r="R25" s="65" t="str">
        <f>"    rbib_"&amp;F25&amp;": "&amp;""""&amp;K25&amp;"&lt;a href=\"&amp;""""&amp;L25&amp;""""&amp;" target=\"&amp;""""&amp;"_blank\"&amp;""""&amp;"&gt;"&amp;L25&amp;"&lt;/a&gt;"&amp;""""</f>
        <v xml:space="preserve">    rbib_baylor_tutoring_center_2021: "Baylor Tutoring Center. (2021, July 31). &lt;i&gt;Species Diversity and Species Richness&lt;/i&gt; [Video]. YouTube.&lt;a href=\"https://www.youtube.com/watch?v=UXJ0r4hjbqI" target=\"_blank\"&gt;https://www.youtube.com/watch?v=UXJ0r4hjbqI&lt;/a&gt;"</v>
      </c>
      <c r="S25" s="65" t="str">
        <f>"    rbib_"&amp;F25&amp;": "&amp;""""&amp;"&lt;div class=\"&amp;""""&amp;"hanging\"&amp;""""&amp;"&gt;"&amp;J25&amp;"&lt;/div&gt;"&amp;""""</f>
        <v xml:space="preserve">    rbib_baylor_tutoring_center_2021: "&lt;div class=\"hanging\"&gt;Baylor Tutoring Center. (2021, July 31). *Species Diversity and Species Richness* [Video]. YouTube. &lt;https://www.youtube.com/watch?v=UXJ0r4hjbqI&gt;&lt;/div&gt;"</v>
      </c>
      <c r="T25" s="65"/>
    </row>
    <row r="26" spans="1:20" ht="15.75">
      <c r="A26" s="65"/>
      <c r="B26" s="155" t="b">
        <v>1</v>
      </c>
      <c r="C26" s="155" t="b">
        <v>0</v>
      </c>
      <c r="D26" s="155" t="b">
        <v>0</v>
      </c>
      <c r="E26" s="65" t="s">
        <v>3214</v>
      </c>
      <c r="F26" s="65" t="s">
        <v>3844</v>
      </c>
      <c r="G26" s="65" t="s">
        <v>3843</v>
      </c>
      <c r="H26" s="65" t="s">
        <v>3843</v>
      </c>
      <c r="I26" s="65" t="b">
        <v>1</v>
      </c>
      <c r="J26" s="65" t="s">
        <v>3842</v>
      </c>
      <c r="K26" s="65" t="s">
        <v>5458</v>
      </c>
      <c r="L26" s="65" t="s">
        <v>3841</v>
      </c>
      <c r="M26" s="65" t="s">
        <v>984</v>
      </c>
      <c r="N26" s="65" t="str">
        <f>"&lt;div class="&amp;""""&amp;"hanging"&amp;""""&amp;"&gt;"&amp;K26&amp;"&lt;a href="&amp;""""&amp;L26&amp;""""&amp;" target="&amp;""""&amp;"_blank"&amp;""""&amp;"&gt;"&amp;L26&amp;"&lt;/a&gt;&lt;span style="&amp;""""&amp;"color:white"&amp;""""&amp;"&gt;[.]{#"&amp;F26&amp;"}}&lt;/span&gt;&lt;/div&gt;&lt;br&gt;"</f>
        <v>&lt;div class="hanging"&gt;Bayne, E., Dennett, J., Dooley, J., Kohler, M., Ball, J., Bidwell, M., Braid, A., Chetelat, J., Dillegeard, E., Farr, D., Fisher, J., Freemark, M., Foster, K., Godwin, C., Hebert, C., Huggard, D., McIssac, D., Narwani, T., Nielsen, S., Pauli, B., Prasad, S., Roberts, D., Slater, S., Song, S., Swanson, S., Thomas, P., Toms, J., Twitchell, C., White, S., Wyatt, F., &amp; Mundy, L. (2021). &lt;i&gt;Oil Sands Monitoring Program: A Before-After Dose- Response Terrestrial Biological Monitoring Framework for the Oil Sands&lt;/i&gt;. (OSM Technical Report Series No. 7).&lt;a href="https://open.alberta.ca/publications/9781460151341" target="_blank"&gt;https://open.alberta.ca/publications/9781460151341&lt;/a&gt;&lt;span style="color:white"&gt;[.]{#bayne_et_al_2021}}&lt;/span&gt;&lt;/div&gt;&lt;br&gt;</v>
      </c>
      <c r="O26" s="65" t="str">
        <f>"{{ rtxt_"&amp;F26&amp;" }}"</f>
        <v>{{ rtxt_bayne_et_al_2021 }}</v>
      </c>
      <c r="P26" s="65" t="str">
        <f>"{{ rbib_"&amp;F26&amp;" }}"</f>
        <v>{{ rbib_bayne_et_al_2021 }}</v>
      </c>
      <c r="Q26" s="65" t="str">
        <f>"    rtxt_"&amp;F26&amp;": "&amp;""""&amp;"&lt;a href=\"&amp;""""&amp;"/08_references.html#"&amp;F26&amp;"\"&amp;""""&amp;" target=\"&amp;""""&amp;"_blank\"&amp;""""&amp;"&gt;"&amp;G26&amp;"&lt;/a&gt;"&amp;""""</f>
        <v xml:space="preserve">    rtxt_bayne_et_al_2021: "&lt;a href=\"/08_references.html#bayne_et_al_2021\" target=\"_blank\"&gt;Bayne et al., 2021&lt;/a&gt;"</v>
      </c>
      <c r="R26" s="65" t="str">
        <f>"    rbib_"&amp;F26&amp;": "&amp;""""&amp;K26&amp;"&lt;a href=\"&amp;""""&amp;L26&amp;""""&amp;" target=\"&amp;""""&amp;"_blank\"&amp;""""&amp;"&gt;"&amp;L26&amp;"&lt;/a&gt;"&amp;""""</f>
        <v xml:space="preserve">    rbib_bayne_et_al_2021: "Bayne, E., Dennett, J., Dooley, J., Kohler, M., Ball, J., Bidwell, M., Braid, A., Chetelat, J., Dillegeard, E., Farr, D., Fisher, J., Freemark, M., Foster, K., Godwin, C., Hebert, C., Huggard, D., McIssac, D., Narwani, T., Nielsen, S., Pauli, B., Prasad, S., Roberts, D., Slater, S., Song, S., Swanson, S., Thomas, P., Toms, J., Twitchell, C., White, S., Wyatt, F., &amp; Mundy, L. (2021). &lt;i&gt;Oil Sands Monitoring Program: A Before-After Dose- Response Terrestrial Biological Monitoring Framework for the Oil Sands&lt;/i&gt;. (OSM Technical Report Series No. 7).&lt;a href=\"https://open.alberta.ca/publications/9781460151341" target=\"_blank\"&gt;https://open.alberta.ca/publications/9781460151341&lt;/a&gt;"</v>
      </c>
      <c r="S26" s="65" t="str">
        <f>"    rbib_"&amp;F26&amp;": "&amp;""""&amp;"&lt;div class=\"&amp;""""&amp;"hanging\"&amp;""""&amp;"&gt;"&amp;J26&amp;"&lt;/div&gt;"&amp;""""</f>
        <v xml:space="preserve">    rbib_bayne_et_al_2021: "&lt;div class=\"hanging\"&gt;Bayne, E., Dennett, J., Dooley, J., Kohler, M., Ball, J., Bidwell, M., Braid, A., Chetelat, J., Dillegeard, E., Farr, D., Fisher, J., Freemark, M., Foster, K., Godwin, C., Hebert, C., Huggard, D., McIssac, D., Narwani, T., Nielsen, S., Pauli, B., Prasad, S., Roberts, D., Slater, S., Song, S., Swanson, S., Thomas, P., Toms, J., Twitchell, C., White, S., Wyatt, F., &amp; Mundy, L. (2021). *Oil Sands Monitoring Program: A Before-After Dose- Response Terrestrial Biological Monitoring Framework for the Oil Sands*. (OSM Technical Report Series No. 7). &lt;https://open.alberta.ca/publications/9781460151341&gt;&lt;/div&gt;"</v>
      </c>
      <c r="T26" s="65"/>
    </row>
    <row r="27" spans="1:20" ht="15.75">
      <c r="A27" s="65"/>
      <c r="B27" s="155"/>
      <c r="C27" s="155"/>
      <c r="D27" s="155"/>
      <c r="E27" s="65" t="s">
        <v>2928</v>
      </c>
      <c r="F27" s="65" t="s">
        <v>3840</v>
      </c>
      <c r="G27" s="65" t="s">
        <v>3839</v>
      </c>
      <c r="H27" s="65" t="s">
        <v>3839</v>
      </c>
      <c r="I27" s="65" t="b">
        <v>1</v>
      </c>
      <c r="J27" s="65" t="s">
        <v>3838</v>
      </c>
      <c r="K27" s="65" t="s">
        <v>5104</v>
      </c>
      <c r="L27" s="65" t="s">
        <v>3837</v>
      </c>
      <c r="M27" s="65" t="s">
        <v>984</v>
      </c>
      <c r="N27" s="65" t="str">
        <f>"&lt;div class="&amp;""""&amp;"hanging"&amp;""""&amp;"&gt;"&amp;K27&amp;"&lt;a href="&amp;""""&amp;L27&amp;""""&amp;" target="&amp;""""&amp;"_blank"&amp;""""&amp;"&gt;"&amp;L27&amp;"&lt;/a&gt;&lt;span style="&amp;""""&amp;"color:white"&amp;""""&amp;"&gt;[.]{#"&amp;F27&amp;"}}&lt;/span&gt;&lt;/div&gt;&lt;br&gt;"</f>
        <v>&lt;div class="hanging"&gt;Becker, M. (2024, June 4-6). &lt;i&gt;Comparisons between moose densities with aerial surveys and integrated camera projects.&lt;/i&gt; [Conference presentation]. Government of Alberta Ungulate Monitoring Methods Workshop, Edmonton, AB, Canada.&lt;a href="https://ab-rcsc.github.io/GOA_Ungulate-monitoring-methods-workshop/1_pages/3_Speaker-Bios.html" target="_blank"&gt;https://ab-rcsc.github.io/GOA_Ungulate-monitoring-methods-workshop/1_pages/3_Speaker-Bios.html&lt;/a&gt;&lt;span style="color:white"&gt;[.]{#becker_2024}}&lt;/span&gt;&lt;/div&gt;&lt;br&gt;</v>
      </c>
      <c r="O27" s="65" t="str">
        <f>"{{ rtxt_"&amp;F27&amp;" }}"</f>
        <v>{{ rtxt_becker_2024 }}</v>
      </c>
      <c r="P27" s="65" t="str">
        <f>"{{ rbib_"&amp;F27&amp;" }}"</f>
        <v>{{ rbib_becker_2024 }}</v>
      </c>
      <c r="Q27" s="65" t="str">
        <f>"    rtxt_"&amp;F27&amp;": "&amp;""""&amp;"&lt;a href=\"&amp;""""&amp;"/08_references.html#"&amp;F27&amp;"\"&amp;""""&amp;" target=\"&amp;""""&amp;"_blank\"&amp;""""&amp;"&gt;"&amp;G27&amp;"&lt;/a&gt;"&amp;""""</f>
        <v xml:space="preserve">    rtxt_becker_2024: "&lt;a href=\"/08_references.html#becker_2024\" target=\"_blank\"&gt;Becker, 2024&lt;/a&gt;"</v>
      </c>
      <c r="R27" s="65" t="str">
        <f>"    rbib_"&amp;F27&amp;": "&amp;""""&amp;K27&amp;"&lt;a href=\"&amp;""""&amp;L27&amp;""""&amp;" target=\"&amp;""""&amp;"_blank\"&amp;""""&amp;"&gt;"&amp;L27&amp;"&lt;/a&gt;"&amp;""""</f>
        <v xml:space="preserve">    rbib_becker_2024: "Becker, M. (2024, June 4-6). &lt;i&gt;Comparisons between moose densities with aerial surveys and integrated camera projects.&lt;/i&gt; [Conference presentation]. Government of Alberta Ungulate Monitoring Methods Workshop, Edmonton, AB, Canada.&lt;a href=\"https://ab-rcsc.github.io/GOA_Ungulate-monitoring-methods-workshop/1_pages/3_Speaker-Bios.html" target=\"_blank\"&gt;https://ab-rcsc.github.io/GOA_Ungulate-monitoring-methods-workshop/1_pages/3_Speaker-Bios.html&lt;/a&gt;"</v>
      </c>
      <c r="S27" s="65" t="str">
        <f>"    rbib_"&amp;F27&amp;": "&amp;""""&amp;"&lt;div class=\"&amp;""""&amp;"hanging\"&amp;""""&amp;"&gt;"&amp;J27&amp;"&lt;/div&gt;"&amp;""""</f>
        <v xml:space="preserve">    rbib_becker_2024: "&lt;div class=\"hanging\"&gt;Becker, M. (2024, June 4-6). *Comparisons between moose densities with aerial surveys and integrated camera projects.* [Conference presentation]. Government of Alberta Ungulate Monitoring Methods Workshop, Edmonton, AB, Canada. &lt;https://ab-rcsc.github.io/GOA_Ungulate-monitoring-methods-workshop/1_pages/3_Speaker-Bios.html&gt;&lt;/div&gt;"</v>
      </c>
      <c r="T27" s="65"/>
    </row>
    <row r="28" spans="1:20" ht="15.75">
      <c r="A28" s="65"/>
      <c r="B28" s="155"/>
      <c r="C28" s="155"/>
      <c r="D28" s="155"/>
      <c r="E28" s="65" t="s">
        <v>2246</v>
      </c>
      <c r="F28" s="65" t="s">
        <v>3836</v>
      </c>
      <c r="G28" s="65" t="s">
        <v>3832</v>
      </c>
      <c r="H28" s="65"/>
      <c r="I28" s="65" t="b">
        <v>1</v>
      </c>
      <c r="J28" s="65" t="s">
        <v>3835</v>
      </c>
      <c r="K28" s="65" t="s">
        <v>5448</v>
      </c>
      <c r="L28" s="65" t="s">
        <v>3834</v>
      </c>
      <c r="M28" s="65" t="s">
        <v>984</v>
      </c>
      <c r="N28" s="65" t="str">
        <f>"&lt;div class="&amp;""""&amp;"hanging"&amp;""""&amp;"&gt;"&amp;K28&amp;"&lt;a href="&amp;""""&amp;L28&amp;""""&amp;" target="&amp;""""&amp;"_blank"&amp;""""&amp;"&gt;"&amp;L28&amp;"&lt;/a&gt;&lt;span style="&amp;""""&amp;"color:white"&amp;""""&amp;"&gt;[.]{#"&amp;F28&amp;"}}&lt;/span&gt;&lt;/div&gt;&lt;br&gt;"</f>
        <v>&lt;div class="hanging"&gt;Becker, M. Huggard, D. J., &amp; Alberta Biodiversity Monitoring Institute [ABMI]. (2020). &lt;i&gt;abmi.camera.extras.&lt;/i&gt; R package version 0.0.1.&lt;a href="https://mabecker89.github.io/abmi.camera.extras" target="_blank"&gt;https://mabecker89.github.io/abmi.camera.extras&lt;/a&gt;&lt;span style="color:white"&gt;[.]{#becker_et_al_2020}}&lt;/span&gt;&lt;/div&gt;&lt;br&gt;</v>
      </c>
      <c r="O28" s="65" t="str">
        <f>"{{ rtxt_"&amp;F28&amp;" }}"</f>
        <v>{{ rtxt_becker_et_al_2020 }}</v>
      </c>
      <c r="P28" s="65" t="str">
        <f>"{{ rbib_"&amp;F28&amp;" }}"</f>
        <v>{{ rbib_becker_et_al_2020 }}</v>
      </c>
      <c r="Q28" s="65" t="str">
        <f>"    rtxt_"&amp;F28&amp;": "&amp;""""&amp;"&lt;a href=\"&amp;""""&amp;"/08_references.html#"&amp;F28&amp;"\"&amp;""""&amp;" target=\"&amp;""""&amp;"_blank\"&amp;""""&amp;"&gt;"&amp;G28&amp;"&lt;/a&gt;"&amp;""""</f>
        <v xml:space="preserve">    rtxt_becker_et_al_2020: "&lt;a href=\"/08_references.html#becker_et_al_2020\" target=\"_blank\"&gt;Becker et al., 2021&lt;/a&gt;"</v>
      </c>
      <c r="R28" s="65" t="str">
        <f>"    rbib_"&amp;F28&amp;": "&amp;""""&amp;K28&amp;"&lt;a href=\"&amp;""""&amp;L28&amp;""""&amp;" target=\"&amp;""""&amp;"_blank\"&amp;""""&amp;"&gt;"&amp;L28&amp;"&lt;/a&gt;"&amp;""""</f>
        <v xml:space="preserve">    rbib_becker_et_al_2020: "Becker, M. Huggard, D. J., &amp; Alberta Biodiversity Monitoring Institute [ABMI]. (2020). &lt;i&gt;abmi.camera.extras.&lt;/i&gt; R package version 0.0.1.&lt;a href=\"https://mabecker89.github.io/abmi.camera.extras" target=\"_blank\"&gt;https://mabecker89.github.io/abmi.camera.extras&lt;/a&gt;"</v>
      </c>
      <c r="S28" s="65" t="str">
        <f>"    rbib_"&amp;F28&amp;": "&amp;""""&amp;"&lt;div class=\"&amp;""""&amp;"hanging\"&amp;""""&amp;"&gt;"&amp;J28&amp;"&lt;/div&gt;"&amp;""""</f>
        <v xml:space="preserve">    rbib_becker_et_al_2020: "&lt;div class=\"hanging\"&gt;Becker, M. Huggard, D. J., &amp; Alberta Biodiversity Monitoring Institute [ABMI]. (2020). *abmi.camera.extras.* R package version 0.0.1. &lt;https://mabecker89.github.io/abmi.camera.extras&gt;&lt;/div&gt;"</v>
      </c>
      <c r="T28" s="65"/>
    </row>
    <row r="29" spans="1:20" s="38" customFormat="1" ht="15.75">
      <c r="A29" s="65"/>
      <c r="B29" s="155"/>
      <c r="C29" s="155"/>
      <c r="D29" s="155"/>
      <c r="E29" s="65" t="s">
        <v>1950</v>
      </c>
      <c r="F29" s="65" t="s">
        <v>3833</v>
      </c>
      <c r="G29" s="65" t="s">
        <v>3832</v>
      </c>
      <c r="H29" s="65"/>
      <c r="I29" s="65" t="b">
        <v>1</v>
      </c>
      <c r="J29" s="65" t="s">
        <v>3831</v>
      </c>
      <c r="K29" s="65" t="s">
        <v>5431</v>
      </c>
      <c r="L29" s="65" t="s">
        <v>3830</v>
      </c>
      <c r="M29" s="65" t="s">
        <v>984</v>
      </c>
      <c r="N29" s="65" t="str">
        <f>"&lt;div class="&amp;""""&amp;"hanging"&amp;""""&amp;"&gt;"&amp;K29&amp;"&lt;a href="&amp;""""&amp;L29&amp;""""&amp;" target="&amp;""""&amp;"_blank"&amp;""""&amp;"&gt;"&amp;L29&amp;"&lt;/a&gt;&lt;span style="&amp;""""&amp;"color:white"&amp;""""&amp;"&gt;[.]{#"&amp;F29&amp;"}}&lt;/span&gt;&lt;/div&gt;&lt;br&gt;"</f>
        <v>&lt;div class="hanging"&gt;Becker, M. Huggard, D. J., &amp; Alberta Biodiversity Monitoring Institute [ABMI]. (2021).&lt;i&gt;Estimating animal density using TIFC (Time In Front of Camera).&lt;/i&gt;&lt;a href="https://github.com/mabecker89/tifc-method" target="_blank"&gt;https://github.com/mabecker89/tifc-method&lt;/a&gt;&lt;span style="color:white"&gt;[.]{#becker_et_al_2021}}&lt;/span&gt;&lt;/div&gt;&lt;br&gt;</v>
      </c>
      <c r="O29" s="65" t="str">
        <f>"{{ rtxt_"&amp;F29&amp;" }}"</f>
        <v>{{ rtxt_becker_et_al_2021 }}</v>
      </c>
      <c r="P29" s="65" t="str">
        <f>"{{ rbib_"&amp;F29&amp;" }}"</f>
        <v>{{ rbib_becker_et_al_2021 }}</v>
      </c>
      <c r="Q29" s="65" t="str">
        <f>"    rtxt_"&amp;F29&amp;": "&amp;""""&amp;"&lt;a href=\"&amp;""""&amp;"/08_references.html#"&amp;F29&amp;"\"&amp;""""&amp;" target=\"&amp;""""&amp;"_blank\"&amp;""""&amp;"&gt;"&amp;G29&amp;"&lt;/a&gt;"&amp;""""</f>
        <v xml:space="preserve">    rtxt_becker_et_al_2021: "&lt;a href=\"/08_references.html#becker_et_al_2021\" target=\"_blank\"&gt;Becker et al., 2021&lt;/a&gt;"</v>
      </c>
      <c r="R29" s="65" t="str">
        <f>"    rbib_"&amp;F29&amp;": "&amp;""""&amp;K29&amp;"&lt;a href=\"&amp;""""&amp;L29&amp;""""&amp;" target=\"&amp;""""&amp;"_blank\"&amp;""""&amp;"&gt;"&amp;L29&amp;"&lt;/a&gt;"&amp;""""</f>
        <v xml:space="preserve">    rbib_becker_et_al_2021: "Becker, M. Huggard, D. J., &amp; Alberta Biodiversity Monitoring Institute [ABMI]. (2021).&lt;i&gt;Estimating animal density using TIFC (Time In Front of Camera).&lt;/i&gt;&lt;a href=\"https://github.com/mabecker89/tifc-method" target=\"_blank\"&gt;https://github.com/mabecker89/tifc-method&lt;/a&gt;"</v>
      </c>
      <c r="S29" s="65" t="str">
        <f>"    rbib_"&amp;F29&amp;": "&amp;""""&amp;"&lt;div class=\"&amp;""""&amp;"hanging\"&amp;""""&amp;"&gt;"&amp;J29&amp;"&lt;/div&gt;"&amp;""""</f>
        <v xml:space="preserve">    rbib_becker_et_al_2021: "&lt;div class=\"hanging\"&gt;Becker, M. Huggard, D. J., &amp; Alberta Biodiversity Monitoring Institute [ABMI]. (2021).*Estimating animal density using TIFC (Time In Front of Camera).* &lt;https://github.com/mabecker89/tifc-method&gt;&lt;/div&gt;"</v>
      </c>
      <c r="T29" s="65"/>
    </row>
    <row r="30" spans="1:20" s="38" customFormat="1" ht="15.75">
      <c r="A30" s="65"/>
      <c r="B30" s="155" t="b">
        <v>1</v>
      </c>
      <c r="C30" s="155" t="b">
        <v>1</v>
      </c>
      <c r="D30" s="155" t="b">
        <v>0</v>
      </c>
      <c r="E30" s="65" t="s">
        <v>1904</v>
      </c>
      <c r="F30" s="65" t="s">
        <v>3829</v>
      </c>
      <c r="G30" s="65" t="s">
        <v>3828</v>
      </c>
      <c r="H30" s="65" t="s">
        <v>3828</v>
      </c>
      <c r="I30" s="65" t="b">
        <v>1</v>
      </c>
      <c r="J30" s="65" t="s">
        <v>3827</v>
      </c>
      <c r="K30" s="65" t="s">
        <v>5156</v>
      </c>
      <c r="L30" s="65" t="s">
        <v>3826</v>
      </c>
      <c r="M30" s="65" t="s">
        <v>984</v>
      </c>
      <c r="N30" s="65" t="str">
        <f>"&lt;div class="&amp;""""&amp;"hanging"&amp;""""&amp;"&gt;"&amp;K30&amp;"&lt;a href="&amp;""""&amp;L30&amp;""""&amp;" target="&amp;""""&amp;"_blank"&amp;""""&amp;"&gt;"&amp;L30&amp;"&lt;/a&gt;&lt;span style="&amp;""""&amp;"color:white"&amp;""""&amp;"&gt;[.]{#"&amp;F30&amp;"}}&lt;/span&gt;&lt;/div&gt;&lt;br&gt;"</f>
        <v>&lt;div class="hanging"&gt;Becker, M., Huggard, D. J., Dickie, M., Warbington, C., Schieck, J., Herdman, E., Serrouya, R., &amp; Boutin, S. (2022). Applying and Testing a Novel Method to Estimate Animal Density from Motion-Triggered Cameras. &lt;i&gt;Ecosphere, 13&lt;/i&gt;(4), 1-14.&lt;a href="https://doi.org/10.1002/ecs2.4005" target="_blank"&gt;https://doi.org/10.1002/ecs2.4005&lt;/a&gt;&lt;span style="color:white"&gt;[.]{#becker_et_al_2022}}&lt;/span&gt;&lt;/div&gt;&lt;br&gt;</v>
      </c>
      <c r="O30" s="65" t="str">
        <f>"{{ rtxt_"&amp;F30&amp;" }}"</f>
        <v>{{ rtxt_becker_et_al_2022 }}</v>
      </c>
      <c r="P30" s="65" t="str">
        <f>"{{ rbib_"&amp;F30&amp;" }}"</f>
        <v>{{ rbib_becker_et_al_2022 }}</v>
      </c>
      <c r="Q30" s="65" t="str">
        <f>"    rtxt_"&amp;F30&amp;": "&amp;""""&amp;"&lt;a href=\"&amp;""""&amp;"/08_references.html#"&amp;F30&amp;"\"&amp;""""&amp;" target=\"&amp;""""&amp;"_blank\"&amp;""""&amp;"&gt;"&amp;G30&amp;"&lt;/a&gt;"&amp;""""</f>
        <v xml:space="preserve">    rtxt_becker_et_al_2022: "&lt;a href=\"/08_references.html#becker_et_al_2022\" target=\"_blank\"&gt;Becker et al., 2022&lt;/a&gt;"</v>
      </c>
      <c r="R30" s="65" t="str">
        <f>"    rbib_"&amp;F30&amp;": "&amp;""""&amp;K30&amp;"&lt;a href=\"&amp;""""&amp;L30&amp;""""&amp;" target=\"&amp;""""&amp;"_blank\"&amp;""""&amp;"&gt;"&amp;L30&amp;"&lt;/a&gt;"&amp;""""</f>
        <v xml:space="preserve">    rbib_becker_et_al_2022: "Becker, M., Huggard, D. J., Dickie, M., Warbington, C., Schieck, J., Herdman, E., Serrouya, R., &amp; Boutin, S. (2022). Applying and Testing a Novel Method to Estimate Animal Density from Motion-Triggered Cameras. &lt;i&gt;Ecosphere, 13&lt;/i&gt;(4), 1-14.&lt;a href=\"https://doi.org/10.1002/ecs2.4005" target=\"_blank\"&gt;https://doi.org/10.1002/ecs2.4005&lt;/a&gt;"</v>
      </c>
      <c r="S30" s="65" t="str">
        <f>"    rbib_"&amp;F30&amp;": "&amp;""""&amp;"&lt;div class=\"&amp;""""&amp;"hanging\"&amp;""""&amp;"&gt;"&amp;J30&amp;"&lt;/div&gt;"&amp;""""</f>
        <v xml:space="preserve">    rbib_becker_et_al_2022: "&lt;div class=\"hanging\"&gt;Becker, M., Huggard, D. J., Dickie, M., Warbington, C., Schieck, J., Herdman, E., Serrouya, R., &amp; Boutin, S. (2022). Applying and Testing a Novel Method to Estimate Animal Density from Motion-Triggered Cameras. *Ecosphere, 13*(4), 1-14. &lt;https://doi.org/10.1002/ecs2.4005&gt;&lt;/div&gt;"</v>
      </c>
      <c r="T30" s="65"/>
    </row>
    <row r="31" spans="1:20" s="38" customFormat="1" ht="15.75">
      <c r="A31" s="65"/>
      <c r="B31" s="155" t="b">
        <v>1</v>
      </c>
      <c r="C31" s="155" t="b">
        <v>0</v>
      </c>
      <c r="D31" s="155" t="b">
        <v>0</v>
      </c>
      <c r="E31" s="65" t="s">
        <v>1904</v>
      </c>
      <c r="F31" s="65" t="s">
        <v>3825</v>
      </c>
      <c r="G31" s="65" t="s">
        <v>3824</v>
      </c>
      <c r="H31" s="65" t="s">
        <v>3823</v>
      </c>
      <c r="I31" s="65" t="b">
        <v>1</v>
      </c>
      <c r="J31" s="65" t="s">
        <v>3822</v>
      </c>
      <c r="K31" s="65" t="s">
        <v>5414</v>
      </c>
      <c r="L31" s="65" t="s">
        <v>3821</v>
      </c>
      <c r="M31" s="65" t="s">
        <v>984</v>
      </c>
      <c r="N31" s="65" t="str">
        <f>"&lt;div class="&amp;""""&amp;"hanging"&amp;""""&amp;"&gt;"&amp;K31&amp;"&lt;a href="&amp;""""&amp;L31&amp;""""&amp;" target="&amp;""""&amp;"_blank"&amp;""""&amp;"&gt;"&amp;L31&amp;"&lt;/a&gt;&lt;span style="&amp;""""&amp;"color:white"&amp;""""&amp;"&gt;[.]{#"&amp;F31&amp;"}}&lt;/span&gt;&lt;/div&gt;&lt;br&gt;"</f>
        <v>&lt;div class="hanging"&gt;Beery, S., Morris, D., &amp; Yang, S. (2019). Efficient Pipeline for Camera Trap Image Review. &lt;i&gt;Microsoft AI for Earth&lt;/i&gt;.&lt;a href="https://doi.org/10.48550/arXiv.1907.06772" target="_blank"&gt;https://doi.org/10.48550/arXiv.1907.06772&lt;/a&gt;&lt;span style="color:white"&gt;[.]{#beery_et_al_2019}}&lt;/span&gt;&lt;/div&gt;&lt;br&gt;</v>
      </c>
      <c r="O31" s="65" t="str">
        <f>"{{ rtxt_"&amp;F31&amp;" }}"</f>
        <v>{{ rtxt_beery_et_al_2019 }}</v>
      </c>
      <c r="P31" s="65" t="str">
        <f>"{{ rbib_"&amp;F31&amp;" }}"</f>
        <v>{{ rbib_beery_et_al_2019 }}</v>
      </c>
      <c r="Q31" s="65" t="str">
        <f>"    rtxt_"&amp;F31&amp;": "&amp;""""&amp;"&lt;a href=\"&amp;""""&amp;"/08_references.html#"&amp;F31&amp;"\"&amp;""""&amp;" target=\"&amp;""""&amp;"_blank\"&amp;""""&amp;"&gt;"&amp;G31&amp;"&lt;/a&gt;"&amp;""""</f>
        <v xml:space="preserve">    rtxt_beery_et_al_2019: "&lt;a href=\"/08_references.html#beery_et_al_2019\" target=\"_blank\"&gt;Beery et al., 2019&lt;/a&gt;"</v>
      </c>
      <c r="R31" s="65" t="str">
        <f>"    rbib_"&amp;F31&amp;": "&amp;""""&amp;K31&amp;"&lt;a href=\"&amp;""""&amp;L31&amp;""""&amp;" target=\"&amp;""""&amp;"_blank\"&amp;""""&amp;"&gt;"&amp;L31&amp;"&lt;/a&gt;"&amp;""""</f>
        <v xml:space="preserve">    rbib_beery_et_al_2019: "Beery, S., Morris, D., &amp; Yang, S. (2019). Efficient Pipeline for Camera Trap Image Review. &lt;i&gt;Microsoft AI for Earth&lt;/i&gt;.&lt;a href=\"https://doi.org/10.48550/arXiv.1907.06772" target=\"_blank\"&gt;https://doi.org/10.48550/arXiv.1907.06772&lt;/a&gt;"</v>
      </c>
      <c r="S31" s="65" t="str">
        <f>"    rbib_"&amp;F31&amp;": "&amp;""""&amp;"&lt;div class=\"&amp;""""&amp;"hanging\"&amp;""""&amp;"&gt;"&amp;J31&amp;"&lt;/div&gt;"&amp;""""</f>
        <v xml:space="preserve">    rbib_beery_et_al_2019: "&lt;div class=\"hanging\"&gt;Beery, S., Morris, D., &amp; Yang, S. (2019). Efficient Pipeline for Camera Trap Image Review. *Microsoft AI for Earth*. &lt;https://doi.org/10.48550/arXiv.1907.06772&gt;&lt;/div&gt;"</v>
      </c>
      <c r="T31" s="65"/>
    </row>
    <row r="32" spans="1:20" ht="15.75">
      <c r="A32" s="65"/>
      <c r="B32" s="155"/>
      <c r="C32" s="155"/>
      <c r="D32" s="155"/>
      <c r="E32" s="65" t="s">
        <v>2138</v>
      </c>
      <c r="F32" s="65" t="s">
        <v>3820</v>
      </c>
      <c r="G32" s="65" t="s">
        <v>3819</v>
      </c>
      <c r="H32" s="65"/>
      <c r="I32" s="65" t="b">
        <v>1</v>
      </c>
      <c r="J32" s="65" t="s">
        <v>3818</v>
      </c>
      <c r="K32" s="65" t="s">
        <v>5473</v>
      </c>
      <c r="L32" s="65" t="s">
        <v>3817</v>
      </c>
      <c r="M32" s="65" t="s">
        <v>984</v>
      </c>
      <c r="N32" s="65" t="str">
        <f>"&lt;div class="&amp;""""&amp;"hanging"&amp;""""&amp;"&gt;"&amp;K32&amp;"&lt;a href="&amp;""""&amp;L32&amp;""""&amp;" target="&amp;""""&amp;"_blank"&amp;""""&amp;"&gt;"&amp;L32&amp;"&lt;/a&gt;&lt;span style="&amp;""""&amp;"color:white"&amp;""""&amp;"&gt;[.]{#"&amp;F32&amp;"}}&lt;/span&gt;&lt;/div&gt;&lt;br&gt;"</f>
        <v>&lt;div class="hanging"&gt;Benedetti, A. (2024). &lt;i&gt;Visualizing Biodiversity in [U.S.] National Parks.&lt;/i&gt;&lt;a href="https://shiny.posit.co/r/gallery/life-sciences/biodiversity-national-parks" target="_blank"&gt;https://shiny.posit.co/r/gallery/life-sciences/biodiversity-national-parks&lt;/a&gt;&lt;span style="color:white"&gt;[.]{#benedetti_2024}}&lt;/span&gt;&lt;/div&gt;&lt;br&gt;</v>
      </c>
      <c r="O32" s="65" t="str">
        <f>"{{ rtxt_"&amp;F32&amp;" }}"</f>
        <v>{{ rtxt_benedetti_2024 }}</v>
      </c>
      <c r="P32" s="65" t="str">
        <f>"{{ rbib_"&amp;F32&amp;" }}"</f>
        <v>{{ rbib_benedetti_2024 }}</v>
      </c>
      <c r="Q32" s="65" t="str">
        <f>"    rtxt_"&amp;F32&amp;": "&amp;""""&amp;"&lt;a href=\"&amp;""""&amp;"/08_references.html#"&amp;F32&amp;"\"&amp;""""&amp;" target=\"&amp;""""&amp;"_blank\"&amp;""""&amp;"&gt;"&amp;G32&amp;"&lt;/a&gt;"&amp;""""</f>
        <v xml:space="preserve">    rtxt_benedetti_2024: "&lt;a href=\"/08_references.html#benedetti_2024\" target=\"_blank\"&gt;Benedetti, 2024&lt;/a&gt;"</v>
      </c>
      <c r="R32" s="65" t="str">
        <f>"    rbib_"&amp;F32&amp;": "&amp;""""&amp;K32&amp;"&lt;a href=\"&amp;""""&amp;L32&amp;""""&amp;" target=\"&amp;""""&amp;"_blank\"&amp;""""&amp;"&gt;"&amp;L32&amp;"&lt;/a&gt;"&amp;""""</f>
        <v xml:space="preserve">    rbib_benedetti_2024: "Benedetti, A. (2024). &lt;i&gt;Visualizing Biodiversity in [U.S.] National Parks.&lt;/i&gt;&lt;a href=\"https://shiny.posit.co/r/gallery/life-sciences/biodiversity-national-parks" target=\"_blank\"&gt;https://shiny.posit.co/r/gallery/life-sciences/biodiversity-national-parks&lt;/a&gt;"</v>
      </c>
      <c r="S32" s="65" t="str">
        <f>"    rbib_"&amp;F32&amp;": "&amp;""""&amp;"&lt;div class=\"&amp;""""&amp;"hanging\"&amp;""""&amp;"&gt;"&amp;J32&amp;"&lt;/div&gt;"&amp;""""</f>
        <v xml:space="preserve">    rbib_benedetti_2024: "&lt;div class=\"hanging\"&gt;Benedetti, A. (2024). *Visualizing Biodiversity in [U.S.] National Parks.* &lt;https://shiny.posit.co/r/gallery/life-sciences/biodiversity-national-parks&gt;&lt;/div&gt;"</v>
      </c>
      <c r="T32" s="65"/>
    </row>
    <row r="33" spans="1:20" ht="15.75">
      <c r="A33" s="65"/>
      <c r="B33" s="155" t="b">
        <v>1</v>
      </c>
      <c r="C33" s="155" t="b">
        <v>0</v>
      </c>
      <c r="D33" s="155" t="b">
        <v>0</v>
      </c>
      <c r="E33" s="65" t="s">
        <v>1904</v>
      </c>
      <c r="F33" s="65" t="s">
        <v>3816</v>
      </c>
      <c r="G33" s="65" t="s">
        <v>3815</v>
      </c>
      <c r="H33" s="65" t="s">
        <v>3815</v>
      </c>
      <c r="I33" s="65" t="b">
        <v>1</v>
      </c>
      <c r="J33" s="65" t="s">
        <v>3814</v>
      </c>
      <c r="K33" s="65" t="s">
        <v>5286</v>
      </c>
      <c r="L33" s="65" t="s">
        <v>3813</v>
      </c>
      <c r="M33" s="65" t="s">
        <v>984</v>
      </c>
      <c r="N33" s="65" t="str">
        <f>"&lt;div class="&amp;""""&amp;"hanging"&amp;""""&amp;"&gt;"&amp;K33&amp;"&lt;a href="&amp;""""&amp;L33&amp;""""&amp;" target="&amp;""""&amp;"_blank"&amp;""""&amp;"&gt;"&amp;L33&amp;"&lt;/a&gt;&lt;span style="&amp;""""&amp;"color:white"&amp;""""&amp;"&gt;[.]{#"&amp;F33&amp;"}}&lt;/span&gt;&lt;/div&gt;&lt;br&gt;"</f>
        <v>&lt;div class="hanging"&gt;Bessone, M., Kühl, H. S., Hohmann, G., Herbinger, I., N'Goran, K. P., Asanzi, P., Da Costa, P. B., Dérozier, V., Fotsing, E. D. B., Beka, B. I., Iyomi, M. D., Iyatshi, I. B., Kafando, P., Kambere, M. A., Moundzoho, D. B., Wanzalire, M. L. K., Fruth, B., &amp; Michalski, F. (2020). Drawn out of the Shadows: Surveying Secretive Forest Species with Camera Trap Distance Sampling. &lt;i&gt;Journal of Applied Ecology, 57&lt;/i&gt;(5), 963-974.&lt;a href="https://doi.org/10.1111/1365-2664.13602" target="_blank"&gt;https://doi.org/10.1111/1365-2664.13602&lt;/a&gt;&lt;span style="color:white"&gt;[.]{#bessone_et_al_2020}}&lt;/span&gt;&lt;/div&gt;&lt;br&gt;</v>
      </c>
      <c r="O33" s="65" t="str">
        <f>"{{ rtxt_"&amp;F33&amp;" }}"</f>
        <v>{{ rtxt_bessone_et_al_2020 }}</v>
      </c>
      <c r="P33" s="65" t="str">
        <f>"{{ rbib_"&amp;F33&amp;" }}"</f>
        <v>{{ rbib_bessone_et_al_2020 }}</v>
      </c>
      <c r="Q33" s="65" t="str">
        <f>"    rtxt_"&amp;F33&amp;": "&amp;""""&amp;"&lt;a href=\"&amp;""""&amp;"/08_references.html#"&amp;F33&amp;"\"&amp;""""&amp;" target=\"&amp;""""&amp;"_blank\"&amp;""""&amp;"&gt;"&amp;G33&amp;"&lt;/a&gt;"&amp;""""</f>
        <v xml:space="preserve">    rtxt_bessone_et_al_2020: "&lt;a href=\"/08_references.html#bessone_et_al_2020\" target=\"_blank\"&gt;Bessone et al., 2020&lt;/a&gt;"</v>
      </c>
      <c r="R33" s="65" t="str">
        <f>"    rbib_"&amp;F33&amp;": "&amp;""""&amp;K33&amp;"&lt;a href=\"&amp;""""&amp;L33&amp;""""&amp;" target=\"&amp;""""&amp;"_blank\"&amp;""""&amp;"&gt;"&amp;L33&amp;"&lt;/a&gt;"&amp;""""</f>
        <v xml:space="preserve">    rbib_bessone_et_al_2020: "Bessone, M., Kühl, H. S., Hohmann, G., Herbinger, I., N'Goran, K. P., Asanzi, P., Da Costa, P. B., Dérozier, V., Fotsing, E. D. B., Beka, B. I., Iyomi, M. D., Iyatshi, I. B., Kafando, P., Kambere, M. A., Moundzoho, D. B., Wanzalire, M. L. K., Fruth, B., &amp; Michalski, F. (2020). Drawn out of the Shadows: Surveying Secretive Forest Species with Camera Trap Distance Sampling. &lt;i&gt;Journal of Applied Ecology, 57&lt;/i&gt;(5), 963-974.&lt;a href=\"https://doi.org/10.1111/1365-2664.13602" target=\"_blank\"&gt;https://doi.org/10.1111/1365-2664.13602&lt;/a&gt;"</v>
      </c>
      <c r="S33" s="65" t="str">
        <f>"    rbib_"&amp;F33&amp;": "&amp;""""&amp;"&lt;div class=\"&amp;""""&amp;"hanging\"&amp;""""&amp;"&gt;"&amp;J33&amp;"&lt;/div&gt;"&amp;""""</f>
        <v xml:space="preserve">    rbib_bessone_et_al_2020: "&lt;div class=\"hanging\"&gt;Bessone, M., Kühl, H. S., Hohmann, G., Herbinger, I., N'Goran, K. P., Asanzi, P., Da Costa, P. B., Dérozier, V., Fotsing, E. D. B., Beka, B. I., Iyomi, M. D., Iyatshi, I. B., Kafando, P., Kambere, M. A., Moundzoho, D. B., Wanzalire, M. L. K., Fruth, B., &amp; Michalski, F. (2020). Drawn out of the Shadows: Surveying Secretive Forest Species with Camera Trap Distance Sampling. *Journal of Applied Ecology, 57*(5), 963-974. &lt;https://doi.org/10.1111/1365-2664.13602&gt;&lt;/div&gt;"</v>
      </c>
      <c r="T33" s="65"/>
    </row>
    <row r="34" spans="1:20" ht="15.75">
      <c r="A34" s="65"/>
      <c r="B34" s="155"/>
      <c r="C34" s="155"/>
      <c r="D34" s="155"/>
      <c r="E34" s="65" t="s">
        <v>1950</v>
      </c>
      <c r="F34" s="65" t="s">
        <v>3812</v>
      </c>
      <c r="G34" s="65" t="s">
        <v>3811</v>
      </c>
      <c r="H34" s="65"/>
      <c r="I34" s="65" t="b">
        <v>1</v>
      </c>
      <c r="J34" s="65" t="s">
        <v>3810</v>
      </c>
      <c r="K34" s="65" t="s">
        <v>5453</v>
      </c>
      <c r="L34" s="65" t="s">
        <v>3809</v>
      </c>
      <c r="M34" s="65" t="s">
        <v>984</v>
      </c>
      <c r="N34" s="65" t="str">
        <f>"&lt;div class="&amp;""""&amp;"hanging"&amp;""""&amp;"&gt;"&amp;K34&amp;"&lt;a href="&amp;""""&amp;L34&amp;""""&amp;" target="&amp;""""&amp;"_blank"&amp;""""&amp;"&gt;"&amp;L34&amp;"&lt;/a&gt;&lt;span style="&amp;""""&amp;"color:white"&amp;""""&amp;"&gt;[.]{#"&amp;F34&amp;"}}&lt;/span&gt;&lt;/div&gt;&lt;br&gt;"</f>
        <v>&lt;div class="hanging"&gt;Bioninja (N.D.). &lt;i&gt;Biodiversity&lt;/i&gt;.&lt;a href="https://old-ib.bioninja.com.au/options/option-c-ecology-and-conser/c4-conservation-of-biodiver/biodiversity.html" target="_blank"&gt;https://old-ib.bioninja.com.au/options/option-c-ecology-and-conser/c4-conservation-of-biodiver/biodiversity.html&lt;/a&gt;&lt;span style="color:white"&gt;[.]{#bioninja_nd}}&lt;/span&gt;&lt;/div&gt;&lt;br&gt;</v>
      </c>
      <c r="O34" s="65" t="str">
        <f>"{{ rtxt_"&amp;F34&amp;" }}"</f>
        <v>{{ rtxt_bioninja_nd }}</v>
      </c>
      <c r="P34" s="65" t="str">
        <f>"{{ rbib_"&amp;F34&amp;" }}"</f>
        <v>{{ rbib_bioninja_nd }}</v>
      </c>
      <c r="Q34" s="65" t="str">
        <f>"    rtxt_"&amp;F34&amp;": "&amp;""""&amp;"&lt;a href=\"&amp;""""&amp;"/08_references.html#"&amp;F34&amp;"\"&amp;""""&amp;" target=\"&amp;""""&amp;"_blank\"&amp;""""&amp;"&gt;"&amp;G34&amp;"&lt;/a&gt;"&amp;""""</f>
        <v xml:space="preserve">    rtxt_bioninja_nd: "&lt;a href=\"/08_references.html#bioninja_nd\" target=\"_blank\"&gt;Bioninja, N.D.&lt;/a&gt;"</v>
      </c>
      <c r="R34" s="65" t="str">
        <f>"    rbib_"&amp;F34&amp;": "&amp;""""&amp;K34&amp;"&lt;a href=\"&amp;""""&amp;L34&amp;""""&amp;" target=\"&amp;""""&amp;"_blank\"&amp;""""&amp;"&gt;"&amp;L34&amp;"&lt;/a&gt;"&amp;""""</f>
        <v xml:space="preserve">    rbib_bioninja_nd: "Bioninja (N.D.). &lt;i&gt;Biodiversity&lt;/i&gt;.&lt;a href=\"https://old-ib.bioninja.com.au/options/option-c-ecology-and-conser/c4-conservation-of-biodiver/biodiversity.html" target=\"_blank\"&gt;https://old-ib.bioninja.com.au/options/option-c-ecology-and-conser/c4-conservation-of-biodiver/biodiversity.html&lt;/a&gt;"</v>
      </c>
      <c r="S34" s="65" t="str">
        <f>"    rbib_"&amp;F34&amp;": "&amp;""""&amp;"&lt;div class=\"&amp;""""&amp;"hanging\"&amp;""""&amp;"&gt;"&amp;J34&amp;"&lt;/div&gt;"&amp;""""</f>
        <v xml:space="preserve">    rbib_bioninja_nd: "&lt;div class=\"hanging\"&gt;Bioninja (N.D.). *Biodiversity.* &lt;https://old-ib.bioninja.com.au/options/option-c-ecology-and-conser/c4-conservation-of-biodiver/biodiversity.html&gt;&lt;/div&gt;"</v>
      </c>
      <c r="T34" s="65"/>
    </row>
    <row r="35" spans="1:20" ht="15.75">
      <c r="A35" s="65"/>
      <c r="B35" s="155" t="b">
        <v>1</v>
      </c>
      <c r="C35" s="155" t="b">
        <v>0</v>
      </c>
      <c r="D35" s="155" t="b">
        <v>0</v>
      </c>
      <c r="E35" s="65" t="s">
        <v>1904</v>
      </c>
      <c r="F35" s="65" t="s">
        <v>3808</v>
      </c>
      <c r="G35" s="65" t="s">
        <v>3807</v>
      </c>
      <c r="H35" s="65" t="s">
        <v>3807</v>
      </c>
      <c r="I35" s="65" t="b">
        <v>1</v>
      </c>
      <c r="J35" s="65" t="s">
        <v>3806</v>
      </c>
      <c r="K35" s="65" t="s">
        <v>5402</v>
      </c>
      <c r="L35" s="65" t="s">
        <v>3805</v>
      </c>
      <c r="M35" s="65" t="s">
        <v>984</v>
      </c>
      <c r="N35" s="65" t="str">
        <f>"&lt;div class="&amp;""""&amp;"hanging"&amp;""""&amp;"&gt;"&amp;K35&amp;"&lt;a href="&amp;""""&amp;L35&amp;""""&amp;" target="&amp;""""&amp;"_blank"&amp;""""&amp;"&gt;"&amp;L35&amp;"&lt;/a&gt;&lt;span style="&amp;""""&amp;"color:white"&amp;""""&amp;"&gt;[.]{#"&amp;F35&amp;"}}&lt;/span&gt;&lt;/div&gt;&lt;br&gt;"</f>
        <v>&lt;div class="hanging"&gt;Bischof, R., Dupont, P., Milleret, C., ChipperfIeld, J., &amp; Royle, J. A. (2020). Consequences of Ignoring Group Association in Spatial Capture-Recapture Analysis. &lt;i&gt;Wildlife Biology, 2020&lt;/i&gt;(1).&lt;a href="https://doi.org/10.2981/wlb.00649" target="_blank"&gt;https://doi.org/10.2981/wlb.00649&lt;/a&gt;&lt;span style="color:white"&gt;[.]{#bischof_et_al_2020}}&lt;/span&gt;&lt;/div&gt;&lt;br&gt;</v>
      </c>
      <c r="O35" s="65" t="str">
        <f>"{{ rtxt_"&amp;F35&amp;" }}"</f>
        <v>{{ rtxt_bischof_et_al_2020 }}</v>
      </c>
      <c r="P35" s="65" t="str">
        <f>"{{ rbib_"&amp;F35&amp;" }}"</f>
        <v>{{ rbib_bischof_et_al_2020 }}</v>
      </c>
      <c r="Q35" s="65" t="str">
        <f>"    rtxt_"&amp;F35&amp;": "&amp;""""&amp;"&lt;a href=\"&amp;""""&amp;"/08_references.html#"&amp;F35&amp;"\"&amp;""""&amp;" target=\"&amp;""""&amp;"_blank\"&amp;""""&amp;"&gt;"&amp;G35&amp;"&lt;/a&gt;"&amp;""""</f>
        <v xml:space="preserve">    rtxt_bischof_et_al_2020: "&lt;a href=\"/08_references.html#bischof_et_al_2020\" target=\"_blank\"&gt;Bischof et al., 2020&lt;/a&gt;"</v>
      </c>
      <c r="R35" s="65" t="str">
        <f>"    rbib_"&amp;F35&amp;": "&amp;""""&amp;K35&amp;"&lt;a href=\"&amp;""""&amp;L35&amp;""""&amp;" target=\"&amp;""""&amp;"_blank\"&amp;""""&amp;"&gt;"&amp;L35&amp;"&lt;/a&gt;"&amp;""""</f>
        <v xml:space="preserve">    rbib_bischof_et_al_2020: "Bischof, R., Dupont, P., Milleret, C., ChipperfIeld, J., &amp; Royle, J. A. (2020). Consequences of Ignoring Group Association in Spatial Capture-Recapture Analysis. &lt;i&gt;Wildlife Biology, 2020&lt;/i&gt;(1).&lt;a href=\"https://doi.org/10.2981/wlb.00649" target=\"_blank\"&gt;https://doi.org/10.2981/wlb.00649&lt;/a&gt;"</v>
      </c>
      <c r="S35" s="65" t="str">
        <f>"    rbib_"&amp;F35&amp;": "&amp;""""&amp;"&lt;div class=\"&amp;""""&amp;"hanging\"&amp;""""&amp;"&gt;"&amp;J35&amp;"&lt;/div&gt;"&amp;""""</f>
        <v xml:space="preserve">    rbib_bischof_et_al_2020: "&lt;div class=\"hanging\"&gt;Bischof, R., Dupont, P., Milleret, C., ChipperfIeld, J., &amp; Royle, J. A. (2020). Consequences of Ignoring Group Association in Spatial Capture-Recapture Analysis. *Wildlife Biology, 2020*(1). &lt;https://doi.org/10.2981/wlb.00649&gt;&lt;/div&gt;"</v>
      </c>
      <c r="T35" s="65"/>
    </row>
    <row r="36" spans="1:20" ht="15.75">
      <c r="A36" s="65"/>
      <c r="B36" s="155"/>
      <c r="C36" s="155"/>
      <c r="D36" s="155"/>
      <c r="E36" s="65" t="s">
        <v>1904</v>
      </c>
      <c r="F36" s="65" t="s">
        <v>3804</v>
      </c>
      <c r="G36" s="65" t="s">
        <v>3803</v>
      </c>
      <c r="H36" s="65" t="s">
        <v>3803</v>
      </c>
      <c r="I36" s="65" t="b">
        <v>1</v>
      </c>
      <c r="J36" s="65" t="s">
        <v>3802</v>
      </c>
      <c r="K36" s="65" t="s">
        <v>5242</v>
      </c>
      <c r="L36" s="65" t="s">
        <v>3801</v>
      </c>
      <c r="M36" s="65" t="s">
        <v>984</v>
      </c>
      <c r="N36" s="65" t="str">
        <f>"&lt;div class="&amp;""""&amp;"hanging"&amp;""""&amp;"&gt;"&amp;K36&amp;"&lt;a href="&amp;""""&amp;L36&amp;""""&amp;" target="&amp;""""&amp;"_blank"&amp;""""&amp;"&gt;"&amp;L36&amp;"&lt;/a&gt;&lt;span style="&amp;""""&amp;"color:white"&amp;""""&amp;"&gt;[.]{#"&amp;F36&amp;"}}&lt;/span&gt;&lt;/div&gt;&lt;br&gt;"</f>
        <v>&lt;div class="hanging"&gt;Blackburn, T., &amp; Gaston, K. (1999). The relationship between animal abundance and body size: A review of the mechanisms. In &lt;i&gt;A. Fitter &amp; D. Raffaelli (Eds.), Advances In Ecological Research, Vol 28&lt;/i&gt;, 181-210.&lt;a href="https://doi.org/10.1016/S0065-2504(08)60033-1" target="_blank"&gt;https://doi.org/10.1016/S0065-2504(08)60033-1&lt;/a&gt;&lt;span style="color:white"&gt;[.]{#blackburn_gaston_1999}}&lt;/span&gt;&lt;/div&gt;&lt;br&gt;</v>
      </c>
      <c r="O36" s="65" t="str">
        <f>"{{ rtxt_"&amp;F36&amp;" }}"</f>
        <v>{{ rtxt_blackburn_gaston_1999 }}</v>
      </c>
      <c r="P36" s="65" t="str">
        <f>"{{ rbib_"&amp;F36&amp;" }}"</f>
        <v>{{ rbib_blackburn_gaston_1999 }}</v>
      </c>
      <c r="Q36" s="65" t="str">
        <f>"    rtxt_"&amp;F36&amp;": "&amp;""""&amp;"&lt;a href=\"&amp;""""&amp;"/08_references.html#"&amp;F36&amp;"\"&amp;""""&amp;" target=\"&amp;""""&amp;"_blank\"&amp;""""&amp;"&gt;"&amp;G36&amp;"&lt;/a&gt;"&amp;""""</f>
        <v xml:space="preserve">    rtxt_blackburn_gaston_1999: "&lt;a href=\"/08_references.html#blackburn_gaston_1999\" target=\"_blank\"&gt;Blackburn &amp; Gaston, 1999&lt;/a&gt;"</v>
      </c>
      <c r="R36" s="65" t="str">
        <f>"    rbib_"&amp;F36&amp;": "&amp;""""&amp;K36&amp;"&lt;a href=\"&amp;""""&amp;L36&amp;""""&amp;" target=\"&amp;""""&amp;"_blank\"&amp;""""&amp;"&gt;"&amp;L36&amp;"&lt;/a&gt;"&amp;""""</f>
        <v xml:space="preserve">    rbib_blackburn_gaston_1999: "Blackburn, T., &amp; Gaston, K. (1999). The relationship between animal abundance and body size: A review of the mechanisms. In &lt;i&gt;A. Fitter &amp; D. Raffaelli (Eds.), Advances In Ecological Research, Vol 28&lt;/i&gt;, 181-210.&lt;a href=\"https://doi.org/10.1016/S0065-2504(08)60033-1" target=\"_blank\"&gt;https://doi.org/10.1016/S0065-2504(08)60033-1&lt;/a&gt;"</v>
      </c>
      <c r="S36" s="65" t="str">
        <f>"    rbib_"&amp;F36&amp;": "&amp;""""&amp;"&lt;div class=\"&amp;""""&amp;"hanging\"&amp;""""&amp;"&gt;"&amp;J36&amp;"&lt;/div&gt;"&amp;""""</f>
        <v xml:space="preserve">    rbib_blackburn_gaston_1999: "&lt;div class=\"hanging\"&gt;Blackburn, T., &amp; Gaston, K. (1999). The relationship between animal abundance and body size: A review of the mechanisms. In *A. Fitter &amp; D. Raffaelli (Eds.), Advances In Ecological Research, Vol 28*, 181-210. &lt;https://doi.org/10.1016/S0065-2504(08)60033-1&gt;&lt;/div&gt;"</v>
      </c>
      <c r="T36" s="65"/>
    </row>
    <row r="37" spans="1:20" ht="15.75">
      <c r="A37" s="65"/>
      <c r="B37" s="155" t="b">
        <v>1</v>
      </c>
      <c r="C37" s="155" t="b">
        <v>0</v>
      </c>
      <c r="D37" s="155" t="b">
        <v>0</v>
      </c>
      <c r="E37" s="65" t="s">
        <v>1904</v>
      </c>
      <c r="F37" s="65" t="s">
        <v>3800</v>
      </c>
      <c r="G37" s="65" t="s">
        <v>3799</v>
      </c>
      <c r="H37" s="65" t="s">
        <v>3799</v>
      </c>
      <c r="I37" s="65" t="b">
        <v>1</v>
      </c>
      <c r="J37" s="65" t="s">
        <v>3798</v>
      </c>
      <c r="K37" s="65" t="s">
        <v>5163</v>
      </c>
      <c r="L37" s="65" t="s">
        <v>3797</v>
      </c>
      <c r="M37" s="65" t="s">
        <v>984</v>
      </c>
      <c r="N37" s="65" t="str">
        <f>"&lt;div class="&amp;""""&amp;"hanging"&amp;""""&amp;"&gt;"&amp;K37&amp;"&lt;a href="&amp;""""&amp;L37&amp;""""&amp;" target="&amp;""""&amp;"_blank"&amp;""""&amp;"&gt;"&amp;L37&amp;"&lt;/a&gt;&lt;span style="&amp;""""&amp;"color:white"&amp;""""&amp;"&gt;[.]{#"&amp;F37&amp;"}}&lt;/span&gt;&lt;/div&gt;&lt;br&gt;"</f>
        <v>&lt;div class="hanging"&gt;Blanc, L., Marboutin, E., Gatti, S., &amp; Gimenez, O. (2013). Abundance of Rare and Elusive Species: Empirical Investigation of Closed versus Spatially Explicit Capture-Recapture Models with Lynx as a Case Study. &lt;i&gt;Journal of Wildlife Management, 77&lt;/i&gt;(2), 372-78.&lt;a href="https://doi.org/10.1002/jwmg.453" target="_blank"&gt;https://doi.org/10.1002/jwmg.453&lt;/a&gt;&lt;span style="color:white"&gt;[.]{#blanc_et_al_2013}}&lt;/span&gt;&lt;/div&gt;&lt;br&gt;</v>
      </c>
      <c r="O37" s="65" t="str">
        <f>"{{ rtxt_"&amp;F37&amp;" }}"</f>
        <v>{{ rtxt_blanc_et_al_2013 }}</v>
      </c>
      <c r="P37" s="65" t="str">
        <f>"{{ rbib_"&amp;F37&amp;" }}"</f>
        <v>{{ rbib_blanc_et_al_2013 }}</v>
      </c>
      <c r="Q37" s="65" t="str">
        <f>"    rtxt_"&amp;F37&amp;": "&amp;""""&amp;"&lt;a href=\"&amp;""""&amp;"/08_references.html#"&amp;F37&amp;"\"&amp;""""&amp;" target=\"&amp;""""&amp;"_blank\"&amp;""""&amp;"&gt;"&amp;G37&amp;"&lt;/a&gt;"&amp;""""</f>
        <v xml:space="preserve">    rtxt_blanc_et_al_2013: "&lt;a href=\"/08_references.html#blanc_et_al_2013\" target=\"_blank\"&gt;Blanc et al., 2013&lt;/a&gt;"</v>
      </c>
      <c r="R37" s="65" t="str">
        <f>"    rbib_"&amp;F37&amp;": "&amp;""""&amp;K37&amp;"&lt;a href=\"&amp;""""&amp;L37&amp;""""&amp;" target=\"&amp;""""&amp;"_blank\"&amp;""""&amp;"&gt;"&amp;L37&amp;"&lt;/a&gt;"&amp;""""</f>
        <v xml:space="preserve">    rbib_blanc_et_al_2013: "Blanc, L., Marboutin, E., Gatti, S., &amp; Gimenez, O. (2013). Abundance of Rare and Elusive Species: Empirical Investigation of Closed versus Spatially Explicit Capture-Recapture Models with Lynx as a Case Study. &lt;i&gt;Journal of Wildlife Management, 77&lt;/i&gt;(2), 372-78.&lt;a href=\"https://doi.org/10.1002/jwmg.453" target=\"_blank\"&gt;https://doi.org/10.1002/jwmg.453&lt;/a&gt;"</v>
      </c>
      <c r="S37" s="65" t="str">
        <f>"    rbib_"&amp;F37&amp;": "&amp;""""&amp;"&lt;div class=\"&amp;""""&amp;"hanging\"&amp;""""&amp;"&gt;"&amp;J37&amp;"&lt;/div&gt;"&amp;""""</f>
        <v xml:space="preserve">    rbib_blanc_et_al_2013: "&lt;div class=\"hanging\"&gt;Blanc, L., Marboutin, E., Gatti, S., &amp; Gimenez, O. (2013). Abundance of Rare and Elusive Species: Empirical Investigation of Closed versus Spatially Explicit Capture-Recapture Models with Lynx as a Case Study. *Journal of Wildlife Management, 77*(2), 372-78. &lt;https://doi.org/10.1002/jwmg.453&gt;&lt;/div&gt;"</v>
      </c>
      <c r="T37" s="65"/>
    </row>
    <row r="38" spans="1:20" ht="15.75">
      <c r="A38" s="65"/>
      <c r="B38" s="155" t="b">
        <v>1</v>
      </c>
      <c r="C38" s="155" t="b">
        <v>0</v>
      </c>
      <c r="D38" s="155" t="b">
        <v>1</v>
      </c>
      <c r="E38" s="65" t="s">
        <v>1904</v>
      </c>
      <c r="F38" s="65" t="s">
        <v>3796</v>
      </c>
      <c r="G38" s="65" t="s">
        <v>3795</v>
      </c>
      <c r="H38" s="65" t="s">
        <v>3794</v>
      </c>
      <c r="I38" s="65" t="b">
        <v>1</v>
      </c>
      <c r="J38" s="65" t="s">
        <v>3793</v>
      </c>
      <c r="K38" s="65" t="s">
        <v>5293</v>
      </c>
      <c r="L38" s="65" t="s">
        <v>3792</v>
      </c>
      <c r="M38" s="65" t="s">
        <v>984</v>
      </c>
      <c r="N38" s="65" t="str">
        <f>"&lt;div class="&amp;""""&amp;"hanging"&amp;""""&amp;"&gt;"&amp;K38&amp;"&lt;a href="&amp;""""&amp;L38&amp;""""&amp;" target="&amp;""""&amp;"_blank"&amp;""""&amp;"&gt;"&amp;L38&amp;"&lt;/a&gt;&lt;span style="&amp;""""&amp;"color:white"&amp;""""&amp;"&gt;[.]{#"&amp;F38&amp;"}}&lt;/span&gt;&lt;/div&gt;&lt;br&gt;"</f>
        <v>&lt;div class="hanging"&gt;Blasco‐Moreno, A., Pérez‐Casany, M., Puig, P., Morante, M., Castells, E., &amp; O'Hara, R. B. (2019). What Does a Zero Mean? Understanding False, Random and Structural Zeros in Ecology. &lt;i&gt;Methods in Ecology and Evolution, 10&lt;/i&gt;(7), 949-959.&lt;a href="https://doi.org/10.1111/2041-210x.13185" target="_blank"&gt;https://doi.org/10.1111/2041-210x.13185&lt;/a&gt;&lt;span style="color:white"&gt;[.]{#blasco_moreno_et_al_2019}}&lt;/span&gt;&lt;/div&gt;&lt;br&gt;</v>
      </c>
      <c r="O38" s="65" t="str">
        <f>"{{ rtxt_"&amp;F38&amp;" }}"</f>
        <v>{{ rtxt_blasco_moreno_et_al_2019 }}</v>
      </c>
      <c r="P38" s="65" t="str">
        <f>"{{ rbib_"&amp;F38&amp;" }}"</f>
        <v>{{ rbib_blasco_moreno_et_al_2019 }}</v>
      </c>
      <c r="Q38" s="65" t="str">
        <f>"    rtxt_"&amp;F38&amp;": "&amp;""""&amp;"&lt;a href=\"&amp;""""&amp;"/08_references.html#"&amp;F38&amp;"\"&amp;""""&amp;" target=\"&amp;""""&amp;"_blank\"&amp;""""&amp;"&gt;"&amp;G38&amp;"&lt;/a&gt;"&amp;""""</f>
        <v xml:space="preserve">    rtxt_blasco_moreno_et_al_2019: "&lt;a href=\"/08_references.html#blasco_moreno_et_al_2019\" target=\"_blank\"&gt;Blasco-Moreno et al., 2019&lt;/a&gt;"</v>
      </c>
      <c r="R38" s="65" t="str">
        <f>"    rbib_"&amp;F38&amp;": "&amp;""""&amp;K38&amp;"&lt;a href=\"&amp;""""&amp;L38&amp;""""&amp;" target=\"&amp;""""&amp;"_blank\"&amp;""""&amp;"&gt;"&amp;L38&amp;"&lt;/a&gt;"&amp;""""</f>
        <v xml:space="preserve">    rbib_blasco_moreno_et_al_2019: "Blasco‐Moreno, A., Pérez‐Casany, M., Puig, P., Morante, M., Castells, E., &amp; O'Hara, R. B. (2019). What Does a Zero Mean? Understanding False, Random and Structural Zeros in Ecology. &lt;i&gt;Methods in Ecology and Evolution, 10&lt;/i&gt;(7), 949-959.&lt;a href=\"https://doi.org/10.1111/2041-210x.13185" target=\"_blank\"&gt;https://doi.org/10.1111/2041-210x.13185&lt;/a&gt;"</v>
      </c>
      <c r="S38" s="65" t="str">
        <f>"    rbib_"&amp;F38&amp;": "&amp;""""&amp;"&lt;div class=\"&amp;""""&amp;"hanging\"&amp;""""&amp;"&gt;"&amp;J38&amp;"&lt;/div&gt;"&amp;""""</f>
        <v xml:space="preserve">    rbib_blasco_moreno_et_al_2019: "&lt;div class=\"hanging\"&gt;Blasco‐Moreno, A., Pérez‐Casany, M., Puig, P., Morante, M., Castells, E., &amp; O'Hara, R. B. (2019). What Does a Zero Mean? Understanding False, Random and Structural Zeros in Ecology. *Methods in Ecology and Evolution, 10*(7), 949-959. &lt;https://doi.org/10.1111/2041-210x.13185&gt;&lt;/div&gt;"</v>
      </c>
      <c r="T38" s="65"/>
    </row>
    <row r="39" spans="1:20" ht="15.75">
      <c r="A39" s="65"/>
      <c r="B39" s="155" t="b">
        <v>1</v>
      </c>
      <c r="C39" s="155" t="b">
        <v>0</v>
      </c>
      <c r="D39" s="155" t="b">
        <v>0</v>
      </c>
      <c r="E39" s="65" t="s">
        <v>1904</v>
      </c>
      <c r="F39" s="65" t="s">
        <v>3791</v>
      </c>
      <c r="G39" s="65" t="s">
        <v>3790</v>
      </c>
      <c r="H39" s="65" t="s">
        <v>3790</v>
      </c>
      <c r="I39" s="65" t="b">
        <v>1</v>
      </c>
      <c r="J39" s="65" t="s">
        <v>3789</v>
      </c>
      <c r="K39" s="65" t="s">
        <v>5398</v>
      </c>
      <c r="L39" s="65" t="s">
        <v>3788</v>
      </c>
      <c r="M39" s="65" t="s">
        <v>984</v>
      </c>
      <c r="N39" s="65" t="str">
        <f>"&lt;div class="&amp;""""&amp;"hanging"&amp;""""&amp;"&gt;"&amp;K39&amp;"&lt;a href="&amp;""""&amp;L39&amp;""""&amp;" target="&amp;""""&amp;"_blank"&amp;""""&amp;"&gt;"&amp;L39&amp;"&lt;/a&gt;&lt;span style="&amp;""""&amp;"color:white"&amp;""""&amp;"&gt;[.]{#"&amp;F39&amp;"}}&lt;/span&gt;&lt;/div&gt;&lt;br&gt;"</f>
        <v>&lt;div class="hanging"&gt;Bliss, C. I., &amp; Fisher, R. A. (1953). Fitting the Negative Binomial Distribution to Biological Data. &lt;i&gt;Biometrics, 9&lt;/i&gt;(2), 176-200.&lt;a href="https://doi.org/10.2307/3001850" target="_blank"&gt;https://doi.org/10.2307/3001850&lt;/a&gt;&lt;span style="color:white"&gt;[.]{#bliss_fisher_1953}}&lt;/span&gt;&lt;/div&gt;&lt;br&gt;</v>
      </c>
      <c r="O39" s="65" t="str">
        <f>"{{ rtxt_"&amp;F39&amp;" }}"</f>
        <v>{{ rtxt_bliss_fisher_1953 }}</v>
      </c>
      <c r="P39" s="65" t="str">
        <f>"{{ rbib_"&amp;F39&amp;" }}"</f>
        <v>{{ rbib_bliss_fisher_1953 }}</v>
      </c>
      <c r="Q39" s="65" t="str">
        <f>"    rtxt_"&amp;F39&amp;": "&amp;""""&amp;"&lt;a href=\"&amp;""""&amp;"/08_references.html#"&amp;F39&amp;"\"&amp;""""&amp;" target=\"&amp;""""&amp;"_blank\"&amp;""""&amp;"&gt;"&amp;G39&amp;"&lt;/a&gt;"&amp;""""</f>
        <v xml:space="preserve">    rtxt_bliss_fisher_1953: "&lt;a href=\"/08_references.html#bliss_fisher_1953\" target=\"_blank\"&gt;Bliss &amp; Fisher, 1953&lt;/a&gt;"</v>
      </c>
      <c r="R39" s="65" t="str">
        <f>"    rbib_"&amp;F39&amp;": "&amp;""""&amp;K39&amp;"&lt;a href=\"&amp;""""&amp;L39&amp;""""&amp;" target=\"&amp;""""&amp;"_blank\"&amp;""""&amp;"&gt;"&amp;L39&amp;"&lt;/a&gt;"&amp;""""</f>
        <v xml:space="preserve">    rbib_bliss_fisher_1953: "Bliss, C. I., &amp; Fisher, R. A. (1953). Fitting the Negative Binomial Distribution to Biological Data. &lt;i&gt;Biometrics, 9&lt;/i&gt;(2), 176-200.&lt;a href=\"https://doi.org/10.2307/3001850" target=\"_blank\"&gt;https://doi.org/10.2307/3001850&lt;/a&gt;"</v>
      </c>
      <c r="S39" s="65" t="str">
        <f>"    rbib_"&amp;F39&amp;": "&amp;""""&amp;"&lt;div class=\"&amp;""""&amp;"hanging\"&amp;""""&amp;"&gt;"&amp;J39&amp;"&lt;/div&gt;"&amp;""""</f>
        <v xml:space="preserve">    rbib_bliss_fisher_1953: "&lt;div class=\"hanging\"&gt;Bliss, C. I., &amp; Fisher, R. A. (1953). Fitting the Negative Binomial Distribution to Biological Data. *Biometrics, 9*(2), 176-200. &lt;https://doi.org/10.2307/3001850&gt;&lt;/div&gt;"</v>
      </c>
      <c r="T39" s="65"/>
    </row>
    <row r="40" spans="1:20" ht="15.75">
      <c r="A40" s="65"/>
      <c r="B40" s="155" t="b">
        <v>1</v>
      </c>
      <c r="C40" s="155" t="b">
        <v>0</v>
      </c>
      <c r="D40" s="155" t="b">
        <v>0</v>
      </c>
      <c r="E40" s="65" t="s">
        <v>1904</v>
      </c>
      <c r="F40" s="65" t="s">
        <v>3787</v>
      </c>
      <c r="G40" s="65" t="s">
        <v>3786</v>
      </c>
      <c r="H40" s="65" t="s">
        <v>3786</v>
      </c>
      <c r="I40" s="65" t="b">
        <v>1</v>
      </c>
      <c r="J40" s="65" t="s">
        <v>3785</v>
      </c>
      <c r="K40" s="65" t="s">
        <v>5446</v>
      </c>
      <c r="L40" s="65" t="s">
        <v>3784</v>
      </c>
      <c r="M40" s="65" t="s">
        <v>984</v>
      </c>
      <c r="N40" s="65" t="str">
        <f>"&lt;div class="&amp;""""&amp;"hanging"&amp;""""&amp;"&gt;"&amp;K40&amp;"&lt;a href="&amp;""""&amp;L40&amp;""""&amp;" target="&amp;""""&amp;"_blank"&amp;""""&amp;"&gt;"&amp;L40&amp;"&lt;/a&gt;&lt;span style="&amp;""""&amp;"color:white"&amp;""""&amp;"&gt;[.]{#"&amp;F40&amp;"}}&lt;/span&gt;&lt;/div&gt;&lt;br&gt;"</f>
        <v>&lt;div class="hanging"&gt;Borcher, D. L., &amp; Marques, T. A. (2017). From Distance Sampling to Spatial Capture-Recapture. &lt;i&gt;Asta Advances In Statistical Analysis, 101&lt;/i&gt;, 475-494.&lt;a href="https://link.springer.com/article/10.1007/s10182-016-0287-7" target="_blank"&gt;https://link.springer.com/article/10.1007/s10182-016-0287-7&lt;/a&gt;&lt;span style="color:white"&gt;[.]{#borcher_marques_2017}}&lt;/span&gt;&lt;/div&gt;&lt;br&gt;</v>
      </c>
      <c r="O40" s="65" t="str">
        <f>"{{ rtxt_"&amp;F40&amp;" }}"</f>
        <v>{{ rtxt_borcher_marques_2017 }}</v>
      </c>
      <c r="P40" s="65" t="str">
        <f>"{{ rbib_"&amp;F40&amp;" }}"</f>
        <v>{{ rbib_borcher_marques_2017 }}</v>
      </c>
      <c r="Q40" s="65" t="str">
        <f>"    rtxt_"&amp;F40&amp;": "&amp;""""&amp;"&lt;a href=\"&amp;""""&amp;"/08_references.html#"&amp;F40&amp;"\"&amp;""""&amp;" target=\"&amp;""""&amp;"_blank\"&amp;""""&amp;"&gt;"&amp;G40&amp;"&lt;/a&gt;"&amp;""""</f>
        <v xml:space="preserve">    rtxt_borcher_marques_2017: "&lt;a href=\"/08_references.html#borcher_marques_2017\" target=\"_blank\"&gt;Borcher &amp; Marques, 2017&lt;/a&gt;"</v>
      </c>
      <c r="R40" s="65" t="str">
        <f>"    rbib_"&amp;F40&amp;": "&amp;""""&amp;K40&amp;"&lt;a href=\"&amp;""""&amp;L40&amp;""""&amp;" target=\"&amp;""""&amp;"_blank\"&amp;""""&amp;"&gt;"&amp;L40&amp;"&lt;/a&gt;"&amp;""""</f>
        <v xml:space="preserve">    rbib_borcher_marques_2017: "Borcher, D. L., &amp; Marques, T. A. (2017). From Distance Sampling to Spatial Capture-Recapture. &lt;i&gt;Asta Advances In Statistical Analysis, 101&lt;/i&gt;, 475-494.&lt;a href=\"https://link.springer.com/article/10.1007/s10182-016-0287-7" target=\"_blank\"&gt;https://link.springer.com/article/10.1007/s10182-016-0287-7&lt;/a&gt;"</v>
      </c>
      <c r="S40" s="65" t="str">
        <f>"    rbib_"&amp;F40&amp;": "&amp;""""&amp;"&lt;div class=\"&amp;""""&amp;"hanging\"&amp;""""&amp;"&gt;"&amp;J40&amp;"&lt;/div&gt;"&amp;""""</f>
        <v xml:space="preserve">    rbib_borcher_marques_2017: "&lt;div class=\"hanging\"&gt;Borcher, D. L., &amp; Marques, T. A. (2017). From Distance Sampling to Spatial Capture-Recapture. *Asta Advances In Statistical Analysis, 101*, 475-494. &lt;https://link.springer.com/article/10.1007/s10182-016-0287-7&gt;&lt;/div&gt;"</v>
      </c>
      <c r="T40" s="65"/>
    </row>
    <row r="41" spans="1:20" ht="15.75">
      <c r="A41" s="65"/>
      <c r="B41" s="155" t="b">
        <v>0</v>
      </c>
      <c r="C41" s="155" t="b">
        <v>0</v>
      </c>
      <c r="D41" s="155"/>
      <c r="E41" s="65" t="s">
        <v>1904</v>
      </c>
      <c r="F41" s="65" t="s">
        <v>3783</v>
      </c>
      <c r="G41" s="65" t="s">
        <v>3782</v>
      </c>
      <c r="H41" s="65" t="s">
        <v>3782</v>
      </c>
      <c r="I41" s="65" t="b">
        <v>1</v>
      </c>
      <c r="J41" s="65" t="s">
        <v>3781</v>
      </c>
      <c r="K41" s="65" t="s">
        <v>5200</v>
      </c>
      <c r="L41" s="65" t="s">
        <v>3780</v>
      </c>
      <c r="M41" s="65" t="s">
        <v>984</v>
      </c>
      <c r="N41" s="65" t="str">
        <f>"&lt;div class="&amp;""""&amp;"hanging"&amp;""""&amp;"&gt;"&amp;K41&amp;"&lt;a href="&amp;""""&amp;L41&amp;""""&amp;" target="&amp;""""&amp;"_blank"&amp;""""&amp;"&gt;"&amp;L41&amp;"&lt;/a&gt;&lt;span style="&amp;""""&amp;"color:white"&amp;""""&amp;"&gt;[.]{#"&amp;F41&amp;"}}&lt;/span&gt;&lt;/div&gt;&lt;br&gt;"</f>
        <v>&lt;div class="hanging"&gt;Borchers, D. (2012). A non-technical overview of spatially explicit capture-recapture models. &lt;i&gt;Journal of Ornithology, 152&lt;/i&gt;(S2), 435-444.&lt;a href="https://doi.org/10.1007/s10336-010-0583-z" target="_blank"&gt;https://doi.org/10.1007/s10336-010-0583-z&lt;/a&gt;&lt;span style="color:white"&gt;[.]{#borchers_2012}}&lt;/span&gt;&lt;/div&gt;&lt;br&gt;</v>
      </c>
      <c r="O41" s="65" t="str">
        <f>"{{ rtxt_"&amp;F41&amp;" }}"</f>
        <v>{{ rtxt_borchers_2012 }}</v>
      </c>
      <c r="P41" s="65" t="str">
        <f>"{{ rbib_"&amp;F41&amp;" }}"</f>
        <v>{{ rbib_borchers_2012 }}</v>
      </c>
      <c r="Q41" s="65" t="str">
        <f>"    rtxt_"&amp;F41&amp;": "&amp;""""&amp;"&lt;a href=\"&amp;""""&amp;"/08_references.html#"&amp;F41&amp;"\"&amp;""""&amp;" target=\"&amp;""""&amp;"_blank\"&amp;""""&amp;"&gt;"&amp;G41&amp;"&lt;/a&gt;"&amp;""""</f>
        <v xml:space="preserve">    rtxt_borchers_2012: "&lt;a href=\"/08_references.html#borchers_2012\" target=\"_blank\"&gt;Borchers, 2012&lt;/a&gt;"</v>
      </c>
      <c r="R41" s="65" t="str">
        <f>"    rbib_"&amp;F41&amp;": "&amp;""""&amp;K41&amp;"&lt;a href=\"&amp;""""&amp;L41&amp;""""&amp;" target=\"&amp;""""&amp;"_blank\"&amp;""""&amp;"&gt;"&amp;L41&amp;"&lt;/a&gt;"&amp;""""</f>
        <v xml:space="preserve">    rbib_borchers_2012: "Borchers, D. (2012). A non-technical overview of spatially explicit capture-recapture models. &lt;i&gt;Journal of Ornithology, 152&lt;/i&gt;(S2), 435-444.&lt;a href=\"https://doi.org/10.1007/s10336-010-0583-z" target=\"_blank\"&gt;https://doi.org/10.1007/s10336-010-0583-z&lt;/a&gt;"</v>
      </c>
      <c r="S41" s="65" t="str">
        <f>"    rbib_"&amp;F41&amp;": "&amp;""""&amp;"&lt;div class=\"&amp;""""&amp;"hanging\"&amp;""""&amp;"&gt;"&amp;J41&amp;"&lt;/div&gt;"&amp;""""</f>
        <v xml:space="preserve">    rbib_borchers_2012: "&lt;div class=\"hanging\"&gt;Borchers, D. (2012). A non-technical overview of spatially explicit capture-recapture models. *Journal of Ornithology, 152*(S2), 435-444. &lt;https://doi.org/10.1007/s10336-010-0583-z&gt;&lt;/div&gt;"</v>
      </c>
      <c r="T41" s="65"/>
    </row>
    <row r="42" spans="1:20" ht="15.75">
      <c r="A42" s="65"/>
      <c r="B42" s="155" t="b">
        <v>1</v>
      </c>
      <c r="C42" s="155" t="b">
        <v>0</v>
      </c>
      <c r="D42" s="155" t="b">
        <v>0</v>
      </c>
      <c r="E42" s="65" t="s">
        <v>1904</v>
      </c>
      <c r="F42" s="65" t="s">
        <v>3779</v>
      </c>
      <c r="G42" s="65" t="s">
        <v>3778</v>
      </c>
      <c r="H42" s="65" t="s">
        <v>3778</v>
      </c>
      <c r="I42" s="65" t="b">
        <v>1</v>
      </c>
      <c r="J42" s="65" t="s">
        <v>3777</v>
      </c>
      <c r="K42" s="65" t="s">
        <v>5332</v>
      </c>
      <c r="L42" s="65" t="s">
        <v>3776</v>
      </c>
      <c r="M42" s="65" t="s">
        <v>984</v>
      </c>
      <c r="N42" s="65" t="str">
        <f>"&lt;div class="&amp;""""&amp;"hanging"&amp;""""&amp;"&gt;"&amp;K42&amp;"&lt;a href="&amp;""""&amp;L42&amp;""""&amp;" target="&amp;""""&amp;"_blank"&amp;""""&amp;"&gt;"&amp;L42&amp;"&lt;/a&gt;&lt;span style="&amp;""""&amp;"color:white"&amp;""""&amp;"&gt;[.]{#"&amp;F42&amp;"}}&lt;/span&gt;&lt;/div&gt;&lt;br&gt;"</f>
        <v>&lt;div class="hanging"&gt;Borchers, D. L., &amp; Efford, M. G. (2008). Spatially Explicit Maximum Likelihood Methods for Capture-Recapture Studies. &lt;i&gt;Biometrics, 64&lt;/i&gt;(2), 377-385.&lt;a href="https://doi.org/10.1111/j.1541-0420.2007.00927.x" target="_blank"&gt;https://doi.org/10.1111/j.1541-0420.2007.00927.x&lt;/a&gt;&lt;span style="color:white"&gt;[.]{#borchers_efford_2008}}&lt;/span&gt;&lt;/div&gt;&lt;br&gt;</v>
      </c>
      <c r="O42" s="65" t="str">
        <f>"{{ rtxt_"&amp;F42&amp;" }}"</f>
        <v>{{ rtxt_borchers_efford_2008 }}</v>
      </c>
      <c r="P42" s="65" t="str">
        <f>"{{ rbib_"&amp;F42&amp;" }}"</f>
        <v>{{ rbib_borchers_efford_2008 }}</v>
      </c>
      <c r="Q42" s="65" t="str">
        <f>"    rtxt_"&amp;F42&amp;": "&amp;""""&amp;"&lt;a href=\"&amp;""""&amp;"/08_references.html#"&amp;F42&amp;"\"&amp;""""&amp;" target=\"&amp;""""&amp;"_blank\"&amp;""""&amp;"&gt;"&amp;G42&amp;"&lt;/a&gt;"&amp;""""</f>
        <v xml:space="preserve">    rtxt_borchers_efford_2008: "&lt;a href=\"/08_references.html#borchers_efford_2008\" target=\"_blank\"&gt;Borchers &amp; Efford, 2008&lt;/a&gt;"</v>
      </c>
      <c r="R42" s="65" t="str">
        <f>"    rbib_"&amp;F42&amp;": "&amp;""""&amp;K42&amp;"&lt;a href=\"&amp;""""&amp;L42&amp;""""&amp;" target=\"&amp;""""&amp;"_blank\"&amp;""""&amp;"&gt;"&amp;L42&amp;"&lt;/a&gt;"&amp;""""</f>
        <v xml:space="preserve">    rbib_borchers_efford_2008: "Borchers, D. L., &amp; Efford, M. G. (2008). Spatially Explicit Maximum Likelihood Methods for Capture-Recapture Studies. &lt;i&gt;Biometrics, 64&lt;/i&gt;(2), 377-385.&lt;a href=\"https://doi.org/10.1111/j.1541-0420.2007.00927.x" target=\"_blank\"&gt;https://doi.org/10.1111/j.1541-0420.2007.00927.x&lt;/a&gt;"</v>
      </c>
      <c r="S42" s="65" t="str">
        <f>"    rbib_"&amp;F42&amp;": "&amp;""""&amp;"&lt;div class=\"&amp;""""&amp;"hanging\"&amp;""""&amp;"&gt;"&amp;J42&amp;"&lt;/div&gt;"&amp;""""</f>
        <v xml:space="preserve">    rbib_borchers_efford_2008: "&lt;div class=\"hanging\"&gt;Borchers, D. L., &amp; Efford, M. G. (2008). Spatially Explicit Maximum Likelihood Methods for Capture-Recapture Studies. *Biometrics, 64*(2), 377-385. &lt;https://doi.org/10.1111/j.1541-0420.2007.00927.x&gt;&lt;/div&gt;"</v>
      </c>
      <c r="T42" s="65"/>
    </row>
    <row r="43" spans="1:20" ht="15.75">
      <c r="A43" s="65"/>
      <c r="B43" s="155" t="b">
        <v>0</v>
      </c>
      <c r="C43" s="155" t="b">
        <v>0</v>
      </c>
      <c r="D43" s="155"/>
      <c r="E43" s="65" t="s">
        <v>1904</v>
      </c>
      <c r="F43" s="65" t="s">
        <v>3775</v>
      </c>
      <c r="G43" s="65" t="s">
        <v>3774</v>
      </c>
      <c r="H43" s="65" t="s">
        <v>3774</v>
      </c>
      <c r="I43" s="65" t="b">
        <v>1</v>
      </c>
      <c r="J43" s="65" t="s">
        <v>3773</v>
      </c>
      <c r="K43" s="65" t="s">
        <v>5260</v>
      </c>
      <c r="L43" s="65" t="s">
        <v>3772</v>
      </c>
      <c r="M43" s="65" t="s">
        <v>984</v>
      </c>
      <c r="N43" s="65" t="str">
        <f>"&lt;div class="&amp;""""&amp;"hanging"&amp;""""&amp;"&gt;"&amp;K43&amp;"&lt;a href="&amp;""""&amp;L43&amp;""""&amp;" target="&amp;""""&amp;"_blank"&amp;""""&amp;"&gt;"&amp;L43&amp;"&lt;/a&gt;&lt;span style="&amp;""""&amp;"color:white"&amp;""""&amp;"&gt;[.]{#"&amp;F43&amp;"}}&lt;/span&gt;&lt;/div&gt;&lt;br&gt;"</f>
        <v>&lt;div class="hanging"&gt;Borchers, D. L., Stevenson, B. C., Kidney, D., Thomas, L., &amp; Marques, T. A. (2015). A Unifying Model for Capture-Recapture and Distance Sampling Surveys of Wildlife Populations. &lt;i&gt;Journal of the American Statistical Association, 110&lt;/i&gt;(509), 195-204.&lt;a href="https://doi.org/10.1080/01621459.2014.893884" target="_blank"&gt;https://doi.org/10.1080/01621459.2014.893884&lt;/a&gt;&lt;span style="color:white"&gt;[.]{#borchers_et_al_2015}}&lt;/span&gt;&lt;/div&gt;&lt;br&gt;</v>
      </c>
      <c r="O43" s="65" t="str">
        <f>"{{ rtxt_"&amp;F43&amp;" }}"</f>
        <v>{{ rtxt_borchers_et_al_2015 }}</v>
      </c>
      <c r="P43" s="65" t="str">
        <f>"{{ rbib_"&amp;F43&amp;" }}"</f>
        <v>{{ rbib_borchers_et_al_2015 }}</v>
      </c>
      <c r="Q43" s="65" t="str">
        <f>"    rtxt_"&amp;F43&amp;": "&amp;""""&amp;"&lt;a href=\"&amp;""""&amp;"/08_references.html#"&amp;F43&amp;"\"&amp;""""&amp;" target=\"&amp;""""&amp;"_blank\"&amp;""""&amp;"&gt;"&amp;G43&amp;"&lt;/a&gt;"&amp;""""</f>
        <v xml:space="preserve">    rtxt_borchers_et_al_2015: "&lt;a href=\"/08_references.html#borchers_et_al_2015\" target=\"_blank\"&gt;Borchers et al., 2015&lt;/a&gt;"</v>
      </c>
      <c r="R43" s="65" t="str">
        <f>"    rbib_"&amp;F43&amp;": "&amp;""""&amp;K43&amp;"&lt;a href=\"&amp;""""&amp;L43&amp;""""&amp;" target=\"&amp;""""&amp;"_blank\"&amp;""""&amp;"&gt;"&amp;L43&amp;"&lt;/a&gt;"&amp;""""</f>
        <v xml:space="preserve">    rbib_borchers_et_al_2015: "Borchers, D. L., Stevenson, B. C., Kidney, D., Thomas, L., &amp; Marques, T. A. (2015). A Unifying Model for Capture-Recapture and Distance Sampling Surveys of Wildlife Populations. &lt;i&gt;Journal of the American Statistical Association, 110&lt;/i&gt;(509), 195-204.&lt;a href=\"https://doi.org/10.1080/01621459.2014.893884" target=\"_blank\"&gt;https://doi.org/10.1080/01621459.2014.893884&lt;/a&gt;"</v>
      </c>
      <c r="S43" s="65" t="str">
        <f>"    rbib_"&amp;F43&amp;": "&amp;""""&amp;"&lt;div class=\"&amp;""""&amp;"hanging\"&amp;""""&amp;"&gt;"&amp;J43&amp;"&lt;/div&gt;"&amp;""""</f>
        <v xml:space="preserve">    rbib_borchers_et_al_2015: "&lt;div class=\"hanging\"&gt;Borchers, D. L., Stevenson, B. C., Kidney, D., Thomas, L., &amp; Marques, T. A. (2015). A Unifying Model for Capture-Recapture and Distance Sampling Surveys of Wildlife Populations. *Journal of the American Statistical Association, 110*(509), 195-204. &lt;https://doi.org/10.1080/01621459.2014.893884&gt;&lt;/div&gt;"</v>
      </c>
      <c r="T43" s="65"/>
    </row>
    <row r="44" spans="1:20" ht="15.75">
      <c r="A44" s="65"/>
      <c r="B44" s="155" t="b">
        <v>1</v>
      </c>
      <c r="C44" s="155" t="b">
        <v>1</v>
      </c>
      <c r="D44" s="155" t="b">
        <v>0</v>
      </c>
      <c r="E44" s="65" t="s">
        <v>1904</v>
      </c>
      <c r="F44" s="65" t="s">
        <v>3771</v>
      </c>
      <c r="G44" s="65" t="s">
        <v>3770</v>
      </c>
      <c r="H44" s="65" t="s">
        <v>3769</v>
      </c>
      <c r="I44" s="65" t="b">
        <v>1</v>
      </c>
      <c r="J44" s="65" t="s">
        <v>3768</v>
      </c>
      <c r="K44" s="65" t="s">
        <v>5318</v>
      </c>
      <c r="L44" s="65" t="s">
        <v>3767</v>
      </c>
      <c r="M44" s="65" t="s">
        <v>984</v>
      </c>
      <c r="N44" s="65" t="str">
        <f>"&lt;div class="&amp;""""&amp;"hanging"&amp;""""&amp;"&gt;"&amp;K44&amp;"&lt;a href="&amp;""""&amp;L44&amp;""""&amp;" target="&amp;""""&amp;"_blank"&amp;""""&amp;"&gt;"&amp;L44&amp;"&lt;/a&gt;&lt;span style="&amp;""""&amp;"color:white"&amp;""""&amp;"&gt;[.]{#"&amp;F44&amp;"}}&lt;/span&gt;&lt;/div&gt;&lt;br&gt;"</f>
        <v>&lt;div class="hanging"&gt;Bowkett, A. E., Rovero, F., &amp; Marshall, A. R. (2008). The use of camera-trap data to model habitat use by antelope species in the udzungwa mountain forests, tanzania. &lt;i&gt;African Journal of Ecology, 46&lt;/i&gt;(4), 479-487.&lt;a href="https://doi.org/10.1111/j.1365-2028.2007.00881.x" target="_blank"&gt;https://doi.org/10.1111/j.1365-2028.2007.00881.x&lt;/a&gt;&lt;span style="color:white"&gt;[.]{#bowkett_et_al_2008}}&lt;/span&gt;&lt;/div&gt;&lt;br&gt;</v>
      </c>
      <c r="O44" s="65" t="str">
        <f>"{{ rtxt_"&amp;F44&amp;" }}"</f>
        <v>{{ rtxt_bowkett_et_al_2008 }}</v>
      </c>
      <c r="P44" s="65" t="str">
        <f>"{{ rbib_"&amp;F44&amp;" }}"</f>
        <v>{{ rbib_bowkett_et_al_2008 }}</v>
      </c>
      <c r="Q44" s="65" t="str">
        <f>"    rtxt_"&amp;F44&amp;": "&amp;""""&amp;"&lt;a href=\"&amp;""""&amp;"/08_references.html#"&amp;F44&amp;"\"&amp;""""&amp;" target=\"&amp;""""&amp;"_blank\"&amp;""""&amp;"&gt;"&amp;G44&amp;"&lt;/a&gt;"&amp;""""</f>
        <v xml:space="preserve">    rtxt_bowkett_et_al_2008: "&lt;a href=\"/08_references.html#bowkett_et_al_2008\" target=\"_blank\"&gt;Bowkett et al., 2008&lt;/a&gt;"</v>
      </c>
      <c r="R44" s="65" t="str">
        <f>"    rbib_"&amp;F44&amp;": "&amp;""""&amp;K44&amp;"&lt;a href=\"&amp;""""&amp;L44&amp;""""&amp;" target=\"&amp;""""&amp;"_blank\"&amp;""""&amp;"&gt;"&amp;L44&amp;"&lt;/a&gt;"&amp;""""</f>
        <v xml:space="preserve">    rbib_bowkett_et_al_2008: "Bowkett, A. E., Rovero, F., &amp; Marshall, A. R. (2008). The use of camera-trap data to model habitat use by antelope species in the udzungwa mountain forests, tanzania. &lt;i&gt;African Journal of Ecology, 46&lt;/i&gt;(4), 479-487.&lt;a href=\"https://doi.org/10.1111/j.1365-2028.2007.00881.x" target=\"_blank\"&gt;https://doi.org/10.1111/j.1365-2028.2007.00881.x&lt;/a&gt;"</v>
      </c>
      <c r="S44" s="65" t="str">
        <f>"    rbib_"&amp;F44&amp;": "&amp;""""&amp;"&lt;div class=\"&amp;""""&amp;"hanging\"&amp;""""&amp;"&gt;"&amp;J44&amp;"&lt;/div&gt;"&amp;""""</f>
        <v xml:space="preserve">    rbib_bowkett_et_al_2008: "&lt;div class=\"hanging\"&gt;Bowkett, A. E., Rovero, F., &amp; Marshall, A. R. (2008). The use of camera-trap data to model habitat use by antelope species in the udzungwa mountain forests, tanzania. *African Journal of Ecology, 46*(4), 479-487. &lt;https://doi.org/10.1111/j.1365-2028.2007.00881.x&gt;&lt;/div&gt;"</v>
      </c>
      <c r="T44" s="65"/>
    </row>
    <row r="45" spans="1:20" ht="15.75">
      <c r="A45" s="65"/>
      <c r="B45" s="155"/>
      <c r="C45" s="155"/>
      <c r="D45" s="155"/>
      <c r="E45" s="65" t="s">
        <v>1939</v>
      </c>
      <c r="F45" s="65" t="s">
        <v>3766</v>
      </c>
      <c r="G45" s="65" t="s">
        <v>3765</v>
      </c>
      <c r="H45" s="65" t="s">
        <v>3765</v>
      </c>
      <c r="I45" s="65" t="b">
        <v>1</v>
      </c>
      <c r="J45" s="65" t="s">
        <v>3764</v>
      </c>
      <c r="K45" s="65" t="s">
        <v>5502</v>
      </c>
      <c r="L45" s="65" t="s">
        <v>3763</v>
      </c>
      <c r="M45" s="65" t="s">
        <v>984</v>
      </c>
      <c r="N45" s="65" t="str">
        <f>"&lt;div class="&amp;""""&amp;"hanging"&amp;""""&amp;"&gt;"&amp;K45&amp;"&lt;a href="&amp;""""&amp;L45&amp;""""&amp;" target="&amp;""""&amp;"_blank"&amp;""""&amp;"&gt;"&amp;L45&amp;"&lt;/a&gt;&lt;span style="&amp;""""&amp;"color:white"&amp;""""&amp;"&gt;[.]{#"&amp;F45&amp;"}}&lt;/span&gt;&lt;/div&gt;&lt;br&gt;"</f>
        <v>&lt;div class="hanging"&gt;Brennan, L. A. (2019). &lt;i&gt;Quantitative Analyses in Wildlife Science&lt;/i&gt;. Johns Hopkins University Press, Baltimore.&lt;a href="https://www.press.jhu.edu/books/title/11858/quantitative-analyses-wildlife-science" target="_blank"&gt;https://www.press.jhu.edu/books/title/11858/quantitative-analyses-wildlife-science&lt;/a&gt;&lt;span style="color:white"&gt;[.]{#brennan_2019}}&lt;/span&gt;&lt;/div&gt;&lt;br&gt;</v>
      </c>
      <c r="O45" s="65" t="str">
        <f>"{{ rtxt_"&amp;F45&amp;" }}"</f>
        <v>{{ rtxt_brennan_2019 }}</v>
      </c>
      <c r="P45" s="65" t="str">
        <f>"{{ rbib_"&amp;F45&amp;" }}"</f>
        <v>{{ rbib_brennan_2019 }}</v>
      </c>
      <c r="Q45" s="65" t="str">
        <f>"    rtxt_"&amp;F45&amp;": "&amp;""""&amp;"&lt;a href=\"&amp;""""&amp;"/08_references.html#"&amp;F45&amp;"\"&amp;""""&amp;" target=\"&amp;""""&amp;"_blank\"&amp;""""&amp;"&gt;"&amp;G45&amp;"&lt;/a&gt;"&amp;""""</f>
        <v xml:space="preserve">    rtxt_brennan_2019: "&lt;a href=\"/08_references.html#brennan_2019\" target=\"_blank\"&gt;Brennan, 2019&lt;/a&gt;"</v>
      </c>
      <c r="R45" s="65" t="str">
        <f>"    rbib_"&amp;F45&amp;": "&amp;""""&amp;K45&amp;"&lt;a href=\"&amp;""""&amp;L45&amp;""""&amp;" target=\"&amp;""""&amp;"_blank\"&amp;""""&amp;"&gt;"&amp;L45&amp;"&lt;/a&gt;"&amp;""""</f>
        <v xml:space="preserve">    rbib_brennan_2019: "Brennan, L. A. (2019). &lt;i&gt;Quantitative Analyses in Wildlife Science&lt;/i&gt;. Johns Hopkins University Press, Baltimore.&lt;a href=\"https://www.press.jhu.edu/books/title/11858/quantitative-analyses-wildlife-science" target=\"_blank\"&gt;https://www.press.jhu.edu/books/title/11858/quantitative-analyses-wildlife-science&lt;/a&gt;"</v>
      </c>
      <c r="S45" s="65" t="str">
        <f>"    rbib_"&amp;F45&amp;": "&amp;""""&amp;"&lt;div class=\"&amp;""""&amp;"hanging\"&amp;""""&amp;"&gt;"&amp;J45&amp;"&lt;/div&gt;"&amp;""""</f>
        <v xml:space="preserve">    rbib_brennan_2019: "&lt;div class=\"hanging\"&gt;Brennan, L. A. (2019). *Quantitative Analyses in Wildlife Science*. Johns Hopkins University Press, Baltimore. &lt;https://www.press.jhu.edu/books/title/11858/quantitative-analyses-wildlife-science&gt;&lt;/div&gt;"</v>
      </c>
      <c r="T45" s="65"/>
    </row>
    <row r="46" spans="1:20" ht="15.75">
      <c r="A46" s="65"/>
      <c r="B46" s="155" t="b">
        <v>1</v>
      </c>
      <c r="C46" s="155" t="b">
        <v>0</v>
      </c>
      <c r="D46" s="155" t="b">
        <v>0</v>
      </c>
      <c r="E46" s="65" t="s">
        <v>1904</v>
      </c>
      <c r="F46" s="65" t="s">
        <v>3762</v>
      </c>
      <c r="G46" s="65" t="s">
        <v>3761</v>
      </c>
      <c r="H46" s="65" t="s">
        <v>3761</v>
      </c>
      <c r="I46" s="65" t="b">
        <v>1</v>
      </c>
      <c r="J46" s="65" t="s">
        <v>3760</v>
      </c>
      <c r="K46" s="65" t="s">
        <v>5189</v>
      </c>
      <c r="L46" s="65" t="s">
        <v>2651</v>
      </c>
      <c r="M46" s="65" t="s">
        <v>984</v>
      </c>
      <c r="N46" s="65" t="str">
        <f>"&lt;div class="&amp;""""&amp;"hanging"&amp;""""&amp;"&gt;"&amp;K46&amp;"&lt;a href="&amp;""""&amp;L46&amp;""""&amp;" target="&amp;""""&amp;"_blank"&amp;""""&amp;"&gt;"&amp;L46&amp;"&lt;/a&gt;&lt;span style="&amp;""""&amp;"color:white"&amp;""""&amp;"&gt;[.]{#"&amp;F46&amp;"}}&lt;/span&gt;&lt;/div&gt;&lt;br&gt;"</f>
        <v>&lt;div class="hanging"&gt;Bridges, A. S., &amp; Noss, A. J. (2011). Behavior and Activity Patterns. In A. F. O'Connell, J. D. Nichols, &amp; K. U. Karanth (Eds.), &lt;i&gt;Camera Traps In Animal Ecology: Methods and Analyses&lt;/i&gt; (pp. 57-70). Springer.&lt;a href="https://doi.org/10.1007/978-4-431-99495-4" target="_blank"&gt;https://doi.org/10.1007/978-4-431-99495-4&lt;/a&gt;&lt;span style="color:white"&gt;[.]{#bridges_noss_2011}}&lt;/span&gt;&lt;/div&gt;&lt;br&gt;</v>
      </c>
      <c r="O46" s="65" t="str">
        <f>"{{ rtxt_"&amp;F46&amp;" }}"</f>
        <v>{{ rtxt_bridges_noss_2011 }}</v>
      </c>
      <c r="P46" s="65" t="str">
        <f>"{{ rbib_"&amp;F46&amp;" }}"</f>
        <v>{{ rbib_bridges_noss_2011 }}</v>
      </c>
      <c r="Q46" s="65" t="str">
        <f>"    rtxt_"&amp;F46&amp;": "&amp;""""&amp;"&lt;a href=\"&amp;""""&amp;"/08_references.html#"&amp;F46&amp;"\"&amp;""""&amp;" target=\"&amp;""""&amp;"_blank\"&amp;""""&amp;"&gt;"&amp;G46&amp;"&lt;/a&gt;"&amp;""""</f>
        <v xml:space="preserve">    rtxt_bridges_noss_2011: "&lt;a href=\"/08_references.html#bridges_noss_2011\" target=\"_blank\"&gt;Bridges &amp; Noss, 2011&lt;/a&gt;"</v>
      </c>
      <c r="R46" s="65" t="str">
        <f>"    rbib_"&amp;F46&amp;": "&amp;""""&amp;K46&amp;"&lt;a href=\"&amp;""""&amp;L46&amp;""""&amp;" target=\"&amp;""""&amp;"_blank\"&amp;""""&amp;"&gt;"&amp;L46&amp;"&lt;/a&gt;"&amp;""""</f>
        <v xml:space="preserve">    rbib_bridges_noss_2011: "Bridges, A. S., &amp; Noss, A. J. (2011). Behavior and Activity Patterns. In A. F. O'Connell, J. D. Nichols, &amp; K. U. Karanth (Eds.), &lt;i&gt;Camera Traps In Animal Ecology: Methods and Analyses&lt;/i&gt; (pp. 57-70). Springer.&lt;a href=\"https://doi.org/10.1007/978-4-431-99495-4" target=\"_blank\"&gt;https://doi.org/10.1007/978-4-431-99495-4&lt;/a&gt;"</v>
      </c>
      <c r="S46" s="65" t="str">
        <f>"    rbib_"&amp;F46&amp;": "&amp;""""&amp;"&lt;div class=\"&amp;""""&amp;"hanging\"&amp;""""&amp;"&gt;"&amp;J46&amp;"&lt;/div&gt;"&amp;""""</f>
        <v xml:space="preserve">    rbib_bridges_noss_2011: "&lt;div class=\"hanging\"&gt;Bridges, A. S., &amp; Noss, A. J. (2011). Behavior and Activity Patterns. In A. F. O'Connell, J. D. Nichols, &amp; K. U. Karanth (Eds.), *Camera Traps In Animal Ecology: Methods and Analyses* (pp. 57-70). Springer. &lt;https://doi.org/10.1007/978-4-431-99495-4&gt;&lt;/div&gt;"</v>
      </c>
      <c r="T46" s="65"/>
    </row>
    <row r="47" spans="1:20" ht="15.75">
      <c r="A47" s="65"/>
      <c r="B47" s="155"/>
      <c r="C47" s="155"/>
      <c r="D47" s="155"/>
      <c r="E47" s="65" t="s">
        <v>1904</v>
      </c>
      <c r="F47" s="65" t="s">
        <v>3759</v>
      </c>
      <c r="G47" s="65" t="s">
        <v>3758</v>
      </c>
      <c r="H47" s="65"/>
      <c r="I47" s="65" t="b">
        <v>1</v>
      </c>
      <c r="J47" s="65" t="s">
        <v>3757</v>
      </c>
      <c r="K47" s="65" t="s">
        <v>5142</v>
      </c>
      <c r="L47" s="65" t="s">
        <v>3756</v>
      </c>
      <c r="M47" s="65" t="s">
        <v>984</v>
      </c>
      <c r="N47" s="65" t="str">
        <f>"&lt;div class="&amp;""""&amp;"hanging"&amp;""""&amp;"&gt;"&amp;K47&amp;"&lt;a href="&amp;""""&amp;L47&amp;""""&amp;" target="&amp;""""&amp;"_blank"&amp;""""&amp;"&gt;"&amp;L47&amp;"&lt;/a&gt;&lt;span style="&amp;""""&amp;"color:white"&amp;""""&amp;"&gt;[.]{#"&amp;F47&amp;"}}&lt;/span&gt;&lt;/div&gt;&lt;br&gt;"</f>
        <v>&lt;div class="hanging"&gt;Broadley, K., Burton, A. C., Avgar, T., &amp; Boutin, S. (2019). Density‐dependent space use affects interpretation of camera trap detection rates. &lt;i&gt;Ecology and Evolution, 9&lt;/i&gt;(24), 14031-14041.&lt;a href="https://doi.org/10.1002/ece3.5840." target="_blank"&gt;https://doi.org/10.1002/ece3.5840.&lt;/a&gt;&lt;span style="color:white"&gt;[.]{#broadley_et_al_2019}}&lt;/span&gt;&lt;/div&gt;&lt;br&gt;</v>
      </c>
      <c r="O47" s="65" t="str">
        <f>"{{ rtxt_"&amp;F47&amp;" }}"</f>
        <v>{{ rtxt_broadley_et_al_2019 }}</v>
      </c>
      <c r="P47" s="65" t="str">
        <f>"{{ rbib_"&amp;F47&amp;" }}"</f>
        <v>{{ rbib_broadley_et_al_2019 }}</v>
      </c>
      <c r="Q47" s="65" t="str">
        <f>"    rtxt_"&amp;F47&amp;": "&amp;""""&amp;"&lt;a href=\"&amp;""""&amp;"/08_references.html#"&amp;F47&amp;"\"&amp;""""&amp;" target=\"&amp;""""&amp;"_blank\"&amp;""""&amp;"&gt;"&amp;G47&amp;"&lt;/a&gt;"&amp;""""</f>
        <v xml:space="preserve">    rtxt_broadley_et_al_2019: "&lt;a href=\"/08_references.html#broadley_et_al_2019\" target=\"_blank\"&gt;Broadley et al., 2019&lt;/a&gt;"</v>
      </c>
      <c r="R47" s="65" t="str">
        <f>"    rbib_"&amp;F47&amp;": "&amp;""""&amp;K47&amp;"&lt;a href=\"&amp;""""&amp;L47&amp;""""&amp;" target=\"&amp;""""&amp;"_blank\"&amp;""""&amp;"&gt;"&amp;L47&amp;"&lt;/a&gt;"&amp;""""</f>
        <v xml:space="preserve">    rbib_broadley_et_al_2019: "Broadley, K., Burton, A. C., Avgar, T., &amp; Boutin, S. (2019). Density‐dependent space use affects interpretation of camera trap detection rates. &lt;i&gt;Ecology and Evolution, 9&lt;/i&gt;(24), 14031-14041.&lt;a href=\"https://doi.org/10.1002/ece3.5840." target=\"_blank\"&gt;https://doi.org/10.1002/ece3.5840.&lt;/a&gt;"</v>
      </c>
      <c r="S47" s="65" t="str">
        <f>"    rbib_"&amp;F47&amp;": "&amp;""""&amp;"&lt;div class=\"&amp;""""&amp;"hanging\"&amp;""""&amp;"&gt;"&amp;J47&amp;"&lt;/div&gt;"&amp;""""</f>
        <v xml:space="preserve">    rbib_broadley_et_al_2019: "&lt;div class=\"hanging\"&gt;Broadley, K., Burton, A. C., Avgar, T., &amp; Boutin, S. (2019). Density‐dependent space use affects interpretation of camera trap detection rates. *Ecology and Evolution, 9*(24), 14031-14041. &lt;https://doi.org/10.1002/ece3.5840&gt;.&lt;/div&gt;"</v>
      </c>
      <c r="T47" s="65"/>
    </row>
    <row r="48" spans="1:20" ht="15.75">
      <c r="A48" s="65"/>
      <c r="B48" s="155" t="b">
        <v>0</v>
      </c>
      <c r="C48" s="155" t="b">
        <v>0</v>
      </c>
      <c r="D48" s="155" t="b">
        <v>1</v>
      </c>
      <c r="E48" s="65" t="s">
        <v>1904</v>
      </c>
      <c r="F48" s="65" t="s">
        <v>3755</v>
      </c>
      <c r="G48" s="65" t="s">
        <v>3754</v>
      </c>
      <c r="H48" s="65" t="s">
        <v>3754</v>
      </c>
      <c r="I48" s="65" t="b">
        <v>1</v>
      </c>
      <c r="J48" s="65" t="s">
        <v>3753</v>
      </c>
      <c r="K48" s="65" t="s">
        <v>5306</v>
      </c>
      <c r="L48" s="65" t="s">
        <v>3752</v>
      </c>
      <c r="M48" s="65" t="s">
        <v>984</v>
      </c>
      <c r="N48" s="65" t="str">
        <f>"&lt;div class="&amp;""""&amp;"hanging"&amp;""""&amp;"&gt;"&amp;K48&amp;"&lt;a href="&amp;""""&amp;L48&amp;""""&amp;" target="&amp;""""&amp;"_blank"&amp;""""&amp;"&gt;"&amp;L48&amp;"&lt;/a&gt;&lt;span style="&amp;""""&amp;"color:white"&amp;""""&amp;"&gt;[.]{#"&amp;F48&amp;"}}&lt;/span&gt;&lt;/div&gt;&lt;br&gt;"</f>
        <v>&lt;div class="hanging"&gt;Brodie, J. F., Giordano, A. J., Zipkin, E. F., Bernard, H., Mohd‐Azlan, J., &amp; Ambu, L. (2015). Correlation and persistence of hunting and logging impacts on tropical rainforest mammals. &lt;i&gt;Conservation Biology, 29&lt;/i&gt;(1), 110-121.&lt;a href="https://doi.org/10.1111/cobi.12389" target="_blank"&gt;https://doi.org/10.1111/cobi.12389&lt;/a&gt;&lt;span style="color:white"&gt;[.]{#brodie_et_al_2015}}&lt;/span&gt;&lt;/div&gt;&lt;br&gt;</v>
      </c>
      <c r="O48" s="65" t="str">
        <f>"{{ rtxt_"&amp;F48&amp;" }}"</f>
        <v>{{ rtxt_brodie_et_al_2015 }}</v>
      </c>
      <c r="P48" s="65" t="str">
        <f>"{{ rbib_"&amp;F48&amp;" }}"</f>
        <v>{{ rbib_brodie_et_al_2015 }}</v>
      </c>
      <c r="Q48" s="65" t="str">
        <f>"    rtxt_"&amp;F48&amp;": "&amp;""""&amp;"&lt;a href=\"&amp;""""&amp;"/08_references.html#"&amp;F48&amp;"\"&amp;""""&amp;" target=\"&amp;""""&amp;"_blank\"&amp;""""&amp;"&gt;"&amp;G48&amp;"&lt;/a&gt;"&amp;""""</f>
        <v xml:space="preserve">    rtxt_brodie_et_al_2015: "&lt;a href=\"/08_references.html#brodie_et_al_2015\" target=\"_blank\"&gt;Brodie et al., 2015&lt;/a&gt;"</v>
      </c>
      <c r="R48" s="65" t="str">
        <f>"    rbib_"&amp;F48&amp;": "&amp;""""&amp;K48&amp;"&lt;a href=\"&amp;""""&amp;L48&amp;""""&amp;" target=\"&amp;""""&amp;"_blank\"&amp;""""&amp;"&gt;"&amp;L48&amp;"&lt;/a&gt;"&amp;""""</f>
        <v xml:space="preserve">    rbib_brodie_et_al_2015: "Brodie, J. F., Giordano, A. J., Zipkin, E. F., Bernard, H., Mohd‐Azlan, J., &amp; Ambu, L. (2015). Correlation and persistence of hunting and logging impacts on tropical rainforest mammals. &lt;i&gt;Conservation Biology, 29&lt;/i&gt;(1), 110-121.&lt;a href=\"https://doi.org/10.1111/cobi.12389" target=\"_blank\"&gt;https://doi.org/10.1111/cobi.12389&lt;/a&gt;"</v>
      </c>
      <c r="S48" s="65" t="str">
        <f>"    rbib_"&amp;F48&amp;": "&amp;""""&amp;"&lt;div class=\"&amp;""""&amp;"hanging\"&amp;""""&amp;"&gt;"&amp;J48&amp;"&lt;/div&gt;"&amp;""""</f>
        <v xml:space="preserve">    rbib_brodie_et_al_2015: "&lt;div class=\"hanging\"&gt;Brodie, J. F., Giordano, A. J., Zipkin, E. F., Bernard, H., Mohd‐Azlan, J., &amp; Ambu, L. (2015). Correlation and persistence of hunting and logging impacts on tropical rainforest mammals. *Conservation Biology, 29*(1), 110-121. &lt;https://doi.org/10.1111/cobi.12389&gt;&lt;/div&gt;"</v>
      </c>
      <c r="T48" s="65"/>
    </row>
    <row r="49" spans="1:20" ht="15.75">
      <c r="A49" s="65"/>
      <c r="B49" s="155" t="b">
        <v>0</v>
      </c>
      <c r="C49" s="155" t="b">
        <v>0</v>
      </c>
      <c r="D49" s="155" t="b">
        <v>1</v>
      </c>
      <c r="E49" s="65" t="s">
        <v>1904</v>
      </c>
      <c r="F49" s="65" t="s">
        <v>3751</v>
      </c>
      <c r="G49" s="65" t="s">
        <v>3750</v>
      </c>
      <c r="H49" s="65" t="s">
        <v>3750</v>
      </c>
      <c r="I49" s="65" t="b">
        <v>1</v>
      </c>
      <c r="J49" s="65" t="s">
        <v>3749</v>
      </c>
      <c r="K49" s="65" t="s">
        <v>5315</v>
      </c>
      <c r="L49" s="65" t="s">
        <v>3748</v>
      </c>
      <c r="M49" s="65" t="s">
        <v>984</v>
      </c>
      <c r="N49" s="65" t="str">
        <f>"&lt;div class="&amp;""""&amp;"hanging"&amp;""""&amp;"&gt;"&amp;K49&amp;"&lt;a href="&amp;""""&amp;L49&amp;""""&amp;" target="&amp;""""&amp;"_blank"&amp;""""&amp;"&gt;"&amp;L49&amp;"&lt;/a&gt;&lt;span style="&amp;""""&amp;"color:white"&amp;""""&amp;"&gt;[.]{#"&amp;F49&amp;"}}&lt;/span&gt;&lt;/div&gt;&lt;br&gt;"</f>
        <v>&lt;div class="hanging"&gt;Broekman, M. J. E., Hoeks, S., Freriks, R., Langendoen, M. M., Runge, K. M., Savenco, E., Ter Harmsel, R., Huijbregts, M. A. J., &amp; Tucker, M. A. (2023). HomeRange: A global database of mammalian home ranges. &lt;i&gt;Global Ecology and Biogeography, 32&lt;/i&gt;(2), 198-205.&lt;a href="https://doi.org/10.1111/geb.13625" target="_blank"&gt;https://doi.org/10.1111/geb.13625&lt;/a&gt;&lt;span style="color:white"&gt;[.]{#broekman_et_al_2022}}&lt;/span&gt;&lt;/div&gt;&lt;br&gt;</v>
      </c>
      <c r="O49" s="65" t="str">
        <f>"{{ rtxt_"&amp;F49&amp;" }}"</f>
        <v>{{ rtxt_broekman_et_al_2022 }}</v>
      </c>
      <c r="P49" s="65" t="str">
        <f>"{{ rbib_"&amp;F49&amp;" }}"</f>
        <v>{{ rbib_broekman_et_al_2022 }}</v>
      </c>
      <c r="Q49" s="65" t="str">
        <f>"    rtxt_"&amp;F49&amp;": "&amp;""""&amp;"&lt;a href=\"&amp;""""&amp;"/08_references.html#"&amp;F49&amp;"\"&amp;""""&amp;" target=\"&amp;""""&amp;"_blank\"&amp;""""&amp;"&gt;"&amp;G49&amp;"&lt;/a&gt;"&amp;""""</f>
        <v xml:space="preserve">    rtxt_broekman_et_al_2022: "&lt;a href=\"/08_references.html#broekman_et_al_2022\" target=\"_blank\"&gt;Broekman et al., 2022&lt;/a&gt;"</v>
      </c>
      <c r="R49" s="65" t="str">
        <f>"    rbib_"&amp;F49&amp;": "&amp;""""&amp;K49&amp;"&lt;a href=\"&amp;""""&amp;L49&amp;""""&amp;" target=\"&amp;""""&amp;"_blank\"&amp;""""&amp;"&gt;"&amp;L49&amp;"&lt;/a&gt;"&amp;""""</f>
        <v xml:space="preserve">    rbib_broekman_et_al_2022: "Broekman, M. J. E., Hoeks, S., Freriks, R., Langendoen, M. M., Runge, K. M., Savenco, E., Ter Harmsel, R., Huijbregts, M. A. J., &amp; Tucker, M. A. (2023). HomeRange: A global database of mammalian home ranges. &lt;i&gt;Global Ecology and Biogeography, 32&lt;/i&gt;(2), 198-205.&lt;a href=\"https://doi.org/10.1111/geb.13625" target=\"_blank\"&gt;https://doi.org/10.1111/geb.13625&lt;/a&gt;"</v>
      </c>
      <c r="S49" s="65" t="str">
        <f>"    rbib_"&amp;F49&amp;": "&amp;""""&amp;"&lt;div class=\"&amp;""""&amp;"hanging\"&amp;""""&amp;"&gt;"&amp;J49&amp;"&lt;/div&gt;"&amp;""""</f>
        <v xml:space="preserve">    rbib_broekman_et_al_2022: "&lt;div class=\"hanging\"&gt;Broekman, M. J. E., Hoeks, S., Freriks, R., Langendoen, M. M., Runge, K. M., Savenco, E., Ter Harmsel, R., Huijbregts, M. A. J., &amp; Tucker, M. A. (2023). HomeRange: A global database of mammalian home ranges. *Global Ecology and Biogeography, 32*(2), 198-205. &lt;https://doi.org/10.1111/geb.13625&gt;&lt;/div&gt;"</v>
      </c>
      <c r="T49" s="65"/>
    </row>
    <row r="50" spans="1:20" ht="15.75">
      <c r="A50" s="65"/>
      <c r="B50" s="155"/>
      <c r="C50" s="155"/>
      <c r="D50" s="155"/>
      <c r="E50" s="65"/>
      <c r="F50" s="65" t="s">
        <v>1897</v>
      </c>
      <c r="G50" s="65" t="s">
        <v>3943</v>
      </c>
      <c r="H50" s="65"/>
      <c r="I50" s="65"/>
      <c r="J50" s="65" t="s">
        <v>3942</v>
      </c>
      <c r="K50" s="65" t="s">
        <v>6054</v>
      </c>
      <c r="L50" s="65" t="s">
        <v>4862</v>
      </c>
      <c r="M50" s="65" t="s">
        <v>984</v>
      </c>
      <c r="N50" s="65" t="str">
        <f>"&lt;div class="&amp;""""&amp;"hanging"&amp;""""&amp;"&gt;"&amp;K50&amp;"&lt;a href="&amp;""""&amp;L50&amp;""""&amp;" target="&amp;""""&amp;"_blank"&amp;""""&amp;"&gt;"&amp;L50&amp;"&lt;/a&gt;&lt;span style="&amp;""""&amp;"color:white"&amp;""""&amp;"&gt;[.]{#"&amp;F50&amp;"}}&lt;/span&gt;&lt;/div&gt;&lt;br&gt;"</f>
        <v>&lt;div class="hanging"&gt;Brooks, M., Bolker, B., Kristensen, K., Maechler, M., Magnusson, A., Skaug, H., Nielsen, A., Berg, C., &amp; Van Bentham, K. (2017). &lt;i&gt;glmmTMB: Generalized Linear Mixed Models using Template Model Builder&lt;/i&gt;. R package version 1.1.10.&lt;a href="https://doi.org/10.32614/CRAN.package.glmmTMB" target="_blank"&gt;https://doi.org/10.32614/CRAN.package.glmmTMB&lt;/a&gt;&lt;span style="color:white"&gt;[.]{#brooks_et_al_2017}}&lt;/span&gt;&lt;/div&gt;&lt;br&gt;</v>
      </c>
      <c r="O50" s="65" t="str">
        <f>"{{ rtxt_"&amp;F50&amp;" }}"</f>
        <v>{{ rtxt_brooks_et_al_2017 }}</v>
      </c>
      <c r="P50" s="65" t="str">
        <f>"{{ rbib_"&amp;F50&amp;" }}"</f>
        <v>{{ rbib_brooks_et_al_2017 }}</v>
      </c>
      <c r="Q50" s="65" t="str">
        <f>"    rtxt_"&amp;F50&amp;": "&amp;""""&amp;"&lt;a href=\"&amp;""""&amp;"/08_references.html#"&amp;F50&amp;"\"&amp;""""&amp;" target=\"&amp;""""&amp;"_blank\"&amp;""""&amp;"&gt;"&amp;G50&amp;"&lt;/a&gt;"&amp;""""</f>
        <v xml:space="preserve">    rtxt_brooks_et_al_2017: "&lt;a href=\"/08_references.html#brooks_et_al_2017\" target=\"_blank\"&gt;Brooks et al., 2017&lt;/a&gt;"</v>
      </c>
      <c r="R50" s="65" t="str">
        <f>"    rbib_"&amp;F50&amp;": "&amp;""""&amp;K50&amp;"&lt;a href=\"&amp;""""&amp;L50&amp;""""&amp;" target=\"&amp;""""&amp;"_blank\"&amp;""""&amp;"&gt;"&amp;L50&amp;"&lt;/a&gt;"&amp;""""</f>
        <v xml:space="preserve">    rbib_brooks_et_al_2017: "Brooks, M., Bolker, B., Kristensen, K., Maechler, M., Magnusson, A., Skaug, H., Nielsen, A., Berg, C., &amp; Van Bentham, K. (2017). &lt;i&gt;glmmTMB: Generalized Linear Mixed Models using Template Model Builder&lt;/i&gt;. R package version 1.1.10.&lt;a href=\"https://doi.org/10.32614/CRAN.package.glmmTMB" target=\"_blank\"&gt;https://doi.org/10.32614/CRAN.package.glmmTMB&lt;/a&gt;"</v>
      </c>
      <c r="S50" s="65" t="str">
        <f>"    rbib_"&amp;F50&amp;": "&amp;""""&amp;"&lt;div class=\"&amp;""""&amp;"hanging\"&amp;""""&amp;"&gt;"&amp;J50&amp;"&lt;/div&gt;"&amp;""""</f>
        <v xml:space="preserve">    rbib_brooks_et_al_2017: "&lt;div class=\"hanging\"&gt;Brooks, M., Bolker, B., Kristensen, K., Maechler, M., Magnusson, A., Skaug, H., Nielsen, A., Berg, C., &amp; Van Bentham, K. (2017).*glmmTMB: Generalized Linear Mixed Models using Template Model Builder.* R package version 1.1.10. &lt;https://doi.org/10.32614/CRAN.package.glmmTMB&gt;&lt;/div&gt;"</v>
      </c>
      <c r="T50" s="65"/>
    </row>
    <row r="51" spans="1:20" ht="15.75">
      <c r="A51" s="65"/>
      <c r="B51" s="155" t="b">
        <v>0</v>
      </c>
      <c r="C51" s="155" t="b">
        <v>0</v>
      </c>
      <c r="D51" s="155"/>
      <c r="E51" s="65" t="s">
        <v>1904</v>
      </c>
      <c r="F51" s="65" t="s">
        <v>3747</v>
      </c>
      <c r="G51" s="65" t="s">
        <v>3746</v>
      </c>
      <c r="H51" s="65" t="s">
        <v>3745</v>
      </c>
      <c r="I51" s="65" t="b">
        <v>1</v>
      </c>
      <c r="J51" s="65" t="s">
        <v>3744</v>
      </c>
      <c r="K51" s="65" t="s">
        <v>6061</v>
      </c>
      <c r="L51" s="65" t="s">
        <v>3743</v>
      </c>
      <c r="M51" s="65" t="s">
        <v>984</v>
      </c>
      <c r="N51" s="65" t="str">
        <f>"&lt;div class="&amp;""""&amp;"hanging"&amp;""""&amp;"&gt;"&amp;K51&amp;"&lt;a href="&amp;""""&amp;L51&amp;""""&amp;" target="&amp;""""&amp;"_blank"&amp;""""&amp;"&gt;"&amp;L51&amp;"&lt;/a&gt;&lt;span style="&amp;""""&amp;"color:white"&amp;""""&amp;"&gt;[.]{#"&amp;F51&amp;"}}&lt;/span&gt;&lt;/div&gt;&lt;br&gt;"</f>
        <v>&lt;div class="hanging"&gt;Brownlee, M., Warbington, C., &amp; Boyce., M. (2022). Monitoring Sitatunga (&lt;i&gt;Tragelaphus Spekii&lt;/i&gt;) Populations Using Camera Traps. &lt;i&gt;African Journal of Ecology, 60&lt;/i&gt;(3), 377.&lt;a href="https://doi.org/10.1111/aje.12972" target="_blank"&gt;https://doi.org/10.1111/aje.12972&lt;/a&gt;&lt;span style="color:white"&gt;[.]{#brownlee_et_al_2022}}&lt;/span&gt;&lt;/div&gt;&lt;br&gt;</v>
      </c>
      <c r="O51" s="65" t="str">
        <f>"{{ rtxt_"&amp;F51&amp;" }}"</f>
        <v>{{ rtxt_brownlee_et_al_2022 }}</v>
      </c>
      <c r="P51" s="65" t="str">
        <f>"{{ rbib_"&amp;F51&amp;" }}"</f>
        <v>{{ rbib_brownlee_et_al_2022 }}</v>
      </c>
      <c r="Q51" s="65" t="str">
        <f>"    rtxt_"&amp;F51&amp;": "&amp;""""&amp;"&lt;a href=\"&amp;""""&amp;"/08_references.html#"&amp;F51&amp;"\"&amp;""""&amp;" target=\"&amp;""""&amp;"_blank\"&amp;""""&amp;"&gt;"&amp;G51&amp;"&lt;/a&gt;"&amp;""""</f>
        <v xml:space="preserve">    rtxt_brownlee_et_al_2022: "&lt;a href=\"/08_references.html#brownlee_et_al_2022\" target=\"_blank\"&gt;Brownlee et al., 2022&lt;/a&gt;"</v>
      </c>
      <c r="R51" s="65" t="str">
        <f>"    rbib_"&amp;F51&amp;": "&amp;""""&amp;K51&amp;"&lt;a href=\"&amp;""""&amp;L51&amp;""""&amp;" target=\"&amp;""""&amp;"_blank\"&amp;""""&amp;"&gt;"&amp;L51&amp;"&lt;/a&gt;"&amp;""""</f>
        <v xml:space="preserve">    rbib_brownlee_et_al_2022: "Brownlee, M., Warbington, C., &amp; Boyce., M. (2022). Monitoring Sitatunga (&lt;i&gt;Tragelaphus Spekii&lt;/i&gt;) Populations Using Camera Traps. &lt;i&gt;African Journal of Ecology, 60&lt;/i&gt;(3), 377.&lt;a href=\"https://doi.org/10.1111/aje.12972" target=\"_blank\"&gt;https://doi.org/10.1111/aje.12972&lt;/a&gt;"</v>
      </c>
      <c r="S51" s="65" t="str">
        <f>"    rbib_"&amp;F51&amp;": "&amp;""""&amp;"&lt;div class=\"&amp;""""&amp;"hanging\"&amp;""""&amp;"&gt;"&amp;J51&amp;"&lt;/div&gt;"&amp;""""</f>
        <v xml:space="preserve">    rbib_brownlee_et_al_2022: "&lt;div class=\"hanging\"&gt;Brownlee, M., Warbington, C., &amp; Boyce., M. (2022). Monitoring Sitatunga (*Tragelaphus Spekii*) Populations Using Camera Traps. *African Journal of Ecology, 60*(3), 377. &lt;https://doi.org/10.1111/aje.12972&gt;&lt;/div&gt;"</v>
      </c>
      <c r="T51" s="65"/>
    </row>
    <row r="52" spans="1:20" ht="15.75">
      <c r="A52" s="65"/>
      <c r="B52" s="155"/>
      <c r="C52" s="155"/>
      <c r="D52" s="155"/>
      <c r="E52" s="65" t="s">
        <v>1904</v>
      </c>
      <c r="F52" s="65" t="s">
        <v>3742</v>
      </c>
      <c r="G52" s="65" t="s">
        <v>3741</v>
      </c>
      <c r="H52" s="65" t="s">
        <v>3741</v>
      </c>
      <c r="I52" s="65" t="b">
        <v>1</v>
      </c>
      <c r="J52" s="65" t="s">
        <v>3740</v>
      </c>
      <c r="K52" s="65" t="s">
        <v>5370</v>
      </c>
      <c r="L52" s="65" t="s">
        <v>3739</v>
      </c>
      <c r="M52" s="65" t="s">
        <v>984</v>
      </c>
      <c r="N52" s="65" t="str">
        <f>"&lt;div class="&amp;""""&amp;"hanging"&amp;""""&amp;"&gt;"&amp;K52&amp;"&lt;a href="&amp;""""&amp;L52&amp;""""&amp;" target="&amp;""""&amp;"_blank"&amp;""""&amp;"&gt;"&amp;L52&amp;"&lt;/a&gt;&lt;span style="&amp;""""&amp;"color:white"&amp;""""&amp;"&gt;[.]{#"&amp;F52&amp;"}}&lt;/span&gt;&lt;/div&gt;&lt;br&gt;"</f>
        <v>&lt;div class="hanging"&gt;Buckland, S. T. (2006). Point-Transect Surveys for Songbirds: Robust Methodologies. &lt;i&gt;The American Ornithologists’ Union, 123&lt;/i&gt;(2), 345-357.&lt;a href="https://doi.org/10.1642/0004-8038(2006)123[345:PSFSRM]2.0.CO;2" target="_blank"&gt;https://doi.org/10.1642/0004-8038(2006)123[345:PSFSRM]2.0.CO;2&lt;/a&gt;&lt;span style="color:white"&gt;[.]{#buckland_2006}}&lt;/span&gt;&lt;/div&gt;&lt;br&gt;</v>
      </c>
      <c r="O52" s="65" t="str">
        <f>"{{ rtxt_"&amp;F52&amp;" }}"</f>
        <v>{{ rtxt_buckland_2006 }}</v>
      </c>
      <c r="P52" s="65" t="str">
        <f>"{{ rbib_"&amp;F52&amp;" }}"</f>
        <v>{{ rbib_buckland_2006 }}</v>
      </c>
      <c r="Q52" s="65" t="str">
        <f>"    rtxt_"&amp;F52&amp;": "&amp;""""&amp;"&lt;a href=\"&amp;""""&amp;"/08_references.html#"&amp;F52&amp;"\"&amp;""""&amp;" target=\"&amp;""""&amp;"_blank\"&amp;""""&amp;"&gt;"&amp;G52&amp;"&lt;/a&gt;"&amp;""""</f>
        <v xml:space="preserve">    rtxt_buckland_2006: "&lt;a href=\"/08_references.html#buckland_2006\" target=\"_blank\"&gt;Buckland, 2006&lt;/a&gt;"</v>
      </c>
      <c r="R52" s="65" t="str">
        <f>"    rbib_"&amp;F52&amp;": "&amp;""""&amp;K52&amp;"&lt;a href=\"&amp;""""&amp;L52&amp;""""&amp;" target=\"&amp;""""&amp;"_blank\"&amp;""""&amp;"&gt;"&amp;L52&amp;"&lt;/a&gt;"&amp;""""</f>
        <v xml:space="preserve">    rbib_buckland_2006: "Buckland, S. T. (2006). Point-Transect Surveys for Songbirds: Robust Methodologies. &lt;i&gt;The American Ornithologists’ Union, 123&lt;/i&gt;(2), 345-357.&lt;a href=\"https://doi.org/10.1642/0004-8038(2006)123[345:PSFSRM]2.0.CO;2" target=\"_blank\"&gt;https://doi.org/10.1642/0004-8038(2006)123[345:PSFSRM]2.0.CO;2&lt;/a&gt;"</v>
      </c>
      <c r="S52" s="65" t="str">
        <f>"    rbib_"&amp;F52&amp;": "&amp;""""&amp;"&lt;div class=\"&amp;""""&amp;"hanging\"&amp;""""&amp;"&gt;"&amp;J52&amp;"&lt;/div&gt;"&amp;""""</f>
        <v xml:space="preserve">    rbib_buckland_2006: "&lt;div class=\"hanging\"&gt;Buckland, S. T. (2006). Point-Transect Surveys for Songbirds: Robust Methodologies. *The American Ornithologists’ Union, 123*(2), 345-357. &lt;https://doi.org/10.1642/0004-8038(2006)123[345:PSFSRM]2.0.CO;2&gt;&lt;/div&gt;"</v>
      </c>
      <c r="T52" s="65"/>
    </row>
    <row r="53" spans="1:20" ht="15.75">
      <c r="A53" s="65"/>
      <c r="B53" s="155"/>
      <c r="C53" s="155"/>
      <c r="D53" s="155"/>
      <c r="E53" s="65" t="s">
        <v>1904</v>
      </c>
      <c r="F53" s="65" t="s">
        <v>3738</v>
      </c>
      <c r="G53" s="65" t="s">
        <v>3737</v>
      </c>
      <c r="H53" s="65" t="s">
        <v>3737</v>
      </c>
      <c r="I53" s="65" t="b">
        <v>1</v>
      </c>
      <c r="J53" s="65" t="s">
        <v>3736</v>
      </c>
      <c r="K53" s="65" t="s">
        <v>5196</v>
      </c>
      <c r="L53" s="65" t="s">
        <v>3735</v>
      </c>
      <c r="M53" s="65" t="s">
        <v>984</v>
      </c>
      <c r="N53" s="65" t="str">
        <f>"&lt;div class="&amp;""""&amp;"hanging"&amp;""""&amp;"&gt;"&amp;K53&amp;"&lt;a href="&amp;""""&amp;L53&amp;""""&amp;" target="&amp;""""&amp;"_blank"&amp;""""&amp;"&gt;"&amp;L53&amp;"&lt;/a&gt;&lt;span style="&amp;""""&amp;"color:white"&amp;""""&amp;"&gt;[.]{#"&amp;F53&amp;"}}&lt;/span&gt;&lt;/div&gt;&lt;br&gt;"</f>
        <v>&lt;div class="hanging"&gt;Buckland, S. T., D.R. Anderson, K.P. Burnham, &amp; J.L. Laake. (1998). &lt;i&gt;Distance Sampling: Estimating Abundance of Biological Populations&lt;/i&gt;. Chapman &amp; Hall, London.&lt;a href="https://doi.org/10.1007/978-94-011-1574-2" target="_blank"&gt;https://doi.org/10.1007/978-94-011-1574-2&lt;/a&gt;&lt;span style="color:white"&gt;[.]{#buckland_et_al_1993}}&lt;/span&gt;&lt;/div&gt;&lt;br&gt;</v>
      </c>
      <c r="O53" s="65" t="str">
        <f>"{{ rtxt_"&amp;F53&amp;" }}"</f>
        <v>{{ rtxt_buckland_et_al_1993 }}</v>
      </c>
      <c r="P53" s="65" t="str">
        <f>"{{ rbib_"&amp;F53&amp;" }}"</f>
        <v>{{ rbib_buckland_et_al_1993 }}</v>
      </c>
      <c r="Q53" s="65" t="str">
        <f>"    rtxt_"&amp;F53&amp;": "&amp;""""&amp;"&lt;a href=\"&amp;""""&amp;"/08_references.html#"&amp;F53&amp;"\"&amp;""""&amp;" target=\"&amp;""""&amp;"_blank\"&amp;""""&amp;"&gt;"&amp;G53&amp;"&lt;/a&gt;"&amp;""""</f>
        <v xml:space="preserve">    rtxt_buckland_et_al_1993: "&lt;a href=\"/08_references.html#buckland_et_al_1993\" target=\"_blank\"&gt;Buckland et al., 1998&lt;/a&gt;"</v>
      </c>
      <c r="R53" s="65" t="str">
        <f>"    rbib_"&amp;F53&amp;": "&amp;""""&amp;K53&amp;"&lt;a href=\"&amp;""""&amp;L53&amp;""""&amp;" target=\"&amp;""""&amp;"_blank\"&amp;""""&amp;"&gt;"&amp;L53&amp;"&lt;/a&gt;"&amp;""""</f>
        <v xml:space="preserve">    rbib_buckland_et_al_1993: "Buckland, S. T., D.R. Anderson, K.P. Burnham, &amp; J.L. Laake. (1998). &lt;i&gt;Distance Sampling: Estimating Abundance of Biological Populations&lt;/i&gt;. Chapman &amp; Hall, London.&lt;a href=\"https://doi.org/10.1007/978-94-011-1574-2" target=\"_blank\"&gt;https://doi.org/10.1007/978-94-011-1574-2&lt;/a&gt;"</v>
      </c>
      <c r="S53" s="65" t="str">
        <f>"    rbib_"&amp;F53&amp;": "&amp;""""&amp;"&lt;div class=\"&amp;""""&amp;"hanging\"&amp;""""&amp;"&gt;"&amp;J53&amp;"&lt;/div&gt;"&amp;""""</f>
        <v xml:space="preserve">    rbib_buckland_et_al_1993: "&lt;div class=\"hanging\"&gt;Buckland, S. T., D.R. Anderson, K.P. Burnham, &amp; J.L. Laake. (1998). *Distance Sampling: Estimating Abundance of Biological Populations*. Chapman &amp; Hall, London. &lt;https://doi.org/10.1007/978-94-011-1574-2&gt;&lt;/div&gt;"</v>
      </c>
      <c r="T53" s="65"/>
    </row>
    <row r="54" spans="1:20" ht="15.75">
      <c r="A54" s="65"/>
      <c r="B54" s="155"/>
      <c r="C54" s="155"/>
      <c r="D54" s="155"/>
      <c r="E54" s="65" t="s">
        <v>1904</v>
      </c>
      <c r="F54" s="65" t="s">
        <v>3734</v>
      </c>
      <c r="G54" s="65" t="s">
        <v>3733</v>
      </c>
      <c r="H54" s="65" t="s">
        <v>3733</v>
      </c>
      <c r="I54" s="65" t="b">
        <v>1</v>
      </c>
      <c r="J54" s="65" t="s">
        <v>3732</v>
      </c>
      <c r="K54" s="65" t="s">
        <v>5188</v>
      </c>
      <c r="L54" s="65" t="s">
        <v>3731</v>
      </c>
      <c r="M54" s="65" t="s">
        <v>984</v>
      </c>
      <c r="N54" s="65" t="str">
        <f>"&lt;div class="&amp;""""&amp;"hanging"&amp;""""&amp;"&gt;"&amp;K54&amp;"&lt;a href="&amp;""""&amp;L54&amp;""""&amp;" target="&amp;""""&amp;"_blank"&amp;""""&amp;"&gt;"&amp;L54&amp;"&lt;/a&gt;&lt;span style="&amp;""""&amp;"color:white"&amp;""""&amp;"&gt;[.]{#"&amp;F54&amp;"}}&lt;/span&gt;&lt;/div&gt;&lt;br&gt;"</f>
        <v>&lt;div class="hanging"&gt;Buckland, S. T., E. A. Rexstad, T. A. Marques, C. S. Oedekoven. (2015). &lt;i&gt;Mathematics and Statistics. Distance Sampling: Methods and Applications.&lt;/i&gt; Springer International Publishing.&lt;a href="https://doi.org/10.1007/978-3-319-19219-2" target="_blank"&gt;https://doi.org/10.1007/978-3-319-19219-2&lt;/a&gt;&lt;span style="color:white"&gt;[.]{#buckland_et_al_2015}}&lt;/span&gt;&lt;/div&gt;&lt;br&gt;</v>
      </c>
      <c r="O54" s="65" t="str">
        <f>"{{ rtxt_"&amp;F54&amp;" }}"</f>
        <v>{{ rtxt_buckland_et_al_2015 }}</v>
      </c>
      <c r="P54" s="65" t="str">
        <f>"{{ rbib_"&amp;F54&amp;" }}"</f>
        <v>{{ rbib_buckland_et_al_2015 }}</v>
      </c>
      <c r="Q54" s="65" t="str">
        <f>"    rtxt_"&amp;F54&amp;": "&amp;""""&amp;"&lt;a href=\"&amp;""""&amp;"/08_references.html#"&amp;F54&amp;"\"&amp;""""&amp;" target=\"&amp;""""&amp;"_blank\"&amp;""""&amp;"&gt;"&amp;G54&amp;"&lt;/a&gt;"&amp;""""</f>
        <v xml:space="preserve">    rtxt_buckland_et_al_2015: "&lt;a href=\"/08_references.html#buckland_et_al_2015\" target=\"_blank\"&gt;Buckland et al., 2015&lt;/a&gt;"</v>
      </c>
      <c r="R54" s="65" t="str">
        <f>"    rbib_"&amp;F54&amp;": "&amp;""""&amp;K54&amp;"&lt;a href=\"&amp;""""&amp;L54&amp;""""&amp;" target=\"&amp;""""&amp;"_blank\"&amp;""""&amp;"&gt;"&amp;L54&amp;"&lt;/a&gt;"&amp;""""</f>
        <v xml:space="preserve">    rbib_buckland_et_al_2015: "Buckland, S. T., E. A. Rexstad, T. A. Marques, C. S. Oedekoven. (2015). &lt;i&gt;Mathematics and Statistics. Distance Sampling: Methods and Applications.&lt;/i&gt; Springer International Publishing.&lt;a href=\"https://doi.org/10.1007/978-3-319-19219-2" target=\"_blank\"&gt;https://doi.org/10.1007/978-3-319-19219-2&lt;/a&gt;"</v>
      </c>
      <c r="S54" s="65" t="str">
        <f>"    rbib_"&amp;F54&amp;": "&amp;""""&amp;"&lt;div class=\"&amp;""""&amp;"hanging\"&amp;""""&amp;"&gt;"&amp;J54&amp;"&lt;/div&gt;"&amp;""""</f>
        <v xml:space="preserve">    rbib_buckland_et_al_2015: "&lt;div class=\"hanging\"&gt;Buckland, S. T., E. A. Rexstad, T. A. Marques, C. S. Oedekoven. (2015). *Mathematics and Statistics. Distance Sampling: Methods and Applications.* Springer International Publishing. &lt;https://doi.org/10.1007/978-3-319-19219-2&gt;&lt;/div&gt;"</v>
      </c>
      <c r="T54" s="65"/>
    </row>
    <row r="55" spans="1:20" ht="15.75">
      <c r="A55" s="65"/>
      <c r="B55" s="155" t="b">
        <v>1</v>
      </c>
      <c r="C55" s="155" t="b">
        <v>0</v>
      </c>
      <c r="D55" s="155" t="b">
        <v>0</v>
      </c>
      <c r="E55" s="65" t="s">
        <v>3214</v>
      </c>
      <c r="F55" s="65" t="s">
        <v>3730</v>
      </c>
      <c r="G55" s="65" t="s">
        <v>3729</v>
      </c>
      <c r="H55" s="65" t="s">
        <v>3729</v>
      </c>
      <c r="I55" s="65" t="b">
        <v>1</v>
      </c>
      <c r="J55" s="65" t="s">
        <v>3728</v>
      </c>
      <c r="K55" s="65" t="s">
        <v>3963</v>
      </c>
      <c r="L55" s="65" t="s">
        <v>984</v>
      </c>
      <c r="M55" s="65" t="s">
        <v>984</v>
      </c>
      <c r="N55" s="65" t="str">
        <f>"&lt;div class="&amp;""""&amp;"hanging"&amp;""""&amp;"&gt;"&amp;K55&amp;"&lt;a href="&amp;""""&amp;L55&amp;""""&amp;" target="&amp;""""&amp;"_blank"&amp;""""&amp;"&gt;"&amp;L55&amp;"&lt;/a&gt;&lt;span style="&amp;""""&amp;"color:white"&amp;""""&amp;"&gt;[.]{#"&amp;F55&amp;"}}&lt;/span&gt;&lt;/div&gt;&lt;br&gt;"</f>
        <v>&lt;div class="hanging"&gt;Burgar, J. M. (2021). &lt;i&gt;Counting Elk Amongst the Trees: Improving the Accuracy of Roosevelt Elk Inventory via Modelling, Preliminary Report 2021&lt;/i&gt;. Terrestrial Wildlife Resources, South Coast Resource Management, FLNRORD. (available upon request).&lt;a href="-" target="_blank"&gt;-&lt;/a&gt;&lt;span style="color:white"&gt;[.]{#burgar_2021}}&lt;/span&gt;&lt;/div&gt;&lt;br&gt;</v>
      </c>
      <c r="O55" s="65" t="str">
        <f>"{{ rtxt_"&amp;F55&amp;" }}"</f>
        <v>{{ rtxt_burgar_2021 }}</v>
      </c>
      <c r="P55" s="65" t="str">
        <f>"{{ rbib_"&amp;F55&amp;" }}"</f>
        <v>{{ rbib_burgar_2021 }}</v>
      </c>
      <c r="Q55" s="65" t="str">
        <f>"    rtxt_"&amp;F55&amp;": "&amp;""""&amp;"&lt;a href=\"&amp;""""&amp;"/08_references.html#"&amp;F55&amp;"\"&amp;""""&amp;" target=\"&amp;""""&amp;"_blank\"&amp;""""&amp;"&gt;"&amp;G55&amp;"&lt;/a&gt;"&amp;""""</f>
        <v xml:space="preserve">    rtxt_burgar_2021: "&lt;a href=\"/08_references.html#burgar_2021\" target=\"_blank\"&gt;Burgar, 2021&lt;/a&gt;"</v>
      </c>
      <c r="R55" s="65" t="str">
        <f>"    rbib_"&amp;F55&amp;": "&amp;""""&amp;K55&amp;"&lt;a href=\"&amp;""""&amp;L55&amp;""""&amp;" target=\"&amp;""""&amp;"_blank\"&amp;""""&amp;"&gt;"&amp;L55&amp;"&lt;/a&gt;"&amp;""""</f>
        <v xml:space="preserve">    rbib_burgar_2021: "Burgar, J. M. (2021). &lt;i&gt;Counting Elk Amongst the Trees: Improving the Accuracy of Roosevelt Elk Inventory via Modelling, Preliminary Report 2021&lt;/i&gt;. Terrestrial Wildlife Resources, South Coast Resource Management, FLNRORD. (available upon request).&lt;a href=\"-" target=\"_blank\"&gt;-&lt;/a&gt;"</v>
      </c>
      <c r="S55" s="65" t="str">
        <f>"    rbib_"&amp;F55&amp;": "&amp;""""&amp;"&lt;div class=\"&amp;""""&amp;"hanging\"&amp;""""&amp;"&gt;"&amp;J55&amp;"&lt;/div&gt;"&amp;""""</f>
        <v xml:space="preserve">    rbib_burgar_2021: "&lt;div class=\"hanging\"&gt;Burgar, J. M. (2021). *Counting Elk Amongst the Trees: Improving the Accuracy of Roosevelt Elk Inventory via Modelling, Preliminary Report 2021*. Terrestrial Wildlife Resources, South Coast Resource Management, FLNRORD. (available upon request).&lt;/div&gt;"</v>
      </c>
      <c r="T55" s="65"/>
    </row>
    <row r="56" spans="1:20" ht="15.75">
      <c r="A56" s="65"/>
      <c r="B56" s="155"/>
      <c r="C56" s="155"/>
      <c r="D56" s="155"/>
      <c r="E56" s="65" t="s">
        <v>1904</v>
      </c>
      <c r="F56" s="65" t="s">
        <v>3723</v>
      </c>
      <c r="G56" s="65" t="s">
        <v>3722</v>
      </c>
      <c r="H56" s="65" t="s">
        <v>3721</v>
      </c>
      <c r="I56" s="65" t="b">
        <v>1</v>
      </c>
      <c r="J56" s="65" t="s">
        <v>3720</v>
      </c>
      <c r="K56" s="65" t="s">
        <v>5307</v>
      </c>
      <c r="L56" s="65" t="s">
        <v>3719</v>
      </c>
      <c r="M56" s="65" t="s">
        <v>984</v>
      </c>
      <c r="N56" s="65" t="str">
        <f>"&lt;div class="&amp;""""&amp;"hanging"&amp;""""&amp;"&gt;"&amp;K56&amp;"&lt;a href="&amp;""""&amp;L56&amp;""""&amp;" target="&amp;""""&amp;"_blank"&amp;""""&amp;"&gt;"&amp;L56&amp;"&lt;/a&gt;&lt;span style="&amp;""""&amp;"color:white"&amp;""""&amp;"&gt;[.]{#"&amp;F56&amp;"}}&lt;/span&gt;&lt;/div&gt;&lt;br&gt;"</f>
        <v>&lt;div class="hanging"&gt;Burgar, J. M., Burton, A. C., &amp; Fisher, J. T. (2019). The importance of considering multiple interacting species for conservation of species at risk. &lt;i&gt;Conservation Biology, 33&lt;/i&gt;(3), 709-715.&lt;a href="https://doi.org/10.1111/cobi.13233" target="_blank"&gt;https://doi.org/10.1111/cobi.13233&lt;/a&gt;&lt;span style="color:white"&gt;[.]{#burgar_et_al_2019}}&lt;/span&gt;&lt;/div&gt;&lt;br&gt;</v>
      </c>
      <c r="O56" s="65" t="str">
        <f>"{{ rtxt_"&amp;F56&amp;" }}"</f>
        <v>{{ rtxt_burgar_et_al_2019 }}</v>
      </c>
      <c r="P56" s="65" t="str">
        <f>"{{ rbib_"&amp;F56&amp;" }}"</f>
        <v>{{ rbib_burgar_et_al_2019 }}</v>
      </c>
      <c r="Q56" s="65" t="str">
        <f>"    rtxt_"&amp;F56&amp;": "&amp;""""&amp;"&lt;a href=\"&amp;""""&amp;"/08_references.html#"&amp;F56&amp;"\"&amp;""""&amp;" target=\"&amp;""""&amp;"_blank\"&amp;""""&amp;"&gt;"&amp;G56&amp;"&lt;/a&gt;"&amp;""""</f>
        <v xml:space="preserve">    rtxt_burgar_et_al_2019: "&lt;a href=\"/08_references.html#burgar_et_al_2019\" target=\"_blank\"&gt;Burgar et al., 2019&lt;/a&gt;"</v>
      </c>
      <c r="R56" s="65" t="str">
        <f>"    rbib_"&amp;F56&amp;": "&amp;""""&amp;K56&amp;"&lt;a href=\"&amp;""""&amp;L56&amp;""""&amp;" target=\"&amp;""""&amp;"_blank\"&amp;""""&amp;"&gt;"&amp;L56&amp;"&lt;/a&gt;"&amp;""""</f>
        <v xml:space="preserve">    rbib_burgar_et_al_2019: "Burgar, J. M., Burton, A. C., &amp; Fisher, J. T. (2019). The importance of considering multiple interacting species for conservation of species at risk. &lt;i&gt;Conservation Biology, 33&lt;/i&gt;(3), 709-715.&lt;a href=\"https://doi.org/10.1111/cobi.13233" target=\"_blank\"&gt;https://doi.org/10.1111/cobi.13233&lt;/a&gt;"</v>
      </c>
      <c r="S56" s="65" t="str">
        <f>"    rbib_"&amp;F56&amp;": "&amp;""""&amp;"&lt;div class=\"&amp;""""&amp;"hanging\"&amp;""""&amp;"&gt;"&amp;J56&amp;"&lt;/div&gt;"&amp;""""</f>
        <v xml:space="preserve">    rbib_burgar_et_al_2019: "&lt;div class=\"hanging\"&gt;Burgar, J. M., Burton, A. C., &amp; Fisher, J. T. (2019). The importance of considering multiple interacting species for conservation of species at risk. *Conservation Biology, 33*(3), 709-715. &lt;https://doi.org/10.1111/cobi.13233&gt;&lt;/div&gt;"</v>
      </c>
      <c r="T56" s="65"/>
    </row>
    <row r="57" spans="1:20" ht="15.75">
      <c r="A57" s="65"/>
      <c r="B57" s="155" t="b">
        <v>1</v>
      </c>
      <c r="C57" s="155" t="b">
        <v>0</v>
      </c>
      <c r="D57" s="155" t="b">
        <v>0</v>
      </c>
      <c r="E57" s="65" t="s">
        <v>1904</v>
      </c>
      <c r="F57" s="65" t="s">
        <v>3727</v>
      </c>
      <c r="G57" s="65" t="s">
        <v>3726</v>
      </c>
      <c r="H57" s="65" t="s">
        <v>3726</v>
      </c>
      <c r="I57" s="65" t="b">
        <v>1</v>
      </c>
      <c r="J57" s="65" t="s">
        <v>3725</v>
      </c>
      <c r="K57" s="65" t="s">
        <v>5234</v>
      </c>
      <c r="L57" s="65" t="s">
        <v>3724</v>
      </c>
      <c r="M57" s="65" t="s">
        <v>984</v>
      </c>
      <c r="N57" s="65" t="str">
        <f>"&lt;div class="&amp;""""&amp;"hanging"&amp;""""&amp;"&gt;"&amp;K57&amp;"&lt;a href="&amp;""""&amp;L57&amp;""""&amp;" target="&amp;""""&amp;"_blank"&amp;""""&amp;"&gt;"&amp;L57&amp;"&lt;/a&gt;&lt;span style="&amp;""""&amp;"color:white"&amp;""""&amp;"&gt;[.]{#"&amp;F57&amp;"}}&lt;/span&gt;&lt;/div&gt;&lt;br&gt;"</f>
        <v>&lt;div class="hanging"&gt;Burgar, J. M., Stewart, F. E. C., Volpe, J. P., Fisher, J. T., &amp; Burton, A. C. (2018). Estimating Density for species conservation: comparing camera trap spatial count models to genetic spatial capture-recapture models. &lt;i&gt;Global Ecology and Conservation, 15&lt;/i&gt;, Article e00411.&lt;a href="https://doi.org/10.1016/j.gecco.2018.e00411" target="_blank"&gt;https://doi.org/10.1016/j.gecco.2018.e00411&lt;/a&gt;&lt;span style="color:white"&gt;[.]{#burgar_et_al_2018}}&lt;/span&gt;&lt;/div&gt;&lt;br&gt;</v>
      </c>
      <c r="O57" s="65" t="str">
        <f>"{{ rtxt_"&amp;F57&amp;" }}"</f>
        <v>{{ rtxt_burgar_et_al_2018 }}</v>
      </c>
      <c r="P57" s="65" t="str">
        <f>"{{ rbib_"&amp;F57&amp;" }}"</f>
        <v>{{ rbib_burgar_et_al_2018 }}</v>
      </c>
      <c r="Q57" s="65" t="str">
        <f>"    rtxt_"&amp;F57&amp;": "&amp;""""&amp;"&lt;a href=\"&amp;""""&amp;"/08_references.html#"&amp;F57&amp;"\"&amp;""""&amp;" target=\"&amp;""""&amp;"_blank\"&amp;""""&amp;"&gt;"&amp;G57&amp;"&lt;/a&gt;"&amp;""""</f>
        <v xml:space="preserve">    rtxt_burgar_et_al_2018: "&lt;a href=\"/08_references.html#burgar_et_al_2018\" target=\"_blank\"&gt;Burgar et al., 2018&lt;/a&gt;"</v>
      </c>
      <c r="R57" s="65" t="str">
        <f>"    rbib_"&amp;F57&amp;": "&amp;""""&amp;K57&amp;"&lt;a href=\"&amp;""""&amp;L57&amp;""""&amp;" target=\"&amp;""""&amp;"_blank\"&amp;""""&amp;"&gt;"&amp;L57&amp;"&lt;/a&gt;"&amp;""""</f>
        <v xml:space="preserve">    rbib_burgar_et_al_2018: "Burgar, J. M., Stewart, F. E. C., Volpe, J. P., Fisher, J. T., &amp; Burton, A. C. (2018). Estimating Density for species conservation: comparing camera trap spatial count models to genetic spatial capture-recapture models. &lt;i&gt;Global Ecology and Conservation, 15&lt;/i&gt;, Article e00411.&lt;a href=\"https://doi.org/10.1016/j.gecco.2018.e00411" target=\"_blank\"&gt;https://doi.org/10.1016/j.gecco.2018.e00411&lt;/a&gt;"</v>
      </c>
      <c r="S57" s="65" t="str">
        <f>"    rbib_"&amp;F57&amp;": "&amp;""""&amp;"&lt;div class=\"&amp;""""&amp;"hanging\"&amp;""""&amp;"&gt;"&amp;J57&amp;"&lt;/div&gt;"&amp;""""</f>
        <v xml:space="preserve">    rbib_burgar_et_al_2018: "&lt;div class=\"hanging\"&gt;Burgar, J. M., Stewart, F. E. C., Volpe, J. P., Fisher, J. T., &amp; Burton, A. C. (2018). Estimating Density for species conservation: comparing camera trap spatial count models to genetic spatial capture-recapture models. *Global Ecology and Conservation, 15*, Article e00411. &lt;https://doi.org/10.1016/j.gecco.2018.e00411&gt;&lt;/div&gt;"</v>
      </c>
      <c r="T57" s="65"/>
    </row>
    <row r="58" spans="1:20" ht="15.75">
      <c r="A58" s="65"/>
      <c r="B58" s="155" t="b">
        <v>0</v>
      </c>
      <c r="C58" s="155" t="b">
        <v>1</v>
      </c>
      <c r="D58" s="155" t="b">
        <v>0</v>
      </c>
      <c r="E58" s="65" t="s">
        <v>1904</v>
      </c>
      <c r="F58" s="65" t="s">
        <v>3718</v>
      </c>
      <c r="G58" s="65" t="s">
        <v>3717</v>
      </c>
      <c r="H58" s="65" t="s">
        <v>3717</v>
      </c>
      <c r="I58" s="65" t="b">
        <v>1</v>
      </c>
      <c r="J58" s="65" t="s">
        <v>3716</v>
      </c>
      <c r="K58" s="65" t="s">
        <v>6062</v>
      </c>
      <c r="L58" s="65" t="s">
        <v>3715</v>
      </c>
      <c r="M58" s="65" t="s">
        <v>984</v>
      </c>
      <c r="N58" s="65" t="str">
        <f>"&lt;div class="&amp;""""&amp;"hanging"&amp;""""&amp;"&gt;"&amp;K58&amp;"&lt;a href="&amp;""""&amp;L58&amp;""""&amp;" target="&amp;""""&amp;"_blank"&amp;""""&amp;"&gt;"&amp;L58&amp;"&lt;/a&gt;&lt;span style="&amp;""""&amp;"color:white"&amp;""""&amp;"&gt;[.]{#"&amp;F58&amp;"}}&lt;/span&gt;&lt;/div&gt;&lt;br&gt;"</f>
        <v>&lt;div class="hanging"&gt;Burkholder, E. N., Jakes, A. F., Jones, P. F., Hebblewhite, M., &amp; Bishop, C. J. (2018). To Jump or Not to Jump: Mule Deer and White-Tailed Deer Fence Crossing Decisions. &lt;i&gt;Wildlife Society Bulletin, 42&lt;/i&gt;(3), 420-429.&lt;a href="https://doi.org/10.1002/wsb.898" target="_blank"&gt;https://doi.org/10.1002/wsb.898&lt;/a&gt;&lt;span style="color:white"&gt;[.]{#burkholder_et_al_2018}}&lt;/span&gt;&lt;/div&gt;&lt;br&gt;</v>
      </c>
      <c r="O58" s="65" t="str">
        <f>"{{ rtxt_"&amp;F58&amp;" }}"</f>
        <v>{{ rtxt_burkholder_et_al_2018 }}</v>
      </c>
      <c r="P58" s="65" t="str">
        <f>"{{ rbib_"&amp;F58&amp;" }}"</f>
        <v>{{ rbib_burkholder_et_al_2018 }}</v>
      </c>
      <c r="Q58" s="65" t="str">
        <f>"    rtxt_"&amp;F58&amp;": "&amp;""""&amp;"&lt;a href=\"&amp;""""&amp;"/08_references.html#"&amp;F58&amp;"\"&amp;""""&amp;" target=\"&amp;""""&amp;"_blank\"&amp;""""&amp;"&gt;"&amp;G58&amp;"&lt;/a&gt;"&amp;""""</f>
        <v xml:space="preserve">    rtxt_burkholder_et_al_2018: "&lt;a href=\"/08_references.html#burkholder_et_al_2018\" target=\"_blank\"&gt;Burkholder et al., 2018&lt;/a&gt;"</v>
      </c>
      <c r="R58" s="65" t="str">
        <f>"    rbib_"&amp;F58&amp;": "&amp;""""&amp;K58&amp;"&lt;a href=\"&amp;""""&amp;L58&amp;""""&amp;" target=\"&amp;""""&amp;"_blank\"&amp;""""&amp;"&gt;"&amp;L58&amp;"&lt;/a&gt;"&amp;""""</f>
        <v xml:space="preserve">    rbib_burkholder_et_al_2018: "Burkholder, E. N., Jakes, A. F., Jones, P. F., Hebblewhite, M., &amp; Bishop, C. J. (2018). To Jump or Not to Jump: Mule Deer and White-Tailed Deer Fence Crossing Decisions. &lt;i&gt;Wildlife Society Bulletin, 42&lt;/i&gt;(3), 420-429.&lt;a href=\"https://doi.org/10.1002/wsb.898" target=\"_blank\"&gt;https://doi.org/10.1002/wsb.898&lt;/a&gt;"</v>
      </c>
      <c r="S58" s="65" t="str">
        <f>"    rbib_"&amp;F58&amp;": "&amp;""""&amp;"&lt;div class=\"&amp;""""&amp;"hanging\"&amp;""""&amp;"&gt;"&amp;J58&amp;"&lt;/div&gt;"&amp;""""</f>
        <v xml:space="preserve">    rbib_burkholder_et_al_2018: "&lt;div class=\"hanging\"&gt;Burkholder, E. N., Jakes, A. F., Jones, P. F., Hebblewhite, M., &amp; Bishop, C. J. (2018). To Jump or Not to Jump: Mule Deer and White-Tailed Deer Fence Crossing Decisions. *Wildlife Society Bulletin, 42*(3), 420-429. &lt;https://doi.org/10.1002/wsb.898&gt;&lt;/div&gt;"</v>
      </c>
      <c r="T58" s="65"/>
    </row>
    <row r="59" spans="1:20" ht="15.75">
      <c r="A59" s="65"/>
      <c r="B59" s="155" t="b">
        <v>1</v>
      </c>
      <c r="C59" s="155" t="b">
        <v>0</v>
      </c>
      <c r="D59" s="155" t="b">
        <v>0</v>
      </c>
      <c r="E59" s="65" t="s">
        <v>1904</v>
      </c>
      <c r="F59" s="65" t="s">
        <v>3714</v>
      </c>
      <c r="G59" s="65" t="s">
        <v>3713</v>
      </c>
      <c r="H59" s="65" t="s">
        <v>3713</v>
      </c>
      <c r="I59" s="65" t="b">
        <v>1</v>
      </c>
      <c r="J59" s="65" t="s">
        <v>3712</v>
      </c>
      <c r="K59" s="65" t="s">
        <v>6071</v>
      </c>
      <c r="L59" s="65" t="s">
        <v>3711</v>
      </c>
      <c r="M59" s="65" t="s">
        <v>984</v>
      </c>
      <c r="N59" s="65" t="str">
        <f>"&lt;div class="&amp;""""&amp;"hanging"&amp;""""&amp;"&gt;"&amp;K59&amp;"&lt;a href="&amp;""""&amp;L59&amp;""""&amp;" target="&amp;""""&amp;"_blank"&amp;""""&amp;"&gt;"&amp;L59&amp;"&lt;/a&gt;&lt;span style="&amp;""""&amp;"color:white"&amp;""""&amp;"&gt;[.]{#"&amp;F59&amp;"}}&lt;/span&gt;&lt;/div&gt;&lt;br&gt;"</f>
        <v>&lt;div class="hanging"&gt;Burton, A. C., Neilson, E., Moreira, D., Ladle, A., Steenweg, R., Fisher, J. T., Bayne, E., Boutin, S., &amp; Stephens, P. (2015). Camera trap Trapping: A Review and Recommendations for Linking Surveys to Ecological Processes. &lt;i&gt;Journal of Applied Ecology&lt;/i&gt;, 52&lt;/i&gt;(3), 675-685.&lt;a href="https://doi.org/10.1111/1365-2664.12432" target="_blank"&gt;https://doi.org/10.1111/1365-2664.12432&lt;/a&gt;&lt;span style="color:white"&gt;[.]{#burton_et_al_2015}}&lt;/span&gt;&lt;/div&gt;&lt;br&gt;</v>
      </c>
      <c r="O59" s="65" t="str">
        <f>"{{ rtxt_"&amp;F59&amp;" }}"</f>
        <v>{{ rtxt_burton_et_al_2015 }}</v>
      </c>
      <c r="P59" s="65" t="str">
        <f>"{{ rbib_"&amp;F59&amp;" }}"</f>
        <v>{{ rbib_burton_et_al_2015 }}</v>
      </c>
      <c r="Q59" s="65" t="str">
        <f>"    rtxt_"&amp;F59&amp;": "&amp;""""&amp;"&lt;a href=\"&amp;""""&amp;"/08_references.html#"&amp;F59&amp;"\"&amp;""""&amp;" target=\"&amp;""""&amp;"_blank\"&amp;""""&amp;"&gt;"&amp;G59&amp;"&lt;/a&gt;"&amp;""""</f>
        <v xml:space="preserve">    rtxt_burton_et_al_2015: "&lt;a href=\"/08_references.html#burton_et_al_2015\" target=\"_blank\"&gt;Burton et al., 2015&lt;/a&gt;"</v>
      </c>
      <c r="R59" s="65" t="str">
        <f>"    rbib_"&amp;F59&amp;": "&amp;""""&amp;K59&amp;"&lt;a href=\"&amp;""""&amp;L59&amp;""""&amp;" target=\"&amp;""""&amp;"_blank\"&amp;""""&amp;"&gt;"&amp;L59&amp;"&lt;/a&gt;"&amp;""""</f>
        <v xml:space="preserve">    rbib_burton_et_al_2015: "Burton, A. C., Neilson, E., Moreira, D., Ladle, A., Steenweg, R., Fisher, J. T., Bayne, E., Boutin, S., &amp; Stephens, P. (2015). Camera trap Trapping: A Review and Recommendations for Linking Surveys to Ecological Processes. &lt;i&gt;Journal of Applied Ecology&lt;/i&gt;, 52&lt;/i&gt;(3), 675-685.&lt;a href=\"https://doi.org/10.1111/1365-2664.12432" target=\"_blank\"&gt;https://doi.org/10.1111/1365-2664.12432&lt;/a&gt;"</v>
      </c>
      <c r="S59" s="65" t="str">
        <f>"    rbib_"&amp;F59&amp;": "&amp;""""&amp;"&lt;div class=\"&amp;""""&amp;"hanging\"&amp;""""&amp;"&gt;"&amp;J59&amp;"&lt;/div&gt;"&amp;""""</f>
        <v xml:space="preserve">    rbib_burton_et_al_2015: "&lt;div class=\"hanging\"&gt;Burton, A. C., Neilson, E., Moreira, D., Ladle, A., Steenweg, R., Fisher, J. T., Bayne, E., Boutin, S., &amp; Stephens, P. (2015). Camera trap Trapping: A Review and Recommendations for Linking Surveys to Ecological Processes. *Journal of Applied Ecology, 52*(3), 675-685. &lt;https://doi.org/10.1111/1365-2664.12432&gt;&lt;/div&gt;"</v>
      </c>
      <c r="T59" s="65"/>
    </row>
    <row r="60" spans="1:20" ht="15.75">
      <c r="A60" s="65"/>
      <c r="B60" s="155"/>
      <c r="C60" s="155"/>
      <c r="D60" s="155"/>
      <c r="E60" s="65" t="s">
        <v>1950</v>
      </c>
      <c r="F60" s="65" t="s">
        <v>3710</v>
      </c>
      <c r="G60" s="65" t="s">
        <v>3709</v>
      </c>
      <c r="H60" s="65" t="s">
        <v>3709</v>
      </c>
      <c r="I60" s="65" t="b">
        <v>1</v>
      </c>
      <c r="J60" s="65" t="s">
        <v>3708</v>
      </c>
      <c r="K60" s="65" t="s">
        <v>5444</v>
      </c>
      <c r="L60" s="65" t="s">
        <v>3707</v>
      </c>
      <c r="M60" s="65" t="s">
        <v>984</v>
      </c>
      <c r="N60" s="65" t="str">
        <f>"&lt;div class="&amp;""""&amp;"hanging"&amp;""""&amp;"&gt;"&amp;K60&amp;"&lt;a href="&amp;""""&amp;L60&amp;""""&amp;" target="&amp;""""&amp;"_blank"&amp;""""&amp;"&gt;"&amp;L60&amp;"&lt;/a&gt;&lt;span style="&amp;""""&amp;"color:white"&amp;""""&amp;"&gt;[.]{#"&amp;F60&amp;"}}&lt;/span&gt;&lt;/div&gt;&lt;br&gt;"</f>
        <v>&lt;div class="hanging"&gt;Byrne, M. &amp; Golden, J. (2021). &lt;i&gt;Occupancy Modeling.&lt;/i&gt;&lt;a href="https://kevintshoemaker.github.io/NRES-746/Occupancy.html" target="_blank"&gt;https://kevintshoemaker.github.io/NRES-746/Occupancy.html&lt;/a&gt;&lt;span style="color:white"&gt;[.]{#byrne_golden_2021}}&lt;/span&gt;&lt;/div&gt;&lt;br&gt;</v>
      </c>
      <c r="O60" s="65" t="str">
        <f>"{{ rtxt_"&amp;F60&amp;" }}"</f>
        <v>{{ rtxt_byrne_golden_2021 }}</v>
      </c>
      <c r="P60" s="65" t="str">
        <f>"{{ rbib_"&amp;F60&amp;" }}"</f>
        <v>{{ rbib_byrne_golden_2021 }}</v>
      </c>
      <c r="Q60" s="65" t="str">
        <f>"    rtxt_"&amp;F60&amp;": "&amp;""""&amp;"&lt;a href=\"&amp;""""&amp;"/08_references.html#"&amp;F60&amp;"\"&amp;""""&amp;" target=\"&amp;""""&amp;"_blank\"&amp;""""&amp;"&gt;"&amp;G60&amp;"&lt;/a&gt;"&amp;""""</f>
        <v xml:space="preserve">    rtxt_byrne_golden_2021: "&lt;a href=\"/08_references.html#byrne_golden_2021\" target=\"_blank\"&gt;Byrne &amp; Golden, 2021&lt;/a&gt;"</v>
      </c>
      <c r="R60" s="65" t="str">
        <f>"    rbib_"&amp;F60&amp;": "&amp;""""&amp;K60&amp;"&lt;a href=\"&amp;""""&amp;L60&amp;""""&amp;" target=\"&amp;""""&amp;"_blank\"&amp;""""&amp;"&gt;"&amp;L60&amp;"&lt;/a&gt;"&amp;""""</f>
        <v xml:space="preserve">    rbib_byrne_golden_2021: "Byrne, M. &amp; Golden, J. (2021). &lt;i&gt;Occupancy Modeling.&lt;/i&gt;&lt;a href=\"https://kevintshoemaker.github.io/NRES-746/Occupancy.html" target=\"_blank\"&gt;https://kevintshoemaker.github.io/NRES-746/Occupancy.html&lt;/a&gt;"</v>
      </c>
      <c r="S60" s="65" t="str">
        <f>"    rbib_"&amp;F60&amp;": "&amp;""""&amp;"&lt;div class=\"&amp;""""&amp;"hanging\"&amp;""""&amp;"&gt;"&amp;J60&amp;"&lt;/div&gt;"&amp;""""</f>
        <v xml:space="preserve">    rbib_byrne_golden_2021: "&lt;div class=\"hanging\"&gt;Byrne, M. &amp; Golden, J. (2021). *Occupancy Modeling.* &lt;https://kevintshoemaker.github.io/NRES-746/Occupancy.html&gt;&lt;/div&gt;"</v>
      </c>
      <c r="T60" s="65"/>
    </row>
    <row r="61" spans="1:20" ht="15.75">
      <c r="A61" s="65"/>
      <c r="B61" s="155"/>
      <c r="C61" s="155"/>
      <c r="D61" s="155"/>
      <c r="E61" s="65" t="s">
        <v>2246</v>
      </c>
      <c r="F61" s="65" t="s">
        <v>3706</v>
      </c>
      <c r="G61" s="65" t="s">
        <v>3705</v>
      </c>
      <c r="H61" s="65" t="s">
        <v>3705</v>
      </c>
      <c r="I61" s="65" t="b">
        <v>1</v>
      </c>
      <c r="J61" s="65" t="s">
        <v>3704</v>
      </c>
      <c r="K61" s="65" t="s">
        <v>5122</v>
      </c>
      <c r="L61" s="65" t="s">
        <v>3703</v>
      </c>
      <c r="M61" s="65" t="s">
        <v>984</v>
      </c>
      <c r="N61" s="65" t="str">
        <f>"&lt;div class="&amp;""""&amp;"hanging"&amp;""""&amp;"&gt;"&amp;K61&amp;"&lt;a href="&amp;""""&amp;L61&amp;""""&amp;" target="&amp;""""&amp;"_blank"&amp;""""&amp;"&gt;"&amp;L61&amp;"&lt;/a&gt;&lt;span style="&amp;""""&amp;"color:white"&amp;""""&amp;"&gt;[.]{#"&amp;F61&amp;"}}&lt;/span&gt;&lt;/div&gt;&lt;br&gt;"</f>
        <v>&lt;div class="hanging"&gt;Campbell, A. (2024). &lt;i&gt;Package ‘overlap’&lt;/i&gt;. R package version 0.3.9.&lt;a href="https://cran.r-project.org/web/packages/overlap/index.html" target="_blank"&gt;https://cran.r-project.org/web/packages/overlap/index.html&lt;/a&gt;&lt;span style="color:white"&gt;[.]{#campbell_2024}}&lt;/span&gt;&lt;/div&gt;&lt;br&gt;</v>
      </c>
      <c r="O61" s="65" t="str">
        <f>"{{ rtxt_"&amp;F61&amp;" }}"</f>
        <v>{{ rtxt_campbell_2024 }}</v>
      </c>
      <c r="P61" s="65" t="str">
        <f>"{{ rbib_"&amp;F61&amp;" }}"</f>
        <v>{{ rbib_campbell_2024 }}</v>
      </c>
      <c r="Q61" s="65" t="str">
        <f>"    rtxt_"&amp;F61&amp;": "&amp;""""&amp;"&lt;a href=\"&amp;""""&amp;"/08_references.html#"&amp;F61&amp;"\"&amp;""""&amp;" target=\"&amp;""""&amp;"_blank\"&amp;""""&amp;"&gt;"&amp;G61&amp;"&lt;/a&gt;"&amp;""""</f>
        <v xml:space="preserve">    rtxt_campbell_2024: "&lt;a href=\"/08_references.html#campbell_2024\" target=\"_blank\"&gt;Campbell, 2024&lt;/a&gt;"</v>
      </c>
      <c r="R61" s="65" t="str">
        <f>"    rbib_"&amp;F61&amp;": "&amp;""""&amp;K61&amp;"&lt;a href=\"&amp;""""&amp;L61&amp;""""&amp;" target=\"&amp;""""&amp;"_blank\"&amp;""""&amp;"&gt;"&amp;L61&amp;"&lt;/a&gt;"&amp;""""</f>
        <v xml:space="preserve">    rbib_campbell_2024: "Campbell, A. (2024). &lt;i&gt;Package ‘overlap’&lt;/i&gt;. R package version 0.3.9.&lt;a href=\"https://cran.r-project.org/web/packages/overlap/index.html" target=\"_blank\"&gt;https://cran.r-project.org/web/packages/overlap/index.html&lt;/a&gt;"</v>
      </c>
      <c r="S61" s="65" t="str">
        <f>"    rbib_"&amp;F61&amp;": "&amp;""""&amp;"&lt;div class=\"&amp;""""&amp;"hanging\"&amp;""""&amp;"&gt;"&amp;J61&amp;"&lt;/div&gt;"&amp;""""</f>
        <v xml:space="preserve">    rbib_campbell_2024: "&lt;div class=\"hanging\"&gt;Campbell, A. (2024). *Package ‘overlap’*. R package version 0.3.9. &lt;https://cran.r-project.org/web/packages/overlap/index.html&gt;&lt;/div&gt;"</v>
      </c>
      <c r="T61" s="65"/>
    </row>
    <row r="62" spans="1:20" ht="15.75">
      <c r="A62" s="65"/>
      <c r="B62" s="155"/>
      <c r="C62" s="155"/>
      <c r="D62" s="155"/>
      <c r="E62" s="65" t="s">
        <v>1945</v>
      </c>
      <c r="F62" s="65" t="s">
        <v>3702</v>
      </c>
      <c r="G62" s="65" t="s">
        <v>3701</v>
      </c>
      <c r="H62" s="65" t="s">
        <v>3701</v>
      </c>
      <c r="I62" s="65" t="b">
        <v>1</v>
      </c>
      <c r="J62" s="65" t="s">
        <v>3954</v>
      </c>
      <c r="K62" s="65" t="s">
        <v>5540</v>
      </c>
      <c r="L62" s="65" t="s">
        <v>3700</v>
      </c>
      <c r="M62" s="65" t="s">
        <v>984</v>
      </c>
      <c r="N62" s="65" t="str">
        <f>"&lt;div class="&amp;""""&amp;"hanging"&amp;""""&amp;"&gt;"&amp;K62&amp;"&lt;a href="&amp;""""&amp;L62&amp;""""&amp;" target="&amp;""""&amp;"_blank"&amp;""""&amp;"&gt;"&amp;L62&amp;"&lt;/a&gt;&lt;span style="&amp;""""&amp;"color:white"&amp;""""&amp;"&gt;[.]{#"&amp;F62&amp;"}}&lt;/span&gt;&lt;/div&gt;&lt;br&gt;"</f>
        <v>&lt;div class="hanging"&gt;Cao, A. (2021, Jun 14) &lt;i&gt;Hurdle models.&lt;/i&gt; [Video]. YouTube.&lt;a href="https://www.youtube.com/watch?v=q2NRQBcihQY" target="_blank"&gt;https://www.youtube.com/watch?v=q2NRQBcihQY&lt;/a&gt;&lt;span style="color:white"&gt;[.]{#cao_2021}}&lt;/span&gt;&lt;/div&gt;&lt;br&gt;</v>
      </c>
      <c r="O62" s="65" t="str">
        <f>"{{ rtxt_"&amp;F62&amp;" }}"</f>
        <v>{{ rtxt_cao_2021 }}</v>
      </c>
      <c r="P62" s="65" t="str">
        <f>"{{ rbib_"&amp;F62&amp;" }}"</f>
        <v>{{ rbib_cao_2021 }}</v>
      </c>
      <c r="Q62" s="65" t="str">
        <f>"    rtxt_"&amp;F62&amp;": "&amp;""""&amp;"&lt;a href=\"&amp;""""&amp;"/08_references.html#"&amp;F62&amp;"\"&amp;""""&amp;" target=\"&amp;""""&amp;"_blank\"&amp;""""&amp;"&gt;"&amp;G62&amp;"&lt;/a&gt;"&amp;""""</f>
        <v xml:space="preserve">    rtxt_cao_2021: "&lt;a href=\"/08_references.html#cao_2021\" target=\"_blank\"&gt;Cao (2021)&lt;/a&gt;"</v>
      </c>
      <c r="R62" s="65" t="str">
        <f>"    rbib_"&amp;F62&amp;": "&amp;""""&amp;K62&amp;"&lt;a href=\"&amp;""""&amp;L62&amp;""""&amp;" target=\"&amp;""""&amp;"_blank\"&amp;""""&amp;"&gt;"&amp;L62&amp;"&lt;/a&gt;"&amp;""""</f>
        <v xml:space="preserve">    rbib_cao_2021: "Cao, A. (2021, Jun 14) &lt;i&gt;Hurdle models.&lt;/i&gt; [Video]. YouTube.&lt;a href=\"https://www.youtube.com/watch?v=q2NRQBcihQY" target=\"_blank\"&gt;https://www.youtube.com/watch?v=q2NRQBcihQY&lt;/a&gt;"</v>
      </c>
      <c r="S62" s="65" t="str">
        <f>"    rbib_"&amp;F62&amp;": "&amp;""""&amp;"&lt;div class=\"&amp;""""&amp;"hanging\"&amp;""""&amp;"&gt;"&amp;J62&amp;"&lt;/div&gt;"&amp;""""</f>
        <v xml:space="preserve">    rbib_cao_2021: "&lt;div class=\"hanging\"&gt;Cao, A. (2021, Jun 14) *Hurdle models.* [Video]. YouTube. &lt;https://www.youtube.com/watch?v=q2NRQBcihQY&gt;&lt;/div&gt;"</v>
      </c>
      <c r="T62" s="65"/>
    </row>
    <row r="63" spans="1:20" ht="15.75">
      <c r="A63" s="65"/>
      <c r="B63" s="155"/>
      <c r="C63" s="155"/>
      <c r="D63" s="155"/>
      <c r="E63" s="65" t="s">
        <v>1904</v>
      </c>
      <c r="F63" s="65" t="s">
        <v>3699</v>
      </c>
      <c r="G63" s="65" t="s">
        <v>3698</v>
      </c>
      <c r="H63" s="65" t="s">
        <v>3698</v>
      </c>
      <c r="I63" s="65" t="b">
        <v>1</v>
      </c>
      <c r="J63" s="65" t="s">
        <v>3697</v>
      </c>
      <c r="K63" s="65" t="s">
        <v>5133</v>
      </c>
      <c r="L63" s="65" t="s">
        <v>3696</v>
      </c>
      <c r="M63" s="65" t="s">
        <v>984</v>
      </c>
      <c r="N63" s="65" t="str">
        <f>"&lt;div class="&amp;""""&amp;"hanging"&amp;""""&amp;"&gt;"&amp;K63&amp;"&lt;a href="&amp;""""&amp;L63&amp;""""&amp;" target="&amp;""""&amp;"_blank"&amp;""""&amp;"&gt;"&amp;L63&amp;"&lt;/a&gt;&lt;span style="&amp;""""&amp;"color:white"&amp;""""&amp;"&gt;[.]{#"&amp;F63&amp;"}}&lt;/span&gt;&lt;/div&gt;&lt;br&gt;"</f>
        <v>&lt;div class="hanging"&gt;Cappelle, N., Després‐Einspenner, M., Howe, E. J., Boesch, C., &amp; Kühl, H. S. (2019). Validating camera trap distance sampling for chimpanzees. &lt;i&gt;American Journal of Primatology, 81&lt;/i&gt;(3), e22962.&lt;a href="https://doi.org/10.1002/ajp.22962" target="_blank"&gt;https://doi.org/10.1002/ajp.22962&lt;/a&gt;&lt;span style="color:white"&gt;[.]{#cappelle_et_al_2019}}&lt;/span&gt;&lt;/div&gt;&lt;br&gt;</v>
      </c>
      <c r="O63" s="65" t="str">
        <f>"{{ rtxt_"&amp;F63&amp;" }}"</f>
        <v>{{ rtxt_cappelle_et_al_2019 }}</v>
      </c>
      <c r="P63" s="65" t="str">
        <f>"{{ rbib_"&amp;F63&amp;" }}"</f>
        <v>{{ rbib_cappelle_et_al_2019 }}</v>
      </c>
      <c r="Q63" s="65" t="str">
        <f>"    rtxt_"&amp;F63&amp;": "&amp;""""&amp;"&lt;a href=\"&amp;""""&amp;"/08_references.html#"&amp;F63&amp;"\"&amp;""""&amp;" target=\"&amp;""""&amp;"_blank\"&amp;""""&amp;"&gt;"&amp;G63&amp;"&lt;/a&gt;"&amp;""""</f>
        <v xml:space="preserve">    rtxt_cappelle_et_al_2019: "&lt;a href=\"/08_references.html#cappelle_et_al_2019\" target=\"_blank\"&gt;Cappelle et al., 2019&lt;/a&gt;"</v>
      </c>
      <c r="R63" s="65" t="str">
        <f>"    rbib_"&amp;F63&amp;": "&amp;""""&amp;K63&amp;"&lt;a href=\"&amp;""""&amp;L63&amp;""""&amp;" target=\"&amp;""""&amp;"_blank\"&amp;""""&amp;"&gt;"&amp;L63&amp;"&lt;/a&gt;"&amp;""""</f>
        <v xml:space="preserve">    rbib_cappelle_et_al_2019: "Cappelle, N., Després‐Einspenner, M., Howe, E. J., Boesch, C., &amp; Kühl, H. S. (2019). Validating camera trap distance sampling for chimpanzees. &lt;i&gt;American Journal of Primatology, 81&lt;/i&gt;(3), e22962.&lt;a href=\"https://doi.org/10.1002/ajp.22962" target=\"_blank\"&gt;https://doi.org/10.1002/ajp.22962&lt;/a&gt;"</v>
      </c>
      <c r="S63" s="65" t="str">
        <f>"    rbib_"&amp;F63&amp;": "&amp;""""&amp;"&lt;div class=\"&amp;""""&amp;"hanging\"&amp;""""&amp;"&gt;"&amp;J63&amp;"&lt;/div&gt;"&amp;""""</f>
        <v xml:space="preserve">    rbib_cappelle_et_al_2019: "&lt;div class=\"hanging\"&gt;Cappelle, N., Després‐Einspenner, M., Howe, E. J., Boesch, C., &amp; Kühl, H. S. (2019). Validating camera trap distance sampling for chimpanzees. *American Journal of Primatology, 81*(3), e22962. &lt;https://doi.org/10.1002/ajp.22962&gt;&lt;/div&gt;"</v>
      </c>
      <c r="T63" s="65"/>
    </row>
    <row r="64" spans="1:20" ht="15.75">
      <c r="A64" s="65"/>
      <c r="B64" s="155" t="b">
        <v>1</v>
      </c>
      <c r="C64" s="155" t="b">
        <v>0</v>
      </c>
      <c r="D64" s="155" t="b">
        <v>0</v>
      </c>
      <c r="E64" s="65" t="s">
        <v>1904</v>
      </c>
      <c r="F64" s="65" t="s">
        <v>3695</v>
      </c>
      <c r="G64" s="65" t="s">
        <v>3694</v>
      </c>
      <c r="H64" s="65" t="s">
        <v>3694</v>
      </c>
      <c r="I64" s="65" t="b">
        <v>1</v>
      </c>
      <c r="J64" s="65" t="s">
        <v>3693</v>
      </c>
      <c r="K64" s="65" t="s">
        <v>5153</v>
      </c>
      <c r="L64" s="65" t="s">
        <v>3692</v>
      </c>
      <c r="M64" s="65" t="s">
        <v>984</v>
      </c>
      <c r="N64" s="65" t="str">
        <f>"&lt;div class="&amp;""""&amp;"hanging"&amp;""""&amp;"&gt;"&amp;K64&amp;"&lt;a href="&amp;""""&amp;L64&amp;""""&amp;" target="&amp;""""&amp;"_blank"&amp;""""&amp;"&gt;"&amp;L64&amp;"&lt;/a&gt;&lt;span style="&amp;""""&amp;"color:white"&amp;""""&amp;"&gt;[.]{#"&amp;F64&amp;"}}&lt;/span&gt;&lt;/div&gt;&lt;br&gt;"</f>
        <v>&lt;div class="hanging"&gt;Cappelle, N., Howe, E. J., Boesch, C., &amp; Kühl, H. S. (2021). Estimating Animal Abundance and Effort-Precision Relationship with Camera Trap Distance Sampling. &lt;i&gt;Ecosphere, 12&lt;/i&gt;(1).&lt;a href="https://doi.org/10.1002/ecs2.3299" target="_blank"&gt;https://doi.org/10.1002/ecs2.3299&lt;/a&gt;&lt;span style="color:white"&gt;[.]{#cappelle_et_al_2021}}&lt;/span&gt;&lt;/div&gt;&lt;br&gt;</v>
      </c>
      <c r="O64" s="65" t="str">
        <f>"{{ rtxt_"&amp;F64&amp;" }}"</f>
        <v>{{ rtxt_cappelle_et_al_2021 }}</v>
      </c>
      <c r="P64" s="65" t="str">
        <f>"{{ rbib_"&amp;F64&amp;" }}"</f>
        <v>{{ rbib_cappelle_et_al_2021 }}</v>
      </c>
      <c r="Q64" s="65" t="str">
        <f>"    rtxt_"&amp;F64&amp;": "&amp;""""&amp;"&lt;a href=\"&amp;""""&amp;"/08_references.html#"&amp;F64&amp;"\"&amp;""""&amp;" target=\"&amp;""""&amp;"_blank\"&amp;""""&amp;"&gt;"&amp;G64&amp;"&lt;/a&gt;"&amp;""""</f>
        <v xml:space="preserve">    rtxt_cappelle_et_al_2021: "&lt;a href=\"/08_references.html#cappelle_et_al_2021\" target=\"_blank\"&gt;Cappelle et al., 2021&lt;/a&gt;"</v>
      </c>
      <c r="R64" s="65" t="str">
        <f>"    rbib_"&amp;F64&amp;": "&amp;""""&amp;K64&amp;"&lt;a href=\"&amp;""""&amp;L64&amp;""""&amp;" target=\"&amp;""""&amp;"_blank\"&amp;""""&amp;"&gt;"&amp;L64&amp;"&lt;/a&gt;"&amp;""""</f>
        <v xml:space="preserve">    rbib_cappelle_et_al_2021: "Cappelle, N., Howe, E. J., Boesch, C., &amp; Kühl, H. S. (2021). Estimating Animal Abundance and Effort-Precision Relationship with Camera Trap Distance Sampling. &lt;i&gt;Ecosphere, 12&lt;/i&gt;(1).&lt;a href=\"https://doi.org/10.1002/ecs2.3299" target=\"_blank\"&gt;https://doi.org/10.1002/ecs2.3299&lt;/a&gt;"</v>
      </c>
      <c r="S64" s="65" t="str">
        <f>"    rbib_"&amp;F64&amp;": "&amp;""""&amp;"&lt;div class=\"&amp;""""&amp;"hanging\"&amp;""""&amp;"&gt;"&amp;J64&amp;"&lt;/div&gt;"&amp;""""</f>
        <v xml:space="preserve">    rbib_cappelle_et_al_2021: "&lt;div class=\"hanging\"&gt;Cappelle, N., Howe, E. J., Boesch, C., &amp; Kühl, H. S. (2021). Estimating Animal Abundance and Effort-Precision Relationship with Camera Trap Distance Sampling. *Ecosphere, 12*(1). &lt;https://doi.org/10.1002/ecs2.3299&gt;&lt;/div&gt;"</v>
      </c>
      <c r="T64" s="65"/>
    </row>
    <row r="65" spans="1:20" ht="15.75">
      <c r="A65" s="65"/>
      <c r="B65" s="155" t="b">
        <v>0</v>
      </c>
      <c r="C65" s="155" t="b">
        <v>0</v>
      </c>
      <c r="D65" s="155" t="b">
        <v>1</v>
      </c>
      <c r="E65" s="65" t="s">
        <v>1904</v>
      </c>
      <c r="F65" s="65" t="s">
        <v>3691</v>
      </c>
      <c r="G65" s="65" t="s">
        <v>3690</v>
      </c>
      <c r="H65" s="65" t="s">
        <v>3690</v>
      </c>
      <c r="I65" s="65" t="b">
        <v>1</v>
      </c>
      <c r="J65" s="65" t="s">
        <v>3689</v>
      </c>
      <c r="K65" s="65" t="s">
        <v>5174</v>
      </c>
      <c r="L65" s="65" t="s">
        <v>3688</v>
      </c>
      <c r="M65" s="65" t="s">
        <v>984</v>
      </c>
      <c r="N65" s="65" t="str">
        <f>"&lt;div class="&amp;""""&amp;"hanging"&amp;""""&amp;"&gt;"&amp;K65&amp;"&lt;a href="&amp;""""&amp;L65&amp;""""&amp;" target="&amp;""""&amp;"_blank"&amp;""""&amp;"&gt;"&amp;L65&amp;"&lt;/a&gt;&lt;span style="&amp;""""&amp;"color:white"&amp;""""&amp;"&gt;[.]{#"&amp;F65&amp;"}}&lt;/span&gt;&lt;/div&gt;&lt;br&gt;"</f>
        <v>&lt;div class="hanging"&gt;Caravaggi, A., Banks, P. B., Burton, A. C., Finlay, C. M. V., Haswell, P. M., Hayward, M. W., Rowcliffe, M. J., Wood, M. D., Pettorelli, N., &amp; Sollmann, R. (2017). A review of camera trapping for conservation behaviour research&lt;i&gt;. Remote Sensing in Ecology and Conservation, 3&lt;/i&gt;(3), 109-122.&lt;a href="https://doi.org/10.1002/rse2.48" target="_blank"&gt;https://doi.org/10.1002/rse2.48&lt;/a&gt;&lt;span style="color:white"&gt;[.]{#caravaggi_et_al_2017}}&lt;/span&gt;&lt;/div&gt;&lt;br&gt;</v>
      </c>
      <c r="O65" s="65" t="str">
        <f>"{{ rtxt_"&amp;F65&amp;" }}"</f>
        <v>{{ rtxt_caravaggi_et_al_2017 }}</v>
      </c>
      <c r="P65" s="65" t="str">
        <f>"{{ rbib_"&amp;F65&amp;" }}"</f>
        <v>{{ rbib_caravaggi_et_al_2017 }}</v>
      </c>
      <c r="Q65" s="65" t="str">
        <f>"    rtxt_"&amp;F65&amp;": "&amp;""""&amp;"&lt;a href=\"&amp;""""&amp;"/08_references.html#"&amp;F65&amp;"\"&amp;""""&amp;" target=\"&amp;""""&amp;"_blank\"&amp;""""&amp;"&gt;"&amp;G65&amp;"&lt;/a&gt;"&amp;""""</f>
        <v xml:space="preserve">    rtxt_caravaggi_et_al_2017: "&lt;a href=\"/08_references.html#caravaggi_et_al_2017\" target=\"_blank\"&gt;Caravaggi et al., 2017&lt;/a&gt;"</v>
      </c>
      <c r="R65" s="65" t="str">
        <f>"    rbib_"&amp;F65&amp;": "&amp;""""&amp;K65&amp;"&lt;a href=\"&amp;""""&amp;L65&amp;""""&amp;" target=\"&amp;""""&amp;"_blank\"&amp;""""&amp;"&gt;"&amp;L65&amp;"&lt;/a&gt;"&amp;""""</f>
        <v xml:space="preserve">    rbib_caravaggi_et_al_2017: "Caravaggi, A., Banks, P. B., Burton, A. C., Finlay, C. M. V., Haswell, P. M., Hayward, M. W., Rowcliffe, M. J., Wood, M. D., Pettorelli, N., &amp; Sollmann, R. (2017). A review of camera trapping for conservation behaviour research&lt;i&gt;. Remote Sensing in Ecology and Conservation, 3&lt;/i&gt;(3), 109-122.&lt;a href=\"https://doi.org/10.1002/rse2.48" target=\"_blank\"&gt;https://doi.org/10.1002/rse2.48&lt;/a&gt;"</v>
      </c>
      <c r="S65" s="65" t="str">
        <f>"    rbib_"&amp;F65&amp;": "&amp;""""&amp;"&lt;div class=\"&amp;""""&amp;"hanging\"&amp;""""&amp;"&gt;"&amp;J65&amp;"&lt;/div&gt;"&amp;""""</f>
        <v xml:space="preserve">    rbib_caravaggi_et_al_2017: "&lt;div class=\"hanging\"&gt;Caravaggi, A., Banks, P. B., Burton, A. C., Finlay, C. M. V., Haswell, P. M., Hayward, M. W., Rowcliffe, M. J., Wood, M. D., Pettorelli, N., &amp; Sollmann, R. (2017). A review of camera trapping for conservation behaviour research*. Remote Sensing in Ecology and Conservation, 3*(3), 109-122. &lt;https://doi.org/10.1002/rse2.48&gt;&lt;/div&gt;"</v>
      </c>
      <c r="T65" s="65"/>
    </row>
    <row r="66" spans="1:20" ht="15.75">
      <c r="A66" s="65"/>
      <c r="B66" s="155" t="b">
        <v>1</v>
      </c>
      <c r="C66" s="155" t="b">
        <v>0</v>
      </c>
      <c r="D66" s="155" t="b">
        <v>0</v>
      </c>
      <c r="E66" s="65" t="s">
        <v>1904</v>
      </c>
      <c r="F66" s="65" t="s">
        <v>3687</v>
      </c>
      <c r="G66" s="65" t="s">
        <v>3686</v>
      </c>
      <c r="H66" s="65" t="s">
        <v>3686</v>
      </c>
      <c r="I66" s="65" t="b">
        <v>1</v>
      </c>
      <c r="J66" s="65" t="s">
        <v>3685</v>
      </c>
      <c r="K66" s="65" t="s">
        <v>5310</v>
      </c>
      <c r="L66" s="65" t="s">
        <v>3684</v>
      </c>
      <c r="M66" s="65" t="s">
        <v>984</v>
      </c>
      <c r="N66" s="65" t="str">
        <f>"&lt;div class="&amp;""""&amp;"hanging"&amp;""""&amp;"&gt;"&amp;K66&amp;"&lt;a href="&amp;""""&amp;L66&amp;""""&amp;" target="&amp;""""&amp;"_blank"&amp;""""&amp;"&gt;"&amp;L66&amp;"&lt;/a&gt;&lt;span style="&amp;""""&amp;"color:white"&amp;""""&amp;"&gt;[.]{#"&amp;F66&amp;"}}&lt;/span&gt;&lt;/div&gt;&lt;br&gt;"</f>
        <v>&lt;div class="hanging"&gt;Caravaggi, A., Burton, A. C., Clark, D. A., Fisher, J. T., Grass, A., Green, S., Hobaiter, C., Hofmeester, T. R., Kalan, A. K., Rabaiotti, D., &amp; Rivet, D. (2020). A Review of Factors To Consider When Using Camera Traps To Study Animal Behavior To Inform Wildlife Ecology And Conservation. &lt;i&gt;Conservation Science and Practice, 2&lt;/i&gt;(8).&lt;a href="https://doi.org/10.1111/csp2.239" target="_blank"&gt;https://doi.org/10.1111/csp2.239&lt;/a&gt;&lt;span style="color:white"&gt;[.]{#caravaggi_et_al_2020}}&lt;/span&gt;&lt;/div&gt;&lt;br&gt;</v>
      </c>
      <c r="O66" s="65" t="str">
        <f>"{{ rtxt_"&amp;F66&amp;" }}"</f>
        <v>{{ rtxt_caravaggi_et_al_2020 }}</v>
      </c>
      <c r="P66" s="65" t="str">
        <f>"{{ rbib_"&amp;F66&amp;" }}"</f>
        <v>{{ rbib_caravaggi_et_al_2020 }}</v>
      </c>
      <c r="Q66" s="65" t="str">
        <f>"    rtxt_"&amp;F66&amp;": "&amp;""""&amp;"&lt;a href=\"&amp;""""&amp;"/08_references.html#"&amp;F66&amp;"\"&amp;""""&amp;" target=\"&amp;""""&amp;"_blank\"&amp;""""&amp;"&gt;"&amp;G66&amp;"&lt;/a&gt;"&amp;""""</f>
        <v xml:space="preserve">    rtxt_caravaggi_et_al_2020: "&lt;a href=\"/08_references.html#caravaggi_et_al_2020\" target=\"_blank\"&gt;Caravaggi et al., 2020&lt;/a&gt;"</v>
      </c>
      <c r="R66" s="65" t="str">
        <f>"    rbib_"&amp;F66&amp;": "&amp;""""&amp;K66&amp;"&lt;a href=\"&amp;""""&amp;L66&amp;""""&amp;" target=\"&amp;""""&amp;"_blank\"&amp;""""&amp;"&gt;"&amp;L66&amp;"&lt;/a&gt;"&amp;""""</f>
        <v xml:space="preserve">    rbib_caravaggi_et_al_2020: "Caravaggi, A., Burton, A. C., Clark, D. A., Fisher, J. T., Grass, A., Green, S., Hobaiter, C., Hofmeester, T. R., Kalan, A. K., Rabaiotti, D., &amp; Rivet, D. (2020). A Review of Factors To Consider When Using Camera Traps To Study Animal Behavior To Inform Wildlife Ecology And Conservation. &lt;i&gt;Conservation Science and Practice, 2&lt;/i&gt;(8).&lt;a href=\"https://doi.org/10.1111/csp2.239" target=\"_blank\"&gt;https://doi.org/10.1111/csp2.239&lt;/a&gt;"</v>
      </c>
      <c r="S66" s="65" t="str">
        <f>"    rbib_"&amp;F66&amp;": "&amp;""""&amp;"&lt;div class=\"&amp;""""&amp;"hanging\"&amp;""""&amp;"&gt;"&amp;J66&amp;"&lt;/div&gt;"&amp;""""</f>
        <v xml:space="preserve">    rbib_caravaggi_et_al_2020: "&lt;div class=\"hanging\"&gt;Caravaggi, A., Burton, A. C., Clark, D. A., Fisher, J. T., Grass, A., Green, S., Hobaiter, C., Hofmeester, T. R., Kalan, A. K., Rabaiotti, D., &amp; Rivet, D. (2020). A Review of Factors To Consider When Using Camera Traps To Study Animal Behavior To Inform Wildlife Ecology And Conservation. *Conservation Science and Practice, 2*(8). &lt;https://doi.org/10.1111/csp2.239&gt;&lt;/div&gt;"</v>
      </c>
      <c r="T66" s="65"/>
    </row>
    <row r="67" spans="1:20" ht="15.75">
      <c r="A67" s="65" t="s">
        <v>530</v>
      </c>
      <c r="B67" s="155"/>
      <c r="C67" s="155"/>
      <c r="D67" s="155"/>
      <c r="E67" s="65"/>
      <c r="F67" s="65" t="s">
        <v>6040</v>
      </c>
      <c r="G67" s="65" t="s">
        <v>6037</v>
      </c>
      <c r="H67" s="65" t="s">
        <v>6037</v>
      </c>
      <c r="I67" s="65"/>
      <c r="J67" s="65" t="s">
        <v>6049</v>
      </c>
      <c r="K67" s="65" t="s">
        <v>6068</v>
      </c>
      <c r="L67" s="156" t="s">
        <v>6059</v>
      </c>
      <c r="M67" s="65"/>
      <c r="N67" s="65" t="str">
        <f>"&lt;div class="&amp;""""&amp;"hanging"&amp;""""&amp;"&gt;"&amp;K67&amp;"&lt;a href="&amp;""""&amp;L67&amp;""""&amp;" target="&amp;""""&amp;"_blank"&amp;""""&amp;"&gt;"&amp;L67&amp;"&lt;/a&gt;&lt;span style="&amp;""""&amp;"color:white"&amp;""""&amp;"&gt;[.]{#"&amp;F67&amp;"}}&lt;/span&gt;&lt;/div&gt;&lt;br&gt;"</f>
        <v>&lt;div class="hanging"&gt;Carbone, C., &amp; Gittleman, J. L. (2002). A common rule for the scaling of carnivore density. &lt;i&gt;Science, 295&lt;/i&gt;, 2273–2276&lt;a href="https://doi.org/10.1126/science.106799464" target="_blank"&gt;https://doi.org/10.1126/science.106799464&lt;/a&gt;&lt;span style="color:white"&gt;[.]{#carbone_gittleman_2002}}&lt;/span&gt;&lt;/div&gt;&lt;br&gt;</v>
      </c>
      <c r="O67" s="65" t="str">
        <f>"{{ rtxt_"&amp;F67&amp;" }}"</f>
        <v>{{ rtxt_carbone_gittleman_2002 }}</v>
      </c>
      <c r="P67" s="65" t="str">
        <f>"{{ rbib_"&amp;F67&amp;" }}"</f>
        <v>{{ rbib_carbone_gittleman_2002 }}</v>
      </c>
      <c r="Q67" s="65" t="str">
        <f>"    rtxt_"&amp;F67&amp;": "&amp;""""&amp;"&lt;a href=\"&amp;""""&amp;"/08_references.html#"&amp;F67&amp;"\"&amp;""""&amp;" target=\"&amp;""""&amp;"_blank\"&amp;""""&amp;"&gt;"&amp;G67&amp;"&lt;/a&gt;"&amp;""""</f>
        <v xml:space="preserve">    rtxt_carbone_gittleman_2002: "&lt;a href=\"/08_references.html#carbone_gittleman_2002\" target=\"_blank\"&gt;Carbone &amp; Gittleman, 2002&lt;/a&gt;"</v>
      </c>
      <c r="R67" s="65" t="str">
        <f>"    rbib_"&amp;F67&amp;": "&amp;""""&amp;K67&amp;"&lt;a href=\"&amp;""""&amp;L67&amp;""""&amp;" target=\"&amp;""""&amp;"_blank\"&amp;""""&amp;"&gt;"&amp;L67&amp;"&lt;/a&gt;"&amp;""""</f>
        <v xml:space="preserve">    rbib_carbone_gittleman_2002: "Carbone, C., &amp; Gittleman, J. L. (2002). A common rule for the scaling of carnivore density. &lt;i&gt;Science, 295&lt;/i&gt;, 2273–2276&lt;a href=\"https://doi.org/10.1126/science.106799464" target=\"_blank\"&gt;https://doi.org/10.1126/science.106799464&lt;/a&gt;"</v>
      </c>
      <c r="S67" s="65" t="str">
        <f>"    rbib_"&amp;F67&amp;": "&amp;""""&amp;"&lt;div class=\"&amp;""""&amp;"hanging\"&amp;""""&amp;"&gt;"&amp;J67&amp;"&lt;/div&gt;"&amp;""""</f>
        <v xml:space="preserve">    rbib_carbone_gittleman_2002: "&lt;div class=\"hanging\"&gt;Carbone, C., &amp; Gittleman, J. L. (2002). A common rule for the scaling of carnivore density. &lt;i&gt;Science, 295&lt;/i&gt;, 2273–2276. &lt;https://doi.org/10.1126/science.106799464&gt;&lt;/div&gt;"</v>
      </c>
      <c r="T67" s="65"/>
    </row>
    <row r="68" spans="1:20" ht="15.75">
      <c r="A68" s="65"/>
      <c r="B68" s="155" t="b">
        <v>1</v>
      </c>
      <c r="C68" s="155" t="b">
        <v>1</v>
      </c>
      <c r="D68" s="155" t="b">
        <v>0</v>
      </c>
      <c r="E68" s="65" t="s">
        <v>1904</v>
      </c>
      <c r="F68" s="65" t="s">
        <v>3683</v>
      </c>
      <c r="G68" s="65" t="s">
        <v>3682</v>
      </c>
      <c r="H68" s="65" t="s">
        <v>3682</v>
      </c>
      <c r="I68" s="65" t="b">
        <v>1</v>
      </c>
      <c r="J68" s="65" t="s">
        <v>3681</v>
      </c>
      <c r="K68" s="65" t="s">
        <v>5245</v>
      </c>
      <c r="L68" s="65" t="s">
        <v>3680</v>
      </c>
      <c r="M68" s="65" t="s">
        <v>984</v>
      </c>
      <c r="N68" s="65" t="str">
        <f>"&lt;div class="&amp;""""&amp;"hanging"&amp;""""&amp;"&gt;"&amp;K68&amp;"&lt;a href="&amp;""""&amp;L68&amp;""""&amp;" target="&amp;""""&amp;"_blank"&amp;""""&amp;"&gt;"&amp;L68&amp;"&lt;/a&gt;&lt;span style="&amp;""""&amp;"color:white"&amp;""""&amp;"&gt;[.]{#"&amp;F68&amp;"}}&lt;/span&gt;&lt;/div&gt;&lt;br&gt;"</f>
        <v>&lt;div class="hanging"&gt;Carbone, C., Christie, S., Conforti, K., Coulson, T., Franklin, N., Ginsberg, J. R., Griffiths, M., Holden, J., Kawanishi, K., Kinnaird, M., Laidlaw, R., Lynam, A., Macdonald, D. W., Martyr, D., McDougal, C., Nath, L., O'Brien, T., Seidensticker, J., Smith, D. J. L., Wan Shahruddin, W. N. (2001). The use of photographic rates to estimate densities of tigers and other cryptic mammals. &lt;i&gt;Animal Conservation, 4&lt;/i&gt;(1), 75-79.&lt;a href="https://doi.org/10.1017/S1367943001001081" target="_blank"&gt;https://doi.org/10.1017/S1367943001001081&lt;/a&gt;&lt;span style="color:white"&gt;[.]{#carbone_et_al_2001}}&lt;/span&gt;&lt;/div&gt;&lt;br&gt;</v>
      </c>
      <c r="O68" s="65" t="str">
        <f>"{{ rtxt_"&amp;F68&amp;" }}"</f>
        <v>{{ rtxt_carbone_et_al_2001 }}</v>
      </c>
      <c r="P68" s="65" t="str">
        <f>"{{ rbib_"&amp;F68&amp;" }}"</f>
        <v>{{ rbib_carbone_et_al_2001 }}</v>
      </c>
      <c r="Q68" s="65" t="str">
        <f>"    rtxt_"&amp;F68&amp;": "&amp;""""&amp;"&lt;a href=\"&amp;""""&amp;"/08_references.html#"&amp;F68&amp;"\"&amp;""""&amp;" target=\"&amp;""""&amp;"_blank\"&amp;""""&amp;"&gt;"&amp;G68&amp;"&lt;/a&gt;"&amp;""""</f>
        <v xml:space="preserve">    rtxt_carbone_et_al_2001: "&lt;a href=\"/08_references.html#carbone_et_al_2001\" target=\"_blank\"&gt;Carbone et al., 2001&lt;/a&gt;"</v>
      </c>
      <c r="R68" s="65" t="str">
        <f>"    rbib_"&amp;F68&amp;": "&amp;""""&amp;K68&amp;"&lt;a href=\"&amp;""""&amp;L68&amp;""""&amp;" target=\"&amp;""""&amp;"_blank\"&amp;""""&amp;"&gt;"&amp;L68&amp;"&lt;/a&gt;"&amp;""""</f>
        <v xml:space="preserve">    rbib_carbone_et_al_2001: "Carbone, C., Christie, S., Conforti, K., Coulson, T., Franklin, N., Ginsberg, J. R., Griffiths, M., Holden, J., Kawanishi, K., Kinnaird, M., Laidlaw, R., Lynam, A., Macdonald, D. W., Martyr, D., McDougal, C., Nath, L., O'Brien, T., Seidensticker, J., Smith, D. J. L., Wan Shahruddin, W. N. (2001). The use of photographic rates to estimate densities of tigers and other cryptic mammals. &lt;i&gt;Animal Conservation, 4&lt;/i&gt;(1), 75-79.&lt;a href=\"https://doi.org/10.1017/S1367943001001081" target=\"_blank\"&gt;https://doi.org/10.1017/S1367943001001081&lt;/a&gt;"</v>
      </c>
      <c r="S68" s="65" t="str">
        <f>"    rbib_"&amp;F68&amp;": "&amp;""""&amp;"&lt;div class=\"&amp;""""&amp;"hanging\"&amp;""""&amp;"&gt;"&amp;J68&amp;"&lt;/div&gt;"&amp;""""</f>
        <v xml:space="preserve">    rbib_carbone_et_al_2001: "&lt;div class=\"hanging\"&gt;Carbone, C., Christie, S., Conforti, K., Coulson, T., Franklin, N., Ginsberg, J. R., Griffiths, M., Holden, J., Kawanishi, K., Kinnaird, M., Laidlaw, R., Lynam, A., Macdonald, D. W., Martyr, D., McDougal, C., Nath, L., O'Brien, T., Seidensticker, J., Smith, D. J. L., Wan Shahruddin, W. N. (2001). The use of photographic rates to estimate densities of tigers and other cryptic mammals. *Animal Conservation, 4*(1), 75-79. &lt;https://doi.org/10.1017/S1367943001001081&gt;&lt;/div&gt;"</v>
      </c>
      <c r="T68" s="65"/>
    </row>
    <row r="69" spans="1:20" ht="15.75">
      <c r="A69" s="65" t="s">
        <v>530</v>
      </c>
      <c r="B69" s="155"/>
      <c r="C69" s="155"/>
      <c r="D69" s="155"/>
      <c r="E69" s="65"/>
      <c r="F69" s="65" t="s">
        <v>6034</v>
      </c>
      <c r="G69" s="65" t="s">
        <v>6048</v>
      </c>
      <c r="H69" s="65" t="s">
        <v>6048</v>
      </c>
      <c r="I69" s="65"/>
      <c r="J69" s="65" t="s">
        <v>6041</v>
      </c>
      <c r="K69" s="65" t="s">
        <v>6065</v>
      </c>
      <c r="L69" s="65" t="s">
        <v>6055</v>
      </c>
      <c r="M69" s="65"/>
      <c r="N69" s="65" t="str">
        <f>"&lt;div class="&amp;""""&amp;"hanging"&amp;""""&amp;"&gt;"&amp;K69&amp;"&lt;a href="&amp;""""&amp;L69&amp;""""&amp;" target="&amp;""""&amp;"_blank"&amp;""""&amp;"&gt;"&amp;L69&amp;"&lt;/a&gt;&lt;span style="&amp;""""&amp;"color:white"&amp;""""&amp;"&gt;[.]{#"&amp;F69&amp;"}}&lt;/span&gt;&lt;/div&gt;&lt;br&gt;"</f>
        <v>&lt;div class="hanging"&gt;Carbone, C., Cowlishaw, G., Isaac, N. J. B. &amp; Rowcliffe, M. J. (2005). How Far Do Animals Go? Determinants of Day Range in Mammals. &lt;i&gt;The American Naturalist, 165&lt;/i&gt;(2). &lt;a href="https://doi.org/10.1086/426790" target="_blank"&gt;https://doi.org/10.1086/426790&lt;/a&gt;&lt;span style="color:white"&gt;[.]{#carbone_et_al_2005}}&lt;/span&gt;&lt;/div&gt;&lt;br&gt;</v>
      </c>
      <c r="O69" s="65" t="str">
        <f>"{{ rtxt_"&amp;F69&amp;" }}"</f>
        <v>{{ rtxt_carbone_et_al_2005 }}</v>
      </c>
      <c r="P69" s="65" t="str">
        <f>"{{ rbib_"&amp;F69&amp;" }}"</f>
        <v>{{ rbib_carbone_et_al_2005 }}</v>
      </c>
      <c r="Q69" s="65" t="str">
        <f>"    rtxt_"&amp;F69&amp;": "&amp;""""&amp;"&lt;a href=\"&amp;""""&amp;"/08_references.html#"&amp;F69&amp;"\"&amp;""""&amp;" target=\"&amp;""""&amp;"_blank\"&amp;""""&amp;"&gt;"&amp;G69&amp;"&lt;/a&gt;"&amp;""""</f>
        <v xml:space="preserve">    rtxt_carbone_et_al_2005: "&lt;a href=\"/08_references.html#carbone_et_al_2005\" target=\"_blank\"&gt;Carbone et al., 2005&lt;/a&gt;"</v>
      </c>
      <c r="R69" s="65" t="str">
        <f>"    rbib_"&amp;F69&amp;": "&amp;""""&amp;K69&amp;"&lt;a href=\"&amp;""""&amp;L69&amp;""""&amp;" target=\"&amp;""""&amp;"_blank\"&amp;""""&amp;"&gt;"&amp;L69&amp;"&lt;/a&gt;"&amp;""""</f>
        <v xml:space="preserve">    rbib_carbone_et_al_2005: "Carbone, C., Cowlishaw, G., Isaac, N. J. B. &amp; Rowcliffe, M. J. (2005). How Far Do Animals Go? Determinants of Day Range in Mammals. &lt;i&gt;The American Naturalist, 165&lt;/i&gt;(2). &lt;a href=\"https://doi.org/10.1086/426790" target=\"_blank\"&gt;https://doi.org/10.1086/426790&lt;/a&gt;"</v>
      </c>
      <c r="S69" s="65" t="str">
        <f>"    rbib_"&amp;F69&amp;": "&amp;""""&amp;"&lt;div class=\"&amp;""""&amp;"hanging\"&amp;""""&amp;"&gt;"&amp;J69&amp;"&lt;/div&gt;"&amp;""""</f>
        <v xml:space="preserve">    rbib_carbone_et_al_2005: "&lt;div class=\"hanging\"&gt;Carbone, C., Cowlishaw, G., Isaac, N. J. B. &amp; Rowcliffe, M. J. (2005). How Far Do Animals Go? Determinants of Day Range in Mammals. &lt;i&gt;The American Naturalist, 165&lt;/i&gt;(2). &lt;https://doi.org/10.1086/426790&gt;.&lt;/div&gt;"</v>
      </c>
      <c r="T69" s="65"/>
    </row>
    <row r="70" spans="1:20" ht="15.75">
      <c r="A70" s="65"/>
      <c r="B70" s="155"/>
      <c r="C70" s="155"/>
      <c r="D70" s="155"/>
      <c r="E70" s="65"/>
      <c r="F70" s="65" t="s">
        <v>4174</v>
      </c>
      <c r="G70" s="65" t="s">
        <v>4173</v>
      </c>
      <c r="H70" s="65"/>
      <c r="I70" s="65" t="b">
        <v>1</v>
      </c>
      <c r="J70" s="65" t="s">
        <v>4172</v>
      </c>
      <c r="K70" s="65" t="s">
        <v>5272</v>
      </c>
      <c r="L70" s="157" t="s">
        <v>4175</v>
      </c>
      <c r="M70" s="65"/>
      <c r="N70" s="65" t="str">
        <f>"&lt;div class="&amp;""""&amp;"hanging"&amp;""""&amp;"&gt;"&amp;K70&amp;"&lt;a href="&amp;""""&amp;L70&amp;""""&amp;" target="&amp;""""&amp;"_blank"&amp;""""&amp;"&gt;"&amp;L70&amp;"&lt;/a&gt;&lt;span style="&amp;""""&amp;"color:white"&amp;""""&amp;"&gt;[.]{#"&amp;F70&amp;"}}&lt;/span&gt;&lt;/div&gt;&lt;br&gt;"</f>
        <v>&lt;div class="hanging"&gt;Carswell, B. M., Avgar, T., Street, G. M., Boyle, S. P., &amp; Vander Wal, E. (2024). One size does not fit all: A novel approach for determining the Realised Viewshed Size for remote camera traps. &lt;i&gt;Ecology&lt;/i&gt;.&lt;a href="https://doi.org/10.1101/2024.05.09.593241" target="_blank"&gt;https://doi.org/10.1101/2024.05.09.593241&lt;/a&gt;&lt;span style="color:white"&gt;[.]{#carswell_et_al_2024}}&lt;/span&gt;&lt;/div&gt;&lt;br&gt;</v>
      </c>
      <c r="O70" s="65" t="str">
        <f>"{{ rtxt_"&amp;F70&amp;" }}"</f>
        <v>{{ rtxt_carswell_et_al_2024 }}</v>
      </c>
      <c r="P70" s="65" t="str">
        <f>"{{ rbib_"&amp;F70&amp;" }}"</f>
        <v>{{ rbib_carswell_et_al_2024 }}</v>
      </c>
      <c r="Q70" s="65" t="str">
        <f>"    rtxt_"&amp;F70&amp;": "&amp;""""&amp;"&lt;a href=\"&amp;""""&amp;"/08_references.html#"&amp;F70&amp;"\"&amp;""""&amp;" target=\"&amp;""""&amp;"_blank\"&amp;""""&amp;"&gt;"&amp;G70&amp;"&lt;/a&gt;"&amp;""""</f>
        <v xml:space="preserve">    rtxt_carswell_et_al_2024: "&lt;a href=\"/08_references.html#carswell_et_al_2024\" target=\"_blank\"&gt;Carswell et al., 2024&lt;/a&gt;"</v>
      </c>
      <c r="R70" s="65" t="str">
        <f>"    rbib_"&amp;F70&amp;": "&amp;""""&amp;K70&amp;"&lt;a href=\"&amp;""""&amp;L70&amp;""""&amp;" target=\"&amp;""""&amp;"_blank\"&amp;""""&amp;"&gt;"&amp;L70&amp;"&lt;/a&gt;"&amp;""""</f>
        <v xml:space="preserve">    rbib_carswell_et_al_2024: "Carswell, B. M., Avgar, T., Street, G. M., Boyle, S. P., &amp; Vander Wal, E. (2024). One size does not fit all: A novel approach for determining the Realised Viewshed Size for remote camera traps. &lt;i&gt;Ecology&lt;/i&gt;.&lt;a href=\"https://doi.org/10.1101/2024.05.09.593241" target=\"_blank\"&gt;https://doi.org/10.1101/2024.05.09.593241&lt;/a&gt;"</v>
      </c>
      <c r="S70" s="65" t="str">
        <f>"    rbib_"&amp;F70&amp;": "&amp;""""&amp;"&lt;div class=\"&amp;""""&amp;"hanging\"&amp;""""&amp;"&gt;"&amp;J70&amp;"&lt;/div&gt;"&amp;""""</f>
        <v xml:space="preserve">    rbib_carswell_et_al_2024: "&lt;div class=\"hanging\"&gt;Carswell, B. M., Avgar, T., Street, G. M., Boyle, S. P., &amp; Vander Wal, E. (2024). One size does not fit all: A novel approach for determining the Realised Viewshed Size for remote camera traps. *Ecology*. &lt;https://doi.org/10.1101/2024.05.09.593241&gt;&lt;/div&gt;"</v>
      </c>
      <c r="T70" s="65"/>
    </row>
    <row r="71" spans="1:20" ht="15.75">
      <c r="A71" s="65"/>
      <c r="B71" s="155" t="b">
        <v>1</v>
      </c>
      <c r="C71" s="155" t="b">
        <v>0</v>
      </c>
      <c r="D71" s="155" t="b">
        <v>1</v>
      </c>
      <c r="E71" s="65" t="s">
        <v>1939</v>
      </c>
      <c r="F71" s="65" t="s">
        <v>3679</v>
      </c>
      <c r="G71" s="65" t="s">
        <v>3678</v>
      </c>
      <c r="H71" s="65" t="s">
        <v>3678</v>
      </c>
      <c r="I71" s="65" t="b">
        <v>1</v>
      </c>
      <c r="J71" s="65" t="s">
        <v>3677</v>
      </c>
      <c r="K71" s="65" t="s">
        <v>6087</v>
      </c>
      <c r="L71" s="65" t="s">
        <v>3676</v>
      </c>
      <c r="M71" s="65" t="s">
        <v>984</v>
      </c>
      <c r="N71" s="65" t="str">
        <f>"&lt;div class="&amp;""""&amp;"hanging"&amp;""""&amp;"&gt;"&amp;K71&amp;"&lt;a href="&amp;""""&amp;L71&amp;""""&amp;" target="&amp;""""&amp;"_blank"&amp;""""&amp;"&gt;"&amp;L71&amp;"&lt;/a&gt;&lt;span style="&amp;""""&amp;"color:white"&amp;""""&amp;"&gt;[.]{#"&amp;F71&amp;"}}&lt;/span&gt;&lt;/div&gt;&lt;br&gt;"</f>
        <v>&lt;div class="hanging"&gt;Caughley, G. (1977). &lt;i&gt;Analysis of Vertebrate Populations&lt;/i&gt; (pp. 234). Wiley.&lt;a href="https://books.google.ca/books/about/Analysis_of_Vertebrate_Populations.html?id=qAcUAQAAIAAJ&amp;redir_esc=y" target="_blank"&gt;https://books.google.ca/books/about/Analysis_of_Vertebrate_Populations.html?id=qAcUAQAAIAAJ&amp;redir_esc=y&lt;/a&gt;&lt;span style="color:white"&gt;[.]{#caughley_1977}}&lt;/span&gt;&lt;/div&gt;&lt;br&gt;</v>
      </c>
      <c r="O71" s="65" t="str">
        <f>"{{ rtxt_"&amp;F71&amp;" }}"</f>
        <v>{{ rtxt_caughley_1977 }}</v>
      </c>
      <c r="P71" s="65" t="str">
        <f>"{{ rbib_"&amp;F71&amp;" }}"</f>
        <v>{{ rbib_caughley_1977 }}</v>
      </c>
      <c r="Q71" s="65" t="str">
        <f>"    rtxt_"&amp;F71&amp;": "&amp;""""&amp;"&lt;a href=\"&amp;""""&amp;"/08_references.html#"&amp;F71&amp;"\"&amp;""""&amp;" target=\"&amp;""""&amp;"_blank\"&amp;""""&amp;"&gt;"&amp;G71&amp;"&lt;/a&gt;"&amp;""""</f>
        <v xml:space="preserve">    rtxt_caughley_1977: "&lt;a href=\"/08_references.html#caughley_1977\" target=\"_blank\"&gt;Caughley, 1977&lt;/a&gt;"</v>
      </c>
      <c r="R71" s="65" t="str">
        <f>"    rbib_"&amp;F71&amp;": "&amp;""""&amp;K71&amp;"&lt;a href=\"&amp;""""&amp;L71&amp;""""&amp;" target=\"&amp;""""&amp;"_blank\"&amp;""""&amp;"&gt;"&amp;L71&amp;"&lt;/a&gt;"&amp;""""</f>
        <v xml:space="preserve">    rbib_caughley_1977: "Caughley, G. (1977). &lt;i&gt;Analysis of Vertebrate Populations&lt;/i&gt; (pp. 234). Wiley.&lt;a href=\"https://books.google.ca/books/about/Analysis_of_Vertebrate_Populations.html?id=qAcUAQAAIAAJ&amp;redir_esc=y" target=\"_blank\"&gt;https://books.google.ca/books/about/Analysis_of_Vertebrate_Populations.html?id=qAcUAQAAIAAJ&amp;redir_esc=y&lt;/a&gt;"</v>
      </c>
      <c r="S71" s="65" t="str">
        <f>"    rbib_"&amp;F71&amp;": "&amp;""""&amp;"&lt;div class=\"&amp;""""&amp;"hanging\"&amp;""""&amp;"&gt;"&amp;J71&amp;"&lt;/div&gt;"&amp;""""</f>
        <v xml:space="preserve">    rbib_caughley_1977: "&lt;div class=\"hanging\"&gt;Caughley, G. (1977). *Analysis of Vertebrate Populations* (pp. 234). Wiley. &lt;https://books.google.ca/books/about/Analysis_of_Vertebrate_Populations.html?id=qAcUAQAAIAAJ&amp;redir_esc=y&gt;&lt;/div&gt;"</v>
      </c>
      <c r="T71" s="65"/>
    </row>
    <row r="72" spans="1:20" ht="15.75">
      <c r="A72" s="65"/>
      <c r="B72" s="155" t="b">
        <v>1</v>
      </c>
      <c r="C72" s="155" t="b">
        <v>0</v>
      </c>
      <c r="D72" s="155" t="b">
        <v>0</v>
      </c>
      <c r="E72" s="65" t="s">
        <v>1904</v>
      </c>
      <c r="F72" s="65" t="s">
        <v>3675</v>
      </c>
      <c r="G72" s="65" t="s">
        <v>3674</v>
      </c>
      <c r="H72" s="65" t="s">
        <v>3674</v>
      </c>
      <c r="I72" s="65" t="b">
        <v>1</v>
      </c>
      <c r="J72" s="65" t="s">
        <v>3673</v>
      </c>
      <c r="K72" s="65" t="s">
        <v>5351</v>
      </c>
      <c r="L72" s="65" t="s">
        <v>3672</v>
      </c>
      <c r="M72" s="65" t="s">
        <v>984</v>
      </c>
      <c r="N72" s="65" t="str">
        <f>"&lt;div class="&amp;""""&amp;"hanging"&amp;""""&amp;"&gt;"&amp;K72&amp;"&lt;a href="&amp;""""&amp;L72&amp;""""&amp;" target="&amp;""""&amp;"_blank"&amp;""""&amp;"&gt;"&amp;L72&amp;"&lt;/a&gt;&lt;span style="&amp;""""&amp;"color:white"&amp;""""&amp;"&gt;[.]{#"&amp;F72&amp;"}}&lt;/span&gt;&lt;/div&gt;&lt;br&gt;"</f>
        <v>&lt;div class="hanging"&gt;Chandler, R. B., &amp; Royle, J. A. (2013). Spatially explicit models for inference about Density in unmarked or partially marked populations. &lt;i&gt;The Annals of Applied Statistics, 7&lt;/i&gt;(2), 936-954.&lt;a href="https://doi.org/10.1214/12-aoas610" target="_blank"&gt;https://doi.org/10.1214/12-aoas610&lt;/a&gt;&lt;span style="color:white"&gt;[.]{#chandler_royle_2013}}&lt;/span&gt;&lt;/div&gt;&lt;br&gt;</v>
      </c>
      <c r="O72" s="65" t="str">
        <f>"{{ rtxt_"&amp;F72&amp;" }}"</f>
        <v>{{ rtxt_chandler_royle_2013 }}</v>
      </c>
      <c r="P72" s="65" t="str">
        <f>"{{ rbib_"&amp;F72&amp;" }}"</f>
        <v>{{ rbib_chandler_royle_2013 }}</v>
      </c>
      <c r="Q72" s="65" t="str">
        <f>"    rtxt_"&amp;F72&amp;": "&amp;""""&amp;"&lt;a href=\"&amp;""""&amp;"/08_references.html#"&amp;F72&amp;"\"&amp;""""&amp;" target=\"&amp;""""&amp;"_blank\"&amp;""""&amp;"&gt;"&amp;G72&amp;"&lt;/a&gt;"&amp;""""</f>
        <v xml:space="preserve">    rtxt_chandler_royle_2013: "&lt;a href=\"/08_references.html#chandler_royle_2013\" target=\"_blank\"&gt;Chandler &amp; Royle, 2013&lt;/a&gt;"</v>
      </c>
      <c r="R72" s="65" t="str">
        <f>"    rbib_"&amp;F72&amp;": "&amp;""""&amp;K72&amp;"&lt;a href=\"&amp;""""&amp;L72&amp;""""&amp;" target=\"&amp;""""&amp;"_blank\"&amp;""""&amp;"&gt;"&amp;L72&amp;"&lt;/a&gt;"&amp;""""</f>
        <v xml:space="preserve">    rbib_chandler_royle_2013: "Chandler, R. B., &amp; Royle, J. A. (2013). Spatially explicit models for inference about Density in unmarked or partially marked populations. &lt;i&gt;The Annals of Applied Statistics, 7&lt;/i&gt;(2), 936-954.&lt;a href=\"https://doi.org/10.1214/12-aoas610" target=\"_blank\"&gt;https://doi.org/10.1214/12-aoas610&lt;/a&gt;"</v>
      </c>
      <c r="S72" s="65" t="str">
        <f>"    rbib_"&amp;F72&amp;": "&amp;""""&amp;"&lt;div class=\"&amp;""""&amp;"hanging\"&amp;""""&amp;"&gt;"&amp;J72&amp;"&lt;/div&gt;"&amp;""""</f>
        <v xml:space="preserve">    rbib_chandler_royle_2013: "&lt;div class=\"hanging\"&gt;Chandler, R. B., &amp; Royle, J. A. (2013). Spatially explicit models for inference about Density in unmarked or partially marked populations. *The Annals of Applied Statistics, 7*(2), 936-954. &lt;https://doi.org/10.1214/12-aoas610&gt;&lt;/div&gt;"</v>
      </c>
      <c r="T72" s="65"/>
    </row>
    <row r="73" spans="1:20" ht="15.75">
      <c r="A73" s="65"/>
      <c r="B73" s="155"/>
      <c r="C73" s="155"/>
      <c r="D73" s="155"/>
      <c r="E73" s="65" t="s">
        <v>1904</v>
      </c>
      <c r="F73" s="65" t="s">
        <v>3671</v>
      </c>
      <c r="G73" s="65" t="s">
        <v>3670</v>
      </c>
      <c r="H73" s="65" t="s">
        <v>3670</v>
      </c>
      <c r="I73" s="65" t="b">
        <v>1</v>
      </c>
      <c r="J73" s="65" t="s">
        <v>3669</v>
      </c>
      <c r="K73" s="65" t="s">
        <v>5387</v>
      </c>
      <c r="L73" s="65" t="s">
        <v>3668</v>
      </c>
      <c r="M73" s="65" t="s">
        <v>984</v>
      </c>
      <c r="N73" s="65" t="str">
        <f>"&lt;div class="&amp;""""&amp;"hanging"&amp;""""&amp;"&gt;"&amp;K73&amp;"&lt;a href="&amp;""""&amp;L73&amp;""""&amp;" target="&amp;""""&amp;"_blank"&amp;""""&amp;"&gt;"&amp;L73&amp;"&lt;/a&gt;&lt;span style="&amp;""""&amp;"color:white"&amp;""""&amp;"&gt;[.]{#"&amp;F73&amp;"}}&lt;/span&gt;&lt;/div&gt;&lt;br&gt;"</f>
        <v>&lt;div class="hanging"&gt;Chao, A., Gotelli, N.J., Hsieh, T. C., Sander, E. L., Ma, K. H., Colwell, R. K. &amp; Ellison, A. M. (2014). Rarefaction and extrapolation with Hill numbers: a framework for sampling and estimation in species diversity studies. &lt;i&gt;Ecological Monographs, 84&lt;/i&gt;, 45-67.&lt;a href="https://doi.org/10.1890/13-0133.1" target="_blank"&gt;https://doi.org/10.1890/13-0133.1&lt;/a&gt;&lt;span style="color:white"&gt;[.]{#chao_et_al_2014}}&lt;/span&gt;&lt;/div&gt;&lt;br&gt;</v>
      </c>
      <c r="O73" s="65" t="str">
        <f>"{{ rtxt_"&amp;F73&amp;" }}"</f>
        <v>{{ rtxt_chao_et_al_2014 }}</v>
      </c>
      <c r="P73" s="65" t="str">
        <f>"{{ rbib_"&amp;F73&amp;" }}"</f>
        <v>{{ rbib_chao_et_al_2014 }}</v>
      </c>
      <c r="Q73" s="65" t="str">
        <f>"    rtxt_"&amp;F73&amp;": "&amp;""""&amp;"&lt;a href=\"&amp;""""&amp;"/08_references.html#"&amp;F73&amp;"\"&amp;""""&amp;" target=\"&amp;""""&amp;"_blank\"&amp;""""&amp;"&gt;"&amp;G73&amp;"&lt;/a&gt;"&amp;""""</f>
        <v xml:space="preserve">    rtxt_chao_et_al_2014: "&lt;a href=\"/08_references.html#chao_et_al_2014\" target=\"_blank\"&gt;Chao et al., 2014&lt;/a&gt;"</v>
      </c>
      <c r="R73" s="65" t="str">
        <f>"    rbib_"&amp;F73&amp;": "&amp;""""&amp;K73&amp;"&lt;a href=\"&amp;""""&amp;L73&amp;""""&amp;" target=\"&amp;""""&amp;"_blank\"&amp;""""&amp;"&gt;"&amp;L73&amp;"&lt;/a&gt;"&amp;""""</f>
        <v xml:space="preserve">    rbib_chao_et_al_2014: "Chao, A., Gotelli, N.J., Hsieh, T. C., Sander, E. L., Ma, K. H., Colwell, R. K. &amp; Ellison, A. M. (2014). Rarefaction and extrapolation with Hill numbers: a framework for sampling and estimation in species diversity studies. &lt;i&gt;Ecological Monographs, 84&lt;/i&gt;, 45-67.&lt;a href=\"https://doi.org/10.1890/13-0133.1" target=\"_blank\"&gt;https://doi.org/10.1890/13-0133.1&lt;/a&gt;"</v>
      </c>
      <c r="S73" s="65" t="str">
        <f>"    rbib_"&amp;F73&amp;": "&amp;""""&amp;"&lt;div class=\"&amp;""""&amp;"hanging\"&amp;""""&amp;"&gt;"&amp;J73&amp;"&lt;/div&gt;"&amp;""""</f>
        <v xml:space="preserve">    rbib_chao_et_al_2014: "&lt;div class=\"hanging\"&gt;Chao, A., Gotelli, N.J., Hsieh, T. C., Sander, E. L., Ma, K. H., Colwell, R. K. &amp; Ellison, A. M. (2014). Rarefaction and extrapolation with Hill numbers: a framework for sampling and estimation in species diversity studies. *Ecological Monographs, 84*, 45-67. &lt;https://doi.org/10.1890/13-0133.1&gt;&lt;/div&gt;"</v>
      </c>
      <c r="T73" s="65"/>
    </row>
    <row r="74" spans="1:20" ht="15.75">
      <c r="A74" s="65"/>
      <c r="B74" s="155"/>
      <c r="C74" s="155"/>
      <c r="D74" s="155"/>
      <c r="E74" s="65" t="s">
        <v>2138</v>
      </c>
      <c r="F74" s="65" t="s">
        <v>3667</v>
      </c>
      <c r="G74" s="65" t="s">
        <v>3666</v>
      </c>
      <c r="H74" s="65" t="s">
        <v>3666</v>
      </c>
      <c r="I74" s="65" t="b">
        <v>1</v>
      </c>
      <c r="J74" s="65" t="s">
        <v>3665</v>
      </c>
      <c r="K74" s="65" t="s">
        <v>5097</v>
      </c>
      <c r="L74" s="65" t="s">
        <v>3664</v>
      </c>
      <c r="M74" s="65" t="s">
        <v>984</v>
      </c>
      <c r="N74" s="65" t="str">
        <f>"&lt;div class="&amp;""""&amp;"hanging"&amp;""""&amp;"&gt;"&amp;K74&amp;"&lt;a href="&amp;""""&amp;L74&amp;""""&amp;" target="&amp;""""&amp;"_blank"&amp;""""&amp;"&gt;"&amp;L74&amp;"&lt;/a&gt;&lt;span style="&amp;""""&amp;"color:white"&amp;""""&amp;"&gt;[.]{#"&amp;F74&amp;"}}&lt;/span&gt;&lt;/div&gt;&lt;br&gt;"</f>
        <v>&lt;div class="hanging"&gt;Chao, A., Ma, K. H., &amp; Hsieh, T. C. (2016). &lt;i&gt;iNEXT Online: Software for Interpolation and Extrapolation of Species Diversity.&lt;/i&gt; Program and User’s Guide published at&lt;a href="http://chao.stat.nthu.edu.tw/wordpress/software_download/inextonline/" target="_blank"&gt;http://chao.stat.nthu.edu.tw/wordpress/software_download/inextonline/&lt;/a&gt;&lt;span style="color:white"&gt;[.]{#chao_et_al_2016}}&lt;/span&gt;&lt;/div&gt;&lt;br&gt;</v>
      </c>
      <c r="O74" s="65" t="str">
        <f>"{{ rtxt_"&amp;F74&amp;" }}"</f>
        <v>{{ rtxt_chao_et_al_2016 }}</v>
      </c>
      <c r="P74" s="65" t="str">
        <f>"{{ rbib_"&amp;F74&amp;" }}"</f>
        <v>{{ rbib_chao_et_al_2016 }}</v>
      </c>
      <c r="Q74" s="65" t="str">
        <f>"    rtxt_"&amp;F74&amp;": "&amp;""""&amp;"&lt;a href=\"&amp;""""&amp;"/08_references.html#"&amp;F74&amp;"\"&amp;""""&amp;" target=\"&amp;""""&amp;"_blank\"&amp;""""&amp;"&gt;"&amp;G74&amp;"&lt;/a&gt;"&amp;""""</f>
        <v xml:space="preserve">    rtxt_chao_et_al_2016: "&lt;a href=\"/08_references.html#chao_et_al_2016\" target=\"_blank\"&gt;Chao et al., 2016&lt;/a&gt;"</v>
      </c>
      <c r="R74" s="65" t="str">
        <f>"    rbib_"&amp;F74&amp;": "&amp;""""&amp;K74&amp;"&lt;a href=\"&amp;""""&amp;L74&amp;""""&amp;" target=\"&amp;""""&amp;"_blank\"&amp;""""&amp;"&gt;"&amp;L74&amp;"&lt;/a&gt;"&amp;""""</f>
        <v xml:space="preserve">    rbib_chao_et_al_2016: "Chao, A., Ma, K. H., &amp; Hsieh, T. C. (2016). &lt;i&gt;iNEXT Online: Software for Interpolation and Extrapolation of Species Diversity.&lt;/i&gt; Program and User’s Guide published at&lt;a href=\"http://chao.stat.nthu.edu.tw/wordpress/software_download/inextonline/" target=\"_blank\"&gt;http://chao.stat.nthu.edu.tw/wordpress/software_download/inextonline/&lt;/a&gt;"</v>
      </c>
      <c r="S74" s="65" t="str">
        <f>"    rbib_"&amp;F74&amp;": "&amp;""""&amp;"&lt;div class=\"&amp;""""&amp;"hanging\"&amp;""""&amp;"&gt;"&amp;J74&amp;"&lt;/div&gt;"&amp;""""</f>
        <v xml:space="preserve">    rbib_chao_et_al_2016: "&lt;div class=\"hanging\"&gt;Chao, A., Ma, K. H., &amp; Hsieh, T. C. (2016). *iNEXT Online: Software for Interpolation and Extrapolation of Species Diversity.* Program and User’s Guide published at &lt;http://chao.stat.nthu.edu.tw/wordpress/software_download/inextonline/&gt;&lt;/div&gt;"</v>
      </c>
      <c r="T74" s="65"/>
    </row>
    <row r="75" spans="1:20" ht="15.75">
      <c r="A75" s="65"/>
      <c r="B75" s="155" t="b">
        <v>1</v>
      </c>
      <c r="C75" s="155" t="b">
        <v>0</v>
      </c>
      <c r="D75" s="155" t="b">
        <v>1</v>
      </c>
      <c r="E75" s="65" t="s">
        <v>1904</v>
      </c>
      <c r="F75" s="65" t="s">
        <v>3663</v>
      </c>
      <c r="G75" s="65" t="s">
        <v>3662</v>
      </c>
      <c r="H75" s="65" t="s">
        <v>3662</v>
      </c>
      <c r="I75" s="65" t="b">
        <v>1</v>
      </c>
      <c r="J75" s="65" t="s">
        <v>3661</v>
      </c>
      <c r="K75" s="65" t="s">
        <v>5154</v>
      </c>
      <c r="L75" s="65" t="s">
        <v>3660</v>
      </c>
      <c r="M75" s="65" t="s">
        <v>984</v>
      </c>
      <c r="N75" s="65" t="str">
        <f>"&lt;div class="&amp;""""&amp;"hanging"&amp;""""&amp;"&gt;"&amp;K75&amp;"&lt;a href="&amp;""""&amp;L75&amp;""""&amp;" target="&amp;""""&amp;"_blank"&amp;""""&amp;"&gt;"&amp;L75&amp;"&lt;/a&gt;&lt;span style="&amp;""""&amp;"color:white"&amp;""""&amp;"&gt;[.]{#"&amp;F75&amp;"}}&lt;/span&gt;&lt;/div&gt;&lt;br&gt;"</f>
        <v>&lt;div class="hanging"&gt;Chatterjee, N., Schuttler, T. G., Nigam, P., &amp; Habib, B. (2021). Deciphering the rarity-detectability continuum: optimizing Survey design for terrestrial mammalian community. &lt;i&gt;Ecosphere 12&lt;/i&gt;(9), e03748.&lt;a href="https://doi.org/10.1002/ecs2.3748" target="_blank"&gt;https://doi.org/10.1002/ecs2.3748&lt;/a&gt;&lt;span style="color:white"&gt;[.]{#chatterjee_et_al_2021}}&lt;/span&gt;&lt;/div&gt;&lt;br&gt;</v>
      </c>
      <c r="O75" s="65" t="str">
        <f>"{{ rtxt_"&amp;F75&amp;" }}"</f>
        <v>{{ rtxt_chatterjee_et_al_2021 }}</v>
      </c>
      <c r="P75" s="65" t="str">
        <f>"{{ rbib_"&amp;F75&amp;" }}"</f>
        <v>{{ rbib_chatterjee_et_al_2021 }}</v>
      </c>
      <c r="Q75" s="65" t="str">
        <f>"    rtxt_"&amp;F75&amp;": "&amp;""""&amp;"&lt;a href=\"&amp;""""&amp;"/08_references.html#"&amp;F75&amp;"\"&amp;""""&amp;" target=\"&amp;""""&amp;"_blank\"&amp;""""&amp;"&gt;"&amp;G75&amp;"&lt;/a&gt;"&amp;""""</f>
        <v xml:space="preserve">    rtxt_chatterjee_et_al_2021: "&lt;a href=\"/08_references.html#chatterjee_et_al_2021\" target=\"_blank\"&gt;Chatterjee et al., 2021&lt;/a&gt;"</v>
      </c>
      <c r="R75" s="65" t="str">
        <f>"    rbib_"&amp;F75&amp;": "&amp;""""&amp;K75&amp;"&lt;a href=\"&amp;""""&amp;L75&amp;""""&amp;" target=\"&amp;""""&amp;"_blank\"&amp;""""&amp;"&gt;"&amp;L75&amp;"&lt;/a&gt;"&amp;""""</f>
        <v xml:space="preserve">    rbib_chatterjee_et_al_2021: "Chatterjee, N., Schuttler, T. G., Nigam, P., &amp; Habib, B. (2021). Deciphering the rarity-detectability continuum: optimizing Survey design for terrestrial mammalian community. &lt;i&gt;Ecosphere 12&lt;/i&gt;(9), e03748.&lt;a href=\"https://doi.org/10.1002/ecs2.3748" target=\"_blank\"&gt;https://doi.org/10.1002/ecs2.3748&lt;/a&gt;"</v>
      </c>
      <c r="S75" s="65" t="str">
        <f>"    rbib_"&amp;F75&amp;": "&amp;""""&amp;"&lt;div class=\"&amp;""""&amp;"hanging\"&amp;""""&amp;"&gt;"&amp;J75&amp;"&lt;/div&gt;"&amp;""""</f>
        <v xml:space="preserve">    rbib_chatterjee_et_al_2021: "&lt;div class=\"hanging\"&gt;Chatterjee, N., Schuttler, T. G., Nigam, P., &amp; Habib, B. (2021). Deciphering the rarity-detectability continuum: optimizing Survey design for terrestrial mammalian community. *Ecosphere 12*(9), e03748. &lt;https://doi.org/10.1002/ecs2.3748&gt;&lt;/div&gt;"</v>
      </c>
      <c r="T75" s="65"/>
    </row>
    <row r="76" spans="1:20" ht="15.75">
      <c r="A76" s="65"/>
      <c r="B76" s="155" t="b">
        <v>1</v>
      </c>
      <c r="C76" s="155" t="b">
        <v>0</v>
      </c>
      <c r="D76" s="155" t="b">
        <v>0</v>
      </c>
      <c r="E76" s="65" t="s">
        <v>1904</v>
      </c>
      <c r="F76" s="65" t="s">
        <v>3659</v>
      </c>
      <c r="G76" s="65" t="s">
        <v>3658</v>
      </c>
      <c r="H76" s="65" t="s">
        <v>3658</v>
      </c>
      <c r="I76" s="65" t="b">
        <v>1</v>
      </c>
      <c r="J76" s="65" t="s">
        <v>3657</v>
      </c>
      <c r="K76" s="65" t="s">
        <v>5252</v>
      </c>
      <c r="L76" s="65" t="s">
        <v>3656</v>
      </c>
      <c r="M76" s="65" t="s">
        <v>984</v>
      </c>
      <c r="N76" s="65" t="str">
        <f>"&lt;div class="&amp;""""&amp;"hanging"&amp;""""&amp;"&gt;"&amp;K76&amp;"&lt;a href="&amp;""""&amp;L76&amp;""""&amp;" target="&amp;""""&amp;"_blank"&amp;""""&amp;"&gt;"&amp;L76&amp;"&lt;/a&gt;&lt;span style="&amp;""""&amp;"color:white"&amp;""""&amp;"&gt;[.]{#"&amp;F76&amp;"}}&lt;/span&gt;&lt;/div&gt;&lt;br&gt;"</f>
        <v>&lt;div class="hanging"&gt;Clark, T. G., Bradburn, M. J., Love, S. B., &amp; Altman, D. G. (2003). Survival Analysis Part I: Basic Concepts and First Analyses. &lt;i&gt;British Journal of Cancer, 89&lt;/i&gt;(2), 232-38.&lt;a href="https://doi.org/10.1038/sj.bjc.6601118" target="_blank"&gt;https://doi.org/10.1038/sj.bjc.6601118&lt;/a&gt;&lt;span style="color:white"&gt;[.]{#clark_et_al_2003}}&lt;/span&gt;&lt;/div&gt;&lt;br&gt;</v>
      </c>
      <c r="O76" s="65" t="str">
        <f>"{{ rtxt_"&amp;F76&amp;" }}"</f>
        <v>{{ rtxt_clark_et_al_2003 }}</v>
      </c>
      <c r="P76" s="65" t="str">
        <f>"{{ rbib_"&amp;F76&amp;" }}"</f>
        <v>{{ rbib_clark_et_al_2003 }}</v>
      </c>
      <c r="Q76" s="65" t="str">
        <f>"    rtxt_"&amp;F76&amp;": "&amp;""""&amp;"&lt;a href=\"&amp;""""&amp;"/08_references.html#"&amp;F76&amp;"\"&amp;""""&amp;" target=\"&amp;""""&amp;"_blank\"&amp;""""&amp;"&gt;"&amp;G76&amp;"&lt;/a&gt;"&amp;""""</f>
        <v xml:space="preserve">    rtxt_clark_et_al_2003: "&lt;a href=\"/08_references.html#clark_et_al_2003\" target=\"_blank\"&gt;Clark et al., 2003&lt;/a&gt;"</v>
      </c>
      <c r="R76" s="65" t="str">
        <f>"    rbib_"&amp;F76&amp;": "&amp;""""&amp;K76&amp;"&lt;a href=\"&amp;""""&amp;L76&amp;""""&amp;" target=\"&amp;""""&amp;"_blank\"&amp;""""&amp;"&gt;"&amp;L76&amp;"&lt;/a&gt;"&amp;""""</f>
        <v xml:space="preserve">    rbib_clark_et_al_2003: "Clark, T. G., Bradburn, M. J., Love, S. B., &amp; Altman, D. G. (2003). Survival Analysis Part I: Basic Concepts and First Analyses. &lt;i&gt;British Journal of Cancer, 89&lt;/i&gt;(2), 232-38.&lt;a href=\"https://doi.org/10.1038/sj.bjc.6601118" target=\"_blank\"&gt;https://doi.org/10.1038/sj.bjc.6601118&lt;/a&gt;"</v>
      </c>
      <c r="S76" s="65" t="str">
        <f>"    rbib_"&amp;F76&amp;": "&amp;""""&amp;"&lt;div class=\"&amp;""""&amp;"hanging\"&amp;""""&amp;"&gt;"&amp;J76&amp;"&lt;/div&gt;"&amp;""""</f>
        <v xml:space="preserve">    rbib_clark_et_al_2003: "&lt;div class=\"hanging\"&gt;Clark, T. G., Bradburn, M. J., Love, S. B., &amp; Altman, D. G. (2003). Survival Analysis Part I: Basic Concepts and First Analyses. *British Journal of Cancer, 89*(2), 232-38. &lt;https://doi.org/10.1038/sj.bjc.6601118&gt;&lt;/div&gt;"</v>
      </c>
      <c r="T76" s="65"/>
    </row>
    <row r="77" spans="1:20" ht="15.75">
      <c r="A77" s="65"/>
      <c r="B77" s="155" t="b">
        <v>1</v>
      </c>
      <c r="C77" s="155" t="b">
        <v>0</v>
      </c>
      <c r="D77" s="155" t="b">
        <v>0</v>
      </c>
      <c r="E77" s="65" t="s">
        <v>1904</v>
      </c>
      <c r="F77" s="65" t="s">
        <v>3655</v>
      </c>
      <c r="G77" s="65" t="s">
        <v>3654</v>
      </c>
      <c r="H77" s="65" t="s">
        <v>3654</v>
      </c>
      <c r="I77" s="65" t="b">
        <v>1</v>
      </c>
      <c r="J77" s="65" t="s">
        <v>6102</v>
      </c>
      <c r="K77" s="65" t="s">
        <v>5131</v>
      </c>
      <c r="L77" s="65" t="s">
        <v>3653</v>
      </c>
      <c r="M77" s="65" t="s">
        <v>984</v>
      </c>
      <c r="N77" s="65" t="str">
        <f>"&lt;div class="&amp;""""&amp;"hanging"&amp;""""&amp;"&gt;"&amp;K77&amp;"&lt;a href="&amp;""""&amp;L77&amp;""""&amp;" target="&amp;""""&amp;"_blank"&amp;""""&amp;"&gt;"&amp;L77&amp;"&lt;/a&gt;&lt;span style="&amp;""""&amp;"color:white"&amp;""""&amp;"&gt;[.]{#"&amp;F77&amp;"}}&lt;/span&gt;&lt;/div&gt;&lt;br&gt;"</f>
        <v>&lt;div class="hanging"&gt;Clarke, J. D. (2019).comparing Clustered Sampling Designs for Spatially Explicit Estimation of Population Density. &lt;i&gt;Population Ecology, 61&lt;/i&gt;, 93-101.&lt;a href="https://doi.org/10.1002/1438-390X.1011" target="_blank"&gt;https://doi.org/10.1002/1438-390X.1011&lt;/a&gt;&lt;span style="color:white"&gt;[.]{#clarke_2019}}&lt;/span&gt;&lt;/div&gt;&lt;br&gt;</v>
      </c>
      <c r="O77" s="65" t="str">
        <f>"{{ rtxt_"&amp;F77&amp;" }}"</f>
        <v>{{ rtxt_clarke_2019 }}</v>
      </c>
      <c r="P77" s="65" t="str">
        <f>"{{ rbib_"&amp;F77&amp;" }}"</f>
        <v>{{ rbib_clarke_2019 }}</v>
      </c>
      <c r="Q77" s="65" t="str">
        <f>"    rtxt_"&amp;F77&amp;": "&amp;""""&amp;"&lt;a href=\"&amp;""""&amp;"/08_references.html#"&amp;F77&amp;"\"&amp;""""&amp;" target=\"&amp;""""&amp;"_blank\"&amp;""""&amp;"&gt;"&amp;G77&amp;"&lt;/a&gt;"&amp;""""</f>
        <v xml:space="preserve">    rtxt_clarke_2019: "&lt;a href=\"/08_references.html#clarke_2019\" target=\"_blank\"&gt;Clarke, 2019&lt;/a&gt;"</v>
      </c>
      <c r="R77" s="65" t="str">
        <f>"    rbib_"&amp;F77&amp;": "&amp;""""&amp;K77&amp;"&lt;a href=\"&amp;""""&amp;L77&amp;""""&amp;" target=\"&amp;""""&amp;"_blank\"&amp;""""&amp;"&gt;"&amp;L77&amp;"&lt;/a&gt;"&amp;""""</f>
        <v xml:space="preserve">    rbib_clarke_2019: "Clarke, J. D. (2019).comparing Clustered Sampling Designs for Spatially Explicit Estimation of Population Density. &lt;i&gt;Population Ecology, 61&lt;/i&gt;, 93-101.&lt;a href=\"https://doi.org/10.1002/1438-390X.1011" target=\"_blank\"&gt;https://doi.org/10.1002/1438-390X.1011&lt;/a&gt;"</v>
      </c>
      <c r="S77" s="65" t="str">
        <f>"    rbib_"&amp;F77&amp;": "&amp;""""&amp;"&lt;div class=\"&amp;""""&amp;"hanging\"&amp;""""&amp;"&gt;"&amp;J77&amp;"&lt;/div&gt;"&amp;""""</f>
        <v xml:space="preserve">    rbib_clarke_2019: "&lt;div class=\"hanging\"&gt;Clarke, J. D. (2019). Comparing Clustered Sampling Designs for Spatially Explicit Estimation of Population Density. *Population Ecology, 61*, 93-101. &lt;https://doi.org/10.1002/1438-390X.1011&gt;&lt;/div&gt;"</v>
      </c>
      <c r="T77" s="65"/>
    </row>
    <row r="78" spans="1:20" ht="15.75">
      <c r="A78" s="65"/>
      <c r="B78" s="155" t="b">
        <v>1</v>
      </c>
      <c r="C78" s="155" t="b">
        <v>0</v>
      </c>
      <c r="D78" s="155" t="b">
        <v>1</v>
      </c>
      <c r="E78" s="65" t="s">
        <v>1904</v>
      </c>
      <c r="F78" s="65" t="s">
        <v>463</v>
      </c>
      <c r="G78" s="65" t="s">
        <v>3652</v>
      </c>
      <c r="H78" s="65" t="s">
        <v>3652</v>
      </c>
      <c r="I78" s="65" t="b">
        <v>1</v>
      </c>
      <c r="J78" s="65" t="s">
        <v>3651</v>
      </c>
      <c r="K78" s="65" t="s">
        <v>5353</v>
      </c>
      <c r="L78" s="65" t="s">
        <v>3650</v>
      </c>
      <c r="M78" s="65" t="s">
        <v>984</v>
      </c>
      <c r="N78" s="65" t="str">
        <f>"&lt;div class="&amp;""""&amp;"hanging"&amp;""""&amp;"&gt;"&amp;K78&amp;"&lt;a href="&amp;""""&amp;L78&amp;""""&amp;" target="&amp;""""&amp;"_blank"&amp;""""&amp;"&gt;"&amp;L78&amp;"&lt;/a&gt;&lt;span style="&amp;""""&amp;"color:white"&amp;""""&amp;"&gt;[.]{#"&amp;F78&amp;"}}&lt;/span&gt;&lt;/div&gt;&lt;br&gt;"</f>
        <v>&lt;div class="hanging"&gt;Clarke, J., Bohm, H., Burton, C., Constantinou, A. (2023). &lt;i&gt;Using Camera Traps to Estimate Medium and Large Mammal Density: Comparison of Methods and Recommendations for Wildlife Managers&lt;/i&gt;.&lt;a href="https://doi.org/10.13140/RG.2.2.18364.72320" target="_blank"&gt;https://doi.org/10.13140/RG.2.2.18364.72320&lt;/a&gt;&lt;span style="color:white"&gt;[.]{#clarke_et_al_2023}}&lt;/span&gt;&lt;/div&gt;&lt;br&gt;</v>
      </c>
      <c r="O78" s="65" t="str">
        <f>"{{ rtxt_"&amp;F78&amp;" }}"</f>
        <v>{{ rtxt_clarke_et_al_2023 }}</v>
      </c>
      <c r="P78" s="65" t="str">
        <f>"{{ rbib_"&amp;F78&amp;" }}"</f>
        <v>{{ rbib_clarke_et_al_2023 }}</v>
      </c>
      <c r="Q78" s="65" t="str">
        <f>"    rtxt_"&amp;F78&amp;": "&amp;""""&amp;"&lt;a href=\"&amp;""""&amp;"/08_references.html#"&amp;F78&amp;"\"&amp;""""&amp;" target=\"&amp;""""&amp;"_blank\"&amp;""""&amp;"&gt;"&amp;G78&amp;"&lt;/a&gt;"&amp;""""</f>
        <v xml:space="preserve">    rtxt_clarke_et_al_2023: "&lt;a href=\"/08_references.html#clarke_et_al_2023\" target=\"_blank\"&gt;Clarke et al., 2023&lt;/a&gt;"</v>
      </c>
      <c r="R78" s="65" t="str">
        <f>"    rbib_"&amp;F78&amp;": "&amp;""""&amp;K78&amp;"&lt;a href=\"&amp;""""&amp;L78&amp;""""&amp;" target=\"&amp;""""&amp;"_blank\"&amp;""""&amp;"&gt;"&amp;L78&amp;"&lt;/a&gt;"&amp;""""</f>
        <v xml:space="preserve">    rbib_clarke_et_al_2023: "Clarke, J., Bohm, H., Burton, C., Constantinou, A. (2023). &lt;i&gt;Using Camera Traps to Estimate Medium and Large Mammal Density: Comparison of Methods and Recommendations for Wildlife Managers&lt;/i&gt;.&lt;a href=\"https://doi.org/10.13140/RG.2.2.18364.72320" target=\"_blank\"&gt;https://doi.org/10.13140/RG.2.2.18364.72320&lt;/a&gt;"</v>
      </c>
      <c r="S78" s="65" t="str">
        <f>"    rbib_"&amp;F78&amp;": "&amp;""""&amp;"&lt;div class=\"&amp;""""&amp;"hanging\"&amp;""""&amp;"&gt;"&amp;J78&amp;"&lt;/div&gt;"&amp;""""</f>
        <v xml:space="preserve">    rbib_clarke_et_al_2023: "&lt;div class=\"hanging\"&gt;Clarke, J., Bohm, H., Burton, C., Constantinou, A. (2023). *Using Camera Traps to Estimate Medium and Large Mammal Density: Comparison of Methods and Recommendations for Wildlife Managers*. &lt;https://doi.org/10.13140/RG.2.2.18364.72320&gt;&lt;/div&gt;"</v>
      </c>
      <c r="T78" s="65"/>
    </row>
    <row r="79" spans="1:20" ht="15.75">
      <c r="A79" s="65"/>
      <c r="B79" s="155" t="b">
        <v>0</v>
      </c>
      <c r="C79" s="155" t="b">
        <v>1</v>
      </c>
      <c r="D79" s="155" t="b">
        <v>0</v>
      </c>
      <c r="E79" s="65" t="s">
        <v>1904</v>
      </c>
      <c r="F79" s="65" t="s">
        <v>3649</v>
      </c>
      <c r="G79" s="65" t="s">
        <v>3648</v>
      </c>
      <c r="H79" s="65" t="s">
        <v>3648</v>
      </c>
      <c r="I79" s="65" t="b">
        <v>1</v>
      </c>
      <c r="J79" s="65" t="s">
        <v>3647</v>
      </c>
      <c r="K79" s="65" t="s">
        <v>5224</v>
      </c>
      <c r="L79" s="65" t="s">
        <v>3646</v>
      </c>
      <c r="M79" s="65" t="s">
        <v>984</v>
      </c>
      <c r="N79" s="65" t="str">
        <f>"&lt;div class="&amp;""""&amp;"hanging"&amp;""""&amp;"&gt;"&amp;K79&amp;"&lt;a href="&amp;""""&amp;L79&amp;""""&amp;" target="&amp;""""&amp;"_blank"&amp;""""&amp;"&gt;"&amp;L79&amp;"&lt;/a&gt;&lt;span style="&amp;""""&amp;"color:white"&amp;""""&amp;"&gt;[.]{#"&amp;F79&amp;"}}&lt;/span&gt;&lt;/div&gt;&lt;br&gt;"</f>
        <v>&lt;div class="hanging"&gt;Clevenger, A. P., &amp; Waltho, N. (2005). Performance indices to identify attributes of highway crossing structures facilitating movement of large mammals. &lt;i&gt;Biological Conservation, 121&lt;/i&gt;(3), 453-464.&lt;a href="https://doi.org/10.1016/j.biocon.2004.04.025" target="_blank"&gt;https://doi.org/10.1016/j.biocon.2004.04.025&lt;/a&gt;&lt;span style="color:white"&gt;[.]{#clevenger_waltho_2005}}&lt;/span&gt;&lt;/div&gt;&lt;br&gt;</v>
      </c>
      <c r="O79" s="65" t="str">
        <f>"{{ rtxt_"&amp;F79&amp;" }}"</f>
        <v>{{ rtxt_clevenger_waltho_2005 }}</v>
      </c>
      <c r="P79" s="65" t="str">
        <f>"{{ rbib_"&amp;F79&amp;" }}"</f>
        <v>{{ rbib_clevenger_waltho_2005 }}</v>
      </c>
      <c r="Q79" s="65" t="str">
        <f>"    rtxt_"&amp;F79&amp;": "&amp;""""&amp;"&lt;a href=\"&amp;""""&amp;"/08_references.html#"&amp;F79&amp;"\"&amp;""""&amp;" target=\"&amp;""""&amp;"_blank\"&amp;""""&amp;"&gt;"&amp;G79&amp;"&lt;/a&gt;"&amp;""""</f>
        <v xml:space="preserve">    rtxt_clevenger_waltho_2005: "&lt;a href=\"/08_references.html#clevenger_waltho_2005\" target=\"_blank\"&gt;Clevenger &amp; Waltho, 2005&lt;/a&gt;"</v>
      </c>
      <c r="R79" s="65" t="str">
        <f>"    rbib_"&amp;F79&amp;": "&amp;""""&amp;K79&amp;"&lt;a href=\"&amp;""""&amp;L79&amp;""""&amp;" target=\"&amp;""""&amp;"_blank\"&amp;""""&amp;"&gt;"&amp;L79&amp;"&lt;/a&gt;"&amp;""""</f>
        <v xml:space="preserve">    rbib_clevenger_waltho_2005: "Clevenger, A. P., &amp; Waltho, N. (2005). Performance indices to identify attributes of highway crossing structures facilitating movement of large mammals. &lt;i&gt;Biological Conservation, 121&lt;/i&gt;(3), 453-464.&lt;a href=\"https://doi.org/10.1016/j.biocon.2004.04.025" target=\"_blank\"&gt;https://doi.org/10.1016/j.biocon.2004.04.025&lt;/a&gt;"</v>
      </c>
      <c r="S79" s="65" t="str">
        <f>"    rbib_"&amp;F79&amp;": "&amp;""""&amp;"&lt;div class=\"&amp;""""&amp;"hanging\"&amp;""""&amp;"&gt;"&amp;J79&amp;"&lt;/div&gt;"&amp;""""</f>
        <v xml:space="preserve">    rbib_clevenger_waltho_2005: "&lt;div class=\"hanging\"&gt;Clevenger, A. P., &amp; Waltho, N. (2005). Performance indices to identify attributes of highway crossing structures facilitating movement of large mammals. *Biological Conservation, 121* (3), 453-464. &lt;https://doi.org/10.1016/j.biocon.2004.04.025&gt;&lt;/div&gt;"</v>
      </c>
      <c r="T79" s="65"/>
    </row>
    <row r="80" spans="1:20" ht="15.75">
      <c r="A80" s="65"/>
      <c r="B80" s="155"/>
      <c r="C80" s="155"/>
      <c r="D80" s="155"/>
      <c r="E80" s="65" t="s">
        <v>1904</v>
      </c>
      <c r="F80" s="65" t="s">
        <v>3641</v>
      </c>
      <c r="G80" s="65" t="s">
        <v>3640</v>
      </c>
      <c r="H80" s="65" t="s">
        <v>3639</v>
      </c>
      <c r="I80" s="65" t="b">
        <v>1</v>
      </c>
      <c r="J80" s="65" t="s">
        <v>3638</v>
      </c>
      <c r="K80" s="65" t="s">
        <v>5267</v>
      </c>
      <c r="L80" s="65" t="s">
        <v>3637</v>
      </c>
      <c r="M80" s="65" t="s">
        <v>984</v>
      </c>
      <c r="N80" s="65" t="str">
        <f>"&lt;div class="&amp;""""&amp;"hanging"&amp;""""&amp;"&gt;"&amp;K80&amp;"&lt;a href="&amp;""""&amp;L80&amp;""""&amp;" target="&amp;""""&amp;"_blank"&amp;""""&amp;"&gt;"&amp;L80&amp;"&lt;/a&gt;&lt;span style="&amp;""""&amp;"color:white"&amp;""""&amp;"&gt;[.]{#"&amp;F80&amp;"}}&lt;/span&gt;&lt;/div&gt;&lt;br&gt;"</f>
        <v>&lt;div class="hanging"&gt;Codling, E. A., Plank, M. J., &amp; Benhamou, S. (2008). Random walk models in biology. &lt;i&gt;Journal of The Royal Society Interface, 5&lt;/i&gt;(25), 813-834.&lt;a href="https://doi.org/10.1098/rsif.2008.0014" target="_blank"&gt;https://doi.org/10.1098/rsif.2008.0014&lt;/a&gt;&lt;span style="color:white"&gt;[.]{#codling_et_al_2008}}&lt;/span&gt;&lt;/div&gt;&lt;br&gt;</v>
      </c>
      <c r="O80" s="65" t="str">
        <f>"{{ rtxt_"&amp;F80&amp;" }}"</f>
        <v>{{ rtxt_codling_et_al_2008 }}</v>
      </c>
      <c r="P80" s="65" t="str">
        <f>"{{ rbib_"&amp;F80&amp;" }}"</f>
        <v>{{ rbib_codling_et_al_2008 }}</v>
      </c>
      <c r="Q80" s="65" t="str">
        <f>"    rtxt_"&amp;F80&amp;": "&amp;""""&amp;"&lt;a href=\"&amp;""""&amp;"/08_references.html#"&amp;F80&amp;"\"&amp;""""&amp;" target=\"&amp;""""&amp;"_blank\"&amp;""""&amp;"&gt;"&amp;G80&amp;"&lt;/a&gt;"&amp;""""</f>
        <v xml:space="preserve">    rtxt_codling_et_al_2008: "&lt;a href=\"/08_references.html#codling_et_al_2008\" target=\"_blank\"&gt;Codling et al., 2008&lt;/a&gt;"</v>
      </c>
      <c r="R80" s="65" t="str">
        <f>"    rbib_"&amp;F80&amp;": "&amp;""""&amp;K80&amp;"&lt;a href=\"&amp;""""&amp;L80&amp;""""&amp;" target=\"&amp;""""&amp;"_blank\"&amp;""""&amp;"&gt;"&amp;L80&amp;"&lt;/a&gt;"&amp;""""</f>
        <v xml:space="preserve">    rbib_codling_et_al_2008: "Codling, E. A., Plank, M. J., &amp; Benhamou, S. (2008). Random walk models in biology. &lt;i&gt;Journal of The Royal Society Interface, 5&lt;/i&gt;(25), 813-834.&lt;a href=\"https://doi.org/10.1098/rsif.2008.0014" target=\"_blank\"&gt;https://doi.org/10.1098/rsif.2008.0014&lt;/a&gt;"</v>
      </c>
      <c r="S80" s="65" t="str">
        <f>"    rbib_"&amp;F80&amp;": "&amp;""""&amp;"&lt;div class=\"&amp;""""&amp;"hanging\"&amp;""""&amp;"&gt;"&amp;J80&amp;"&lt;/div&gt;"&amp;""""</f>
        <v xml:space="preserve">    rbib_codling_et_al_2008: "&lt;div class=\"hanging\"&gt;Codling, E. A., Plank, M. J., &amp; Benhamou, S. (2008). Random walk models in biology. *Journal of The Royal Society Interface, 5*(25), 813-834. &lt;https://doi.org/10.1098/rsif.2008.0014&gt;&lt;/div&gt;"</v>
      </c>
      <c r="T80" s="65"/>
    </row>
    <row r="81" spans="1:20" ht="15.75">
      <c r="A81" s="65"/>
      <c r="B81" s="155" t="b">
        <v>0</v>
      </c>
      <c r="C81" s="155" t="b">
        <v>0</v>
      </c>
      <c r="D81" s="155"/>
      <c r="E81" s="65" t="s">
        <v>1904</v>
      </c>
      <c r="F81" s="65" t="s">
        <v>3636</v>
      </c>
      <c r="G81" s="65" t="s">
        <v>3635</v>
      </c>
      <c r="H81" s="65" t="s">
        <v>3635</v>
      </c>
      <c r="I81" s="65" t="b">
        <v>1</v>
      </c>
      <c r="J81" s="65" t="s">
        <v>3634</v>
      </c>
      <c r="K81" s="65" t="s">
        <v>5162</v>
      </c>
      <c r="L81" s="65" t="s">
        <v>3633</v>
      </c>
      <c r="M81" s="65" t="s">
        <v>984</v>
      </c>
      <c r="N81" s="65" t="str">
        <f>"&lt;div class="&amp;""""&amp;"hanging"&amp;""""&amp;"&gt;"&amp;K81&amp;"&lt;a href="&amp;""""&amp;L81&amp;""""&amp;" target="&amp;""""&amp;"_blank"&amp;""""&amp;"&gt;"&amp;L81&amp;"&lt;/a&gt;&lt;span style="&amp;""""&amp;"color:white"&amp;""""&amp;"&gt;[.]{#"&amp;F81&amp;"}}&lt;/span&gt;&lt;/div&gt;&lt;br&gt;"</f>
        <v>&lt;div class="hanging"&gt;Coltrane, J., DeCesare, N. J., Horne, J. S., &amp; Lukacs, P. M. (2024). Comparing camera-based ungulate Density estimates: A case study using island populations of bighorn sheep and mule deer. &lt;i&gt;The Journal of Wildlife Management, 88&lt;/i&gt;(7), e22636.&lt;a href="https://doi.org/10.1002/jwmg.22636" target="_blank"&gt;https://doi.org/10.1002/jwmg.22636&lt;/a&gt;&lt;span style="color:white"&gt;[.]{#coltrane_et_al_2024}}&lt;/span&gt;&lt;/div&gt;&lt;br&gt;</v>
      </c>
      <c r="O81" s="65" t="str">
        <f>"{{ rtxt_"&amp;F81&amp;" }}"</f>
        <v>{{ rtxt_coltrane_et_al_2024 }}</v>
      </c>
      <c r="P81" s="65" t="str">
        <f>"{{ rbib_"&amp;F81&amp;" }}"</f>
        <v>{{ rbib_coltrane_et_al_2024 }}</v>
      </c>
      <c r="Q81" s="65" t="str">
        <f>"    rtxt_"&amp;F81&amp;": "&amp;""""&amp;"&lt;a href=\"&amp;""""&amp;"/08_references.html#"&amp;F81&amp;"\"&amp;""""&amp;" target=\"&amp;""""&amp;"_blank\"&amp;""""&amp;"&gt;"&amp;G81&amp;"&lt;/a&gt;"&amp;""""</f>
        <v xml:space="preserve">    rtxt_coltrane_et_al_2024: "&lt;a href=\"/08_references.html#coltrane_et_al_2024\" target=\"_blank\"&gt;Coltrane et al., 2024&lt;/a&gt;"</v>
      </c>
      <c r="R81" s="65" t="str">
        <f>"    rbib_"&amp;F81&amp;": "&amp;""""&amp;K81&amp;"&lt;a href=\"&amp;""""&amp;L81&amp;""""&amp;" target=\"&amp;""""&amp;"_blank\"&amp;""""&amp;"&gt;"&amp;L81&amp;"&lt;/a&gt;"&amp;""""</f>
        <v xml:space="preserve">    rbib_coltrane_et_al_2024: "Coltrane, J., DeCesare, N. J., Horne, J. S., &amp; Lukacs, P. M. (2024). Comparing camera-based ungulate Density estimates: A case study using island populations of bighorn sheep and mule deer. &lt;i&gt;The Journal of Wildlife Management, 88&lt;/i&gt;(7), e22636.&lt;a href=\"https://doi.org/10.1002/jwmg.22636" target=\"_blank\"&gt;https://doi.org/10.1002/jwmg.22636&lt;/a&gt;"</v>
      </c>
      <c r="S81" s="65" t="str">
        <f>"    rbib_"&amp;F81&amp;": "&amp;""""&amp;"&lt;div class=\"&amp;""""&amp;"hanging\"&amp;""""&amp;"&gt;"&amp;J81&amp;"&lt;/div&gt;"&amp;""""</f>
        <v xml:space="preserve">    rbib_coltrane_et_al_2024: "&lt;div class=\"hanging\"&gt;Coltrane, J., DeCesare, N. J., Horne, J. S., &amp; Lukacs, P. M. (2024). Comparing camera-based ungulate Density estimates: A case study using island populations of bighorn sheep and mule deer. *The Journal of Wildlife Management, 88*(7), e22636. &lt;https://doi.org/10.1002/jwmg.22636&gt;&lt;/div&gt;"</v>
      </c>
      <c r="T81" s="65"/>
    </row>
    <row r="82" spans="1:20" ht="15.75">
      <c r="A82" s="65"/>
      <c r="B82" s="155" t="b">
        <v>1</v>
      </c>
      <c r="C82" s="155" t="b">
        <v>0</v>
      </c>
      <c r="D82" s="155" t="b">
        <v>0</v>
      </c>
      <c r="E82" s="65" t="s">
        <v>1950</v>
      </c>
      <c r="F82" s="65" t="s">
        <v>3645</v>
      </c>
      <c r="G82" s="65" t="s">
        <v>3644</v>
      </c>
      <c r="H82" s="65" t="s">
        <v>3644</v>
      </c>
      <c r="I82" s="65" t="b">
        <v>1</v>
      </c>
      <c r="J82" s="65" t="s">
        <v>3643</v>
      </c>
      <c r="K82" s="65" t="s">
        <v>5548</v>
      </c>
      <c r="L82" s="65" t="s">
        <v>3642</v>
      </c>
      <c r="M82" s="65" t="s">
        <v>984</v>
      </c>
      <c r="N82" s="65" t="str">
        <f>"&lt;div class="&amp;""""&amp;"hanging"&amp;""""&amp;"&gt;"&amp;K82&amp;"&lt;a href="&amp;""""&amp;L82&amp;""""&amp;" target="&amp;""""&amp;"_blank"&amp;""""&amp;"&gt;"&amp;L82&amp;"&lt;/a&gt;&lt;span style="&amp;""""&amp;"color:white"&amp;""""&amp;"&gt;[.]{#"&amp;F82&amp;"}}&lt;/span&gt;&lt;/div&gt;&lt;br&gt;"</f>
        <v>&lt;div class="hanging"&gt;Columbia Mountains Institute of Applied Ecology [CMI]. (2020) &lt;i&gt;Chris Beirne: Tips and Tricks for the Organization and Analysis of Camera Trap Data&lt;/i&gt;.&lt;a href="https://www.youtube.com/watch?v=VadXgBMhiTY" target="_blank"&gt;https://www.youtube.com/watch?v=VadXgBMhiTY&lt;/a&gt;&lt;span style="color:white"&gt;[.]{#cmi_2020}}&lt;/span&gt;&lt;/div&gt;&lt;br&gt;</v>
      </c>
      <c r="O82" s="65" t="str">
        <f>"{{ rtxt_"&amp;F82&amp;" }}"</f>
        <v>{{ rtxt_cmi_2020 }}</v>
      </c>
      <c r="P82" s="65" t="str">
        <f>"{{ rbib_"&amp;F82&amp;" }}"</f>
        <v>{{ rbib_cmi_2020 }}</v>
      </c>
      <c r="Q82" s="65" t="str">
        <f>"    rtxt_"&amp;F82&amp;": "&amp;""""&amp;"&lt;a href=\"&amp;""""&amp;"/08_references.html#"&amp;F82&amp;"\"&amp;""""&amp;" target=\"&amp;""""&amp;"_blank\"&amp;""""&amp;"&gt;"&amp;G82&amp;"&lt;/a&gt;"&amp;""""</f>
        <v xml:space="preserve">    rtxt_cmi_2020: "&lt;a href=\"/08_references.html#cmi_2020\" target=\"_blank\"&gt;Columbia Mountains Institute of Applied Ecology [CMI], 2020&lt;/a&gt;"</v>
      </c>
      <c r="R82" s="65" t="str">
        <f>"    rbib_"&amp;F82&amp;": "&amp;""""&amp;K82&amp;"&lt;a href=\"&amp;""""&amp;L82&amp;""""&amp;" target=\"&amp;""""&amp;"_blank\"&amp;""""&amp;"&gt;"&amp;L82&amp;"&lt;/a&gt;"&amp;""""</f>
        <v xml:space="preserve">    rbib_cmi_2020: "Columbia Mountains Institute of Applied Ecology [CMI]. (2020) &lt;i&gt;Chris Beirne: Tips and Tricks for the Organization and Analysis of Camera Trap Data&lt;/i&gt;.&lt;a href=\"https://www.youtube.com/watch?v=VadXgBMhiTY" target=\"_blank\"&gt;https://www.youtube.com/watch?v=VadXgBMhiTY&lt;/a&gt;"</v>
      </c>
      <c r="S82" s="65" t="str">
        <f>"    rbib_"&amp;F82&amp;": "&amp;""""&amp;"&lt;div class=\"&amp;""""&amp;"hanging\"&amp;""""&amp;"&gt;"&amp;J82&amp;"&lt;/div&gt;"&amp;""""</f>
        <v xml:space="preserve">    rbib_cmi_2020: "&lt;div class=\"hanging\"&gt;Columbia Mountains Institute of Applied Ecology [CMI]. (2020) *Chris Beirne: Tips and Tricks for the Organization and Analysis of Camera Trap Data*. &lt;https://www.youtube.com/watch?v=VadXgBMhiTY&gt;&lt;/div&gt;"</v>
      </c>
      <c r="T82" s="65"/>
    </row>
    <row r="83" spans="1:20" ht="15.75">
      <c r="A83" s="65"/>
      <c r="B83" s="155"/>
      <c r="C83" s="155"/>
      <c r="D83" s="155"/>
      <c r="E83" s="65" t="s">
        <v>2246</v>
      </c>
      <c r="F83" s="65" t="s">
        <v>3632</v>
      </c>
      <c r="G83" s="65" t="s">
        <v>3631</v>
      </c>
      <c r="H83" s="65" t="s">
        <v>3631</v>
      </c>
      <c r="I83" s="65" t="b">
        <v>1</v>
      </c>
      <c r="J83" s="65" t="s">
        <v>3630</v>
      </c>
      <c r="K83" s="65" t="s">
        <v>5513</v>
      </c>
      <c r="L83" s="65" t="s">
        <v>3629</v>
      </c>
      <c r="M83" s="65" t="s">
        <v>984</v>
      </c>
      <c r="N83" s="65" t="str">
        <f>"&lt;div class="&amp;""""&amp;"hanging"&amp;""""&amp;"&gt;"&amp;K83&amp;"&lt;a href="&amp;""""&amp;L83&amp;""""&amp;" target="&amp;""""&amp;"_blank"&amp;""""&amp;"&gt;"&amp;L83&amp;"&lt;/a&gt;&lt;span style="&amp;""""&amp;"color:white"&amp;""""&amp;"&gt;[.]{#"&amp;F83&amp;"}}&lt;/span&gt;&lt;/div&gt;&lt;br&gt;"</f>
        <v>&lt;div class="hanging"&gt;Colwell, R. K. (2022). &lt;i&gt;EstimateS: Statistical Estimation of Species Richness and Shared Species from Samples&lt;/i&gt;. Version 9.1.&lt;a href="https://www.robertkcolwell.org/pages/1407" target="_blank"&gt;https://www.robertkcolwell.org/pages/1407&lt;/a&gt;&lt;span style="color:white"&gt;[.]{#colwell_2022}}&lt;/span&gt;&lt;/div&gt;&lt;br&gt;</v>
      </c>
      <c r="O83" s="65" t="str">
        <f>"{{ rtxt_"&amp;F83&amp;" }}"</f>
        <v>{{ rtxt_colwell_2022 }}</v>
      </c>
      <c r="P83" s="65" t="str">
        <f>"{{ rbib_"&amp;F83&amp;" }}"</f>
        <v>{{ rbib_colwell_2022 }}</v>
      </c>
      <c r="Q83" s="65" t="str">
        <f>"    rtxt_"&amp;F83&amp;": "&amp;""""&amp;"&lt;a href=\"&amp;""""&amp;"/08_references.html#"&amp;F83&amp;"\"&amp;""""&amp;" target=\"&amp;""""&amp;"_blank\"&amp;""""&amp;"&gt;"&amp;G83&amp;"&lt;/a&gt;"&amp;""""</f>
        <v xml:space="preserve">    rtxt_colwell_2022: "&lt;a href=\"/08_references.html#colwell_2022\" target=\"_blank\"&gt;Colwell, 2022&lt;/a&gt;"</v>
      </c>
      <c r="R83" s="65" t="str">
        <f>"    rbib_"&amp;F83&amp;": "&amp;""""&amp;K83&amp;"&lt;a href=\"&amp;""""&amp;L83&amp;""""&amp;" target=\"&amp;""""&amp;"_blank\"&amp;""""&amp;"&gt;"&amp;L83&amp;"&lt;/a&gt;"&amp;""""</f>
        <v xml:space="preserve">    rbib_colwell_2022: "Colwell, R. K. (2022). &lt;i&gt;EstimateS: Statistical Estimation of Species Richness and Shared Species from Samples&lt;/i&gt;. Version 9.1.&lt;a href=\"https://www.robertkcolwell.org/pages/1407" target=\"_blank\"&gt;https://www.robertkcolwell.org/pages/1407&lt;/a&gt;"</v>
      </c>
      <c r="S83" s="65" t="str">
        <f>"    rbib_"&amp;F83&amp;": "&amp;""""&amp;"&lt;div class=\"&amp;""""&amp;"hanging\"&amp;""""&amp;"&gt;"&amp;J83&amp;"&lt;/div&gt;"&amp;""""</f>
        <v xml:space="preserve">    rbib_colwell_2022: "&lt;div class=\"hanging\"&gt;Colwell, R. K. (2022). *EstimateS: Statistical Estimation of Species Richness and Shared Species from Samples*. Version 9.1. &lt;https://www.robertkcolwell.org/pages/1407&gt;&lt;/div&gt;"</v>
      </c>
      <c r="T83" s="65"/>
    </row>
    <row r="84" spans="1:20" ht="15.75">
      <c r="A84" s="65"/>
      <c r="B84" s="155"/>
      <c r="C84" s="155"/>
      <c r="D84" s="155"/>
      <c r="E84" s="65" t="s">
        <v>1904</v>
      </c>
      <c r="F84" s="65" t="s">
        <v>3628</v>
      </c>
      <c r="G84" s="65" t="s">
        <v>3627</v>
      </c>
      <c r="H84" s="65" t="s">
        <v>3627</v>
      </c>
      <c r="I84" s="65" t="b">
        <v>1</v>
      </c>
      <c r="J84" s="65" t="s">
        <v>3626</v>
      </c>
      <c r="K84" s="65" t="s">
        <v>5269</v>
      </c>
      <c r="L84" s="65" t="s">
        <v>3625</v>
      </c>
      <c r="M84" s="65" t="s">
        <v>984</v>
      </c>
      <c r="N84" s="65" t="str">
        <f>"&lt;div class="&amp;""""&amp;"hanging"&amp;""""&amp;"&gt;"&amp;K84&amp;"&lt;a href="&amp;""""&amp;L84&amp;""""&amp;" target="&amp;""""&amp;"_blank"&amp;""""&amp;"&gt;"&amp;L84&amp;"&lt;/a&gt;&lt;span style="&amp;""""&amp;"color:white"&amp;""""&amp;"&gt;[.]{#"&amp;F84&amp;"}}&lt;/span&gt;&lt;/div&gt;&lt;br&gt;"</f>
        <v>&lt;div class="hanging"&gt;Colwell, R. K., &amp; Coddington, J. A. (1994).Estimating terrestrial biodiversity through extrapolation. &lt;i&gt;Philosophical Transactions of the Royal Society of London. Series B, Biological Sciences, 345&lt;/i&gt;, 101-118.&lt;a href="https://doi.org/10.1098/rstb.1994.0091" target="_blank"&gt;https://doi.org/10.1098/rstb.1994.0091&lt;/a&gt;&lt;span style="color:white"&gt;[.]{#colwell_coddington_1994}}&lt;/span&gt;&lt;/div&gt;&lt;br&gt;</v>
      </c>
      <c r="O84" s="65" t="str">
        <f>"{{ rtxt_"&amp;F84&amp;" }}"</f>
        <v>{{ rtxt_colwell_coddington_1994 }}</v>
      </c>
      <c r="P84" s="65" t="str">
        <f>"{{ rbib_"&amp;F84&amp;" }}"</f>
        <v>{{ rbib_colwell_coddington_1994 }}</v>
      </c>
      <c r="Q84" s="65" t="str">
        <f>"    rtxt_"&amp;F84&amp;": "&amp;""""&amp;"&lt;a href=\"&amp;""""&amp;"/08_references.html#"&amp;F84&amp;"\"&amp;""""&amp;" target=\"&amp;""""&amp;"_blank\"&amp;""""&amp;"&gt;"&amp;G84&amp;"&lt;/a&gt;"&amp;""""</f>
        <v xml:space="preserve">    rtxt_colwell_coddington_1994: "&lt;a href=\"/08_references.html#colwell_coddington_1994\" target=\"_blank\"&gt;Colwell &amp; Coddington, 1994&lt;/a&gt;"</v>
      </c>
      <c r="R84" s="65" t="str">
        <f>"    rbib_"&amp;F84&amp;": "&amp;""""&amp;K84&amp;"&lt;a href=\"&amp;""""&amp;L84&amp;""""&amp;" target=\"&amp;""""&amp;"_blank\"&amp;""""&amp;"&gt;"&amp;L84&amp;"&lt;/a&gt;"&amp;""""</f>
        <v xml:space="preserve">    rbib_colwell_coddington_1994: "Colwell, R. K., &amp; Coddington, J. A. (1994).Estimating terrestrial biodiversity through extrapolation. &lt;i&gt;Philosophical Transactions of the Royal Society of London. Series B, Biological Sciences, 345&lt;/i&gt;, 101-118.&lt;a href=\"https://doi.org/10.1098/rstb.1994.0091" target=\"_blank\"&gt;https://doi.org/10.1098/rstb.1994.0091&lt;/a&gt;"</v>
      </c>
      <c r="S84" s="65" t="str">
        <f>"    rbib_"&amp;F84&amp;": "&amp;""""&amp;"&lt;div class=\"&amp;""""&amp;"hanging\"&amp;""""&amp;"&gt;"&amp;J84&amp;"&lt;/div&gt;"&amp;""""</f>
        <v xml:space="preserve">    rbib_colwell_coddington_1994: "&lt;div class=\"hanging\"&gt;Colwell, R. K., &amp; Coddington, J. A. (1994).Estimating terrestrial biodiversity through extrapolation. *Philosophical Transactions of the Royal Society of London. Series B, Biological Sciences, 345*, 101-118. &lt;https://doi.org/10.1098/rstb.1994.0091&gt;&lt;/div&gt;"</v>
      </c>
      <c r="T84" s="65"/>
    </row>
    <row r="85" spans="1:20" ht="15.75">
      <c r="A85" s="65"/>
      <c r="B85" s="155" t="b">
        <v>0</v>
      </c>
      <c r="C85" s="155" t="b">
        <v>0</v>
      </c>
      <c r="D85" s="155" t="b">
        <v>1</v>
      </c>
      <c r="E85" s="65" t="s">
        <v>1904</v>
      </c>
      <c r="F85" s="65" t="s">
        <v>3624</v>
      </c>
      <c r="G85" s="65" t="s">
        <v>3623</v>
      </c>
      <c r="H85" s="65" t="s">
        <v>3622</v>
      </c>
      <c r="I85" s="65" t="b">
        <v>1</v>
      </c>
      <c r="J85" s="65" t="s">
        <v>3621</v>
      </c>
      <c r="K85" s="65" t="s">
        <v>5382</v>
      </c>
      <c r="L85" s="65" t="s">
        <v>3620</v>
      </c>
      <c r="M85" s="65" t="s">
        <v>984</v>
      </c>
      <c r="N85" s="65" t="str">
        <f>"&lt;div class="&amp;""""&amp;"hanging"&amp;""""&amp;"&gt;"&amp;K85&amp;"&lt;a href="&amp;""""&amp;L85&amp;""""&amp;" target="&amp;""""&amp;"_blank"&amp;""""&amp;"&gt;"&amp;L85&amp;"&lt;/a&gt;&lt;span style="&amp;""""&amp;"color:white"&amp;""""&amp;"&gt;[.]{#"&amp;F85&amp;"}}&lt;/span&gt;&lt;/div&gt;&lt;br&gt;"</f>
        <v>&lt;div class="hanging"&gt;Colwell, R. K., Mao, C. X., &amp; Chang, J. (2004). Interpolating, Extrapolating, and Comparing Incidence-based Species Accumulation Curves. &lt;i&gt;Ecology, 85&lt;/i&gt;(10), 2717-2727.&lt;a href="https://doi.org/10.1890/03-0557" target="_blank"&gt;https://doi.org/10.1890/03-0557&lt;/a&gt;&lt;span style="color:white"&gt;[.]{#colwell_et_al_2004}}&lt;/span&gt;&lt;/div&gt;&lt;br&gt;</v>
      </c>
      <c r="O85" s="65" t="str">
        <f>"{{ rtxt_"&amp;F85&amp;" }}"</f>
        <v>{{ rtxt_colwell_et_al_2004 }}</v>
      </c>
      <c r="P85" s="65" t="str">
        <f>"{{ rbib_"&amp;F85&amp;" }}"</f>
        <v>{{ rbib_colwell_et_al_2004 }}</v>
      </c>
      <c r="Q85" s="65" t="str">
        <f>"    rtxt_"&amp;F85&amp;": "&amp;""""&amp;"&lt;a href=\"&amp;""""&amp;"/08_references.html#"&amp;F85&amp;"\"&amp;""""&amp;" target=\"&amp;""""&amp;"_blank\"&amp;""""&amp;"&gt;"&amp;G85&amp;"&lt;/a&gt;"&amp;""""</f>
        <v xml:space="preserve">    rtxt_colwell_et_al_2004: "&lt;a href=\"/08_references.html#colwell_et_al_2004\" target=\"_blank\"&gt;Colwell et al., 2004&lt;/a&gt;"</v>
      </c>
      <c r="R85" s="65" t="str">
        <f>"    rbib_"&amp;F85&amp;": "&amp;""""&amp;K85&amp;"&lt;a href=\"&amp;""""&amp;L85&amp;""""&amp;" target=\"&amp;""""&amp;"_blank\"&amp;""""&amp;"&gt;"&amp;L85&amp;"&lt;/a&gt;"&amp;""""</f>
        <v xml:space="preserve">    rbib_colwell_et_al_2004: "Colwell, R. K., Mao, C. X., &amp; Chang, J. (2004). Interpolating, Extrapolating, and Comparing Incidence-based Species Accumulation Curves. &lt;i&gt;Ecology, 85&lt;/i&gt;(10), 2717-2727.&lt;a href=\"https://doi.org/10.1890/03-0557" target=\"_blank\"&gt;https://doi.org/10.1890/03-0557&lt;/a&gt;"</v>
      </c>
      <c r="S85" s="65" t="str">
        <f>"    rbib_"&amp;F85&amp;": "&amp;""""&amp;"&lt;div class=\"&amp;""""&amp;"hanging\"&amp;""""&amp;"&gt;"&amp;J85&amp;"&lt;/div&gt;"&amp;""""</f>
        <v xml:space="preserve">    rbib_colwell_et_al_2004: "&lt;div class=\"hanging\"&gt;Colwell, R. K., Mao, C. X., &amp; Chang, J. (2004). Interpolating, Extrapolating, and Comparing Incidence-based Species Accumulation Curves. *Ecology, 85*(10), 2717-2727. &lt;https://doi.org/10.1890/03-0557&gt;&lt;/div&gt;"</v>
      </c>
      <c r="T85" s="65"/>
    </row>
    <row r="86" spans="1:20" ht="15.75">
      <c r="A86" s="65"/>
      <c r="B86" s="155" t="b">
        <v>0</v>
      </c>
      <c r="C86" s="155" t="b">
        <v>0</v>
      </c>
      <c r="D86" s="155" t="b">
        <v>1</v>
      </c>
      <c r="E86" s="65" t="s">
        <v>1904</v>
      </c>
      <c r="F86" s="65" t="s">
        <v>3619</v>
      </c>
      <c r="G86" s="65" t="s">
        <v>3618</v>
      </c>
      <c r="H86" s="65" t="s">
        <v>3618</v>
      </c>
      <c r="I86" s="65" t="b">
        <v>1</v>
      </c>
      <c r="J86" s="65" t="s">
        <v>3617</v>
      </c>
      <c r="K86" s="65" t="s">
        <v>5266</v>
      </c>
      <c r="L86" s="65" t="s">
        <v>3616</v>
      </c>
      <c r="M86" s="65" t="s">
        <v>984</v>
      </c>
      <c r="N86" s="65" t="str">
        <f>"&lt;div class="&amp;""""&amp;"hanging"&amp;""""&amp;"&gt;"&amp;K86&amp;"&lt;a href="&amp;""""&amp;L86&amp;""""&amp;" target="&amp;""""&amp;"_blank"&amp;""""&amp;"&gt;"&amp;L86&amp;"&lt;/a&gt;&lt;span style="&amp;""""&amp;"color:white"&amp;""""&amp;"&gt;[.]{#"&amp;F86&amp;"}}&lt;/span&gt;&lt;/div&gt;&lt;br&gt;"</f>
        <v>&lt;div class="hanging"&gt;Colwell, R., Chao, A., Gotelli, N., Lin, S., Mao, C., Chazdon, R., &amp; Longino, J. (2012). Models and estimators linking individual-based and sample-based rarefaction, extrapolation and comparison of assemblages. &lt;i&gt;Journal of Plant Ecology, 5&lt;/i&gt;(1), 3-21.&lt;a href="https://doi.org/10.1093/jpe/rtr044" target="_blank"&gt;https://doi.org/10.1093/jpe/rtr044&lt;/a&gt;&lt;span style="color:white"&gt;[.]{#colwell_et_al_2012}}&lt;/span&gt;&lt;/div&gt;&lt;br&gt;</v>
      </c>
      <c r="O86" s="65" t="str">
        <f>"{{ rtxt_"&amp;F86&amp;" }}"</f>
        <v>{{ rtxt_colwell_et_al_2012 }}</v>
      </c>
      <c r="P86" s="65" t="str">
        <f>"{{ rbib_"&amp;F86&amp;" }}"</f>
        <v>{{ rbib_colwell_et_al_2012 }}</v>
      </c>
      <c r="Q86" s="65" t="str">
        <f>"    rtxt_"&amp;F86&amp;": "&amp;""""&amp;"&lt;a href=\"&amp;""""&amp;"/08_references.html#"&amp;F86&amp;"\"&amp;""""&amp;" target=\"&amp;""""&amp;"_blank\"&amp;""""&amp;"&gt;"&amp;G86&amp;"&lt;/a&gt;"&amp;""""</f>
        <v xml:space="preserve">    rtxt_colwell_et_al_2012: "&lt;a href=\"/08_references.html#colwell_et_al_2012\" target=\"_blank\"&gt;Colwell et al., 2012&lt;/a&gt;"</v>
      </c>
      <c r="R86" s="65" t="str">
        <f>"    rbib_"&amp;F86&amp;": "&amp;""""&amp;K86&amp;"&lt;a href=\"&amp;""""&amp;L86&amp;""""&amp;" target=\"&amp;""""&amp;"_blank\"&amp;""""&amp;"&gt;"&amp;L86&amp;"&lt;/a&gt;"&amp;""""</f>
        <v xml:space="preserve">    rbib_colwell_et_al_2012: "Colwell, R., Chao, A., Gotelli, N., Lin, S., Mao, C., Chazdon, R., &amp; Longino, J. (2012). Models and estimators linking individual-based and sample-based rarefaction, extrapolation and comparison of assemblages. &lt;i&gt;Journal of Plant Ecology, 5&lt;/i&gt;(1), 3-21.&lt;a href=\"https://doi.org/10.1093/jpe/rtr044" target=\"_blank\"&gt;https://doi.org/10.1093/jpe/rtr044&lt;/a&gt;"</v>
      </c>
      <c r="S86" s="65" t="str">
        <f>"    rbib_"&amp;F86&amp;": "&amp;""""&amp;"&lt;div class=\"&amp;""""&amp;"hanging\"&amp;""""&amp;"&gt;"&amp;J86&amp;"&lt;/div&gt;"&amp;""""</f>
        <v xml:space="preserve">    rbib_colwell_et_al_2012: "&lt;div class=\"hanging\"&gt;Colwell, R., Chao, A., Gotelli, N., Lin, S., Mao, C., Chazdon, R., &amp; Longino, J. (2012). Models and estimators linking individual-based and sample-based rarefaction, extrapolation and comparison of assemblages. *Journal of Plant Ecology, 5*(1), 3-21. &lt;https://doi.org/10.1093/jpe/rtr044&gt;&lt;/div&gt;"</v>
      </c>
      <c r="T86" s="65"/>
    </row>
    <row r="87" spans="1:20" ht="15.75">
      <c r="A87" s="65"/>
      <c r="B87" s="155" t="b">
        <v>1</v>
      </c>
      <c r="C87" s="155" t="b">
        <v>0</v>
      </c>
      <c r="D87" s="155" t="b">
        <v>0</v>
      </c>
      <c r="E87" s="65" t="s">
        <v>1904</v>
      </c>
      <c r="F87" s="65" t="s">
        <v>3615</v>
      </c>
      <c r="G87" s="65" t="s">
        <v>3614</v>
      </c>
      <c r="H87" s="65" t="s">
        <v>3613</v>
      </c>
      <c r="I87" s="65" t="b">
        <v>1</v>
      </c>
      <c r="J87" s="65" t="s">
        <v>3612</v>
      </c>
      <c r="K87" s="65" t="s">
        <v>5208</v>
      </c>
      <c r="L87" s="65" t="s">
        <v>3611</v>
      </c>
      <c r="M87" s="65" t="s">
        <v>984</v>
      </c>
      <c r="N87" s="65" t="str">
        <f>"&lt;div class="&amp;""""&amp;"hanging"&amp;""""&amp;"&gt;"&amp;K87&amp;"&lt;a href="&amp;""""&amp;L87&amp;""""&amp;" target="&amp;""""&amp;"_blank"&amp;""""&amp;"&gt;"&amp;L87&amp;"&lt;/a&gt;&lt;span style="&amp;""""&amp;"color:white"&amp;""""&amp;"&gt;[.]{#"&amp;F87&amp;"}}&lt;/span&gt;&lt;/div&gt;&lt;br&gt;"</f>
        <v>&lt;div class="hanging"&gt;Colyn, R. B., Radloff, F., &amp; O'Riain, M. J. (2018). Camera trapping mammals in the scrubland’s of the cape floristic kingdom - the importance of effort, spacing and trap placement. &lt;i&gt;Biodiversity and Conservation, 27&lt;/i&gt;(2), 503-520.&lt;a href="https://doi.org/10.1007/s10531-017-1448-z" target="_blank"&gt;https://doi.org/10.1007/s10531-017-1448-z&lt;/a&gt;&lt;span style="color:white"&gt;[.]{#colyn_et_al_2018}}&lt;/span&gt;&lt;/div&gt;&lt;br&gt;</v>
      </c>
      <c r="O87" s="65" t="str">
        <f>"{{ rtxt_"&amp;F87&amp;" }}"</f>
        <v>{{ rtxt_colyn_et_al_2018 }}</v>
      </c>
      <c r="P87" s="65" t="str">
        <f>"{{ rbib_"&amp;F87&amp;" }}"</f>
        <v>{{ rbib_colyn_et_al_2018 }}</v>
      </c>
      <c r="Q87" s="65" t="str">
        <f>"    rtxt_"&amp;F87&amp;": "&amp;""""&amp;"&lt;a href=\"&amp;""""&amp;"/08_references.html#"&amp;F87&amp;"\"&amp;""""&amp;" target=\"&amp;""""&amp;"_blank\"&amp;""""&amp;"&gt;"&amp;G87&amp;"&lt;/a&gt;"&amp;""""</f>
        <v xml:space="preserve">    rtxt_colyn_et_al_2018: "&lt;a href=\"/08_references.html#colyn_et_al_2018\" target=\"_blank\"&gt;Colyn et al., 2018&lt;/a&gt;"</v>
      </c>
      <c r="R87" s="65" t="str">
        <f>"    rbib_"&amp;F87&amp;": "&amp;""""&amp;K87&amp;"&lt;a href=\"&amp;""""&amp;L87&amp;""""&amp;" target=\"&amp;""""&amp;"_blank\"&amp;""""&amp;"&gt;"&amp;L87&amp;"&lt;/a&gt;"&amp;""""</f>
        <v xml:space="preserve">    rbib_colyn_et_al_2018: "Colyn, R. B., Radloff, F., &amp; O'Riain, M. J. (2018). Camera trapping mammals in the scrubland’s of the cape floristic kingdom - the importance of effort, spacing and trap placement. &lt;i&gt;Biodiversity and Conservation, 27&lt;/i&gt;(2), 503-520.&lt;a href=\"https://doi.org/10.1007/s10531-017-1448-z" target=\"_blank\"&gt;https://doi.org/10.1007/s10531-017-1448-z&lt;/a&gt;"</v>
      </c>
      <c r="S87" s="65" t="str">
        <f>"    rbib_"&amp;F87&amp;": "&amp;""""&amp;"&lt;div class=\"&amp;""""&amp;"hanging\"&amp;""""&amp;"&gt;"&amp;J87&amp;"&lt;/div&gt;"&amp;""""</f>
        <v xml:space="preserve">    rbib_colyn_et_al_2018: "&lt;div class=\"hanging\"&gt;Colyn, R. B., Radloff, F., &amp; O'Riain, M. J. (2018). Camera trapping mammals in the scrubland’s of the cape floristic kingdom - the importance of effort, spacing and trap placement. *Biodiversity and Conservation, 27*(2), 503-520. &lt;https://doi.org/10.1007/s10531-017-1448-z&gt;&lt;/div&gt;"</v>
      </c>
      <c r="T87" s="65"/>
    </row>
    <row r="88" spans="1:20" ht="15.75">
      <c r="A88" s="65"/>
      <c r="B88" s="155"/>
      <c r="C88" s="155"/>
      <c r="D88" s="155"/>
      <c r="E88" s="65" t="s">
        <v>1945</v>
      </c>
      <c r="F88" s="65" t="s">
        <v>3610</v>
      </c>
      <c r="G88" s="65" t="s">
        <v>3609</v>
      </c>
      <c r="H88" s="65" t="s">
        <v>3609</v>
      </c>
      <c r="I88" s="65" t="b">
        <v>1</v>
      </c>
      <c r="J88" s="65" t="s">
        <v>6103</v>
      </c>
      <c r="K88" s="65" t="s">
        <v>5537</v>
      </c>
      <c r="L88" s="65" t="s">
        <v>3607</v>
      </c>
      <c r="M88" s="65" t="s">
        <v>3608</v>
      </c>
      <c r="N88" s="65" t="str">
        <f>"&lt;div class="&amp;""""&amp;"hanging"&amp;""""&amp;"&gt;"&amp;K88&amp;"&lt;a href="&amp;""""&amp;L88&amp;""""&amp;" target="&amp;""""&amp;"_blank"&amp;""""&amp;"&gt;"&amp;L88&amp;"&lt;/a&gt;&lt;span style="&amp;""""&amp;"color:white"&amp;""""&amp;"&gt;[.]{#"&amp;F88&amp;"}}&lt;/span&gt;&lt;/div&gt;&lt;br&gt;"</f>
        <v>&lt;div class="hanging"&gt;Cove, M. (2020a, Sep 27). &lt;i&gt;Occupancy Modeling Video 1 -- Sampling Techniques for Mammals.&lt;/i&gt; [Video]. YouTube.&lt;a href="https://www.youtube.com/watch?v=n21Ugw0lYcY" target="_blank"&gt;https://www.youtube.com/watch?v=n21Ugw0lYcY&lt;/a&gt;&lt;span style="color:white"&gt;[.]{#cove_2020a}}&lt;/span&gt;&lt;/div&gt;&lt;br&gt;</v>
      </c>
      <c r="O88" s="65" t="str">
        <f>"{{ rtxt_"&amp;F88&amp;" }}"</f>
        <v>{{ rtxt_cove_2020a }}</v>
      </c>
      <c r="P88" s="65" t="str">
        <f>"{{ rbib_"&amp;F88&amp;" }}"</f>
        <v>{{ rbib_cove_2020a }}</v>
      </c>
      <c r="Q88" s="65" t="str">
        <f>"    rtxt_"&amp;F88&amp;": "&amp;""""&amp;"&lt;a href=\"&amp;""""&amp;"/08_references.html#"&amp;F88&amp;"\"&amp;""""&amp;" target=\"&amp;""""&amp;"_blank\"&amp;""""&amp;"&gt;"&amp;G88&amp;"&lt;/a&gt;"&amp;""""</f>
        <v xml:space="preserve">    rtxt_cove_2020a: "&lt;a href=\"/08_references.html#cove_2020a\" target=\"_blank\"&gt;Cove, 2020a&lt;/a&gt;"</v>
      </c>
      <c r="R88" s="65" t="str">
        <f>"    rbib_"&amp;F88&amp;": "&amp;""""&amp;K88&amp;"&lt;a href=\"&amp;""""&amp;L88&amp;""""&amp;" target=\"&amp;""""&amp;"_blank\"&amp;""""&amp;"&gt;"&amp;L88&amp;"&lt;/a&gt;"&amp;""""</f>
        <v xml:space="preserve">    rbib_cove_2020a: "Cove, M. (2020a, Sep 27). &lt;i&gt;Occupancy Modeling Video 1 -- Sampling Techniques for Mammals.&lt;/i&gt; [Video]. YouTube.&lt;a href=\"https://www.youtube.com/watch?v=n21Ugw0lYcY" target=\"_blank\"&gt;https://www.youtube.com/watch?v=n21Ugw0lYcY&lt;/a&gt;"</v>
      </c>
      <c r="S88" s="65" t="str">
        <f>"    rbib_"&amp;F88&amp;": "&amp;""""&amp;"&lt;div class=\"&amp;""""&amp;"hanging\"&amp;""""&amp;"&gt;"&amp;J88&amp;"&lt;/div&gt;"&amp;""""</f>
        <v xml:space="preserve">    rbib_cove_2020a: "&lt;div class=\"hanging\"&gt;Cove, M. (2020a, Sep 27). *Occupancy Modeling Video 1 - Sampling Techniques for Mammals.* [Video]. YouTube. &lt;https://www.youtube.com/watch?v=n21Ugw0lYcY&gt;&lt;/div&gt;"</v>
      </c>
      <c r="T88" s="65"/>
    </row>
    <row r="89" spans="1:20" ht="15.75">
      <c r="A89" s="65"/>
      <c r="B89" s="155"/>
      <c r="C89" s="155"/>
      <c r="D89" s="155"/>
      <c r="E89" s="65" t="s">
        <v>1945</v>
      </c>
      <c r="F89" s="65" t="s">
        <v>3606</v>
      </c>
      <c r="G89" s="65" t="s">
        <v>3605</v>
      </c>
      <c r="H89" s="65" t="s">
        <v>3605</v>
      </c>
      <c r="I89" s="65" t="b">
        <v>1</v>
      </c>
      <c r="J89" s="65" t="s">
        <v>6105</v>
      </c>
      <c r="K89" s="65" t="s">
        <v>5546</v>
      </c>
      <c r="L89" s="65" t="s">
        <v>3603</v>
      </c>
      <c r="M89" s="65" t="s">
        <v>3604</v>
      </c>
      <c r="N89" s="65" t="str">
        <f>"&lt;div class="&amp;""""&amp;"hanging"&amp;""""&amp;"&gt;"&amp;K89&amp;"&lt;a href="&amp;""""&amp;L89&amp;""""&amp;" target="&amp;""""&amp;"_blank"&amp;""""&amp;"&gt;"&amp;L89&amp;"&lt;/a&gt;&lt;span style="&amp;""""&amp;"color:white"&amp;""""&amp;"&gt;[.]{#"&amp;F89&amp;"}}&lt;/span&gt;&lt;/div&gt;&lt;br&gt;"</f>
        <v>&lt;div class="hanging"&gt;Cove, M. (2020b, Sep 27). &lt;i&gt;Occupancy Modeling Video 2 -- Introductory Statistical Review.&lt;/i&gt; [Video]. YouTube.&lt;a href="https://www.youtube.com/watch?v=u--F8_oRpVU&amp;t=1s" target="_blank"&gt;https://www.youtube.com/watch?v=u--F8_oRpVU&amp;t=1s&lt;/a&gt;&lt;span style="color:white"&gt;[.]{#cove_2020b}}&lt;/span&gt;&lt;/div&gt;&lt;br&gt;</v>
      </c>
      <c r="O89" s="65" t="str">
        <f>"{{ rtxt_"&amp;F89&amp;" }}"</f>
        <v>{{ rtxt_cove_2020b }}</v>
      </c>
      <c r="P89" s="65" t="str">
        <f>"{{ rbib_"&amp;F89&amp;" }}"</f>
        <v>{{ rbib_cove_2020b }}</v>
      </c>
      <c r="Q89" s="65" t="str">
        <f>"    rtxt_"&amp;F89&amp;": "&amp;""""&amp;"&lt;a href=\"&amp;""""&amp;"/08_references.html#"&amp;F89&amp;"\"&amp;""""&amp;" target=\"&amp;""""&amp;"_blank\"&amp;""""&amp;"&gt;"&amp;G89&amp;"&lt;/a&gt;"&amp;""""</f>
        <v xml:space="preserve">    rtxt_cove_2020b: "&lt;a href=\"/08_references.html#cove_2020b\" target=\"_blank\"&gt;Cove, 2020b&lt;/a&gt;"</v>
      </c>
      <c r="R89" s="65" t="str">
        <f>"    rbib_"&amp;F89&amp;": "&amp;""""&amp;K89&amp;"&lt;a href=\"&amp;""""&amp;L89&amp;""""&amp;" target=\"&amp;""""&amp;"_blank\"&amp;""""&amp;"&gt;"&amp;L89&amp;"&lt;/a&gt;"&amp;""""</f>
        <v xml:space="preserve">    rbib_cove_2020b: "Cove, M. (2020b, Sep 27). &lt;i&gt;Occupancy Modeling Video 2 -- Introductory Statistical Review.&lt;/i&gt; [Video]. YouTube.&lt;a href=\"https://www.youtube.com/watch?v=u--F8_oRpVU&amp;t=1s" target=\"_blank\"&gt;https://www.youtube.com/watch?v=u--F8_oRpVU&amp;t=1s&lt;/a&gt;"</v>
      </c>
      <c r="S89" s="65" t="str">
        <f>"    rbib_"&amp;F89&amp;": "&amp;""""&amp;"&lt;div class=\"&amp;""""&amp;"hanging\"&amp;""""&amp;"&gt;"&amp;J89&amp;"&lt;/div&gt;"&amp;""""</f>
        <v xml:space="preserve">    rbib_cove_2020b: "&lt;div class=\"hanging\"&gt;Cove, M. (2020b, Sep 27). *Occupancy Modeling Video 2 - Introductory Statistical Review.* [Video]. YouTube. &lt;https://www.youtube.com/watch?v=u--F8_oRpVU&amp;t=1s&gt;&lt;/div&gt;"</v>
      </c>
      <c r="T89" s="65"/>
    </row>
    <row r="90" spans="1:20" ht="15.75">
      <c r="A90" s="65"/>
      <c r="B90" s="155"/>
      <c r="C90" s="155"/>
      <c r="D90" s="155"/>
      <c r="E90" s="65" t="s">
        <v>1945</v>
      </c>
      <c r="F90" s="65" t="s">
        <v>3602</v>
      </c>
      <c r="G90" s="65" t="s">
        <v>3601</v>
      </c>
      <c r="H90" s="65" t="s">
        <v>3601</v>
      </c>
      <c r="I90" s="65" t="b">
        <v>1</v>
      </c>
      <c r="J90" s="65" t="s">
        <v>6104</v>
      </c>
      <c r="K90" s="65" t="s">
        <v>5532</v>
      </c>
      <c r="L90" s="65" t="s">
        <v>3599</v>
      </c>
      <c r="M90" s="65" t="s">
        <v>3600</v>
      </c>
      <c r="N90" s="65" t="str">
        <f>"&lt;div class="&amp;""""&amp;"hanging"&amp;""""&amp;"&gt;"&amp;K90&amp;"&lt;a href="&amp;""""&amp;L90&amp;""""&amp;" target="&amp;""""&amp;"_blank"&amp;""""&amp;"&gt;"&amp;L90&amp;"&lt;/a&gt;&lt;span style="&amp;""""&amp;"color:white"&amp;""""&amp;"&gt;[.]{#"&amp;F90&amp;"}}&lt;/span&gt;&lt;/div&gt;&lt;br&gt;"</f>
        <v>&lt;div class="hanging"&gt;Cove, M. (2020c, Sep 27). &lt;i&gt;Occupancy Modeling Video 3 -- What are Occupancy Models and What are the Applications?&lt;/i&gt; [Video]. YouTube.&lt;a href="https://www.youtube.com/watch?v=-F-txltI_iA" target="_blank"&gt;https://www.youtube.com/watch?v=-F-txltI_iA&lt;/a&gt;&lt;span style="color:white"&gt;[.]{#cove_2020c}}&lt;/span&gt;&lt;/div&gt;&lt;br&gt;</v>
      </c>
      <c r="O90" s="65" t="str">
        <f>"{{ rtxt_"&amp;F90&amp;" }}"</f>
        <v>{{ rtxt_cove_2020c }}</v>
      </c>
      <c r="P90" s="65" t="str">
        <f>"{{ rbib_"&amp;F90&amp;" }}"</f>
        <v>{{ rbib_cove_2020c }}</v>
      </c>
      <c r="Q90" s="65" t="str">
        <f>"    rtxt_"&amp;F90&amp;": "&amp;""""&amp;"&lt;a href=\"&amp;""""&amp;"/08_references.html#"&amp;F90&amp;"\"&amp;""""&amp;" target=\"&amp;""""&amp;"_blank\"&amp;""""&amp;"&gt;"&amp;G90&amp;"&lt;/a&gt;"&amp;""""</f>
        <v xml:space="preserve">    rtxt_cove_2020c: "&lt;a href=\"/08_references.html#cove_2020c\" target=\"_blank\"&gt;Cove, 2020c&lt;/a&gt;"</v>
      </c>
      <c r="R90" s="65" t="str">
        <f>"    rbib_"&amp;F90&amp;": "&amp;""""&amp;K90&amp;"&lt;a href=\"&amp;""""&amp;L90&amp;""""&amp;" target=\"&amp;""""&amp;"_blank\"&amp;""""&amp;"&gt;"&amp;L90&amp;"&lt;/a&gt;"&amp;""""</f>
        <v xml:space="preserve">    rbib_cove_2020c: "Cove, M. (2020c, Sep 27). &lt;i&gt;Occupancy Modeling Video 3 -- What are Occupancy Models and What are the Applications?&lt;/i&gt; [Video]. YouTube.&lt;a href=\"https://www.youtube.com/watch?v=-F-txltI_iA" target=\"_blank\"&gt;https://www.youtube.com/watch?v=-F-txltI_iA&lt;/a&gt;"</v>
      </c>
      <c r="S90" s="65" t="str">
        <f>"    rbib_"&amp;F90&amp;": "&amp;""""&amp;"&lt;div class=\"&amp;""""&amp;"hanging\"&amp;""""&amp;"&gt;"&amp;J90&amp;"&lt;/div&gt;"&amp;""""</f>
        <v xml:space="preserve">    rbib_cove_2020c: "&lt;div class=\"hanging\"&gt;Cove, M. (2020c, Sep 27). *Occupancy Modeling Video 3 - What are Occupancy Models and What are the Applications?* [Video]. YouTube. &lt;https://www.youtube.com/watch?v=-F-txltI_iA&gt;&lt;/div&gt;"</v>
      </c>
      <c r="T90" s="65"/>
    </row>
    <row r="91" spans="1:20" ht="15.75">
      <c r="A91" s="65"/>
      <c r="B91" s="155"/>
      <c r="C91" s="155"/>
      <c r="D91" s="155"/>
      <c r="E91" s="65" t="s">
        <v>1945</v>
      </c>
      <c r="F91" s="65" t="s">
        <v>3598</v>
      </c>
      <c r="G91" s="65" t="s">
        <v>3597</v>
      </c>
      <c r="H91" s="65" t="s">
        <v>3597</v>
      </c>
      <c r="I91" s="65" t="b">
        <v>1</v>
      </c>
      <c r="J91" s="65" t="s">
        <v>6106</v>
      </c>
      <c r="K91" s="65" t="s">
        <v>5530</v>
      </c>
      <c r="L91" s="65" t="s">
        <v>3595</v>
      </c>
      <c r="M91" s="65" t="s">
        <v>3596</v>
      </c>
      <c r="N91" s="65" t="str">
        <f>"&lt;div class="&amp;""""&amp;"hanging"&amp;""""&amp;"&gt;"&amp;K91&amp;"&lt;a href="&amp;""""&amp;L91&amp;""""&amp;" target="&amp;""""&amp;"_blank"&amp;""""&amp;"&gt;"&amp;L91&amp;"&lt;/a&gt;&lt;span style="&amp;""""&amp;"color:white"&amp;""""&amp;"&gt;[.]{#"&amp;F91&amp;"}}&lt;/span&gt;&lt;/div&gt;&lt;br&gt;"</f>
        <v>&lt;div class="hanging"&gt;Cove, M. (2020d, Sep 28). &lt;i&gt;Occupancy Modeling Video 4 -- How to Run and Interpret the Models in PRESENCE&lt;/i&gt; [Video]. YouTube.&lt;a href="https://www.youtube.com/watch?v=DVo4KVMPnWg" target="_blank"&gt;https://www.youtube.com/watch?v=DVo4KVMPnWg&lt;/a&gt;&lt;span style="color:white"&gt;[.]{#cove_2020d}}&lt;/span&gt;&lt;/div&gt;&lt;br&gt;</v>
      </c>
      <c r="O91" s="65" t="str">
        <f>"{{ rtxt_"&amp;F91&amp;" }}"</f>
        <v>{{ rtxt_cove_2020d }}</v>
      </c>
      <c r="P91" s="65" t="str">
        <f>"{{ rbib_"&amp;F91&amp;" }}"</f>
        <v>{{ rbib_cove_2020d }}</v>
      </c>
      <c r="Q91" s="65" t="str">
        <f>"    rtxt_"&amp;F91&amp;": "&amp;""""&amp;"&lt;a href=\"&amp;""""&amp;"/08_references.html#"&amp;F91&amp;"\"&amp;""""&amp;" target=\"&amp;""""&amp;"_blank\"&amp;""""&amp;"&gt;"&amp;G91&amp;"&lt;/a&gt;"&amp;""""</f>
        <v xml:space="preserve">    rtxt_cove_2020d: "&lt;a href=\"/08_references.html#cove_2020d\" target=\"_blank\"&gt;Cove, 2020d&lt;/a&gt;"</v>
      </c>
      <c r="R91" s="65" t="str">
        <f>"    rbib_"&amp;F91&amp;": "&amp;""""&amp;K91&amp;"&lt;a href=\"&amp;""""&amp;L91&amp;""""&amp;" target=\"&amp;""""&amp;"_blank\"&amp;""""&amp;"&gt;"&amp;L91&amp;"&lt;/a&gt;"&amp;""""</f>
        <v xml:space="preserve">    rbib_cove_2020d: "Cove, M. (2020d, Sep 28). &lt;i&gt;Occupancy Modeling Video 4 -- How to Run and Interpret the Models in PRESENCE&lt;/i&gt; [Video]. YouTube.&lt;a href=\"https://www.youtube.com/watch?v=DVo4KVMPnWg" target=\"_blank\"&gt;https://www.youtube.com/watch?v=DVo4KVMPnWg&lt;/a&gt;"</v>
      </c>
      <c r="S91" s="65" t="str">
        <f>"    rbib_"&amp;F91&amp;": "&amp;""""&amp;"&lt;div class=\"&amp;""""&amp;"hanging\"&amp;""""&amp;"&gt;"&amp;J91&amp;"&lt;/div&gt;"&amp;""""</f>
        <v xml:space="preserve">    rbib_cove_2020d: "&lt;div class=\"hanging\"&gt;Cove, M. (2020d, Sep 28). *Occupancy Modeling Video 4 - How to Run and Interpret the Models in PRESENCE* [Video]. YouTube. &lt;https://www.youtube.com/watch?v=DVo4KVMPnWg&gt;&lt;/div&gt;"</v>
      </c>
      <c r="T91" s="65"/>
    </row>
    <row r="92" spans="1:20" ht="15.75">
      <c r="A92" s="65"/>
      <c r="B92" s="155"/>
      <c r="C92" s="155"/>
      <c r="D92" s="155"/>
      <c r="E92" s="65"/>
      <c r="F92" s="65" t="s">
        <v>1898</v>
      </c>
      <c r="G92" s="65" t="s">
        <v>3945</v>
      </c>
      <c r="H92" s="65" t="s">
        <v>3945</v>
      </c>
      <c r="I92" s="65"/>
      <c r="J92" s="68" t="s">
        <v>3944</v>
      </c>
      <c r="K92" s="158" t="s">
        <v>5126</v>
      </c>
      <c r="L92" s="65" t="s">
        <v>4863</v>
      </c>
      <c r="M92" s="65" t="s">
        <v>984</v>
      </c>
      <c r="N92" s="65" t="str">
        <f>"&lt;div class="&amp;""""&amp;"hanging"&amp;""""&amp;"&gt;"&amp;K92&amp;"&lt;a href="&amp;""""&amp;L92&amp;""""&amp;" target="&amp;""""&amp;"_blank"&amp;""""&amp;"&gt;"&amp;L92&amp;"&lt;/a&gt;&lt;span style="&amp;""""&amp;"color:white"&amp;""""&amp;"&gt;[.]{#"&amp;F92&amp;"}}&lt;/span&gt;&lt;/div&gt;&lt;br&gt;"</f>
        <v>&lt;div class="hanging"&gt;CREEM Mural (N.D.) &lt;i&gt;Spatial Capture-Recapture&lt;/i&gt;&lt;a href="https://creemmural.org/secr.html" target="_blank"&gt;https://creemmural.org/secr.html&lt;/a&gt;&lt;span style="color:white"&gt;[.]{#cremmural_nd}}&lt;/span&gt;&lt;/div&gt;&lt;br&gt;</v>
      </c>
      <c r="O92" s="65" t="str">
        <f>"{{ rtxt_"&amp;F92&amp;" }}"</f>
        <v>{{ rtxt_cremmural_nd }}</v>
      </c>
      <c r="P92" s="65" t="str">
        <f>"{{ rbib_"&amp;F92&amp;" }}"</f>
        <v>{{ rbib_cremmural_nd }}</v>
      </c>
      <c r="Q92" s="65" t="str">
        <f>"    rtxt_"&amp;F92&amp;": "&amp;""""&amp;"&lt;a href=\"&amp;""""&amp;"/08_references.html#"&amp;F92&amp;"\"&amp;""""&amp;" target=\"&amp;""""&amp;"_blank\"&amp;""""&amp;"&gt;"&amp;G92&amp;"&lt;/a&gt;"&amp;""""</f>
        <v xml:space="preserve">    rtxt_cremmural_nd: "&lt;a href=\"/08_references.html#cremmural_nd\" target=\"_blank\"&gt;CREEM Mural, N.D.&lt;/a&gt;"</v>
      </c>
      <c r="R92" s="65" t="str">
        <f>"    rbib_"&amp;F92&amp;": "&amp;""""&amp;K92&amp;"&lt;a href=\"&amp;""""&amp;L92&amp;""""&amp;" target=\"&amp;""""&amp;"_blank\"&amp;""""&amp;"&gt;"&amp;L92&amp;"&lt;/a&gt;"&amp;""""</f>
        <v xml:space="preserve">    rbib_cremmural_nd: "CREEM Mural (N.D.) &lt;i&gt;Spatial Capture-Recapture&lt;/i&gt;&lt;a href=\"https://creemmural.org/secr.html" target=\"_blank\"&gt;https://creemmural.org/secr.html&lt;/a&gt;"</v>
      </c>
      <c r="S92" s="65" t="str">
        <f>"    rbib_"&amp;F92&amp;": "&amp;""""&amp;"&lt;div class=\"&amp;""""&amp;"hanging\"&amp;""""&amp;"&gt;"&amp;J92&amp;"&lt;/div&gt;"&amp;""""</f>
        <v xml:space="preserve">    rbib_cremmural_nd: "&lt;div class=\"hanging\"&gt;CREEM Mural (N.D.) *Spatial Capture-Recapture* &lt;https://creemmural.org/secr.html&gt;&lt;/div&gt;"</v>
      </c>
      <c r="T92" s="65"/>
    </row>
    <row r="93" spans="1:20" ht="15.75">
      <c r="A93" s="65"/>
      <c r="B93" s="155" t="b">
        <v>0</v>
      </c>
      <c r="C93" s="155" t="b">
        <v>0</v>
      </c>
      <c r="D93" s="155"/>
      <c r="E93" s="65" t="s">
        <v>1904</v>
      </c>
      <c r="F93" s="65" t="s">
        <v>3594</v>
      </c>
      <c r="G93" s="65" t="s">
        <v>3593</v>
      </c>
      <c r="H93" s="65" t="s">
        <v>3593</v>
      </c>
      <c r="I93" s="65" t="b">
        <v>1</v>
      </c>
      <c r="J93" s="65" t="s">
        <v>3592</v>
      </c>
      <c r="K93" s="65" t="s">
        <v>5313</v>
      </c>
      <c r="L93" s="65" t="s">
        <v>3591</v>
      </c>
      <c r="M93" s="65" t="s">
        <v>984</v>
      </c>
      <c r="N93" s="65" t="str">
        <f>"&lt;div class="&amp;""""&amp;"hanging"&amp;""""&amp;"&gt;"&amp;K93&amp;"&lt;a href="&amp;""""&amp;L93&amp;""""&amp;" target="&amp;""""&amp;"_blank"&amp;""""&amp;"&gt;"&amp;L93&amp;"&lt;/a&gt;&lt;span style="&amp;""""&amp;"color:white"&amp;""""&amp;"&gt;[.]{#"&amp;F93&amp;"}}&lt;/span&gt;&lt;/div&gt;&lt;br&gt;"</f>
        <v>&lt;div class="hanging"&gt;Crisfield, V. E., Guillaume Blanchet, F., Raudsepp‐Hearne, C., &amp; Gravel, D. (2024). How and why species are rare: Towards an understanding of the ecological causes of rarity. &lt;i&gt;Ecography, 2024&lt;/i&gt;(2), e07037.&lt;a href="https://doi.org/10.1111/ecog.07037" target="_blank"&gt;https://doi.org/10.1111/ecog.07037&lt;/a&gt;&lt;span style="color:white"&gt;[.]{#crisfield_et_al_2024}}&lt;/span&gt;&lt;/div&gt;&lt;br&gt;</v>
      </c>
      <c r="O93" s="65" t="str">
        <f>"{{ rtxt_"&amp;F93&amp;" }}"</f>
        <v>{{ rtxt_crisfield_et_al_2024 }}</v>
      </c>
      <c r="P93" s="65" t="str">
        <f>"{{ rbib_"&amp;F93&amp;" }}"</f>
        <v>{{ rbib_crisfield_et_al_2024 }}</v>
      </c>
      <c r="Q93" s="65" t="str">
        <f>"    rtxt_"&amp;F93&amp;": "&amp;""""&amp;"&lt;a href=\"&amp;""""&amp;"/08_references.html#"&amp;F93&amp;"\"&amp;""""&amp;" target=\"&amp;""""&amp;"_blank\"&amp;""""&amp;"&gt;"&amp;G93&amp;"&lt;/a&gt;"&amp;""""</f>
        <v xml:space="preserve">    rtxt_crisfield_et_al_2024: "&lt;a href=\"/08_references.html#crisfield_et_al_2024\" target=\"_blank\"&gt;Crisfield et al., 2024&lt;/a&gt;"</v>
      </c>
      <c r="R93" s="65" t="str">
        <f>"    rbib_"&amp;F93&amp;": "&amp;""""&amp;K93&amp;"&lt;a href=\"&amp;""""&amp;L93&amp;""""&amp;" target=\"&amp;""""&amp;"_blank\"&amp;""""&amp;"&gt;"&amp;L93&amp;"&lt;/a&gt;"&amp;""""</f>
        <v xml:space="preserve">    rbib_crisfield_et_al_2024: "Crisfield, V. E., Guillaume Blanchet, F., Raudsepp‐Hearne, C., &amp; Gravel, D. (2024). How and why species are rare: Towards an understanding of the ecological causes of rarity. &lt;i&gt;Ecography, 2024&lt;/i&gt;(2), e07037.&lt;a href=\"https://doi.org/10.1111/ecog.07037" target=\"_blank\"&gt;https://doi.org/10.1111/ecog.07037&lt;/a&gt;"</v>
      </c>
      <c r="S93" s="65" t="str">
        <f>"    rbib_"&amp;F93&amp;": "&amp;""""&amp;"&lt;div class=\"&amp;""""&amp;"hanging\"&amp;""""&amp;"&gt;"&amp;J93&amp;"&lt;/div&gt;"&amp;""""</f>
        <v xml:space="preserve">    rbib_crisfield_et_al_2024: "&lt;div class=\"hanging\"&gt;Crisfield, V. E., Guillaume Blanchet, F., Raudsepp‐Hearne, C., &amp; Gravel, D. (2024). How and why species are rare: Towards an understanding of the ecological causes of rarity. *Ecography, 2024* (2), e07037. &lt;https://doi.org/10.1111/ecog.07037&gt;&lt;/div&gt;"</v>
      </c>
      <c r="T93" s="65"/>
    </row>
    <row r="94" spans="1:20" ht="15.75">
      <c r="A94" s="65"/>
      <c r="B94" s="155" t="b">
        <v>1</v>
      </c>
      <c r="C94" s="155" t="b">
        <v>0</v>
      </c>
      <c r="D94" s="155" t="b">
        <v>0</v>
      </c>
      <c r="E94" s="65" t="s">
        <v>1904</v>
      </c>
      <c r="F94" s="65" t="s">
        <v>3590</v>
      </c>
      <c r="G94" s="65" t="s">
        <v>3589</v>
      </c>
      <c r="H94" s="65" t="s">
        <v>3589</v>
      </c>
      <c r="I94" s="65" t="b">
        <v>1</v>
      </c>
      <c r="J94" s="65" t="s">
        <v>6088</v>
      </c>
      <c r="K94" s="65" t="s">
        <v>6089</v>
      </c>
      <c r="L94" s="65" t="s">
        <v>3588</v>
      </c>
      <c r="M94" s="65" t="s">
        <v>984</v>
      </c>
      <c r="N94" s="65" t="str">
        <f>"&lt;div class="&amp;""""&amp;"hanging"&amp;""""&amp;"&gt;"&amp;K94&amp;"&lt;a href="&amp;""""&amp;L94&amp;""""&amp;" target="&amp;""""&amp;"_blank"&amp;""""&amp;"&gt;"&amp;L94&amp;"&lt;/a&gt;&lt;span style="&amp;""""&amp;"color:white"&amp;""""&amp;"&gt;[.]{#"&amp;F94&amp;"}}&lt;/span&gt;&lt;/div&gt;&lt;br&gt;"</f>
        <v>&lt;div class="hanging"&gt;Cusack, J., Dickman, A. J., Rowcliffe, J. M., Carbone, C., Macdonald, D. W., &amp; Coulson, T. (2015). Random versus Game Trail-based Camera trap Placement Strategy for Monitoring Terrestrial Mammal Communities. &lt;i&gt;PloS One, 10&lt;/i&gt;(5), e0126373.&lt;a href="https://doi.org/10.1371/journal.pone.0126373" target="_blank"&gt;https://doi.org/10.1371/journal.pone.0126373&lt;/a&gt;&lt;span style="color:white"&gt;[.]{#cusack_et_al_2015}}&lt;/span&gt;&lt;/div&gt;&lt;br&gt;</v>
      </c>
      <c r="O94" s="65" t="str">
        <f>"{{ rtxt_"&amp;F94&amp;" }}"</f>
        <v>{{ rtxt_cusack_et_al_2015 }}</v>
      </c>
      <c r="P94" s="65" t="str">
        <f>"{{ rbib_"&amp;F94&amp;" }}"</f>
        <v>{{ rbib_cusack_et_al_2015 }}</v>
      </c>
      <c r="Q94" s="65" t="str">
        <f>"    rtxt_"&amp;F94&amp;": "&amp;""""&amp;"&lt;a href=\"&amp;""""&amp;"/08_references.html#"&amp;F94&amp;"\"&amp;""""&amp;" target=\"&amp;""""&amp;"_blank\"&amp;""""&amp;"&gt;"&amp;G94&amp;"&lt;/a&gt;"&amp;""""</f>
        <v xml:space="preserve">    rtxt_cusack_et_al_2015: "&lt;a href=\"/08_references.html#cusack_et_al_2015\" target=\"_blank\"&gt;Cusack et al., 2015&lt;/a&gt;"</v>
      </c>
      <c r="R94" s="65" t="str">
        <f>"    rbib_"&amp;F94&amp;": "&amp;""""&amp;K94&amp;"&lt;a href=\"&amp;""""&amp;L94&amp;""""&amp;" target=\"&amp;""""&amp;"_blank\"&amp;""""&amp;"&gt;"&amp;L94&amp;"&lt;/a&gt;"&amp;""""</f>
        <v xml:space="preserve">    rbib_cusack_et_al_2015: "Cusack, J., Dickman, A. J., Rowcliffe, J. M., Carbone, C., Macdonald, D. W., &amp; Coulson, T. (2015). Random versus Game Trail-based Camera trap Placement Strategy for Monitoring Terrestrial Mammal Communities. &lt;i&gt;PloS One, 10&lt;/i&gt;(5), e0126373.&lt;a href=\"https://doi.org/10.1371/journal.pone.0126373" target=\"_blank\"&gt;https://doi.org/10.1371/journal.pone.0126373&lt;/a&gt;"</v>
      </c>
      <c r="S94" s="65" t="str">
        <f>"    rbib_"&amp;F94&amp;": "&amp;""""&amp;"&lt;div class=\"&amp;""""&amp;"hanging\"&amp;""""&amp;"&gt;"&amp;J94&amp;"&lt;/div&gt;"&amp;""""</f>
        <v xml:space="preserve">    rbib_cusack_et_al_2015: "&lt;div class=\"hanging\"&gt;Cusack, J., Dickman, A. J., Rowcliffe, J. M., Carbone, C., Macdonald, D. W., &amp; Coulson, T. (2015). Random versus Game Trail-based Camera trap Placement Strategy for Monitoring Terrestrial Mammal Communities. *PloS One*, *10*(5), e0126373. &lt;https://doi.org/10.1371/journal.pone.0126373&gt;&lt;/div&gt;"</v>
      </c>
      <c r="T94" s="65"/>
    </row>
    <row r="95" spans="1:20" ht="15.75">
      <c r="A95" s="65"/>
      <c r="B95" s="155" t="b">
        <v>1</v>
      </c>
      <c r="C95" s="155" t="b">
        <v>0</v>
      </c>
      <c r="D95" s="155" t="b">
        <v>0</v>
      </c>
      <c r="E95" s="65" t="s">
        <v>1904</v>
      </c>
      <c r="F95" s="65" t="s">
        <v>3587</v>
      </c>
      <c r="G95" s="65" t="s">
        <v>3586</v>
      </c>
      <c r="H95" s="65" t="s">
        <v>3586</v>
      </c>
      <c r="I95" s="65" t="b">
        <v>1</v>
      </c>
      <c r="J95" s="65" t="s">
        <v>3585</v>
      </c>
      <c r="K95" s="65" t="s">
        <v>5559</v>
      </c>
      <c r="L95" s="65" t="s">
        <v>3584</v>
      </c>
      <c r="M95" s="65" t="s">
        <v>984</v>
      </c>
      <c r="N95" s="65" t="str">
        <f>"&lt;div class="&amp;""""&amp;"hanging"&amp;""""&amp;"&gt;"&amp;K95&amp;"&lt;a href="&amp;""""&amp;L95&amp;""""&amp;" target="&amp;""""&amp;"_blank"&amp;""""&amp;"&gt;"&amp;L95&amp;"&lt;/a&gt;&lt;span style="&amp;""""&amp;"color:white"&amp;""""&amp;"&gt;[.]{#"&amp;F95&amp;"}}&lt;/span&gt;&lt;/div&gt;&lt;br&gt;"</f>
        <v>&lt;div class="hanging"&gt;Davis, R. S., Stone, E. L., Gentle, L. K., Mgoola, W. O., Uzal, A., &amp; Yarnell, R. W. (2021). Spatial Partial Identity Model Reveals Low Densities of Leopard and Spotted Hyaena in a Miombo Woodland. &lt;i&gt;Journal of Zoology, 313&lt;/i&gt;, 43-53.&lt;a href="https://zslpublications.onlinelibrary.wiley.com/doi/epdf/10.1111/jzo.12838" target="_blank"&gt;https://zslpublications.onlinelibrary.wiley.com/doi/epdf/10.1111/jzo.12838&lt;/a&gt;&lt;span style="color:white"&gt;[.]{#davis_et_al_2021}}&lt;/span&gt;&lt;/div&gt;&lt;br&gt;</v>
      </c>
      <c r="O95" s="65" t="str">
        <f>"{{ rtxt_"&amp;F95&amp;" }}"</f>
        <v>{{ rtxt_davis_et_al_2021 }}</v>
      </c>
      <c r="P95" s="65" t="str">
        <f>"{{ rbib_"&amp;F95&amp;" }}"</f>
        <v>{{ rbib_davis_et_al_2021 }}</v>
      </c>
      <c r="Q95" s="65" t="str">
        <f>"    rtxt_"&amp;F95&amp;": "&amp;""""&amp;"&lt;a href=\"&amp;""""&amp;"/08_references.html#"&amp;F95&amp;"\"&amp;""""&amp;" target=\"&amp;""""&amp;"_blank\"&amp;""""&amp;"&gt;"&amp;G95&amp;"&lt;/a&gt;"&amp;""""</f>
        <v xml:space="preserve">    rtxt_davis_et_al_2021: "&lt;a href=\"/08_references.html#davis_et_al_2021\" target=\"_blank\"&gt;Davis et al., 2021&lt;/a&gt;"</v>
      </c>
      <c r="R95" s="65" t="str">
        <f>"    rbib_"&amp;F95&amp;": "&amp;""""&amp;K95&amp;"&lt;a href=\"&amp;""""&amp;L95&amp;""""&amp;" target=\"&amp;""""&amp;"_blank\"&amp;""""&amp;"&gt;"&amp;L95&amp;"&lt;/a&gt;"&amp;""""</f>
        <v xml:space="preserve">    rbib_davis_et_al_2021: "Davis, R. S., Stone, E. L., Gentle, L. K., Mgoola, W. O., Uzal, A., &amp; Yarnell, R. W. (2021). Spatial Partial Identity Model Reveals Low Densities of Leopard and Spotted Hyaena in a Miombo Woodland. &lt;i&gt;Journal of Zoology, 313&lt;/i&gt;, 43-53.&lt;a href=\"https://zslpublications.onlinelibrary.wiley.com/doi/epdf/10.1111/jzo.12838" target=\"_blank\"&gt;https://zslpublications.onlinelibrary.wiley.com/doi/epdf/10.1111/jzo.12838&lt;/a&gt;"</v>
      </c>
      <c r="S95" s="65" t="str">
        <f>"    rbib_"&amp;F95&amp;": "&amp;""""&amp;"&lt;div class=\"&amp;""""&amp;"hanging\"&amp;""""&amp;"&gt;"&amp;J95&amp;"&lt;/div&gt;"&amp;""""</f>
        <v xml:space="preserve">    rbib_davis_et_al_2021: "&lt;div class=\"hanging\"&gt;Davis, R. S., Stone, E. L., Gentle, L. K., Mgoola, W. O., Uzal, A., &amp; Yarnell, R. W. (2021). Spatial Partial Identity Model Reveals Low Densities of Leopard and Spotted Hyaena in a Miombo Woodland. *Journal of Zoology, 313*, 43-53. &lt;https://zslpublications.onlinelibrary.wiley.com/doi/epdf/10.1111/jzo.12838&gt;&lt;/div&gt;"</v>
      </c>
      <c r="T95" s="65"/>
    </row>
    <row r="96" spans="1:20" ht="15.75">
      <c r="A96" s="65"/>
      <c r="B96" s="155"/>
      <c r="C96" s="155"/>
      <c r="D96" s="155"/>
      <c r="E96" s="65" t="s">
        <v>1945</v>
      </c>
      <c r="F96" s="65" t="s">
        <v>3583</v>
      </c>
      <c r="G96" s="65" t="s">
        <v>3582</v>
      </c>
      <c r="H96" s="65" t="s">
        <v>3582</v>
      </c>
      <c r="I96" s="65" t="b">
        <v>1</v>
      </c>
      <c r="J96" s="65" t="s">
        <v>3955</v>
      </c>
      <c r="K96" s="65" t="s">
        <v>6095</v>
      </c>
      <c r="L96" s="65" t="s">
        <v>3580</v>
      </c>
      <c r="M96" s="65" t="s">
        <v>3581</v>
      </c>
      <c r="N96" s="65" t="str">
        <f>"&lt;div class="&amp;""""&amp;"hanging"&amp;""""&amp;"&gt;"&amp;K96&amp;"&lt;a href="&amp;""""&amp;L96&amp;""""&amp;" target="&amp;""""&amp;"_blank"&amp;""""&amp;"&gt;"&amp;L96&amp;"&lt;/a&gt;&lt;span style="&amp;""""&amp;"color:white"&amp;""""&amp;"&gt;[.]{#"&amp;F96&amp;"}}&lt;/span&gt;&lt;/div&gt;&lt;br&gt;"</f>
        <v>&lt;div class="hanging"&gt;DE-CTR ACCEL (2016, Dec 21) &lt;i&gt;Using Hurdle Models to Analyze Zero-Inflated Count Data&lt;/i&gt;. [Video]. YouTube.&lt;a href="https://www.youtube.com/watch?v=CvM6j8hE8lE" target="_blank"&gt;https://www.youtube.com/watch?v=CvM6j8hE8lE&lt;/a&gt;&lt;span style="color:white"&gt;[.]{#dectre_accel_2016}}&lt;/span&gt;&lt;/div&gt;&lt;br&gt;</v>
      </c>
      <c r="O96" s="65" t="str">
        <f>"{{ rtxt_"&amp;F96&amp;" }}"</f>
        <v>{{ rtxt_dectre_accel_2016 }}</v>
      </c>
      <c r="P96" s="65" t="str">
        <f>"{{ rbib_"&amp;F96&amp;" }}"</f>
        <v>{{ rbib_dectre_accel_2016 }}</v>
      </c>
      <c r="Q96" s="65" t="str">
        <f>"    rtxt_"&amp;F96&amp;": "&amp;""""&amp;"&lt;a href=\"&amp;""""&amp;"/08_references.html#"&amp;F96&amp;"\"&amp;""""&amp;" target=\"&amp;""""&amp;"_blank\"&amp;""""&amp;"&gt;"&amp;G96&amp;"&lt;/a&gt;"&amp;""""</f>
        <v xml:space="preserve">    rtxt_dectre_accel_2016: "&lt;a href=\"/08_references.html#dectre_accel_2016\" target=\"_blank\"&gt;DE-CTR ACCEL (2016)&lt;/a&gt;"</v>
      </c>
      <c r="R96" s="65" t="str">
        <f>"    rbib_"&amp;F96&amp;": "&amp;""""&amp;K96&amp;"&lt;a href=\"&amp;""""&amp;L96&amp;""""&amp;" target=\"&amp;""""&amp;"_blank\"&amp;""""&amp;"&gt;"&amp;L96&amp;"&lt;/a&gt;"&amp;""""</f>
        <v xml:space="preserve">    rbib_dectre_accel_2016: "DE-CTR ACCEL (2016, Dec 21) &lt;i&gt;Using Hurdle Models to Analyze Zero-Inflated Count Data&lt;/i&gt;. [Video]. YouTube.&lt;a href=\"https://www.youtube.com/watch?v=CvM6j8hE8lE" target=\"_blank\"&gt;https://www.youtube.com/watch?v=CvM6j8hE8lE&lt;/a&gt;"</v>
      </c>
      <c r="S96" s="65" t="str">
        <f>"    rbib_"&amp;F96&amp;": "&amp;""""&amp;"&lt;div class=\"&amp;""""&amp;"hanging\"&amp;""""&amp;"&gt;"&amp;J96&amp;"&lt;/div&gt;"&amp;""""</f>
        <v xml:space="preserve">    rbib_dectre_accel_2016: "&lt;div class=\"hanging\"&gt;DE-CTR ACCEL (2016, Dec 21) *Using Hurdle Models to Analyze Zero-Inflated Count Data.* [Video]. YouTube. &lt;https://www.youtube.com/watch?v=CvM6j8hE8lE&gt;&lt;/div&gt;"</v>
      </c>
      <c r="T96" s="65"/>
    </row>
    <row r="97" spans="1:20" ht="15.75">
      <c r="A97" s="65"/>
      <c r="B97" s="155"/>
      <c r="C97" s="155"/>
      <c r="D97" s="155"/>
      <c r="E97" s="65" t="s">
        <v>1904</v>
      </c>
      <c r="F97" s="65" t="s">
        <v>3579</v>
      </c>
      <c r="G97" s="65" t="s">
        <v>3578</v>
      </c>
      <c r="H97" s="65" t="s">
        <v>3578</v>
      </c>
      <c r="I97" s="65" t="b">
        <v>1</v>
      </c>
      <c r="J97" s="65" t="s">
        <v>3577</v>
      </c>
      <c r="K97" s="65" t="s">
        <v>5298</v>
      </c>
      <c r="L97" s="65" t="s">
        <v>3576</v>
      </c>
      <c r="M97" s="65" t="s">
        <v>984</v>
      </c>
      <c r="N97" s="65" t="str">
        <f>"&lt;div class="&amp;""""&amp;"hanging"&amp;""""&amp;"&gt;"&amp;K97&amp;"&lt;a href="&amp;""""&amp;L97&amp;""""&amp;" target="&amp;""""&amp;"_blank"&amp;""""&amp;"&gt;"&amp;L97&amp;"&lt;/a&gt;&lt;span style="&amp;""""&amp;"color:white"&amp;""""&amp;"&gt;[.]{#"&amp;F97&amp;"}}&lt;/span&gt;&lt;/div&gt;&lt;br&gt;"</f>
        <v>&lt;div class="hanging"&gt;Delisle, Z. J., Henrich, M., Palencia, P., &amp; Swihart, R. K. (2023). Reducing bias in density estimates for unmarked populations that exhibit reactive behaviour towards camera traps. &lt;i&gt;Methods in Ecology and Evolution, 14&lt;/i&gt;(12), 3100-3111.&lt;a href="https://doi.org/10.1111/2041-210X.14247" target="_blank"&gt;https://doi.org/10.1111/2041-210X.14247&lt;/a&gt;&lt;span style="color:white"&gt;[.]{#delisle_et_al_2023}}&lt;/span&gt;&lt;/div&gt;&lt;br&gt;</v>
      </c>
      <c r="O97" s="65" t="str">
        <f>"{{ rtxt_"&amp;F97&amp;" }}"</f>
        <v>{{ rtxt_delisle_et_al_2023 }}</v>
      </c>
      <c r="P97" s="65" t="str">
        <f>"{{ rbib_"&amp;F97&amp;" }}"</f>
        <v>{{ rbib_delisle_et_al_2023 }}</v>
      </c>
      <c r="Q97" s="65" t="str">
        <f>"    rtxt_"&amp;F97&amp;": "&amp;""""&amp;"&lt;a href=\"&amp;""""&amp;"/08_references.html#"&amp;F97&amp;"\"&amp;""""&amp;" target=\"&amp;""""&amp;"_blank\"&amp;""""&amp;"&gt;"&amp;G97&amp;"&lt;/a&gt;"&amp;""""</f>
        <v xml:space="preserve">    rtxt_delisle_et_al_2023: "&lt;a href=\"/08_references.html#delisle_et_al_2023\" target=\"_blank\"&gt;Delisle et al., 2023&lt;/a&gt;"</v>
      </c>
      <c r="R97" s="65" t="str">
        <f>"    rbib_"&amp;F97&amp;": "&amp;""""&amp;K97&amp;"&lt;a href=\"&amp;""""&amp;L97&amp;""""&amp;" target=\"&amp;""""&amp;"_blank\"&amp;""""&amp;"&gt;"&amp;L97&amp;"&lt;/a&gt;"&amp;""""</f>
        <v xml:space="preserve">    rbib_delisle_et_al_2023: "Delisle, Z. J., Henrich, M., Palencia, P., &amp; Swihart, R. K. (2023). Reducing bias in density estimates for unmarked populations that exhibit reactive behaviour towards camera traps. &lt;i&gt;Methods in Ecology and Evolution, 14&lt;/i&gt;(12), 3100-3111.&lt;a href=\"https://doi.org/10.1111/2041-210X.14247" target=\"_blank\"&gt;https://doi.org/10.1111/2041-210X.14247&lt;/a&gt;"</v>
      </c>
      <c r="S97" s="65" t="str">
        <f>"    rbib_"&amp;F97&amp;": "&amp;""""&amp;"&lt;div class=\"&amp;""""&amp;"hanging\"&amp;""""&amp;"&gt;"&amp;J97&amp;"&lt;/div&gt;"&amp;""""</f>
        <v xml:space="preserve">    rbib_delisle_et_al_2023: "&lt;div class=\"hanging\"&gt;Delisle, Z. J., Henrich, M., Palencia, P., &amp; Swihart, R. K. (2023). Reducing bias in density estimates for unmarked populations that exhibit reactive behaviour towards camera traps. *Methods in Ecology and Evolution, 14*(12), 3100-3111. &lt;https://doi.org/10.1111/2041-210X.14247&gt;&lt;/div&gt;"</v>
      </c>
      <c r="T97" s="65"/>
    </row>
    <row r="98" spans="1:20" ht="15.75">
      <c r="A98" s="65"/>
      <c r="B98" s="155" t="b">
        <v>1</v>
      </c>
      <c r="C98" s="155" t="b">
        <v>0</v>
      </c>
      <c r="D98" s="155" t="b">
        <v>0</v>
      </c>
      <c r="E98" s="65" t="s">
        <v>1904</v>
      </c>
      <c r="F98" s="65" t="s">
        <v>3575</v>
      </c>
      <c r="G98" s="65" t="s">
        <v>3574</v>
      </c>
      <c r="H98" s="65" t="s">
        <v>3574</v>
      </c>
      <c r="I98" s="65" t="b">
        <v>1</v>
      </c>
      <c r="J98" s="65" t="s">
        <v>3573</v>
      </c>
      <c r="K98" s="65" t="s">
        <v>5289</v>
      </c>
      <c r="L98" s="65" t="s">
        <v>3572</v>
      </c>
      <c r="M98" s="65" t="s">
        <v>984</v>
      </c>
      <c r="N98" s="65" t="str">
        <f>"&lt;div class="&amp;""""&amp;"hanging"&amp;""""&amp;"&gt;"&amp;K98&amp;"&lt;a href="&amp;""""&amp;L98&amp;""""&amp;" target="&amp;""""&amp;"_blank"&amp;""""&amp;"&gt;"&amp;L98&amp;"&lt;/a&gt;&lt;span style="&amp;""""&amp;"color:white"&amp;""""&amp;"&gt;[.]{#"&amp;F98&amp;"}}&lt;/span&gt;&lt;/div&gt;&lt;br&gt;"</f>
        <v>&lt;div class="hanging"&gt;Dénes, F. V., Silveira, L. F., Beissinger, S. R., &amp; Isaac, N. (2015). Estimating Abundance of Unmarked Animal Populations: Accounting for Imperfect Detection and Other Sources of Zero Inflation. &lt;i&gt;Methods in Ecology and Evolution, 6&lt;/i&gt;(5), 543-556.&lt;a href="https://doi.org/10.1111/2041-210x.12333" target="_blank"&gt;https://doi.org/10.1111/2041-210x.12333&lt;/a&gt;&lt;span style="color:white"&gt;[.]{#denes_et_al_2015}}&lt;/span&gt;&lt;/div&gt;&lt;br&gt;</v>
      </c>
      <c r="O98" s="65" t="str">
        <f>"{{ rtxt_"&amp;F98&amp;" }}"</f>
        <v>{{ rtxt_denes_et_al_2015 }}</v>
      </c>
      <c r="P98" s="65" t="str">
        <f>"{{ rbib_"&amp;F98&amp;" }}"</f>
        <v>{{ rbib_denes_et_al_2015 }}</v>
      </c>
      <c r="Q98" s="65" t="str">
        <f>"    rtxt_"&amp;F98&amp;": "&amp;""""&amp;"&lt;a href=\"&amp;""""&amp;"/08_references.html#"&amp;F98&amp;"\"&amp;""""&amp;" target=\"&amp;""""&amp;"_blank\"&amp;""""&amp;"&gt;"&amp;G98&amp;"&lt;/a&gt;"&amp;""""</f>
        <v xml:space="preserve">    rtxt_denes_et_al_2015: "&lt;a href=\"/08_references.html#denes_et_al_2015\" target=\"_blank\"&gt;Dénes et al., 2015&lt;/a&gt;"</v>
      </c>
      <c r="R98" s="65" t="str">
        <f>"    rbib_"&amp;F98&amp;": "&amp;""""&amp;K98&amp;"&lt;a href=\"&amp;""""&amp;L98&amp;""""&amp;" target=\"&amp;""""&amp;"_blank\"&amp;""""&amp;"&gt;"&amp;L98&amp;"&lt;/a&gt;"&amp;""""</f>
        <v xml:space="preserve">    rbib_denes_et_al_2015: "Dénes, F. V., Silveira, L. F., Beissinger, S. R., &amp; Isaac, N. (2015). Estimating Abundance of Unmarked Animal Populations: Accounting for Imperfect Detection and Other Sources of Zero Inflation. &lt;i&gt;Methods in Ecology and Evolution, 6&lt;/i&gt;(5), 543-556.&lt;a href=\"https://doi.org/10.1111/2041-210x.12333" target=\"_blank\"&gt;https://doi.org/10.1111/2041-210x.12333&lt;/a&gt;"</v>
      </c>
      <c r="S98" s="65" t="str">
        <f>"    rbib_"&amp;F98&amp;": "&amp;""""&amp;"&lt;div class=\"&amp;""""&amp;"hanging\"&amp;""""&amp;"&gt;"&amp;J98&amp;"&lt;/div&gt;"&amp;""""</f>
        <v xml:space="preserve">    rbib_denes_et_al_2015: "&lt;div class=\"hanging\"&gt;Dénes, F. V., Silveira, L. F., Beissinger, S. R., &amp; Isaac, N. (2015). Estimating Abundance of Unmarked Animal Populations: Accounting for Imperfect Detection and Other Sources of Zero Inflation. *Methods in Ecology and Evolution, 6*(5), 543-556. &lt;https://doi.org/10.1111/2041-210x.12333&gt;&lt;/div&gt;"</v>
      </c>
      <c r="T98" s="65"/>
    </row>
    <row r="99" spans="1:20" ht="15.75">
      <c r="A99" s="65"/>
      <c r="B99" s="155" t="b">
        <v>0</v>
      </c>
      <c r="C99" s="155" t="b">
        <v>0</v>
      </c>
      <c r="D99" s="155" t="b">
        <v>1</v>
      </c>
      <c r="E99" s="65" t="s">
        <v>1904</v>
      </c>
      <c r="F99" s="65" t="s">
        <v>3571</v>
      </c>
      <c r="G99" s="65" t="s">
        <v>3570</v>
      </c>
      <c r="H99" s="65" t="s">
        <v>3570</v>
      </c>
      <c r="I99" s="65" t="b">
        <v>1</v>
      </c>
      <c r="J99" s="65" t="s">
        <v>3569</v>
      </c>
      <c r="K99" s="65" t="s">
        <v>6076</v>
      </c>
      <c r="L99" s="65" t="s">
        <v>3568</v>
      </c>
      <c r="M99" s="65" t="s">
        <v>984</v>
      </c>
      <c r="N99" s="65" t="str">
        <f>"&lt;div class="&amp;""""&amp;"hanging"&amp;""""&amp;"&gt;"&amp;K99&amp;"&lt;a href="&amp;""""&amp;L99&amp;""""&amp;" target="&amp;""""&amp;"_blank"&amp;""""&amp;"&gt;"&amp;L99&amp;"&lt;/a&gt;&lt;span style="&amp;""""&amp;"color:white"&amp;""""&amp;"&gt;[.]{#"&amp;F99&amp;"}}&lt;/span&gt;&lt;/div&gt;&lt;br&gt;"</f>
        <v>&lt;div class="hanging"&gt;Deng, C., Daley, T., &amp; Smith, A. (2015). Applications of species accumulation curves in large‐scale biological data analysis. &lt;i&gt;Quantitative Biology, 3&lt;/i&gt;(3), 135-144.&lt;a href="https://doi.org/10.1007/s40484-015-0049-7" target="_blank"&gt;https://doi.org/10.1007/s40484-015-0049-7&lt;/a&gt;&lt;span style="color:white"&gt;[.]{#deng_et_al_2015}}&lt;/span&gt;&lt;/div&gt;&lt;br&gt;</v>
      </c>
      <c r="O99" s="65" t="str">
        <f>"{{ rtxt_"&amp;F99&amp;" }}"</f>
        <v>{{ rtxt_deng_et_al_2015 }}</v>
      </c>
      <c r="P99" s="65" t="str">
        <f>"{{ rbib_"&amp;F99&amp;" }}"</f>
        <v>{{ rbib_deng_et_al_2015 }}</v>
      </c>
      <c r="Q99" s="65" t="str">
        <f>"    rtxt_"&amp;F99&amp;": "&amp;""""&amp;"&lt;a href=\"&amp;""""&amp;"/08_references.html#"&amp;F99&amp;"\"&amp;""""&amp;" target=\"&amp;""""&amp;"_blank\"&amp;""""&amp;"&gt;"&amp;G99&amp;"&lt;/a&gt;"&amp;""""</f>
        <v xml:space="preserve">    rtxt_deng_et_al_2015: "&lt;a href=\"/08_references.html#deng_et_al_2015\" target=\"_blank\"&gt;Deng et al., 2015&lt;/a&gt;"</v>
      </c>
      <c r="R99" s="65" t="str">
        <f>"    rbib_"&amp;F99&amp;": "&amp;""""&amp;K99&amp;"&lt;a href=\"&amp;""""&amp;L99&amp;""""&amp;" target=\"&amp;""""&amp;"_blank\"&amp;""""&amp;"&gt;"&amp;L99&amp;"&lt;/a&gt;"&amp;""""</f>
        <v xml:space="preserve">    rbib_deng_et_al_2015: "Deng, C., Daley, T., &amp; Smith, A. (2015). Applications of species accumulation curves in large‐scale biological data analysis. &lt;i&gt;Quantitative Biology, 3&lt;/i&gt;(3), 135-144.&lt;a href=\"https://doi.org/10.1007/s40484-015-0049-7" target=\"_blank\"&gt;https://doi.org/10.1007/s40484-015-0049-7&lt;/a&gt;"</v>
      </c>
      <c r="S99" s="65" t="str">
        <f>"    rbib_"&amp;F99&amp;": "&amp;""""&amp;"&lt;div class=\"&amp;""""&amp;"hanging\"&amp;""""&amp;"&gt;"&amp;J99&amp;"&lt;/div&gt;"&amp;""""</f>
        <v xml:space="preserve">    rbib_deng_et_al_2015: "&lt;div class=\"hanging\"&gt;Deng, C., Daley, T., &amp; Smith, A. (2015). Applications of species accumulation curves in large‐scale biological data analysis. *Quantitative Biology, 3*(3), 135-144. &lt;https://doi.org/10.1007/s40484-015-0049-7&gt;&lt;/div&gt;"</v>
      </c>
      <c r="T99" s="65"/>
    </row>
    <row r="100" spans="1:20" ht="15.75">
      <c r="A100" s="65"/>
      <c r="B100" s="155"/>
      <c r="C100" s="155"/>
      <c r="D100" s="155"/>
      <c r="E100" s="65" t="s">
        <v>1904</v>
      </c>
      <c r="F100" s="65" t="s">
        <v>3567</v>
      </c>
      <c r="G100" s="65" t="s">
        <v>3566</v>
      </c>
      <c r="H100" s="65" t="s">
        <v>3566</v>
      </c>
      <c r="I100" s="65" t="b">
        <v>1</v>
      </c>
      <c r="J100" s="65" t="s">
        <v>3565</v>
      </c>
      <c r="K100" s="65" t="s">
        <v>5132</v>
      </c>
      <c r="L100" s="65" t="s">
        <v>3564</v>
      </c>
      <c r="M100" s="65" t="s">
        <v>984</v>
      </c>
      <c r="N100" s="65" t="str">
        <f>"&lt;div class="&amp;""""&amp;"hanging"&amp;""""&amp;"&gt;"&amp;K100&amp;"&lt;a href="&amp;""""&amp;L100&amp;""""&amp;" target="&amp;""""&amp;"_blank"&amp;""""&amp;"&gt;"&amp;L100&amp;"&lt;/a&gt;&lt;span style="&amp;""""&amp;"color:white"&amp;""""&amp;"&gt;[.]{#"&amp;F100&amp;"}}&lt;/span&gt;&lt;/div&gt;&lt;br&gt;"</f>
        <v>&lt;div class="hanging"&gt;Després‐Einspenner, M., Howe, E. J., Drapeau, P., &amp; Kühl, H. S. (2017). An empirical evaluation of camera trapping and spatially explicit capture‐recapture models for estimating chimpanzee density. &lt;i&gt;American Journal of Primatology, 79&lt;/i&gt;(7), e22647.&lt;a href="https://doi.org/10.1002/ajp.22647" target="_blank"&gt;https://doi.org/10.1002/ajp.22647&lt;/a&gt;&lt;span style="color:white"&gt;[.]{#despres_einspenner_et_al_2017}}&lt;/span&gt;&lt;/div&gt;&lt;br&gt;</v>
      </c>
      <c r="O100" s="65" t="str">
        <f>"{{ rtxt_"&amp;F100&amp;" }}"</f>
        <v>{{ rtxt_despres_einspenner_et_al_2017 }}</v>
      </c>
      <c r="P100" s="65" t="str">
        <f>"{{ rbib_"&amp;F100&amp;" }}"</f>
        <v>{{ rbib_despres_einspenner_et_al_2017 }}</v>
      </c>
      <c r="Q100" s="65" t="str">
        <f>"    rtxt_"&amp;F100&amp;": "&amp;""""&amp;"&lt;a href=\"&amp;""""&amp;"/08_references.html#"&amp;F100&amp;"\"&amp;""""&amp;" target=\"&amp;""""&amp;"_blank\"&amp;""""&amp;"&gt;"&amp;G100&amp;"&lt;/a&gt;"&amp;""""</f>
        <v xml:space="preserve">    rtxt_despres_einspenner_et_al_2017: "&lt;a href=\"/08_references.html#despres_einspenner_et_al_2017\" target=\"_blank\"&gt;Després‐Einspenner et al., 2017&lt;/a&gt;"</v>
      </c>
      <c r="R100" s="65" t="str">
        <f>"    rbib_"&amp;F100&amp;": "&amp;""""&amp;K100&amp;"&lt;a href=\"&amp;""""&amp;L100&amp;""""&amp;" target=\"&amp;""""&amp;"_blank\"&amp;""""&amp;"&gt;"&amp;L100&amp;"&lt;/a&gt;"&amp;""""</f>
        <v xml:space="preserve">    rbib_despres_einspenner_et_al_2017: "Després‐Einspenner, M., Howe, E. J., Drapeau, P., &amp; Kühl, H. S. (2017). An empirical evaluation of camera trapping and spatially explicit capture‐recapture models for estimating chimpanzee density. &lt;i&gt;American Journal of Primatology, 79&lt;/i&gt;(7), e22647.&lt;a href=\"https://doi.org/10.1002/ajp.22647" target=\"_blank\"&gt;https://doi.org/10.1002/ajp.22647&lt;/a&gt;"</v>
      </c>
      <c r="S100" s="65" t="str">
        <f>"    rbib_"&amp;F100&amp;": "&amp;""""&amp;"&lt;div class=\"&amp;""""&amp;"hanging\"&amp;""""&amp;"&gt;"&amp;J100&amp;"&lt;/div&gt;"&amp;""""</f>
        <v xml:space="preserve">    rbib_despres_einspenner_et_al_2017: "&lt;div class=\"hanging\"&gt;Després‐Einspenner, M., Howe, E. J., Drapeau, P., &amp; Kühl, H. S. (2017). An empirical evaluation of camera trapping and spatially explicit capture‐recapture models for estimating chimpanzee density. *American Journal of Primatology, 79*(7), e22647. &lt;https://doi.org/10.1002/ajp.22647&gt;&lt;/div&gt;"</v>
      </c>
      <c r="T100" s="65"/>
    </row>
    <row r="101" spans="1:20" ht="15.75">
      <c r="A101" s="65"/>
      <c r="B101" s="155" t="b">
        <v>0</v>
      </c>
      <c r="C101" s="155" t="b">
        <v>0</v>
      </c>
      <c r="D101" s="155"/>
      <c r="E101" s="65" t="s">
        <v>1904</v>
      </c>
      <c r="F101" s="65" t="s">
        <v>3563</v>
      </c>
      <c r="G101" s="65" t="s">
        <v>3562</v>
      </c>
      <c r="H101" s="65" t="s">
        <v>3562</v>
      </c>
      <c r="I101" s="65" t="b">
        <v>1</v>
      </c>
      <c r="J101" s="65" t="s">
        <v>3561</v>
      </c>
      <c r="K101" s="65" t="s">
        <v>5232</v>
      </c>
      <c r="L101" s="65" t="s">
        <v>3560</v>
      </c>
      <c r="M101" s="65" t="s">
        <v>984</v>
      </c>
      <c r="N101" s="65" t="str">
        <f>"&lt;div class="&amp;""""&amp;"hanging"&amp;""""&amp;"&gt;"&amp;K101&amp;"&lt;a href="&amp;""""&amp;L101&amp;""""&amp;" target="&amp;""""&amp;"_blank"&amp;""""&amp;"&gt;"&amp;L101&amp;"&lt;/a&gt;&lt;span style="&amp;""""&amp;"color:white"&amp;""""&amp;"&gt;[.]{#"&amp;F101&amp;"}}&lt;/span&gt;&lt;/div&gt;&lt;br&gt;"</f>
        <v>&lt;div class="hanging"&gt;Dey, S., Moqanaki, E., Milleret, C., Dupont, P., Tourani, M., &amp; Bischof, R. (2023). Modelling spatially autocorrelated detection probabilities in spatial capture-recapture using random effects. &lt;i&gt;Ecological Modelling, 479&lt;/i&gt;, 110324.&lt;a href="https://doi.org/10.1016/j.ecolmodel.2023.110324" target="_blank"&gt;https://doi.org/10.1016/j.ecolmodel.2023.110324&lt;/a&gt;&lt;span style="color:white"&gt;[.]{#dey_et_al_2023}}&lt;/span&gt;&lt;/div&gt;&lt;br&gt;</v>
      </c>
      <c r="O101" s="65" t="str">
        <f>"{{ rtxt_"&amp;F101&amp;" }}"</f>
        <v>{{ rtxt_dey_et_al_2023 }}</v>
      </c>
      <c r="P101" s="65" t="str">
        <f>"{{ rbib_"&amp;F101&amp;" }}"</f>
        <v>{{ rbib_dey_et_al_2023 }}</v>
      </c>
      <c r="Q101" s="65" t="str">
        <f>"    rtxt_"&amp;F101&amp;": "&amp;""""&amp;"&lt;a href=\"&amp;""""&amp;"/08_references.html#"&amp;F101&amp;"\"&amp;""""&amp;" target=\"&amp;""""&amp;"_blank\"&amp;""""&amp;"&gt;"&amp;G101&amp;"&lt;/a&gt;"&amp;""""</f>
        <v xml:space="preserve">    rtxt_dey_et_al_2023: "&lt;a href=\"/08_references.html#dey_et_al_2023\" target=\"_blank\"&gt;Dey et al., 2023&lt;/a&gt;"</v>
      </c>
      <c r="R101" s="65" t="str">
        <f>"    rbib_"&amp;F101&amp;": "&amp;""""&amp;K101&amp;"&lt;a href=\"&amp;""""&amp;L101&amp;""""&amp;" target=\"&amp;""""&amp;"_blank\"&amp;""""&amp;"&gt;"&amp;L101&amp;"&lt;/a&gt;"&amp;""""</f>
        <v xml:space="preserve">    rbib_dey_et_al_2023: "Dey, S., Moqanaki, E., Milleret, C., Dupont, P., Tourani, M., &amp; Bischof, R. (2023). Modelling spatially autocorrelated detection probabilities in spatial capture-recapture using random effects. &lt;i&gt;Ecological Modelling, 479&lt;/i&gt;, 110324.&lt;a href=\"https://doi.org/10.1016/j.ecolmodel.2023.110324" target=\"_blank\"&gt;https://doi.org/10.1016/j.ecolmodel.2023.110324&lt;/a&gt;"</v>
      </c>
      <c r="S101" s="65" t="str">
        <f>"    rbib_"&amp;F101&amp;": "&amp;""""&amp;"&lt;div class=\"&amp;""""&amp;"hanging\"&amp;""""&amp;"&gt;"&amp;J101&amp;"&lt;/div&gt;"&amp;""""</f>
        <v xml:space="preserve">    rbib_dey_et_al_2023: "&lt;div class=\"hanging\"&gt;Dey, S., Moqanaki, E., Milleret, C., Dupont, P., Tourani, M., &amp; Bischof, R. (2023). Modelling spatially autocorrelated detection probabilities in spatial capture-recapture using random effects. *Ecological Modelling, 479*, 110324. &lt;https://doi.org/10.1016/j.ecolmodel.2023.110324&gt;&lt;/div&gt;"</v>
      </c>
      <c r="T101" s="65"/>
    </row>
    <row r="102" spans="1:20" ht="15.75">
      <c r="A102" s="65"/>
      <c r="B102" s="155"/>
      <c r="C102" s="155"/>
      <c r="D102" s="155"/>
      <c r="E102" s="65" t="s">
        <v>3559</v>
      </c>
      <c r="F102" s="65" t="s">
        <v>3558</v>
      </c>
      <c r="G102" s="65" t="s">
        <v>3557</v>
      </c>
      <c r="H102" s="65" t="s">
        <v>3557</v>
      </c>
      <c r="I102" s="65" t="b">
        <v>1</v>
      </c>
      <c r="J102" s="65" t="s">
        <v>3556</v>
      </c>
      <c r="K102" s="65" t="s">
        <v>5474</v>
      </c>
      <c r="L102" s="65" t="s">
        <v>3555</v>
      </c>
      <c r="M102" s="65" t="s">
        <v>984</v>
      </c>
      <c r="N102" s="65" t="str">
        <f>"&lt;div class="&amp;""""&amp;"hanging"&amp;""""&amp;"&gt;"&amp;K102&amp;"&lt;a href="&amp;""""&amp;L102&amp;""""&amp;" target="&amp;""""&amp;"_blank"&amp;""""&amp;"&gt;"&amp;L102&amp;"&lt;/a&gt;&lt;span style="&amp;""""&amp;"color:white"&amp;""""&amp;"&gt;[.]{#"&amp;F102&amp;"}}&lt;/span&gt;&lt;/div&gt;&lt;br&gt;"</f>
        <v>&lt;div class="hanging"&gt;Dickie, M. (2022, April 19). “NEW PAPER ALERT!” Tweet. &lt;a href="https://twitter.com/MelanieDickie/status/1516432277009403904" target="_blank"&gt;https://twitter.com/MelanieDickie/status/1516432277009403904&lt;/a&gt;&lt;span style="color:white"&gt;[.]{#dickie_2022}}&lt;/span&gt;&lt;/div&gt;&lt;br&gt;</v>
      </c>
      <c r="O102" s="65" t="str">
        <f>"{{ rtxt_"&amp;F102&amp;" }}"</f>
        <v>{{ rtxt_dickie_2022 }}</v>
      </c>
      <c r="P102" s="65" t="str">
        <f>"{{ rbib_"&amp;F102&amp;" }}"</f>
        <v>{{ rbib_dickie_2022 }}</v>
      </c>
      <c r="Q102" s="65" t="str">
        <f>"    rtxt_"&amp;F102&amp;": "&amp;""""&amp;"&lt;a href=\"&amp;""""&amp;"/08_references.html#"&amp;F102&amp;"\"&amp;""""&amp;" target=\"&amp;""""&amp;"_blank\"&amp;""""&amp;"&gt;"&amp;G102&amp;"&lt;/a&gt;"&amp;""""</f>
        <v xml:space="preserve">    rtxt_dickie_2022: "&lt;a href=\"/08_references.html#dickie_2022\" target=\"_blank\"&gt;Dickie, 2022&lt;/a&gt;"</v>
      </c>
      <c r="R102" s="65" t="str">
        <f>"    rbib_"&amp;F102&amp;": "&amp;""""&amp;K102&amp;"&lt;a href=\"&amp;""""&amp;L102&amp;""""&amp;" target=\"&amp;""""&amp;"_blank\"&amp;""""&amp;"&gt;"&amp;L102&amp;"&lt;/a&gt;"&amp;""""</f>
        <v xml:space="preserve">    rbib_dickie_2022: "Dickie, M. (2022, April 19). “NEW PAPER ALERT!” Tweet. &lt;a href=\"https://twitter.com/MelanieDickie/status/1516432277009403904" target=\"_blank\"&gt;https://twitter.com/MelanieDickie/status/1516432277009403904&lt;/a&gt;"</v>
      </c>
      <c r="S102" s="65" t="str">
        <f>"    rbib_"&amp;F102&amp;": "&amp;""""&amp;"&lt;div class=\"&amp;""""&amp;"hanging\"&amp;""""&amp;"&gt;"&amp;J102&amp;"&lt;/div&gt;"&amp;""""</f>
        <v xml:space="preserve">    rbib_dickie_2022: "&lt;div class=\"hanging\"&gt;Dickie, M. (2022, April 19). *“NEW PAPER ALERT!”* Tweet. @MelanieDickie. &lt;https://twitter.com/MelanieDickie/status/1516432277009403904&gt;&lt;/div&gt;"</v>
      </c>
      <c r="T102" s="65"/>
    </row>
    <row r="103" spans="1:20" ht="15.75">
      <c r="A103" s="65"/>
      <c r="B103" s="155" t="b">
        <v>1</v>
      </c>
      <c r="C103" s="155" t="b">
        <v>0</v>
      </c>
      <c r="D103" s="155" t="b">
        <v>0</v>
      </c>
      <c r="E103" s="65" t="s">
        <v>1904</v>
      </c>
      <c r="F103" s="65" t="s">
        <v>3554</v>
      </c>
      <c r="G103" s="65" t="s">
        <v>3553</v>
      </c>
      <c r="H103" s="65" t="s">
        <v>3553</v>
      </c>
      <c r="I103" s="65" t="b">
        <v>1</v>
      </c>
      <c r="J103" s="65" t="s">
        <v>3552</v>
      </c>
      <c r="K103" s="65" t="s">
        <v>5330</v>
      </c>
      <c r="L103" s="65" t="s">
        <v>3551</v>
      </c>
      <c r="M103" s="65" t="s">
        <v>984</v>
      </c>
      <c r="N103" s="65" t="str">
        <f>"&lt;div class="&amp;""""&amp;"hanging"&amp;""""&amp;"&gt;"&amp;K103&amp;"&lt;a href="&amp;""""&amp;L103&amp;""""&amp;" target="&amp;""""&amp;"_blank"&amp;""""&amp;"&gt;"&amp;L103&amp;"&lt;/a&gt;&lt;span style="&amp;""""&amp;"color:white"&amp;""""&amp;"&gt;[.]{#"&amp;F103&amp;"}}&lt;/span&gt;&lt;/div&gt;&lt;br&gt;"</f>
        <v>&lt;div class="hanging"&gt;Dillon, A., &amp; Kelly, M. J. (2008). Ocelot Home Range, Overlap and Density: Comparing Radio Telemetry with Camera Trapping. &lt;i&gt;Journal of Zoology, 275&lt;/i&gt;, 391-398.&lt;a href="https://doi.org/10.1111/j.1469-7998.2008.00452.x" target="_blank"&gt;https://doi.org/10.1111/j.1469-7998.2008.00452.x&lt;/a&gt;&lt;span style="color:white"&gt;[.]{#dillon_kelly_2008}}&lt;/span&gt;&lt;/div&gt;&lt;br&gt;</v>
      </c>
      <c r="O103" s="65" t="str">
        <f>"{{ rtxt_"&amp;F103&amp;" }}"</f>
        <v>{{ rtxt_dillon_kelly_2008 }}</v>
      </c>
      <c r="P103" s="65" t="str">
        <f>"{{ rbib_"&amp;F103&amp;" }}"</f>
        <v>{{ rbib_dillon_kelly_2008 }}</v>
      </c>
      <c r="Q103" s="65" t="str">
        <f>"    rtxt_"&amp;F103&amp;": "&amp;""""&amp;"&lt;a href=\"&amp;""""&amp;"/08_references.html#"&amp;F103&amp;"\"&amp;""""&amp;" target=\"&amp;""""&amp;"_blank\"&amp;""""&amp;"&gt;"&amp;G103&amp;"&lt;/a&gt;"&amp;""""</f>
        <v xml:space="preserve">    rtxt_dillon_kelly_2008: "&lt;a href=\"/08_references.html#dillon_kelly_2008\" target=\"_blank\"&gt;Dillon &amp; Kelly, 2008&lt;/a&gt;"</v>
      </c>
      <c r="R103" s="65" t="str">
        <f>"    rbib_"&amp;F103&amp;": "&amp;""""&amp;K103&amp;"&lt;a href=\"&amp;""""&amp;L103&amp;""""&amp;" target=\"&amp;""""&amp;"_blank\"&amp;""""&amp;"&gt;"&amp;L103&amp;"&lt;/a&gt;"&amp;""""</f>
        <v xml:space="preserve">    rbib_dillon_kelly_2008: "Dillon, A., &amp; Kelly, M. J. (2008). Ocelot Home Range, Overlap and Density: Comparing Radio Telemetry with Camera Trapping. &lt;i&gt;Journal of Zoology, 275&lt;/i&gt;, 391-398.&lt;a href=\"https://doi.org/10.1111/j.1469-7998.2008.00452.x" target=\"_blank\"&gt;https://doi.org/10.1111/j.1469-7998.2008.00452.x&lt;/a&gt;"</v>
      </c>
      <c r="S103" s="65" t="str">
        <f>"    rbib_"&amp;F103&amp;": "&amp;""""&amp;"&lt;div class=\"&amp;""""&amp;"hanging\"&amp;""""&amp;"&gt;"&amp;J103&amp;"&lt;/div&gt;"&amp;""""</f>
        <v xml:space="preserve">    rbib_dillon_kelly_2008: "&lt;div class=\"hanging\"&gt;Dillon, A., &amp; Kelly, M. J. (2008). Ocelot Home Range, Overlap and Density: Comparing Radio Telemetry with Camera Trapping. *Journal of Zoology, 275*, 391-398. &lt;https://doi.org/10.1111/j.1469-7998.2008.00452.x&gt;&lt;/div&gt;"</v>
      </c>
      <c r="T103" s="65"/>
    </row>
    <row r="104" spans="1:20" ht="15.75">
      <c r="A104" s="65"/>
      <c r="B104" s="155"/>
      <c r="C104" s="155"/>
      <c r="D104" s="155"/>
      <c r="E104" s="65" t="s">
        <v>1904</v>
      </c>
      <c r="F104" s="65" t="s">
        <v>3550</v>
      </c>
      <c r="G104" s="65" t="s">
        <v>3549</v>
      </c>
      <c r="H104" s="65" t="s">
        <v>3548</v>
      </c>
      <c r="I104" s="65" t="b">
        <v>1</v>
      </c>
      <c r="J104" s="65" t="s">
        <v>3547</v>
      </c>
      <c r="K104" s="65" t="s">
        <v>5299</v>
      </c>
      <c r="L104" s="65" t="s">
        <v>3546</v>
      </c>
      <c r="M104" s="65" t="s">
        <v>984</v>
      </c>
      <c r="N104" s="65" t="str">
        <f>"&lt;div class="&amp;""""&amp;"hanging"&amp;""""&amp;"&gt;"&amp;K104&amp;"&lt;a href="&amp;""""&amp;L104&amp;""""&amp;" target="&amp;""""&amp;"_blank"&amp;""""&amp;"&gt;"&amp;L104&amp;"&lt;/a&gt;&lt;span style="&amp;""""&amp;"color:white"&amp;""""&amp;"&gt;[.]{#"&amp;F104&amp;"}}&lt;/span&gt;&lt;/div&gt;&lt;br&gt;"</f>
        <v>&lt;div class="hanging"&gt;Donovan, T., Hines, J., &amp; MacKenzie, D. (2024). OCCUPANCYTUTS: Occupancy modelling tutorials with RPRESENCE. &lt;i&gt;Methods in Ecology and Evolution, 15&lt;/i&gt;(3), 477-483.&lt;a href="https://doi.org/10.1111/2041-210X.14285" target="_blank"&gt;https://doi.org/10.1111/2041-210X.14285&lt;/a&gt;&lt;span style="color:white"&gt;[.]{#donovan_et_al_2024}}&lt;/span&gt;&lt;/div&gt;&lt;br&gt;</v>
      </c>
      <c r="O104" s="65" t="str">
        <f>"{{ rtxt_"&amp;F104&amp;" }}"</f>
        <v>{{ rtxt_donovan_et_al_2024 }}</v>
      </c>
      <c r="P104" s="65" t="str">
        <f>"{{ rbib_"&amp;F104&amp;" }}"</f>
        <v>{{ rbib_donovan_et_al_2024 }}</v>
      </c>
      <c r="Q104" s="65" t="str">
        <f>"    rtxt_"&amp;F104&amp;": "&amp;""""&amp;"&lt;a href=\"&amp;""""&amp;"/08_references.html#"&amp;F104&amp;"\"&amp;""""&amp;" target=\"&amp;""""&amp;"_blank\"&amp;""""&amp;"&gt;"&amp;G104&amp;"&lt;/a&gt;"&amp;""""</f>
        <v xml:space="preserve">    rtxt_donovan_et_al_2024: "&lt;a href=\"/08_references.html#donovan_et_al_2024\" target=\"_blank\"&gt;Donovan et al., 2024 &lt;/a&gt;"</v>
      </c>
      <c r="R104" s="65" t="str">
        <f>"    rbib_"&amp;F104&amp;": "&amp;""""&amp;K104&amp;"&lt;a href=\"&amp;""""&amp;L104&amp;""""&amp;" target=\"&amp;""""&amp;"_blank\"&amp;""""&amp;"&gt;"&amp;L104&amp;"&lt;/a&gt;"&amp;""""</f>
        <v xml:space="preserve">    rbib_donovan_et_al_2024: "Donovan, T., Hines, J., &amp; MacKenzie, D. (2024). OCCUPANCYTUTS: Occupancy modelling tutorials with RPRESENCE. &lt;i&gt;Methods in Ecology and Evolution, 15&lt;/i&gt;(3), 477-483.&lt;a href=\"https://doi.org/10.1111/2041-210X.14285" target=\"_blank\"&gt;https://doi.org/10.1111/2041-210X.14285&lt;/a&gt;"</v>
      </c>
      <c r="S104" s="65" t="str">
        <f>"    rbib_"&amp;F104&amp;": "&amp;""""&amp;"&lt;div class=\"&amp;""""&amp;"hanging\"&amp;""""&amp;"&gt;"&amp;J104&amp;"&lt;/div&gt;"&amp;""""</f>
        <v xml:space="preserve">    rbib_donovan_et_al_2024: "&lt;div class=\"hanging\"&gt;Donovan, T., Hines, J., &amp; MacKenzie, D. (2024). OCCUPANCYTUTS: Occupancy modelling tutorials with RPRESENCE. *Methods in Ecology and Evolution, 15*(3), 477-483. &lt;https://doi.org/10.1111/2041-210X.14285&gt;&lt;/div&gt;"</v>
      </c>
      <c r="T104" s="65"/>
    </row>
    <row r="105" spans="1:20" ht="15.75">
      <c r="A105" s="65"/>
      <c r="B105" s="155" t="b">
        <v>1</v>
      </c>
      <c r="C105" s="155" t="b">
        <v>0</v>
      </c>
      <c r="D105" s="155" t="b">
        <v>0</v>
      </c>
      <c r="E105" s="65" t="s">
        <v>1904</v>
      </c>
      <c r="F105" s="65" t="s">
        <v>3545</v>
      </c>
      <c r="G105" s="65" t="s">
        <v>3544</v>
      </c>
      <c r="H105" s="65" t="s">
        <v>3544</v>
      </c>
      <c r="I105" s="65" t="b">
        <v>1</v>
      </c>
      <c r="J105" s="65" t="s">
        <v>3543</v>
      </c>
      <c r="K105" s="65" t="s">
        <v>5422</v>
      </c>
      <c r="L105" s="65" t="s">
        <v>3542</v>
      </c>
      <c r="M105" s="65" t="s">
        <v>984</v>
      </c>
      <c r="N105" s="65" t="str">
        <f>"&lt;div class="&amp;""""&amp;"hanging"&amp;""""&amp;"&gt;"&amp;K105&amp;"&lt;a href="&amp;""""&amp;L105&amp;""""&amp;" target="&amp;""""&amp;"_blank"&amp;""""&amp;"&gt;"&amp;L105&amp;"&lt;/a&gt;&lt;span style="&amp;""""&amp;"color:white"&amp;""""&amp;"&gt;[.]{#"&amp;F105&amp;"}}&lt;/span&gt;&lt;/div&gt;&lt;br&gt;"</f>
        <v>&lt;div class="hanging"&gt;Doran-Myers, D. (2018). &lt;i&gt;Methodological Comparison of Canada Lynx Density Estimation&lt;/i&gt; [Master of Science in Ecology thesis, University of Alberta]. ERA: Education and Research Archive.&lt;a href="https://doi.org/10.7939/R3Q815805" target="_blank"&gt;https://doi.org/10.7939/R3Q815805&lt;/a&gt;&lt;span style="color:white"&gt;[.]{#doran_myers_2018}}&lt;/span&gt;&lt;/div&gt;&lt;br&gt;</v>
      </c>
      <c r="O105" s="65" t="str">
        <f>"{{ rtxt_"&amp;F105&amp;" }}"</f>
        <v>{{ rtxt_doran_myers_2018 }}</v>
      </c>
      <c r="P105" s="65" t="str">
        <f>"{{ rbib_"&amp;F105&amp;" }}"</f>
        <v>{{ rbib_doran_myers_2018 }}</v>
      </c>
      <c r="Q105" s="65" t="str">
        <f>"    rtxt_"&amp;F105&amp;": "&amp;""""&amp;"&lt;a href=\"&amp;""""&amp;"/08_references.html#"&amp;F105&amp;"\"&amp;""""&amp;" target=\"&amp;""""&amp;"_blank\"&amp;""""&amp;"&gt;"&amp;G105&amp;"&lt;/a&gt;"&amp;""""</f>
        <v xml:space="preserve">    rtxt_doran_myers_2018: "&lt;a href=\"/08_references.html#doran_myers_2018\" target=\"_blank\"&gt;Doran-Myers, 2018&lt;/a&gt;"</v>
      </c>
      <c r="R105" s="65" t="str">
        <f>"    rbib_"&amp;F105&amp;": "&amp;""""&amp;K105&amp;"&lt;a href=\"&amp;""""&amp;L105&amp;""""&amp;" target=\"&amp;""""&amp;"_blank\"&amp;""""&amp;"&gt;"&amp;L105&amp;"&lt;/a&gt;"&amp;""""</f>
        <v xml:space="preserve">    rbib_doran_myers_2018: "Doran-Myers, D. (2018). &lt;i&gt;Methodological Comparison of Canada Lynx Density Estimation&lt;/i&gt; [Master of Science in Ecology thesis, University of Alberta]. ERA: Education and Research Archive.&lt;a href=\"https://doi.org/10.7939/R3Q815805" target=\"_blank\"&gt;https://doi.org/10.7939/R3Q815805&lt;/a&gt;"</v>
      </c>
      <c r="S105" s="65" t="str">
        <f>"    rbib_"&amp;F105&amp;": "&amp;""""&amp;"&lt;div class=\"&amp;""""&amp;"hanging\"&amp;""""&amp;"&gt;"&amp;J105&amp;"&lt;/div&gt;"&amp;""""</f>
        <v xml:space="preserve">    rbib_doran_myers_2018: "&lt;div class=\"hanging\"&gt;Doran-Myers, D. (2018). *Methodological Comparison of Canada Lynx Density Estimation* [Master of Science in Ecology thesis, University of Alberta]. ERA: Education and Research Archive. &lt;https://doi.org/10.7939/R3Q815805&gt;&lt;/div&gt;"</v>
      </c>
      <c r="T105" s="65"/>
    </row>
    <row r="106" spans="1:20" ht="15.75">
      <c r="A106" s="65"/>
      <c r="B106" s="155"/>
      <c r="C106" s="155"/>
      <c r="D106" s="155"/>
      <c r="E106" s="65"/>
      <c r="F106" s="65" t="s">
        <v>3541</v>
      </c>
      <c r="G106" s="65" t="s">
        <v>3540</v>
      </c>
      <c r="H106" s="65"/>
      <c r="I106" s="65" t="b">
        <v>1</v>
      </c>
      <c r="J106" s="65" t="s">
        <v>3539</v>
      </c>
      <c r="K106" s="65" t="s">
        <v>5483</v>
      </c>
      <c r="L106" s="65" t="s">
        <v>3538</v>
      </c>
      <c r="M106" s="65" t="s">
        <v>984</v>
      </c>
      <c r="N106" s="65" t="str">
        <f>"&lt;div class="&amp;""""&amp;"hanging"&amp;""""&amp;"&gt;"&amp;K106&amp;"&lt;a href="&amp;""""&amp;L106&amp;""""&amp;" target="&amp;""""&amp;"_blank"&amp;""""&amp;"&gt;"&amp;L106&amp;"&lt;/a&gt;&lt;span style="&amp;""""&amp;"color:white"&amp;""""&amp;"&gt;[.]{#"&amp;F106&amp;"}}&lt;/span&gt;&lt;/div&gt;&lt;br&gt;"</f>
        <v>&lt;div class="hanging"&gt;Dubey, A (n.d.). &lt;i&gt;species abundance.&lt;/i&gt;&lt;a href="https://www.britannica.com/science/species-abundance" target="_blank"&gt;https://www.britannica.com/science/species-abundance&lt;/a&gt;&lt;span style="color:white"&gt;[.]{#dubey_nd}}&lt;/span&gt;&lt;/div&gt;&lt;br&gt;</v>
      </c>
      <c r="O106" s="65" t="str">
        <f>"{{ rtxt_"&amp;F106&amp;" }}"</f>
        <v>{{ rtxt_dubey_nd }}</v>
      </c>
      <c r="P106" s="65" t="str">
        <f>"{{ rbib_"&amp;F106&amp;" }}"</f>
        <v>{{ rbib_dubey_nd }}</v>
      </c>
      <c r="Q106" s="65" t="str">
        <f>"    rtxt_"&amp;F106&amp;": "&amp;""""&amp;"&lt;a href=\"&amp;""""&amp;"/08_references.html#"&amp;F106&amp;"\"&amp;""""&amp;" target=\"&amp;""""&amp;"_blank\"&amp;""""&amp;"&gt;"&amp;G106&amp;"&lt;/a&gt;"&amp;""""</f>
        <v xml:space="preserve">    rtxt_dubey_nd: "&lt;a href=\"/08_references.html#dubey_nd\" target=\"_blank\"&gt;Dubey (n.d.)&lt;/a&gt;"</v>
      </c>
      <c r="R106" s="65" t="str">
        <f>"    rbib_"&amp;F106&amp;": "&amp;""""&amp;K106&amp;"&lt;a href=\"&amp;""""&amp;L106&amp;""""&amp;" target=\"&amp;""""&amp;"_blank\"&amp;""""&amp;"&gt;"&amp;L106&amp;"&lt;/a&gt;"&amp;""""</f>
        <v xml:space="preserve">    rbib_dubey_nd: "Dubey, A (n.d.). &lt;i&gt;species abundance.&lt;/i&gt;&lt;a href=\"https://www.britannica.com/science/species-abundance" target=\"_blank\"&gt;https://www.britannica.com/science/species-abundance&lt;/a&gt;"</v>
      </c>
      <c r="S106" s="65" t="str">
        <f>"    rbib_"&amp;F106&amp;": "&amp;""""&amp;"&lt;div class=\"&amp;""""&amp;"hanging\"&amp;""""&amp;"&gt;"&amp;J106&amp;"&lt;/div&gt;"&amp;""""</f>
        <v xml:space="preserve">    rbib_dubey_nd: "&lt;div class=\"hanging\"&gt;Dubey, A (n.d.). *species abundance*. &lt;https://www.britannica.com/science/species-abundance&gt;&lt;/div&gt;"</v>
      </c>
      <c r="T106" s="65"/>
    </row>
    <row r="107" spans="1:20" ht="15.75">
      <c r="A107" s="65"/>
      <c r="B107" s="155" t="b">
        <v>0</v>
      </c>
      <c r="C107" s="155" t="b">
        <v>1</v>
      </c>
      <c r="D107" s="155" t="b">
        <v>0</v>
      </c>
      <c r="E107" s="65" t="s">
        <v>1904</v>
      </c>
      <c r="F107" s="65" t="s">
        <v>3537</v>
      </c>
      <c r="G107" s="65" t="s">
        <v>3528</v>
      </c>
      <c r="H107" s="65" t="s">
        <v>3528</v>
      </c>
      <c r="I107" s="65" t="b">
        <v>1</v>
      </c>
      <c r="J107" s="65" t="s">
        <v>3536</v>
      </c>
      <c r="K107" s="65" t="s">
        <v>6091</v>
      </c>
      <c r="L107" s="65" t="s">
        <v>3535</v>
      </c>
      <c r="M107" s="65" t="s">
        <v>984</v>
      </c>
      <c r="N107" s="65" t="str">
        <f>"&lt;div class="&amp;""""&amp;"hanging"&amp;""""&amp;"&gt;"&amp;K107&amp;"&lt;a href="&amp;""""&amp;L107&amp;""""&amp;" target="&amp;""""&amp;"_blank"&amp;""""&amp;"&gt;"&amp;L107&amp;"&lt;/a&gt;&lt;span style="&amp;""""&amp;"color:white"&amp;""""&amp;"&gt;[.]{#"&amp;F107&amp;"}}&lt;/span&gt;&lt;/div&gt;&lt;br&gt;"</f>
        <v>&lt;div class="hanging"&gt;Dunne, B. M., &amp; Quinn, M. S. (2009). Effectiveness of above-ground pipeline mitigation for moose (&lt;i&gt;Alces alces&lt;/i&gt;) and other large mammals. &lt;i&gt;Biological Conservation, 142&lt;/i&gt;(2), 332-343.&lt;a href="https://doi.org/10.1016/j.biocon.2008.10.029" target="_blank"&gt;https://doi.org/10.1016/j.biocon.2008.10.029&lt;/a&gt;&lt;span style="color:white"&gt;[.]{#dunne_quinn_2009}}&lt;/span&gt;&lt;/div&gt;&lt;br&gt;</v>
      </c>
      <c r="O107" s="65" t="str">
        <f>"{{ rtxt_"&amp;F107&amp;" }}"</f>
        <v>{{ rtxt_dunne_quinn_2009 }}</v>
      </c>
      <c r="P107" s="65" t="str">
        <f>"{{ rbib_"&amp;F107&amp;" }}"</f>
        <v>{{ rbib_dunne_quinn_2009 }}</v>
      </c>
      <c r="Q107" s="65" t="str">
        <f>"    rtxt_"&amp;F107&amp;": "&amp;""""&amp;"&lt;a href=\"&amp;""""&amp;"/08_references.html#"&amp;F107&amp;"\"&amp;""""&amp;" target=\"&amp;""""&amp;"_blank\"&amp;""""&amp;"&gt;"&amp;G107&amp;"&lt;/a&gt;"&amp;""""</f>
        <v xml:space="preserve">    rtxt_dunne_quinn_2009: "&lt;a href=\"/08_references.html#dunne_quinn_2009\" target=\"_blank\"&gt;Dunne &amp; Quinn, 2009&lt;/a&gt;"</v>
      </c>
      <c r="R107" s="65" t="str">
        <f>"    rbib_"&amp;F107&amp;": "&amp;""""&amp;K107&amp;"&lt;a href=\"&amp;""""&amp;L107&amp;""""&amp;" target=\"&amp;""""&amp;"_blank\"&amp;""""&amp;"&gt;"&amp;L107&amp;"&lt;/a&gt;"&amp;""""</f>
        <v xml:space="preserve">    rbib_dunne_quinn_2009: "Dunne, B. M., &amp; Quinn, M. S. (2009). Effectiveness of above-ground pipeline mitigation for moose (&lt;i&gt;Alces alces&lt;/i&gt;) and other large mammals. &lt;i&gt;Biological Conservation, 142&lt;/i&gt;(2), 332-343.&lt;a href=\"https://doi.org/10.1016/j.biocon.2008.10.029" target=\"_blank\"&gt;https://doi.org/10.1016/j.biocon.2008.10.029&lt;/a&gt;"</v>
      </c>
      <c r="S107" s="65" t="str">
        <f>"    rbib_"&amp;F107&amp;": "&amp;""""&amp;"&lt;div class=\"&amp;""""&amp;"hanging\"&amp;""""&amp;"&gt;"&amp;J107&amp;"&lt;/div&gt;"&amp;""""</f>
        <v xml:space="preserve">    rbib_dunne_quinn_2009: "&lt;div class=\"hanging\"&gt;Dunne, B. M., &amp; Quinn, M. S. (2009). Effectiveness of above-ground pipeline mitigation for moose (*Alces alces*) and other large mammals. *Biological Conservation, 142* (2), 332-343. &lt;https://doi.org/10.1016/j.biocon.2008.10.029&gt;&lt;/div&gt;"</v>
      </c>
      <c r="T107" s="65"/>
    </row>
    <row r="108" spans="1:20" ht="15.75">
      <c r="A108" s="65"/>
      <c r="B108" s="155"/>
      <c r="C108" s="155"/>
      <c r="D108" s="155"/>
      <c r="E108" s="65" t="s">
        <v>1904</v>
      </c>
      <c r="F108" s="65" t="s">
        <v>3534</v>
      </c>
      <c r="G108" s="65" t="s">
        <v>3533</v>
      </c>
      <c r="H108" s="65"/>
      <c r="I108" s="65" t="b">
        <v>1</v>
      </c>
      <c r="J108" s="65" t="s">
        <v>3532</v>
      </c>
      <c r="K108" s="65" t="s">
        <v>5158</v>
      </c>
      <c r="L108" s="65" t="s">
        <v>3531</v>
      </c>
      <c r="M108" s="65" t="s">
        <v>984</v>
      </c>
      <c r="N108" s="65" t="str">
        <f>"&lt;div class="&amp;""""&amp;"hanging"&amp;""""&amp;"&gt;"&amp;K108&amp;"&lt;a href="&amp;""""&amp;L108&amp;""""&amp;" target="&amp;""""&amp;"_blank"&amp;""""&amp;"&gt;"&amp;L108&amp;"&lt;/a&gt;&lt;span style="&amp;""""&amp;"color:white"&amp;""""&amp;"&gt;[.]{#"&amp;F108&amp;"}}&lt;/span&gt;&lt;/div&gt;&lt;br&gt;"</f>
        <v>&lt;div class="hanging"&gt;Dupont, G., Royle, J. A., Nawaz, M. A., &amp; Sutherland, C. (2021). Optimal sampling design for spatial capture-recapture. &lt;i&gt;Ecology, 102&lt;/i&gt;(3), e03262.&lt;a href="https://doi.org/10.1002/ecy.3262" target="_blank"&gt;https://doi.org/10.1002/ecy.3262&lt;/a&gt;&lt;span style="color:white"&gt;[.]{#dupont_et_al_2021}}&lt;/span&gt;&lt;/div&gt;&lt;br&gt;</v>
      </c>
      <c r="O108" s="65" t="str">
        <f>"{{ rtxt_"&amp;F108&amp;" }}"</f>
        <v>{{ rtxt_dupont_et_al_2021 }}</v>
      </c>
      <c r="P108" s="65" t="str">
        <f>"{{ rbib_"&amp;F108&amp;" }}"</f>
        <v>{{ rbib_dupont_et_al_2021 }}</v>
      </c>
      <c r="Q108" s="65" t="str">
        <f>"    rtxt_"&amp;F108&amp;": "&amp;""""&amp;"&lt;a href=\"&amp;""""&amp;"/08_references.html#"&amp;F108&amp;"\"&amp;""""&amp;" target=\"&amp;""""&amp;"_blank\"&amp;""""&amp;"&gt;"&amp;G108&amp;"&lt;/a&gt;"&amp;""""</f>
        <v xml:space="preserve">    rtxt_dupont_et_al_2021: "&lt;a href=\"/08_references.html#dupont_et_al_2021\" target=\"_blank\"&gt;Dupont et al., 2021&lt;/a&gt;"</v>
      </c>
      <c r="R108" s="65" t="str">
        <f>"    rbib_"&amp;F108&amp;": "&amp;""""&amp;K108&amp;"&lt;a href=\"&amp;""""&amp;L108&amp;""""&amp;" target=\"&amp;""""&amp;"_blank\"&amp;""""&amp;"&gt;"&amp;L108&amp;"&lt;/a&gt;"&amp;""""</f>
        <v xml:space="preserve">    rbib_dupont_et_al_2021: "Dupont, G., Royle, J. A., Nawaz, M. A., &amp; Sutherland, C. (2021). Optimal sampling design for spatial capture-recapture. &lt;i&gt;Ecology, 102&lt;/i&gt;(3), e03262.&lt;a href=\"https://doi.org/10.1002/ecy.3262" target=\"_blank\"&gt;https://doi.org/10.1002/ecy.3262&lt;/a&gt;"</v>
      </c>
      <c r="S108" s="65" t="str">
        <f>"    rbib_"&amp;F108&amp;": "&amp;""""&amp;"&lt;div class=\"&amp;""""&amp;"hanging\"&amp;""""&amp;"&gt;"&amp;J108&amp;"&lt;/div&gt;"&amp;""""</f>
        <v xml:space="preserve">    rbib_dupont_et_al_2021: "&lt;div class=\"hanging\"&gt;Dupont, G., Royle, J. A., Nawaz, M. A., &amp; Sutherland, C. (2021). Optimal sampling design for spatial capture-recapture. *Ecology, 102*(3), e03262. &lt;https://doi.org/10.1002/ecy.3262&gt;&lt;/div&gt;"</v>
      </c>
      <c r="T108" s="65"/>
    </row>
    <row r="109" spans="1:20" ht="15.75">
      <c r="A109" s="65"/>
      <c r="B109" s="155" t="b">
        <v>1</v>
      </c>
      <c r="C109" s="155" t="b">
        <v>1</v>
      </c>
      <c r="D109" s="155" t="b">
        <v>0</v>
      </c>
      <c r="E109" s="65" t="s">
        <v>1904</v>
      </c>
      <c r="F109" s="65" t="s">
        <v>3530</v>
      </c>
      <c r="G109" s="65" t="s">
        <v>3529</v>
      </c>
      <c r="H109" s="65" t="s">
        <v>3528</v>
      </c>
      <c r="I109" s="65" t="b">
        <v>1</v>
      </c>
      <c r="J109" s="65" t="s">
        <v>3527</v>
      </c>
      <c r="K109" s="65" t="s">
        <v>5480</v>
      </c>
      <c r="L109" s="65" t="s">
        <v>3526</v>
      </c>
      <c r="M109" s="65" t="s">
        <v>984</v>
      </c>
      <c r="N109" s="65" t="str">
        <f>"&lt;div class="&amp;""""&amp;"hanging"&amp;""""&amp;"&gt;"&amp;K109&amp;"&lt;a href="&amp;""""&amp;L109&amp;""""&amp;" target="&amp;""""&amp;"_blank"&amp;""""&amp;"&gt;"&amp;L109&amp;"&lt;/a&gt;&lt;span style="&amp;""""&amp;"color:white"&amp;""""&amp;"&gt;[.]{#"&amp;F109&amp;"}}&lt;/span&gt;&lt;/div&gt;&lt;br&gt;"</f>
        <v>&lt;div class="hanging"&gt;Duquette, J. F., Belant, J. L., Svoboda, N. J., Beyer Jr., D. E., &amp; Albright, C. A. (2014). Comparison of occupancy modeling and radiotelemetry to estimate ungulate population dynamics. &lt;i&gt;Population Ecology, 56,&lt;/i&gt; 481-492.&lt;a href="https://www.academia.edu/23421255/." target="_blank"&gt;https://www.academia.edu/23421255/.&lt;/a&gt;&lt;span style="color:white"&gt;[.]{#duquette_et_al_2014}}&lt;/span&gt;&lt;/div&gt;&lt;br&gt;</v>
      </c>
      <c r="O109" s="65" t="str">
        <f>"{{ rtxt_"&amp;F109&amp;" }}"</f>
        <v>{{ rtxt_duquette_et_al_2014 }}</v>
      </c>
      <c r="P109" s="65" t="str">
        <f>"{{ rbib_"&amp;F109&amp;" }}"</f>
        <v>{{ rbib_duquette_et_al_2014 }}</v>
      </c>
      <c r="Q109" s="65" t="str">
        <f>"    rtxt_"&amp;F109&amp;": "&amp;""""&amp;"&lt;a href=\"&amp;""""&amp;"/08_references.html#"&amp;F109&amp;"\"&amp;""""&amp;" target=\"&amp;""""&amp;"_blank\"&amp;""""&amp;"&gt;"&amp;G109&amp;"&lt;/a&gt;"&amp;""""</f>
        <v xml:space="preserve">    rtxt_duquette_et_al_2014: "&lt;a href=\"/08_references.html#duquette_et_al_2014\" target=\"_blank\"&gt;Duquette et al., 2014&lt;/a&gt;"</v>
      </c>
      <c r="R109" s="65" t="str">
        <f>"    rbib_"&amp;F109&amp;": "&amp;""""&amp;K109&amp;"&lt;a href=\"&amp;""""&amp;L109&amp;""""&amp;" target=\"&amp;""""&amp;"_blank\"&amp;""""&amp;"&gt;"&amp;L109&amp;"&lt;/a&gt;"&amp;""""</f>
        <v xml:space="preserve">    rbib_duquette_et_al_2014: "Duquette, J. F., Belant, J. L., Svoboda, N. J., Beyer Jr., D. E., &amp; Albright, C. A. (2014). Comparison of occupancy modeling and radiotelemetry to estimate ungulate population dynamics. &lt;i&gt;Population Ecology, 56,&lt;/i&gt; 481-492.&lt;a href=\"https://www.academia.edu/23421255/." target=\"_blank\"&gt;https://www.academia.edu/23421255/.&lt;/a&gt;"</v>
      </c>
      <c r="S109" s="65" t="str">
        <f>"    rbib_"&amp;F109&amp;": "&amp;""""&amp;"&lt;div class=\"&amp;""""&amp;"hanging\"&amp;""""&amp;"&gt;"&amp;J109&amp;"&lt;/div&gt;"&amp;""""</f>
        <v xml:space="preserve">    rbib_duquette_et_al_2014: "&lt;div class=\"hanging\"&gt;Duquette, J. F., Belant, J. L., Svoboda, N. J., Beyer Jr., D. E., &amp; Albright, C. A. (2014). Comparison of occupancy modeling and radiotelemetry to estimate ungulate population dynamics. *Population Ecology, 56,* 481-492. &lt;https://www.academia.edu/23421255/.&gt;&lt;/div&gt;"</v>
      </c>
      <c r="T109" s="65"/>
    </row>
    <row r="110" spans="1:20" ht="15.75">
      <c r="A110" s="65"/>
      <c r="B110" s="155"/>
      <c r="C110" s="155"/>
      <c r="D110" s="155"/>
      <c r="E110" s="65"/>
      <c r="F110" s="65" t="s">
        <v>4801</v>
      </c>
      <c r="G110" s="65" t="s">
        <v>4804</v>
      </c>
      <c r="H110" s="65"/>
      <c r="I110" s="65" t="b">
        <v>1</v>
      </c>
      <c r="J110" s="65" t="s">
        <v>6097</v>
      </c>
      <c r="K110" s="158" t="s">
        <v>6096</v>
      </c>
      <c r="L110" s="65" t="s">
        <v>5089</v>
      </c>
      <c r="M110" s="159" t="s">
        <v>6094</v>
      </c>
      <c r="N110" s="65" t="str">
        <f>"&lt;div class="&amp;""""&amp;"hanging"&amp;""""&amp;"&gt;"&amp;K110&amp;"&lt;a href="&amp;""""&amp;L110&amp;""""&amp;" target="&amp;""""&amp;"_blank"&amp;""""&amp;"&gt;"&amp;L110&amp;"&lt;/a&gt;&lt;span style="&amp;""""&amp;"color:white"&amp;""""&amp;"&gt;[.]{#"&amp;F110&amp;"}}&lt;/span&gt;&lt;/div&gt;&lt;br&gt;"</f>
        <v>&lt;div class="hanging"&gt;Ecological Applications in R. (2021, Apr 14). &lt;i&gt;Animal Home Range Estimation in R&lt;/i&gt;. [Video]. YouTube.&lt;a href="https://www.youtube.com/watch?v=dsPsRPZiOC0" target="_blank"&gt;https://www.youtube.com/watch?v=dsPsRPZiOC0&lt;/a&gt;&lt;span style="color:white"&gt;[.]{#ecol_appl_r_2021}}&lt;/span&gt;&lt;/div&gt;&lt;br&gt;</v>
      </c>
      <c r="O110" s="65" t="str">
        <f>"{{ rtxt_"&amp;F110&amp;" }}"</f>
        <v>{{ rtxt_ecol_appl_r_2021 }}</v>
      </c>
      <c r="P110" s="65" t="str">
        <f>"{{ rbib_"&amp;F110&amp;" }}"</f>
        <v>{{ rbib_ecol_appl_r_2021 }}</v>
      </c>
      <c r="Q110" s="65" t="str">
        <f>"    rtxt_"&amp;F110&amp;": "&amp;""""&amp;"&lt;a href=\"&amp;""""&amp;"/08_references.html#"&amp;F110&amp;"\"&amp;""""&amp;" target=\"&amp;""""&amp;"_blank\"&amp;""""&amp;"&gt;"&amp;G110&amp;"&lt;/a&gt;"&amp;""""</f>
        <v xml:space="preserve">    rtxt_ecol_appl_r_2021: "&lt;a href=\"/08_references.html#ecol_appl_r_2021\" target=\"_blank\"&gt;Ecological Applications in R, 2021&lt;/a&gt;"</v>
      </c>
      <c r="R110" s="65" t="str">
        <f>"    rbib_"&amp;F110&amp;": "&amp;""""&amp;K110&amp;"&lt;a href=\"&amp;""""&amp;L110&amp;""""&amp;" target=\"&amp;""""&amp;"_blank\"&amp;""""&amp;"&gt;"&amp;L110&amp;"&lt;/a&gt;"&amp;""""</f>
        <v xml:space="preserve">    rbib_ecol_appl_r_2021: "Ecological Applications in R. (2021, Apr 14). &lt;i&gt;Animal Home Range Estimation in R&lt;/i&gt;. [Video]. YouTube.&lt;a href=\"https://www.youtube.com/watch?v=dsPsRPZiOC0" target=\"_blank\"&gt;https://www.youtube.com/watch?v=dsPsRPZiOC0&lt;/a&gt;"</v>
      </c>
      <c r="S110" s="65" t="str">
        <f>"    rbib_"&amp;F110&amp;": "&amp;""""&amp;"&lt;div class=\"&amp;""""&amp;"hanging\"&amp;""""&amp;"&gt;"&amp;J110&amp;"&lt;/div&gt;"&amp;""""</f>
        <v xml:space="preserve">    rbib_ecol_appl_r_2021: "&lt;div class=\"hanging\"&gt;Ecological Applications in R. (2021, Apr 14). *Animal Home Range Estimation in R*. [Video]. YouTube. &lt;https://www.youtube.com/watch?v=dsPsRPZiOC0&gt;&lt;/div&gt;"</v>
      </c>
      <c r="T110" s="65"/>
    </row>
    <row r="111" spans="1:20" ht="15.75">
      <c r="A111" s="65"/>
      <c r="B111" s="155" t="b">
        <v>1</v>
      </c>
      <c r="C111" s="155" t="b">
        <v>0</v>
      </c>
      <c r="D111" s="155" t="b">
        <v>0</v>
      </c>
      <c r="E111" s="65" t="s">
        <v>1904</v>
      </c>
      <c r="F111" s="65" t="s">
        <v>3525</v>
      </c>
      <c r="G111" s="65" t="s">
        <v>3524</v>
      </c>
      <c r="H111" s="65" t="s">
        <v>3524</v>
      </c>
      <c r="I111" s="65" t="b">
        <v>1</v>
      </c>
      <c r="J111" s="65" t="s">
        <v>3523</v>
      </c>
      <c r="K111" s="65" t="s">
        <v>5102</v>
      </c>
      <c r="L111" s="65" t="s">
        <v>3522</v>
      </c>
      <c r="M111" s="65" t="s">
        <v>984</v>
      </c>
      <c r="N111" s="65" t="str">
        <f>"&lt;div class="&amp;""""&amp;"hanging"&amp;""""&amp;"&gt;"&amp;K111&amp;"&lt;a href="&amp;""""&amp;L111&amp;""""&amp;" target="&amp;""""&amp;"_blank"&amp;""""&amp;"&gt;"&amp;L111&amp;"&lt;/a&gt;&lt;span style="&amp;""""&amp;"color:white"&amp;""""&amp;"&gt;[.]{#"&amp;F111&amp;"}}&lt;/span&gt;&lt;/div&gt;&lt;br&gt;"</f>
        <v>&lt;div class="hanging"&gt;Efford, M. (2004). Density Estimation in Live-Trapping Studies. &lt;i&gt;Oikos, 106&lt;/i&gt;(3), 598-610.&lt;a href="http://www.jstor.org.login.ezproxy.library.ualberta.ca/stable/3548382" target="_blank"&gt;http://www.jstor.org.login.ezproxy.library.ualberta.ca/stable/3548382&lt;/a&gt;&lt;span style="color:white"&gt;[.]{#efford_2004}}&lt;/span&gt;&lt;/div&gt;&lt;br&gt;</v>
      </c>
      <c r="O111" s="65" t="str">
        <f>"{{ rtxt_"&amp;F111&amp;" }}"</f>
        <v>{{ rtxt_efford_2004 }}</v>
      </c>
      <c r="P111" s="65" t="str">
        <f>"{{ rbib_"&amp;F111&amp;" }}"</f>
        <v>{{ rbib_efford_2004 }}</v>
      </c>
      <c r="Q111" s="65" t="str">
        <f>"    rtxt_"&amp;F111&amp;": "&amp;""""&amp;"&lt;a href=\"&amp;""""&amp;"/08_references.html#"&amp;F111&amp;"\"&amp;""""&amp;" target=\"&amp;""""&amp;"_blank\"&amp;""""&amp;"&gt;"&amp;G111&amp;"&lt;/a&gt;"&amp;""""</f>
        <v xml:space="preserve">    rtxt_efford_2004: "&lt;a href=\"/08_references.html#efford_2004\" target=\"_blank\"&gt;Efford, 2004&lt;/a&gt;"</v>
      </c>
      <c r="R111" s="65" t="str">
        <f>"    rbib_"&amp;F111&amp;": "&amp;""""&amp;K111&amp;"&lt;a href=\"&amp;""""&amp;L111&amp;""""&amp;" target=\"&amp;""""&amp;"_blank\"&amp;""""&amp;"&gt;"&amp;L111&amp;"&lt;/a&gt;"&amp;""""</f>
        <v xml:space="preserve">    rbib_efford_2004: "Efford, M. (2004). Density Estimation in Live-Trapping Studies. &lt;i&gt;Oikos, 106&lt;/i&gt;(3), 598-610.&lt;a href=\"http://www.jstor.org.login.ezproxy.library.ualberta.ca/stable/3548382" target=\"_blank\"&gt;http://www.jstor.org.login.ezproxy.library.ualberta.ca/stable/3548382&lt;/a&gt;"</v>
      </c>
      <c r="S111" s="65" t="str">
        <f>"    rbib_"&amp;F111&amp;": "&amp;""""&amp;"&lt;div class=\"&amp;""""&amp;"hanging\"&amp;""""&amp;"&gt;"&amp;J111&amp;"&lt;/div&gt;"&amp;""""</f>
        <v xml:space="preserve">    rbib_efford_2004: "&lt;div class=\"hanging\"&gt;Efford, M. (2004). Density Estimation in Live-Trapping Studies. *Oikos, 106*(3), 598-610. &lt;http://www.jstor.org.login.ezproxy.library.ualberta.ca/stable/3548382&gt;&lt;/div&gt;"</v>
      </c>
      <c r="T111" s="65"/>
    </row>
    <row r="112" spans="1:20" ht="15.75">
      <c r="A112" s="65"/>
      <c r="B112" s="155"/>
      <c r="C112" s="155"/>
      <c r="D112" s="155"/>
      <c r="E112" s="65" t="s">
        <v>2246</v>
      </c>
      <c r="F112" s="65" t="s">
        <v>3517</v>
      </c>
      <c r="G112" s="65" t="s">
        <v>3516</v>
      </c>
      <c r="H112" s="65" t="s">
        <v>3516</v>
      </c>
      <c r="I112" s="65" t="b">
        <v>1</v>
      </c>
      <c r="J112" s="65" t="s">
        <v>3515</v>
      </c>
      <c r="K112" s="65" t="s">
        <v>5118</v>
      </c>
      <c r="L112" s="65" t="s">
        <v>3514</v>
      </c>
      <c r="M112" s="65" t="s">
        <v>984</v>
      </c>
      <c r="N112" s="65" t="str">
        <f>"&lt;div class="&amp;""""&amp;"hanging"&amp;""""&amp;"&gt;"&amp;K112&amp;"&lt;a href="&amp;""""&amp;L112&amp;""""&amp;" target="&amp;""""&amp;"_blank"&amp;""""&amp;"&gt;"&amp;L112&amp;"&lt;/a&gt;&lt;span style="&amp;""""&amp;"color:white"&amp;""""&amp;"&gt;[.]{#"&amp;F112&amp;"}}&lt;/span&gt;&lt;/div&gt;&lt;br&gt;"</f>
        <v>&lt;div class="hanging"&gt;Efford, M. (2023). &lt;i&gt;openCR: Open population capture-recapture models&lt;/i&gt;. R package version 2.2.6.&lt;a href="https://CRAN.R-project.org/package=openCR" target="_blank"&gt;https://CRAN.R-project.org/package=openCR&lt;/a&gt;&lt;span style="color:white"&gt;[.]{#efford_2023}}&lt;/span&gt;&lt;/div&gt;&lt;br&gt;</v>
      </c>
      <c r="O112" s="65" t="str">
        <f>"{{ rtxt_"&amp;F112&amp;" }}"</f>
        <v>{{ rtxt_efford_2023 }}</v>
      </c>
      <c r="P112" s="65" t="str">
        <f>"{{ rbib_"&amp;F112&amp;" }}"</f>
        <v>{{ rbib_efford_2023 }}</v>
      </c>
      <c r="Q112" s="65" t="str">
        <f>"    rtxt_"&amp;F112&amp;": "&amp;""""&amp;"&lt;a href=\"&amp;""""&amp;"/08_references.html#"&amp;F112&amp;"\"&amp;""""&amp;" target=\"&amp;""""&amp;"_blank\"&amp;""""&amp;"&gt;"&amp;G112&amp;"&lt;/a&gt;"&amp;""""</f>
        <v xml:space="preserve">    rtxt_efford_2023: "&lt;a href=\"/08_references.html#efford_2023\" target=\"_blank\"&gt;Efford, 2023&lt;/a&gt;"</v>
      </c>
      <c r="R112" s="65" t="str">
        <f>"    rbib_"&amp;F112&amp;": "&amp;""""&amp;K112&amp;"&lt;a href=\"&amp;""""&amp;L112&amp;""""&amp;" target=\"&amp;""""&amp;"_blank\"&amp;""""&amp;"&gt;"&amp;L112&amp;"&lt;/a&gt;"&amp;""""</f>
        <v xml:space="preserve">    rbib_efford_2023: "Efford, M. (2023). &lt;i&gt;openCR: Open population capture-recapture models&lt;/i&gt;. R package version 2.2.6.&lt;a href=\"https://CRAN.R-project.org/package=openCR" target=\"_blank\"&gt;https://CRAN.R-project.org/package=openCR&lt;/a&gt;"</v>
      </c>
      <c r="S112" s="65" t="str">
        <f>"    rbib_"&amp;F112&amp;": "&amp;""""&amp;"&lt;div class=\"&amp;""""&amp;"hanging\"&amp;""""&amp;"&gt;"&amp;J112&amp;"&lt;/div&gt;"&amp;""""</f>
        <v xml:space="preserve">    rbib_efford_2023: "&lt;div class=\"hanging\"&gt;Efford, M. (2023). *openCR: Open population capture-recapture models*. R package version 2.2.6. &lt;https://CRAN.R-project.org/package=openCR&gt;&lt;/div&gt;"</v>
      </c>
      <c r="T112" s="65"/>
    </row>
    <row r="113" spans="1:20" ht="15.75">
      <c r="A113" s="65"/>
      <c r="B113" s="155" t="b">
        <v>0</v>
      </c>
      <c r="C113" s="155" t="b">
        <v>0</v>
      </c>
      <c r="D113" s="155"/>
      <c r="E113" s="65" t="s">
        <v>2246</v>
      </c>
      <c r="F113" s="65" t="s">
        <v>3513</v>
      </c>
      <c r="G113" s="65" t="s">
        <v>3512</v>
      </c>
      <c r="H113" s="65" t="s">
        <v>3512</v>
      </c>
      <c r="I113" s="65" t="b">
        <v>1</v>
      </c>
      <c r="J113" s="65" t="s">
        <v>3511</v>
      </c>
      <c r="K113" s="65" t="s">
        <v>5119</v>
      </c>
      <c r="L113" s="65" t="s">
        <v>3510</v>
      </c>
      <c r="M113" s="65" t="s">
        <v>984</v>
      </c>
      <c r="N113" s="65" t="str">
        <f>"&lt;div class="&amp;""""&amp;"hanging"&amp;""""&amp;"&gt;"&amp;K113&amp;"&lt;a href="&amp;""""&amp;L113&amp;""""&amp;" target="&amp;""""&amp;"_blank"&amp;""""&amp;"&gt;"&amp;L113&amp;"&lt;/a&gt;&lt;span style="&amp;""""&amp;"color:white"&amp;""""&amp;"&gt;[.]{#"&amp;F113&amp;"}}&lt;/span&gt;&lt;/div&gt;&lt;br&gt;"</f>
        <v>&lt;div class="hanging"&gt;Efford, M. (2024a). &lt;i&gt;Package 'secr': Spatially Explicit Capture-Recapture&lt;/i&gt;. R package version 4.6.9.&lt;a href="https://CRAN.R-project.org/package=secr" target="_blank"&gt;https://CRAN.R-project.org/package=secr&lt;/a&gt;&lt;span style="color:white"&gt;[.]{#efford_2024a}}&lt;/span&gt;&lt;/div&gt;&lt;br&gt;</v>
      </c>
      <c r="O113" s="65" t="str">
        <f>"{{ rtxt_"&amp;F113&amp;" }}"</f>
        <v>{{ rtxt_efford_2024a }}</v>
      </c>
      <c r="P113" s="65" t="str">
        <f>"{{ rbib_"&amp;F113&amp;" }}"</f>
        <v>{{ rbib_efford_2024a }}</v>
      </c>
      <c r="Q113" s="65" t="str">
        <f>"    rtxt_"&amp;F113&amp;": "&amp;""""&amp;"&lt;a href=\"&amp;""""&amp;"/08_references.html#"&amp;F113&amp;"\"&amp;""""&amp;" target=\"&amp;""""&amp;"_blank\"&amp;""""&amp;"&gt;"&amp;G113&amp;"&lt;/a&gt;"&amp;""""</f>
        <v xml:space="preserve">    rtxt_efford_2024a: "&lt;a href=\"/08_references.html#efford_2024a\" target=\"_blank\"&gt;Efford, 2024a&lt;/a&gt;"</v>
      </c>
      <c r="R113" s="65" t="str">
        <f>"    rbib_"&amp;F113&amp;": "&amp;""""&amp;K113&amp;"&lt;a href=\"&amp;""""&amp;L113&amp;""""&amp;" target=\"&amp;""""&amp;"_blank\"&amp;""""&amp;"&gt;"&amp;L113&amp;"&lt;/a&gt;"&amp;""""</f>
        <v xml:space="preserve">    rbib_efford_2024a: "Efford, M. (2024a). &lt;i&gt;Package 'secr': Spatially Explicit Capture-Recapture&lt;/i&gt;. R package version 4.6.9.&lt;a href=\"https://CRAN.R-project.org/package=secr" target=\"_blank\"&gt;https://CRAN.R-project.org/package=secr&lt;/a&gt;"</v>
      </c>
      <c r="S113" s="65" t="str">
        <f>"    rbib_"&amp;F113&amp;": "&amp;""""&amp;"&lt;div class=\"&amp;""""&amp;"hanging\"&amp;""""&amp;"&gt;"&amp;J113&amp;"&lt;/div&gt;"&amp;""""</f>
        <v xml:space="preserve">    rbib_efford_2024a: "&lt;div class=\"hanging\"&gt;Efford, M. (2024a). *Package 'secr': Spatially Explicit Capture-Recapture* R package version 4.6.9. &lt;https://CRAN.R-project.org/package=secr&gt;&lt;/div&gt;"</v>
      </c>
      <c r="T113" s="65"/>
    </row>
    <row r="114" spans="1:20" ht="15.75">
      <c r="A114" s="65"/>
      <c r="B114" s="155" t="b">
        <v>0</v>
      </c>
      <c r="C114" s="155" t="b">
        <v>0</v>
      </c>
      <c r="D114" s="155"/>
      <c r="E114" s="65" t="s">
        <v>2246</v>
      </c>
      <c r="F114" s="65" t="s">
        <v>3509</v>
      </c>
      <c r="G114" s="65" t="s">
        <v>3508</v>
      </c>
      <c r="H114" s="65" t="s">
        <v>3508</v>
      </c>
      <c r="I114" s="65" t="b">
        <v>1</v>
      </c>
      <c r="J114" s="65" t="s">
        <v>3507</v>
      </c>
      <c r="K114" s="65" t="s">
        <v>5125</v>
      </c>
      <c r="L114" s="65" t="s">
        <v>3506</v>
      </c>
      <c r="M114" s="65" t="s">
        <v>984</v>
      </c>
      <c r="N114" s="65" t="str">
        <f>"&lt;div class="&amp;""""&amp;"hanging"&amp;""""&amp;"&gt;"&amp;K114&amp;"&lt;a href="&amp;""""&amp;L114&amp;""""&amp;" target="&amp;""""&amp;"_blank"&amp;""""&amp;"&gt;"&amp;L114&amp;"&lt;/a&gt;&lt;span style="&amp;""""&amp;"color:white"&amp;""""&amp;"&gt;[.]{#"&amp;F114&amp;"}}&lt;/span&gt;&lt;/div&gt;&lt;br&gt;"</f>
        <v>&lt;div class="hanging"&gt;Efford, M. (2024b). &lt;i&gt;secr 4.6 - spatially explicit capture-recapture in R.&lt;/i&gt;&lt;a href="https://cran.r-project.org/web/packages/secr/vignettes/secr-overview.pdf" target="_blank"&gt;https://cran.r-project.org/web/packages/secr/vignettes/secr-overview.pdf&lt;/a&gt;&lt;span style="color:white"&gt;[.]{#efford_2024b}}&lt;/span&gt;&lt;/div&gt;&lt;br&gt;</v>
      </c>
      <c r="O114" s="65" t="str">
        <f>"{{ rtxt_"&amp;F114&amp;" }}"</f>
        <v>{{ rtxt_efford_2024b }}</v>
      </c>
      <c r="P114" s="65" t="str">
        <f>"{{ rbib_"&amp;F114&amp;" }}"</f>
        <v>{{ rbib_efford_2024b }}</v>
      </c>
      <c r="Q114" s="65" t="str">
        <f>"    rtxt_"&amp;F114&amp;": "&amp;""""&amp;"&lt;a href=\"&amp;""""&amp;"/08_references.html#"&amp;F114&amp;"\"&amp;""""&amp;" target=\"&amp;""""&amp;"_blank\"&amp;""""&amp;"&gt;"&amp;G114&amp;"&lt;/a&gt;"&amp;""""</f>
        <v xml:space="preserve">    rtxt_efford_2024b: "&lt;a href=\"/08_references.html#efford_2024b\" target=\"_blank\"&gt;Efford, 2024b&lt;/a&gt;"</v>
      </c>
      <c r="R114" s="65" t="str">
        <f>"    rbib_"&amp;F114&amp;": "&amp;""""&amp;K114&amp;"&lt;a href=\"&amp;""""&amp;L114&amp;""""&amp;" target=\"&amp;""""&amp;"_blank\"&amp;""""&amp;"&gt;"&amp;L114&amp;"&lt;/a&gt;"&amp;""""</f>
        <v xml:space="preserve">    rbib_efford_2024b: "Efford, M. (2024b). &lt;i&gt;secr 4.6 - spatially explicit capture-recapture in R.&lt;/i&gt;&lt;a href=\"https://cran.r-project.org/web/packages/secr/vignettes/secr-overview.pdf" target=\"_blank\"&gt;https://cran.r-project.org/web/packages/secr/vignettes/secr-overview.pdf&lt;/a&gt;"</v>
      </c>
      <c r="S114" s="65" t="str">
        <f>"    rbib_"&amp;F114&amp;": "&amp;""""&amp;"&lt;div class=\"&amp;""""&amp;"hanging\"&amp;""""&amp;"&gt;"&amp;J114&amp;"&lt;/div&gt;"&amp;""""</f>
        <v xml:space="preserve">    rbib_efford_2024b: "&lt;div class=\"hanging\"&gt;Efford, M. (2024b). *secr 4.6 - spatially explicit capture-recapture in R.* &lt;https://cran.r-project.org/web/packages/secr/vignettes/secr-overview.pdf&gt;&lt;/div&gt;"</v>
      </c>
      <c r="T114" s="65"/>
    </row>
    <row r="115" spans="1:20" ht="15.75">
      <c r="A115" s="65"/>
      <c r="B115" s="155" t="b">
        <v>1</v>
      </c>
      <c r="C115" s="155" t="b">
        <v>0</v>
      </c>
      <c r="D115" s="155" t="b">
        <v>0</v>
      </c>
      <c r="E115" s="65" t="s">
        <v>2246</v>
      </c>
      <c r="F115" s="65" t="s">
        <v>3521</v>
      </c>
      <c r="G115" s="65" t="s">
        <v>3520</v>
      </c>
      <c r="H115" s="65" t="s">
        <v>3520</v>
      </c>
      <c r="I115" s="65" t="b">
        <v>1</v>
      </c>
      <c r="J115" s="65" t="s">
        <v>3519</v>
      </c>
      <c r="K115" s="65" t="s">
        <v>5500</v>
      </c>
      <c r="L115" s="65" t="s">
        <v>3518</v>
      </c>
      <c r="M115" s="65" t="s">
        <v>984</v>
      </c>
      <c r="N115" s="65" t="str">
        <f>"&lt;div class="&amp;""""&amp;"hanging"&amp;""""&amp;"&gt;"&amp;K115&amp;"&lt;a href="&amp;""""&amp;L115&amp;""""&amp;" target="&amp;""""&amp;"_blank"&amp;""""&amp;"&gt;"&amp;L115&amp;"&lt;/a&gt;&lt;span style="&amp;""""&amp;"color:white"&amp;""""&amp;"&gt;[.]{#"&amp;F115&amp;"}}&lt;/span&gt;&lt;/div&gt;&lt;br&gt;"</f>
        <v>&lt;div class="hanging"&gt;Efford, M. G. (2022). &lt;i&gt;Mark-resight in secr 4. 5. 1-20. &lt;/i&gt;&lt;a href="https://www.otago.ac.nz/Density/pdfs/secr-markresight.pdf" target="_blank"&gt;https://www.otago.ac.nz/Density/pdfs/secr-markresight.pdf&lt;/a&gt;&lt;span style="color:white"&gt;[.]{#efford_2022}}&lt;/span&gt;&lt;/div&gt;&lt;br&gt;</v>
      </c>
      <c r="O115" s="65" t="str">
        <f>"{{ rtxt_"&amp;F115&amp;" }}"</f>
        <v>{{ rtxt_efford_2022 }}</v>
      </c>
      <c r="P115" s="65" t="str">
        <f>"{{ rbib_"&amp;F115&amp;" }}"</f>
        <v>{{ rbib_efford_2022 }}</v>
      </c>
      <c r="Q115" s="65" t="str">
        <f>"    rtxt_"&amp;F115&amp;": "&amp;""""&amp;"&lt;a href=\"&amp;""""&amp;"/08_references.html#"&amp;F115&amp;"\"&amp;""""&amp;" target=\"&amp;""""&amp;"_blank\"&amp;""""&amp;"&gt;"&amp;G115&amp;"&lt;/a&gt;"&amp;""""</f>
        <v xml:space="preserve">    rtxt_efford_2022: "&lt;a href=\"/08_references.html#efford_2022\" target=\"_blank\"&gt;Efford, 2022&lt;/a&gt;"</v>
      </c>
      <c r="R115" s="65" t="str">
        <f>"    rbib_"&amp;F115&amp;": "&amp;""""&amp;K115&amp;"&lt;a href=\"&amp;""""&amp;L115&amp;""""&amp;" target=\"&amp;""""&amp;"_blank\"&amp;""""&amp;"&gt;"&amp;L115&amp;"&lt;/a&gt;"&amp;""""</f>
        <v xml:space="preserve">    rbib_efford_2022: "Efford, M. G. (2022). &lt;i&gt;Mark-resight in secr 4. 5. 1-20. &lt;/i&gt;&lt;a href=\"https://www.otago.ac.nz/Density/pdfs/secr-markresight.pdf" target=\"_blank\"&gt;https://www.otago.ac.nz/Density/pdfs/secr-markresight.pdf&lt;/a&gt;"</v>
      </c>
      <c r="S115" s="65" t="str">
        <f>"    rbib_"&amp;F115&amp;": "&amp;""""&amp;"&lt;div class=\"&amp;""""&amp;"hanging\"&amp;""""&amp;"&gt;"&amp;J115&amp;"&lt;/div&gt;"&amp;""""</f>
        <v xml:space="preserve">    rbib_efford_2022: "&lt;div class=\"hanging\"&gt;Efford, M. G. (2022). *Mark-resight in secr 4. 5. 1-20*. &lt;https://www.otago.ac.nz/Density/pdfs/secr-markresight.pdf&gt;&lt;/div&gt;"</v>
      </c>
      <c r="T115" s="65"/>
    </row>
    <row r="116" spans="1:20" ht="15.75">
      <c r="A116" s="65"/>
      <c r="B116" s="155" t="b">
        <v>1</v>
      </c>
      <c r="C116" s="155" t="b">
        <v>0</v>
      </c>
      <c r="D116" s="155" t="b">
        <v>0</v>
      </c>
      <c r="E116" s="65" t="s">
        <v>1904</v>
      </c>
      <c r="F116" s="65" t="s">
        <v>3505</v>
      </c>
      <c r="G116" s="65" t="s">
        <v>3504</v>
      </c>
      <c r="H116" s="65" t="s">
        <v>3504</v>
      </c>
      <c r="I116" s="65" t="b">
        <v>1</v>
      </c>
      <c r="J116" s="65" t="s">
        <v>3503</v>
      </c>
      <c r="K116" s="65" t="s">
        <v>5294</v>
      </c>
      <c r="L116" s="65" t="s">
        <v>3502</v>
      </c>
      <c r="M116" s="65" t="s">
        <v>984</v>
      </c>
      <c r="N116" s="65" t="str">
        <f>"&lt;div class="&amp;""""&amp;"hanging"&amp;""""&amp;"&gt;"&amp;K116&amp;"&lt;a href="&amp;""""&amp;L116&amp;""""&amp;" target="&amp;""""&amp;"_blank"&amp;""""&amp;"&gt;"&amp;L116&amp;"&lt;/a&gt;&lt;span style="&amp;""""&amp;"color:white"&amp;""""&amp;"&gt;[.]{#"&amp;F116&amp;"}}&lt;/span&gt;&lt;/div&gt;&lt;br&gt;"</f>
        <v>&lt;div class="hanging"&gt;Efford, M. G., &amp; Boulanger, J. (2019). Fast Evaluation of Study Designs for Spatially Explicit Capture-Recapture. &lt;i&gt;Methods in Ecology and Evolution, 10&lt;/i&gt;(9), 1529-1535.&lt;a href="https://doi.org/10.1111/2041-210X.13239" target="_blank"&gt;https://doi.org/10.1111/2041-210X.13239&lt;/a&gt;&lt;span style="color:white"&gt;[.]{#efford_boulanger_2019}}&lt;/span&gt;&lt;/div&gt;&lt;br&gt;</v>
      </c>
      <c r="O116" s="65" t="str">
        <f>"{{ rtxt_"&amp;F116&amp;" }}"</f>
        <v>{{ rtxt_efford_boulanger_2019 }}</v>
      </c>
      <c r="P116" s="65" t="str">
        <f>"{{ rbib_"&amp;F116&amp;" }}"</f>
        <v>{{ rbib_efford_boulanger_2019 }}</v>
      </c>
      <c r="Q116" s="65" t="str">
        <f>"    rtxt_"&amp;F116&amp;": "&amp;""""&amp;"&lt;a href=\"&amp;""""&amp;"/08_references.html#"&amp;F116&amp;"\"&amp;""""&amp;" target=\"&amp;""""&amp;"_blank\"&amp;""""&amp;"&gt;"&amp;G116&amp;"&lt;/a&gt;"&amp;""""</f>
        <v xml:space="preserve">    rtxt_efford_boulanger_2019: "&lt;a href=\"/08_references.html#efford_boulanger_2019\" target=\"_blank\"&gt;Efford &amp; Boulanger, 2019&lt;/a&gt;"</v>
      </c>
      <c r="R116" s="65" t="str">
        <f>"    rbib_"&amp;F116&amp;": "&amp;""""&amp;K116&amp;"&lt;a href=\"&amp;""""&amp;L116&amp;""""&amp;" target=\"&amp;""""&amp;"_blank\"&amp;""""&amp;"&gt;"&amp;L116&amp;"&lt;/a&gt;"&amp;""""</f>
        <v xml:space="preserve">    rbib_efford_boulanger_2019: "Efford, M. G., &amp; Boulanger, J. (2019). Fast Evaluation of Study Designs for Spatially Explicit Capture-Recapture. &lt;i&gt;Methods in Ecology and Evolution, 10&lt;/i&gt;(9), 1529-1535.&lt;a href=\"https://doi.org/10.1111/2041-210X.13239" target=\"_blank\"&gt;https://doi.org/10.1111/2041-210X.13239&lt;/a&gt;"</v>
      </c>
      <c r="S116" s="65" t="str">
        <f>"    rbib_"&amp;F116&amp;": "&amp;""""&amp;"&lt;div class=\"&amp;""""&amp;"hanging\"&amp;""""&amp;"&gt;"&amp;J116&amp;"&lt;/div&gt;"&amp;""""</f>
        <v xml:space="preserve">    rbib_efford_boulanger_2019: "&lt;div class=\"hanging\"&gt;Efford, M. G., &amp; Boulanger, J. (2019). Fast Evaluation of Study Designs for Spatially Explicit Capture-Recapture. *Methods in Ecology and Evolution, 10*(9), 1529-1535. &lt;https://doi.org/10.1111/2041-210X.13239&gt;&lt;/div&gt;"</v>
      </c>
      <c r="T116" s="65"/>
    </row>
    <row r="117" spans="1:20" ht="15.75">
      <c r="A117" s="65"/>
      <c r="B117" s="155"/>
      <c r="C117" s="155"/>
      <c r="D117" s="155"/>
      <c r="E117" s="65" t="s">
        <v>1904</v>
      </c>
      <c r="F117" s="65" t="s">
        <v>3501</v>
      </c>
      <c r="G117" s="65" t="s">
        <v>3500</v>
      </c>
      <c r="H117" s="65" t="s">
        <v>3500</v>
      </c>
      <c r="I117" s="65" t="b">
        <v>1</v>
      </c>
      <c r="J117" s="65" t="s">
        <v>3499</v>
      </c>
      <c r="K117" s="65" t="s">
        <v>5390</v>
      </c>
      <c r="L117" s="65" t="s">
        <v>3498</v>
      </c>
      <c r="M117" s="65" t="s">
        <v>984</v>
      </c>
      <c r="N117" s="65" t="str">
        <f>"&lt;div class="&amp;""""&amp;"hanging"&amp;""""&amp;"&gt;"&amp;K117&amp;"&lt;a href="&amp;""""&amp;L117&amp;""""&amp;" target="&amp;""""&amp;"_blank"&amp;""""&amp;"&gt;"&amp;L117&amp;"&lt;/a&gt;&lt;span style="&amp;""""&amp;"color:white"&amp;""""&amp;"&gt;[.]{#"&amp;F117&amp;"}}&lt;/span&gt;&lt;/div&gt;&lt;br&gt;"</f>
        <v>&lt;div class="hanging"&gt;Efford, M. G., &amp; Dawson, D. K. (2012). Occupancy in continuous habitat. &lt;i&gt;Ecosphere, 3&lt;/i&gt;(4). Article 32.&lt;a href="https://doi.org/10.1890/es11-00308.1" target="_blank"&gt;https://doi.org/10.1890/es11-00308.1&lt;/a&gt;&lt;span style="color:white"&gt;[.]{#efford_dawson_2012}}&lt;/span&gt;&lt;/div&gt;&lt;br&gt;</v>
      </c>
      <c r="O117" s="65" t="str">
        <f>"{{ rtxt_"&amp;F117&amp;" }}"</f>
        <v>{{ rtxt_efford_dawson_2012 }}</v>
      </c>
      <c r="P117" s="65" t="str">
        <f>"{{ rbib_"&amp;F117&amp;" }}"</f>
        <v>{{ rbib_efford_dawson_2012 }}</v>
      </c>
      <c r="Q117" s="65" t="str">
        <f>"    rtxt_"&amp;F117&amp;": "&amp;""""&amp;"&lt;a href=\"&amp;""""&amp;"/08_references.html#"&amp;F117&amp;"\"&amp;""""&amp;" target=\"&amp;""""&amp;"_blank\"&amp;""""&amp;"&gt;"&amp;G117&amp;"&lt;/a&gt;"&amp;""""</f>
        <v xml:space="preserve">    rtxt_efford_dawson_2012: "&lt;a href=\"/08_references.html#efford_dawson_2012\" target=\"_blank\"&gt;Efford &amp; Dawson, 2012&lt;/a&gt;"</v>
      </c>
      <c r="R117" s="65" t="str">
        <f>"    rbib_"&amp;F117&amp;": "&amp;""""&amp;K117&amp;"&lt;a href=\"&amp;""""&amp;L117&amp;""""&amp;" target=\"&amp;""""&amp;"_blank\"&amp;""""&amp;"&gt;"&amp;L117&amp;"&lt;/a&gt;"&amp;""""</f>
        <v xml:space="preserve">    rbib_efford_dawson_2012: "Efford, M. G., &amp; Dawson, D. K. (2012). Occupancy in continuous habitat. &lt;i&gt;Ecosphere, 3&lt;/i&gt;(4). Article 32.&lt;a href=\"https://doi.org/10.1890/es11-00308.1" target=\"_blank\"&gt;https://doi.org/10.1890/es11-00308.1&lt;/a&gt;"</v>
      </c>
      <c r="S117" s="65" t="str">
        <f>"    rbib_"&amp;F117&amp;": "&amp;""""&amp;"&lt;div class=\"&amp;""""&amp;"hanging\"&amp;""""&amp;"&gt;"&amp;J117&amp;"&lt;/div&gt;"&amp;""""</f>
        <v xml:space="preserve">    rbib_efford_dawson_2012: "&lt;div class=\"hanging\"&gt;Efford, M. G., &amp; Dawson, D. K. (2012). Occupancy in continuous habitat. *Ecosphere, 3*(4). Article 32. &lt;https://doi.org/10.1890/es11-00308.1&gt;&lt;/div&gt;"</v>
      </c>
      <c r="T117" s="65"/>
    </row>
    <row r="118" spans="1:20" ht="15.75">
      <c r="A118" s="65"/>
      <c r="B118" s="155" t="b">
        <v>1</v>
      </c>
      <c r="C118" s="155" t="b">
        <v>0</v>
      </c>
      <c r="D118" s="155" t="b">
        <v>0</v>
      </c>
      <c r="E118" s="65" t="s">
        <v>1904</v>
      </c>
      <c r="F118" s="65" t="s">
        <v>3483</v>
      </c>
      <c r="G118" s="65" t="s">
        <v>3482</v>
      </c>
      <c r="H118" s="65" t="s">
        <v>3482</v>
      </c>
      <c r="I118" s="65" t="b">
        <v>1</v>
      </c>
      <c r="J118" s="65" t="s">
        <v>3481</v>
      </c>
      <c r="K118" s="65" t="s">
        <v>5303</v>
      </c>
      <c r="L118" s="65" t="s">
        <v>3480</v>
      </c>
      <c r="M118" s="65" t="s">
        <v>984</v>
      </c>
      <c r="N118" s="65" t="str">
        <f>"&lt;div class="&amp;""""&amp;"hanging"&amp;""""&amp;"&gt;"&amp;K118&amp;"&lt;a href="&amp;""""&amp;L118&amp;""""&amp;" target="&amp;""""&amp;"_blank"&amp;""""&amp;"&gt;"&amp;L118&amp;"&lt;/a&gt;&lt;span style="&amp;""""&amp;"color:white"&amp;""""&amp;"&gt;[.]{#"&amp;F118&amp;"}}&lt;/span&gt;&lt;/div&gt;&lt;br&gt;"</f>
        <v>&lt;div class="hanging"&gt;Efford, M. G., &amp; Hunter, C. M. (2018). Spatial Capture-mark-resight Estimation of Animal Population Density. &lt;i&gt;Biometrics, 74&lt;/i&gt;(2), 411-420.&lt;a href="https://doi.org/10.1111/biom.12766" target="_blank"&gt;https://doi.org/10.1111/biom.12766&lt;/a&gt;&lt;span style="color:white"&gt;[.]{#efford_hunter_2018}}&lt;/span&gt;&lt;/div&gt;&lt;br&gt;</v>
      </c>
      <c r="O118" s="65" t="str">
        <f>"{{ rtxt_"&amp;F118&amp;" }}"</f>
        <v>{{ rtxt_efford_hunter_2018 }}</v>
      </c>
      <c r="P118" s="65" t="str">
        <f>"{{ rbib_"&amp;F118&amp;" }}"</f>
        <v>{{ rbib_efford_hunter_2018 }}</v>
      </c>
      <c r="Q118" s="65" t="str">
        <f>"    rtxt_"&amp;F118&amp;": "&amp;""""&amp;"&lt;a href=\"&amp;""""&amp;"/08_references.html#"&amp;F118&amp;"\"&amp;""""&amp;" target=\"&amp;""""&amp;"_blank\"&amp;""""&amp;"&gt;"&amp;G118&amp;"&lt;/a&gt;"&amp;""""</f>
        <v xml:space="preserve">    rtxt_efford_hunter_2018: "&lt;a href=\"/08_references.html#efford_hunter_2018\" target=\"_blank\"&gt;Efford &amp; Hunter, 2018&lt;/a&gt;"</v>
      </c>
      <c r="R118" s="65" t="str">
        <f>"    rbib_"&amp;F118&amp;": "&amp;""""&amp;K118&amp;"&lt;a href=\"&amp;""""&amp;L118&amp;""""&amp;" target=\"&amp;""""&amp;"_blank\"&amp;""""&amp;"&gt;"&amp;L118&amp;"&lt;/a&gt;"&amp;""""</f>
        <v xml:space="preserve">    rbib_efford_hunter_2018: "Efford, M. G., &amp; Hunter, C. M. (2018). Spatial Capture-mark-resight Estimation of Animal Population Density. &lt;i&gt;Biometrics, 74&lt;/i&gt;(2), 411-420.&lt;a href=\"https://doi.org/10.1111/biom.12766" target=\"_blank\"&gt;https://doi.org/10.1111/biom.12766&lt;/a&gt;"</v>
      </c>
      <c r="S118" s="65" t="str">
        <f>"    rbib_"&amp;F118&amp;": "&amp;""""&amp;"&lt;div class=\"&amp;""""&amp;"hanging\"&amp;""""&amp;"&gt;"&amp;J118&amp;"&lt;/div&gt;"&amp;""""</f>
        <v xml:space="preserve">    rbib_efford_hunter_2018: "&lt;div class=\"hanging\"&gt;Efford, M. G., &amp; Hunter, C. M. (2018). Spatial Capture-mark-resight Estimation of Animal Population Density. *Biometrics, 74*(2), 411-420. &lt;https://doi.org/10.1111/biom.12766&gt;&lt;/div&gt;"</v>
      </c>
      <c r="T118" s="65"/>
    </row>
    <row r="119" spans="1:20" ht="15.75">
      <c r="A119" s="65"/>
      <c r="B119" s="155" t="b">
        <v>1</v>
      </c>
      <c r="C119" s="155" t="b">
        <v>0</v>
      </c>
      <c r="D119" s="155" t="b">
        <v>0</v>
      </c>
      <c r="E119" s="65" t="s">
        <v>1904</v>
      </c>
      <c r="F119" s="65" t="s">
        <v>3493</v>
      </c>
      <c r="G119" s="65" t="s">
        <v>3492</v>
      </c>
      <c r="H119" s="65" t="s">
        <v>3491</v>
      </c>
      <c r="I119" s="65" t="b">
        <v>1</v>
      </c>
      <c r="J119" s="65" t="s">
        <v>3490</v>
      </c>
      <c r="K119" s="65" t="s">
        <v>5186</v>
      </c>
      <c r="L119" s="65" t="s">
        <v>3489</v>
      </c>
      <c r="M119" s="65" t="s">
        <v>984</v>
      </c>
      <c r="N119" s="65" t="str">
        <f>"&lt;div class="&amp;""""&amp;"hanging"&amp;""""&amp;"&gt;"&amp;K119&amp;"&lt;a href="&amp;""""&amp;L119&amp;""""&amp;" target="&amp;""""&amp;"_blank"&amp;""""&amp;"&gt;"&amp;L119&amp;"&lt;/a&gt;&lt;span style="&amp;""""&amp;"color:white"&amp;""""&amp;"&gt;[.]{#"&amp;F119&amp;"}}&lt;/span&gt;&lt;/div&gt;&lt;br&gt;"</f>
        <v>&lt;div class="hanging"&gt;Efford, M. G., Borchers, D. L., &amp; Byrom, A. E. (2009a). Density Estimation by Spatially Explicit Capture-Recapture: Likelihood-Based Methods. &lt;i&gt;In&lt;/i&gt; D. L. Thomson, E. G. Cooch, &amp; M. J. Conroy (Eds.), &lt;i&gt;Modeling Demographic Processes In Marked Populations&lt;/i&gt; (pp. 255-269).&lt;a href="https://doi.org/10.1007/978-0-387-78151-8_11" target="_blank"&gt;https://doi.org/10.1007/978-0-387-78151-8_11&lt;/a&gt;&lt;span style="color:white"&gt;[.]{#efford_et_al_2009a}}&lt;/span&gt;&lt;/div&gt;&lt;br&gt;</v>
      </c>
      <c r="O119" s="65" t="str">
        <f>"{{ rtxt_"&amp;F119&amp;" }}"</f>
        <v>{{ rtxt_efford_et_al_2009a }}</v>
      </c>
      <c r="P119" s="65" t="str">
        <f>"{{ rbib_"&amp;F119&amp;" }}"</f>
        <v>{{ rbib_efford_et_al_2009a }}</v>
      </c>
      <c r="Q119" s="65" t="str">
        <f>"    rtxt_"&amp;F119&amp;": "&amp;""""&amp;"&lt;a href=\"&amp;""""&amp;"/08_references.html#"&amp;F119&amp;"\"&amp;""""&amp;" target=\"&amp;""""&amp;"_blank\"&amp;""""&amp;"&gt;"&amp;G119&amp;"&lt;/a&gt;"&amp;""""</f>
        <v xml:space="preserve">    rtxt_efford_et_al_2009a: "&lt;a href=\"/08_references.html#efford_et_al_2009a\" target=\"_blank\"&gt;Efford et al., 2009a&lt;/a&gt;"</v>
      </c>
      <c r="R119" s="65" t="str">
        <f>"    rbib_"&amp;F119&amp;": "&amp;""""&amp;K119&amp;"&lt;a href=\"&amp;""""&amp;L119&amp;""""&amp;" target=\"&amp;""""&amp;"_blank\"&amp;""""&amp;"&gt;"&amp;L119&amp;"&lt;/a&gt;"&amp;""""</f>
        <v xml:space="preserve">    rbib_efford_et_al_2009a: "Efford, M. G., Borchers, D. L., &amp; Byrom, A. E. (2009a). Density Estimation by Spatially Explicit Capture-Recapture: Likelihood-Based Methods. &lt;i&gt;In&lt;/i&gt; D. L. Thomson, E. G. Cooch, &amp; M. J. Conroy (Eds.), &lt;i&gt;Modeling Demographic Processes In Marked Populations&lt;/i&gt; (pp. 255-269).&lt;a href=\"https://doi.org/10.1007/978-0-387-78151-8_11" target=\"_blank\"&gt;https://doi.org/10.1007/978-0-387-78151-8_11&lt;/a&gt;"</v>
      </c>
      <c r="S119" s="65" t="str">
        <f>"    rbib_"&amp;F119&amp;": "&amp;""""&amp;"&lt;div class=\"&amp;""""&amp;"hanging\"&amp;""""&amp;"&gt;"&amp;J119&amp;"&lt;/div&gt;"&amp;""""</f>
        <v xml:space="preserve">    rbib_efford_et_al_2009a: "&lt;div class=\"hanging\"&gt;Efford, M. G., Borchers, D. L., &amp; Byrom, A. E. (2009a). Density Estimation by Spatially Explicit Capture-Recapture: Likelihood-Based Methods. *In* D. L. Thomson, E. G. Cooch, &amp; M. J. Conroy (Eds.), *Modeling Demographic Processes In Marked Populations* (pp. 255-269). &lt;https://doi.org/10.1007/978-0-387-78151-8_11&gt;&lt;/div&gt;"</v>
      </c>
      <c r="T119" s="65"/>
    </row>
    <row r="120" spans="1:20" ht="15.75">
      <c r="A120" s="65"/>
      <c r="B120" s="155" t="b">
        <v>1</v>
      </c>
      <c r="C120" s="155" t="b">
        <v>0</v>
      </c>
      <c r="D120" s="155" t="b">
        <v>0</v>
      </c>
      <c r="E120" s="65" t="s">
        <v>1904</v>
      </c>
      <c r="F120" s="65" t="s">
        <v>3488</v>
      </c>
      <c r="G120" s="65" t="s">
        <v>3487</v>
      </c>
      <c r="H120" s="65" t="s">
        <v>3486</v>
      </c>
      <c r="I120" s="65" t="b">
        <v>1</v>
      </c>
      <c r="J120" s="65" t="s">
        <v>3485</v>
      </c>
      <c r="K120" s="65" t="s">
        <v>5385</v>
      </c>
      <c r="L120" s="65" t="s">
        <v>3484</v>
      </c>
      <c r="M120" s="65" t="s">
        <v>984</v>
      </c>
      <c r="N120" s="65" t="str">
        <f>"&lt;div class="&amp;""""&amp;"hanging"&amp;""""&amp;"&gt;"&amp;K120&amp;"&lt;a href="&amp;""""&amp;L120&amp;""""&amp;" target="&amp;""""&amp;"_blank"&amp;""""&amp;"&gt;"&amp;L120&amp;"&lt;/a&gt;&lt;span style="&amp;""""&amp;"color:white"&amp;""""&amp;"&gt;[.]{#"&amp;F120&amp;"}}&lt;/span&gt;&lt;/div&gt;&lt;br&gt;"</f>
        <v>&lt;div class="hanging"&gt;Efford, M. G., Dawson, D. K., &amp; Borchers, D. L. (2009b). Population Density estimated from locations of individuals on a passive detector array. &lt;i&gt;Ecology, 90&lt;/i&gt;(10), 2676-2682.&lt;a href="https://doi.org/10.1890/08-1735.1" target="_blank"&gt;https://doi.org/10.1890/08-1735.1&lt;/a&gt;&lt;span style="color:white"&gt;[.]{#efford_et_al_2009b}}&lt;/span&gt;&lt;/div&gt;&lt;br&gt;</v>
      </c>
      <c r="O120" s="65" t="str">
        <f>"{{ rtxt_"&amp;F120&amp;" }}"</f>
        <v>{{ rtxt_efford_et_al_2009b }}</v>
      </c>
      <c r="P120" s="65" t="str">
        <f>"{{ rbib_"&amp;F120&amp;" }}"</f>
        <v>{{ rbib_efford_et_al_2009b }}</v>
      </c>
      <c r="Q120" s="65" t="str">
        <f>"    rtxt_"&amp;F120&amp;": "&amp;""""&amp;"&lt;a href=\"&amp;""""&amp;"/08_references.html#"&amp;F120&amp;"\"&amp;""""&amp;" target=\"&amp;""""&amp;"_blank\"&amp;""""&amp;"&gt;"&amp;G120&amp;"&lt;/a&gt;"&amp;""""</f>
        <v xml:space="preserve">    rtxt_efford_et_al_2009b: "&lt;a href=\"/08_references.html#efford_et_al_2009b\" target=\"_blank\"&gt;Efford et al., 2009b&lt;/a&gt;"</v>
      </c>
      <c r="R120" s="65" t="str">
        <f>"    rbib_"&amp;F120&amp;": "&amp;""""&amp;K120&amp;"&lt;a href=\"&amp;""""&amp;L120&amp;""""&amp;" target=\"&amp;""""&amp;"_blank\"&amp;""""&amp;"&gt;"&amp;L120&amp;"&lt;/a&gt;"&amp;""""</f>
        <v xml:space="preserve">    rbib_efford_et_al_2009b: "Efford, M. G., Dawson, D. K., &amp; Borchers, D. L. (2009b). Population Density estimated from locations of individuals on a passive detector array. &lt;i&gt;Ecology, 90&lt;/i&gt;(10), 2676-2682.&lt;a href=\"https://doi.org/10.1890/08-1735.1" target=\"_blank\"&gt;https://doi.org/10.1890/08-1735.1&lt;/a&gt;"</v>
      </c>
      <c r="S120" s="65" t="str">
        <f>"    rbib_"&amp;F120&amp;": "&amp;""""&amp;"&lt;div class=\"&amp;""""&amp;"hanging\"&amp;""""&amp;"&gt;"&amp;J120&amp;"&lt;/div&gt;"&amp;""""</f>
        <v xml:space="preserve">    rbib_efford_et_al_2009b: "&lt;div class=\"hanging\"&gt;Efford, M. G., Dawson, D. K., &amp; Borchers, D. L. (2009b). Population Density estimated from locations of individuals on a passive detector array. *Ecology, 90*(10), 2676-2682. &lt;https://doi.org/10.1890/08-1735.1&gt;&lt;/div&gt;"</v>
      </c>
      <c r="T120" s="65"/>
    </row>
    <row r="121" spans="1:20" ht="15.75">
      <c r="A121" s="65"/>
      <c r="B121" s="155"/>
      <c r="C121" s="155"/>
      <c r="D121" s="155"/>
      <c r="E121" s="65" t="s">
        <v>1904</v>
      </c>
      <c r="F121" s="65" t="s">
        <v>3497</v>
      </c>
      <c r="G121" s="65" t="s">
        <v>3496</v>
      </c>
      <c r="H121" s="65"/>
      <c r="I121" s="65" t="b">
        <v>1</v>
      </c>
      <c r="J121" s="65" t="s">
        <v>3495</v>
      </c>
      <c r="K121" s="65" t="s">
        <v>5407</v>
      </c>
      <c r="L121" s="65" t="s">
        <v>3494</v>
      </c>
      <c r="M121" s="65" t="s">
        <v>984</v>
      </c>
      <c r="N121" s="65" t="str">
        <f>"&lt;div class="&amp;""""&amp;"hanging"&amp;""""&amp;"&gt;"&amp;K121&amp;"&lt;a href="&amp;""""&amp;L121&amp;""""&amp;" target="&amp;""""&amp;"_blank"&amp;""""&amp;"&gt;"&amp;L121&amp;"&lt;/a&gt;&lt;span style="&amp;""""&amp;"color:white"&amp;""""&amp;"&gt;[.]{#"&amp;F121&amp;"}}&lt;/span&gt;&lt;/div&gt;&lt;br&gt;"</f>
        <v>&lt;div class="hanging"&gt;Efford, M. G., Dawson, D. K., &amp; Robbins, C. S. (2004). DENSITY: Software for analysing capture-recapture data from passive detector arrays. &lt;i&gt;Animal Biodiversity and Conservation, 27&lt;/i&gt;(1), 217-228.&lt;a href="https://doi.org/10.32800/abc.2004.27.0217" target="_blank"&gt;https://doi.org/10.32800/abc.2004.27.0217&lt;/a&gt;&lt;span style="color:white"&gt;[.]{#efford_et_al_2004}}&lt;/span&gt;&lt;/div&gt;&lt;br&gt;</v>
      </c>
      <c r="O121" s="65" t="str">
        <f>"{{ rtxt_"&amp;F121&amp;" }}"</f>
        <v>{{ rtxt_efford_et_al_2004 }}</v>
      </c>
      <c r="P121" s="65" t="str">
        <f>"{{ rbib_"&amp;F121&amp;" }}"</f>
        <v>{{ rbib_efford_et_al_2004 }}</v>
      </c>
      <c r="Q121" s="65" t="str">
        <f>"    rtxt_"&amp;F121&amp;": "&amp;""""&amp;"&lt;a href=\"&amp;""""&amp;"/08_references.html#"&amp;F121&amp;"\"&amp;""""&amp;" target=\"&amp;""""&amp;"_blank\"&amp;""""&amp;"&gt;"&amp;G121&amp;"&lt;/a&gt;"&amp;""""</f>
        <v xml:space="preserve">    rtxt_efford_et_al_2004: "&lt;a href=\"/08_references.html#efford_et_al_2004\" target=\"_blank\"&gt;Efford et al., 2004&lt;/a&gt;"</v>
      </c>
      <c r="R121" s="65" t="str">
        <f>"    rbib_"&amp;F121&amp;": "&amp;""""&amp;K121&amp;"&lt;a href=\"&amp;""""&amp;L121&amp;""""&amp;" target=\"&amp;""""&amp;"_blank\"&amp;""""&amp;"&gt;"&amp;L121&amp;"&lt;/a&gt;"&amp;""""</f>
        <v xml:space="preserve">    rbib_efford_et_al_2004: "Efford, M. G., Dawson, D. K., &amp; Robbins, C. S. (2004). DENSITY: Software for analysing capture-recapture data from passive detector arrays. &lt;i&gt;Animal Biodiversity and Conservation, 27&lt;/i&gt;(1), 217-228.&lt;a href=\"https://doi.org/10.32800/abc.2004.27.0217" target=\"_blank\"&gt;https://doi.org/10.32800/abc.2004.27.0217&lt;/a&gt;"</v>
      </c>
      <c r="S121" s="65" t="str">
        <f>"    rbib_"&amp;F121&amp;": "&amp;""""&amp;"&lt;div class=\"&amp;""""&amp;"hanging\"&amp;""""&amp;"&gt;"&amp;J121&amp;"&lt;/div&gt;"&amp;""""</f>
        <v xml:space="preserve">    rbib_efford_et_al_2004: "&lt;div class=\"hanging\"&gt;Efford, M. G., Dawson, D. K., &amp; Robbins, C. S. (2004). DENSITY: Software for analysing capture-recapture data from passive detector arrays. *Animal Biodiversity and Conservation, 27*(1), 217-228. &lt;https://doi.org/10.32800/abc.2004.27.0217&gt;&lt;/div&gt;"</v>
      </c>
      <c r="T121" s="65"/>
    </row>
    <row r="122" spans="1:20" ht="15.75">
      <c r="A122" s="65"/>
      <c r="B122" s="155" t="b">
        <v>1</v>
      </c>
      <c r="C122" s="155" t="b">
        <v>0</v>
      </c>
      <c r="D122" s="155" t="b">
        <v>0</v>
      </c>
      <c r="E122" s="65" t="s">
        <v>1904</v>
      </c>
      <c r="F122" s="65" t="s">
        <v>3479</v>
      </c>
      <c r="G122" s="65" t="s">
        <v>3478</v>
      </c>
      <c r="H122" s="65" t="s">
        <v>3477</v>
      </c>
      <c r="I122" s="65" t="b">
        <v>1</v>
      </c>
      <c r="J122" s="65" t="s">
        <v>3476</v>
      </c>
      <c r="K122" s="65" t="s">
        <v>5206</v>
      </c>
      <c r="L122" s="65" t="s">
        <v>3475</v>
      </c>
      <c r="M122" s="65" t="s">
        <v>984</v>
      </c>
      <c r="N122" s="65" t="str">
        <f>"&lt;div class="&amp;""""&amp;"hanging"&amp;""""&amp;"&gt;"&amp;K122&amp;"&lt;a href="&amp;""""&amp;L122&amp;""""&amp;" target="&amp;""""&amp;"_blank"&amp;""""&amp;"&gt;"&amp;L122&amp;"&lt;/a&gt;&lt;span style="&amp;""""&amp;"color:white"&amp;""""&amp;"&gt;[.]{#"&amp;F122&amp;"}}&lt;/span&gt;&lt;/div&gt;&lt;br&gt;"</f>
        <v>&lt;div class="hanging"&gt;Espartosa, K. D., Pinotti, B. T., &amp; Pardini, R. (2011). Performance of Camera Trapping and Track Counts for Surveying Large Mammals in Rainforest Remnants. &lt;i&gt;Biodiversity Conservation, 20&lt;/i&gt;(12), 2815-2829.&lt;a href="https://doi.org/10.1007/s10531-011-0110-4" target="_blank"&gt;https://doi.org/10.1007/s10531-011-0110-4&lt;/a&gt;&lt;span style="color:white"&gt;[.]{#espartosa_et_al_2011}}&lt;/span&gt;&lt;/div&gt;&lt;br&gt;</v>
      </c>
      <c r="O122" s="65" t="str">
        <f>"{{ rtxt_"&amp;F122&amp;" }}"</f>
        <v>{{ rtxt_espartosa_et_al_2011 }}</v>
      </c>
      <c r="P122" s="65" t="str">
        <f>"{{ rbib_"&amp;F122&amp;" }}"</f>
        <v>{{ rbib_espartosa_et_al_2011 }}</v>
      </c>
      <c r="Q122" s="65" t="str">
        <f>"    rtxt_"&amp;F122&amp;": "&amp;""""&amp;"&lt;a href=\"&amp;""""&amp;"/08_references.html#"&amp;F122&amp;"\"&amp;""""&amp;" target=\"&amp;""""&amp;"_blank\"&amp;""""&amp;"&gt;"&amp;G122&amp;"&lt;/a&gt;"&amp;""""</f>
        <v xml:space="preserve">    rtxt_espartosa_et_al_2011: "&lt;a href=\"/08_references.html#espartosa_et_al_2011\" target=\"_blank\"&gt;Espartosa et al., 2011&lt;/a&gt;"</v>
      </c>
      <c r="R122" s="65" t="str">
        <f>"    rbib_"&amp;F122&amp;": "&amp;""""&amp;K122&amp;"&lt;a href=\"&amp;""""&amp;L122&amp;""""&amp;" target=\"&amp;""""&amp;"_blank\"&amp;""""&amp;"&gt;"&amp;L122&amp;"&lt;/a&gt;"&amp;""""</f>
        <v xml:space="preserve">    rbib_espartosa_et_al_2011: "Espartosa, K. D., Pinotti, B. T., &amp; Pardini, R. (2011). Performance of Camera Trapping and Track Counts for Surveying Large Mammals in Rainforest Remnants. &lt;i&gt;Biodiversity Conservation, 20&lt;/i&gt;(12), 2815-2829.&lt;a href=\"https://doi.org/10.1007/s10531-011-0110-4" target=\"_blank\"&gt;https://doi.org/10.1007/s10531-011-0110-4&lt;/a&gt;"</v>
      </c>
      <c r="S122" s="65" t="str">
        <f>"    rbib_"&amp;F122&amp;": "&amp;""""&amp;"&lt;div class=\"&amp;""""&amp;"hanging\"&amp;""""&amp;"&gt;"&amp;J122&amp;"&lt;/div&gt;"&amp;""""</f>
        <v xml:space="preserve">    rbib_espartosa_et_al_2011: "&lt;div class=\"hanging\"&gt;Espartosa, K. D., Pinotti, B. T., &amp; Pardini, R. (2011). Performance of Camera Trapping and Track Counts for Surveying Large Mammals in Rainforest Remnants. *Biodiversity Conservation, 20*(12), 2815-2829. &lt;https://doi.org/10.1007/s10531-011-0110-4&gt;&lt;/div&gt;"</v>
      </c>
      <c r="T122" s="65"/>
    </row>
    <row r="123" spans="1:20" ht="15.75">
      <c r="A123" s="65"/>
      <c r="B123" s="155"/>
      <c r="C123" s="155"/>
      <c r="D123" s="155"/>
      <c r="E123" s="65" t="s">
        <v>1904</v>
      </c>
      <c r="F123" s="65" t="s">
        <v>3474</v>
      </c>
      <c r="G123" s="65" t="s">
        <v>3470</v>
      </c>
      <c r="H123" s="65" t="s">
        <v>3473</v>
      </c>
      <c r="I123" s="65" t="b">
        <v>1</v>
      </c>
      <c r="J123" s="65" t="s">
        <v>3472</v>
      </c>
      <c r="K123" s="65" t="s">
        <v>5365</v>
      </c>
      <c r="L123" s="65" t="s">
        <v>3468</v>
      </c>
      <c r="M123" s="65" t="s">
        <v>984</v>
      </c>
      <c r="N123" s="65" t="str">
        <f>"&lt;div class="&amp;""""&amp;"hanging"&amp;""""&amp;"&gt;"&amp;K123&amp;"&lt;a href="&amp;""""&amp;L123&amp;""""&amp;" target="&amp;""""&amp;"_blank"&amp;""""&amp;"&gt;"&amp;L123&amp;"&lt;/a&gt;&lt;span style="&amp;""""&amp;"color:white"&amp;""""&amp;"&gt;[.]{#"&amp;F123&amp;"}}&lt;/span&gt;&lt;/div&gt;&lt;br&gt;"</f>
        <v>&lt;div class="hanging"&gt;Estevo, C. A., Nagy-Reis, M. B., &amp; Nichols, J. D. (2017). When habitat matters: Habitat preferences can modulate co-occurrence patterns of similar sympatric species. &lt;i&gt;PLOS ONE, 12&lt;/i&gt;(7), e0179489.&lt;a href="https://doi.org/10.1371/journal.pone.0179489" target="_blank"&gt;https://doi.org/10.1371/journal.pone.0179489&lt;/a&gt;&lt;span style="color:white"&gt;[.]{#esteveo_et_al_2017}}&lt;/span&gt;&lt;/div&gt;&lt;br&gt;</v>
      </c>
      <c r="O123" s="65" t="str">
        <f>"{{ rtxt_"&amp;F123&amp;" }}"</f>
        <v>{{ rtxt_esteveo_et_al_2017 }}</v>
      </c>
      <c r="P123" s="65" t="str">
        <f>"{{ rbib_"&amp;F123&amp;" }}"</f>
        <v>{{ rbib_esteveo_et_al_2017 }}</v>
      </c>
      <c r="Q123" s="65" t="str">
        <f>"    rtxt_"&amp;F123&amp;": "&amp;""""&amp;"&lt;a href=\"&amp;""""&amp;"/08_references.html#"&amp;F123&amp;"\"&amp;""""&amp;" target=\"&amp;""""&amp;"_blank\"&amp;""""&amp;"&gt;"&amp;G123&amp;"&lt;/a&gt;"&amp;""""</f>
        <v xml:space="preserve">    rtxt_esteveo_et_al_2017: "&lt;a href=\"/08_references.html#esteveo_et_al_2017\" target=\"_blank\"&gt;Estevo et al., 2017&lt;/a&gt;"</v>
      </c>
      <c r="R123" s="65" t="str">
        <f>"    rbib_"&amp;F123&amp;": "&amp;""""&amp;K123&amp;"&lt;a href=\"&amp;""""&amp;L123&amp;""""&amp;" target=\"&amp;""""&amp;"_blank\"&amp;""""&amp;"&gt;"&amp;L123&amp;"&lt;/a&gt;"&amp;""""</f>
        <v xml:space="preserve">    rbib_esteveo_et_al_2017: "Estevo, C. A., Nagy-Reis, M. B., &amp; Nichols, J. D. (2017). When habitat matters: Habitat preferences can modulate co-occurrence patterns of similar sympatric species. &lt;i&gt;PLOS ONE, 12&lt;/i&gt;(7), e0179489.&lt;a href=\"https://doi.org/10.1371/journal.pone.0179489" target=\"_blank\"&gt;https://doi.org/10.1371/journal.pone.0179489&lt;/a&gt;"</v>
      </c>
      <c r="S123" s="65" t="str">
        <f>"    rbib_"&amp;F123&amp;": "&amp;""""&amp;"&lt;div class=\"&amp;""""&amp;"hanging\"&amp;""""&amp;"&gt;"&amp;J123&amp;"&lt;/div&gt;"&amp;""""</f>
        <v xml:space="preserve">    rbib_esteveo_et_al_2017: "&lt;div class=\"hanging\"&gt;Estevo, C. A., Nagy-Reis, M. B., &amp; Nichols, J. D. (2017). When habitat matters: Habitat preferences can modulate co-occurrence patterns of similar sympatric species. *PLOS ONE, 12*(7), e0179489. &lt;https://doi.org/10.1371/journal.pone.0179489&gt;&lt;/div&gt;"</v>
      </c>
      <c r="T123" s="65"/>
    </row>
    <row r="124" spans="1:20" ht="15.75">
      <c r="A124" s="65"/>
      <c r="B124" s="155"/>
      <c r="C124" s="155"/>
      <c r="D124" s="155"/>
      <c r="E124" s="65" t="s">
        <v>1904</v>
      </c>
      <c r="F124" s="65" t="s">
        <v>3471</v>
      </c>
      <c r="G124" s="65" t="s">
        <v>3470</v>
      </c>
      <c r="H124" s="65" t="s">
        <v>3470</v>
      </c>
      <c r="I124" s="65" t="b">
        <v>1</v>
      </c>
      <c r="J124" s="65" t="s">
        <v>3469</v>
      </c>
      <c r="K124" s="65" t="s">
        <v>5366</v>
      </c>
      <c r="L124" s="65" t="s">
        <v>3468</v>
      </c>
      <c r="M124" s="65" t="s">
        <v>984</v>
      </c>
      <c r="N124" s="65" t="str">
        <f>"&lt;div class="&amp;""""&amp;"hanging"&amp;""""&amp;"&gt;"&amp;K124&amp;"&lt;a href="&amp;""""&amp;L124&amp;""""&amp;" target="&amp;""""&amp;"_blank"&amp;""""&amp;"&gt;"&amp;L124&amp;"&lt;/a&gt;&lt;span style="&amp;""""&amp;"color:white"&amp;""""&amp;"&gt;[.]{#"&amp;F124&amp;"}}&lt;/span&gt;&lt;/div&gt;&lt;br&gt;"</f>
        <v>&lt;div class="hanging"&gt;Estevo, C. A., Nagy-Reis, M. B., &amp; Nichols, J. D. (2017). When habitat matters: Habitat preferences can modulate co-occurrence patterns of similar sympatric species. &lt;i&gt;PLOS One, 12&lt;/i&gt;(7), e0179489.&lt;a href="https://doi.org/10.1371/journal.pone.0179489" target="_blank"&gt;https://doi.org/10.1371/journal.pone.0179489&lt;/a&gt;&lt;span style="color:white"&gt;[.]{#estevo_et_al_2017}}&lt;/span&gt;&lt;/div&gt;&lt;br&gt;</v>
      </c>
      <c r="O124" s="65" t="str">
        <f>"{{ rtxt_"&amp;F124&amp;" }}"</f>
        <v>{{ rtxt_estevo_et_al_2017 }}</v>
      </c>
      <c r="P124" s="65" t="str">
        <f>"{{ rbib_"&amp;F124&amp;" }}"</f>
        <v>{{ rbib_estevo_et_al_2017 }}</v>
      </c>
      <c r="Q124" s="65" t="str">
        <f>"    rtxt_"&amp;F124&amp;": "&amp;""""&amp;"&lt;a href=\"&amp;""""&amp;"/08_references.html#"&amp;F124&amp;"\"&amp;""""&amp;" target=\"&amp;""""&amp;"_blank\"&amp;""""&amp;"&gt;"&amp;G124&amp;"&lt;/a&gt;"&amp;""""</f>
        <v xml:space="preserve">    rtxt_estevo_et_al_2017: "&lt;a href=\"/08_references.html#estevo_et_al_2017\" target=\"_blank\"&gt;Estevo et al., 2017&lt;/a&gt;"</v>
      </c>
      <c r="R124" s="65" t="str">
        <f>"    rbib_"&amp;F124&amp;": "&amp;""""&amp;K124&amp;"&lt;a href=\"&amp;""""&amp;L124&amp;""""&amp;" target=\"&amp;""""&amp;"_blank\"&amp;""""&amp;"&gt;"&amp;L124&amp;"&lt;/a&gt;"&amp;""""</f>
        <v xml:space="preserve">    rbib_estevo_et_al_2017: "Estevo, C. A., Nagy-Reis, M. B., &amp; Nichols, J. D. (2017). When habitat matters: Habitat preferences can modulate co-occurrence patterns of similar sympatric species. &lt;i&gt;PLOS One, 12&lt;/i&gt;(7), e0179489.&lt;a href=\"https://doi.org/10.1371/journal.pone.0179489" target=\"_blank\"&gt;https://doi.org/10.1371/journal.pone.0179489&lt;/a&gt;"</v>
      </c>
      <c r="S124" s="65" t="str">
        <f>"    rbib_"&amp;F124&amp;": "&amp;""""&amp;"&lt;div class=\"&amp;""""&amp;"hanging\"&amp;""""&amp;"&gt;"&amp;J124&amp;"&lt;/div&gt;"&amp;""""</f>
        <v xml:space="preserve">    rbib_estevo_et_al_2017: "&lt;div class=\"hanging\"&gt;Estevo, C. A., Nagy-Reis, M. B., &amp; Nichols, J. D. (2017). When habitat matters: Habitat preferences can modulate co-occurrence patterns of similar sympatric species. *PLOS One, 12*(7), e0179489. &lt;https://doi.org/10.1371/journal.pone.0179489&gt;&lt;/div&gt;"</v>
      </c>
      <c r="T124" s="65"/>
    </row>
    <row r="125" spans="1:20" ht="15.75">
      <c r="A125" s="65"/>
      <c r="B125" s="155"/>
      <c r="C125" s="155"/>
      <c r="D125" s="155"/>
      <c r="E125" s="65" t="s">
        <v>1904</v>
      </c>
      <c r="F125" s="65" t="s">
        <v>3467</v>
      </c>
      <c r="G125" s="65" t="s">
        <v>3466</v>
      </c>
      <c r="H125" s="65" t="s">
        <v>3466</v>
      </c>
      <c r="I125" s="65" t="b">
        <v>1</v>
      </c>
      <c r="J125" s="65" t="s">
        <v>3465</v>
      </c>
      <c r="K125" s="65" t="s">
        <v>5285</v>
      </c>
      <c r="L125" s="65" t="s">
        <v>3464</v>
      </c>
      <c r="M125" s="65" t="s">
        <v>984</v>
      </c>
      <c r="N125" s="65" t="str">
        <f>"&lt;div class="&amp;""""&amp;"hanging"&amp;""""&amp;"&gt;"&amp;K125&amp;"&lt;a href="&amp;""""&amp;L125&amp;""""&amp;" target="&amp;""""&amp;"_blank"&amp;""""&amp;"&gt;"&amp;L125&amp;"&lt;/a&gt;&lt;span style="&amp;""""&amp;"color:white"&amp;""""&amp;"&gt;[.]{#"&amp;F125&amp;"}}&lt;/span&gt;&lt;/div&gt;&lt;br&gt;"</f>
        <v>&lt;div class="hanging"&gt;Evans, M. J. &amp; Rittenhouse, T. A. G. (2018). Evaluating Spatially Explicit Density Estimates of Unmarked Wildlife Detected by Remote Cameras. &lt;i&gt;The Journal of Applied Ecology 55&lt;/i&gt;(6), 2565-74.&lt;a href="https://doi.org/10.1111/1365-2664.13194" target="_blank"&gt;https://doi.org/10.1111/1365-2664.13194&lt;/a&gt;&lt;span style="color:white"&gt;[.]{#evans_rittenhouse_2018}}&lt;/span&gt;&lt;/div&gt;&lt;br&gt;</v>
      </c>
      <c r="O125" s="65" t="str">
        <f>"{{ rtxt_"&amp;F125&amp;" }}"</f>
        <v>{{ rtxt_evans_rittenhouse_2018 }}</v>
      </c>
      <c r="P125" s="65" t="str">
        <f>"{{ rbib_"&amp;F125&amp;" }}"</f>
        <v>{{ rbib_evans_rittenhouse_2018 }}</v>
      </c>
      <c r="Q125" s="65" t="str">
        <f>"    rtxt_"&amp;F125&amp;": "&amp;""""&amp;"&lt;a href=\"&amp;""""&amp;"/08_references.html#"&amp;F125&amp;"\"&amp;""""&amp;" target=\"&amp;""""&amp;"_blank\"&amp;""""&amp;"&gt;"&amp;G125&amp;"&lt;/a&gt;"&amp;""""</f>
        <v xml:space="preserve">    rtxt_evans_rittenhouse_2018: "&lt;a href=\"/08_references.html#evans_rittenhouse_2018\" target=\"_blank\"&gt;Evans &amp; Rittenhouse, 2018&lt;/a&gt;"</v>
      </c>
      <c r="R125" s="65" t="str">
        <f>"    rbib_"&amp;F125&amp;": "&amp;""""&amp;K125&amp;"&lt;a href=\"&amp;""""&amp;L125&amp;""""&amp;" target=\"&amp;""""&amp;"_blank\"&amp;""""&amp;"&gt;"&amp;L125&amp;"&lt;/a&gt;"&amp;""""</f>
        <v xml:space="preserve">    rbib_evans_rittenhouse_2018: "Evans, M. J. &amp; Rittenhouse, T. A. G. (2018). Evaluating Spatially Explicit Density Estimates of Unmarked Wildlife Detected by Remote Cameras. &lt;i&gt;The Journal of Applied Ecology 55&lt;/i&gt;(6), 2565-74.&lt;a href=\"https://doi.org/10.1111/1365-2664.13194" target=\"_blank\"&gt;https://doi.org/10.1111/1365-2664.13194&lt;/a&gt;"</v>
      </c>
      <c r="S125" s="65" t="str">
        <f>"    rbib_"&amp;F125&amp;": "&amp;""""&amp;"&lt;div class=\"&amp;""""&amp;"hanging\"&amp;""""&amp;"&gt;"&amp;J125&amp;"&lt;/div&gt;"&amp;""""</f>
        <v xml:space="preserve">    rbib_evans_rittenhouse_2018: "&lt;div class=\"hanging\"&gt;Evans, M. J. &amp; Rittenhouse, T. A. G. (2018). Evaluating Spatially Explicit Density Estimates of Unmarked Wildlife Detected by Remote Cameras. *The Journal of Applied Ecology 55*(6), 2565-74. &lt;https://doi.org/10.1111/1365-2664.13194&gt;&lt;/div&gt;"</v>
      </c>
      <c r="T125" s="65"/>
    </row>
    <row r="126" spans="1:20" ht="15.75">
      <c r="A126" s="65" t="s">
        <v>530</v>
      </c>
      <c r="B126" s="155"/>
      <c r="C126" s="155"/>
      <c r="D126" s="155"/>
      <c r="E126" s="65"/>
      <c r="F126" s="65" t="s">
        <v>6039</v>
      </c>
      <c r="G126" s="65" t="s">
        <v>6038</v>
      </c>
      <c r="H126" s="65" t="s">
        <v>6038</v>
      </c>
      <c r="I126" s="65"/>
      <c r="J126" s="65" t="s">
        <v>6043</v>
      </c>
      <c r="K126" s="65" t="s">
        <v>6069</v>
      </c>
      <c r="L126" s="65" t="s">
        <v>6058</v>
      </c>
      <c r="M126" s="65"/>
      <c r="N126" s="65" t="str">
        <f>"&lt;div class="&amp;""""&amp;"hanging"&amp;""""&amp;"&gt;"&amp;K126&amp;"&lt;a href="&amp;""""&amp;L126&amp;""""&amp;" target="&amp;""""&amp;"_blank"&amp;""""&amp;"&gt;"&amp;L126&amp;"&lt;/a&gt;&lt;span style="&amp;""""&amp;"color:white"&amp;""""&amp;"&gt;[.]{#"&amp;F126&amp;"}}&lt;/span&gt;&lt;/div&gt;&lt;br&gt;"</f>
        <v>&lt;div class="hanging"&gt;Fa, J. E., &amp; Purvis, A. (1997). Body size, diet and population density in afrotropical forest mammals: a comparison with neotropical species. &lt;i&gt;Journal of Animal Ecology, 66&lt;/i&gt;(1), 98–112.&lt;a href="https://www.jstor.org/stable/5968" target="_blank"&gt;https://www.jstor.org/stable/5968&lt;/a&gt;&lt;span style="color:white"&gt;[.]{#fa_purvis_1997}}&lt;/span&gt;&lt;/div&gt;&lt;br&gt;</v>
      </c>
      <c r="O126" s="65" t="str">
        <f>"{{ rtxt_"&amp;F126&amp;" }}"</f>
        <v>{{ rtxt_fa_purvis_1997 }}</v>
      </c>
      <c r="P126" s="65" t="str">
        <f>"{{ rbib_"&amp;F126&amp;" }}"</f>
        <v>{{ rbib_fa_purvis_1997 }}</v>
      </c>
      <c r="Q126" s="65" t="str">
        <f>"    rtxt_"&amp;F126&amp;": "&amp;""""&amp;"&lt;a href=\"&amp;""""&amp;"/08_references.html#"&amp;F126&amp;"\"&amp;""""&amp;" target=\"&amp;""""&amp;"_blank\"&amp;""""&amp;"&gt;"&amp;G126&amp;"&lt;/a&gt;"&amp;""""</f>
        <v xml:space="preserve">    rtxt_fa_purvis_1997: "&lt;a href=\"/08_references.html#fa_purvis_1997\" target=\"_blank\"&gt;Fa &amp; Purvis, 1997&lt;/a&gt;"</v>
      </c>
      <c r="R126" s="65" t="str">
        <f>"    rbib_"&amp;F126&amp;": "&amp;""""&amp;K126&amp;"&lt;a href=\"&amp;""""&amp;L126&amp;""""&amp;" target=\"&amp;""""&amp;"_blank\"&amp;""""&amp;"&gt;"&amp;L126&amp;"&lt;/a&gt;"&amp;""""</f>
        <v xml:space="preserve">    rbib_fa_purvis_1997: "Fa, J. E., &amp; Purvis, A. (1997). Body size, diet and population density in afrotropical forest mammals: a comparison with neotropical species. &lt;i&gt;Journal of Animal Ecology, 66&lt;/i&gt;(1), 98–112.&lt;a href=\"https://www.jstor.org/stable/5968" target=\"_blank\"&gt;https://www.jstor.org/stable/5968&lt;/a&gt;"</v>
      </c>
      <c r="S126" s="65" t="str">
        <f>"    rbib_"&amp;F126&amp;": "&amp;""""&amp;"&lt;div class=\"&amp;""""&amp;"hanging\"&amp;""""&amp;"&gt;"&amp;J126&amp;"&lt;/div&gt;"&amp;""""</f>
        <v xml:space="preserve">    rbib_fa_purvis_1997: "&lt;div class=\"hanging\"&gt;Fa, J. E., &amp; Purvis, A. (1997). Body size, diet and population density in afrotropical forest mammals: a comparison with neotropical species. &lt;i&gt;Journal of Animal Ecology, 66&lt;/i&gt;(1), 98–112. &lt;https://www.jstor.org/stable/5968&gt;&lt;/div&gt;"</v>
      </c>
      <c r="T126" s="65"/>
    </row>
    <row r="127" spans="1:20" ht="15.75">
      <c r="A127" s="65"/>
      <c r="B127" s="155"/>
      <c r="C127" s="155"/>
      <c r="D127" s="155"/>
      <c r="E127" s="65" t="s">
        <v>1904</v>
      </c>
      <c r="F127" s="65" t="s">
        <v>3463</v>
      </c>
      <c r="G127" s="65" t="s">
        <v>3462</v>
      </c>
      <c r="H127" s="65" t="s">
        <v>3462</v>
      </c>
      <c r="I127" s="65" t="b">
        <v>1</v>
      </c>
      <c r="J127" s="65" t="s">
        <v>3461</v>
      </c>
      <c r="K127" s="65" t="s">
        <v>5197</v>
      </c>
      <c r="L127" s="65" t="s">
        <v>3460</v>
      </c>
      <c r="M127" s="65" t="s">
        <v>984</v>
      </c>
      <c r="N127" s="65" t="str">
        <f>"&lt;div class="&amp;""""&amp;"hanging"&amp;""""&amp;"&gt;"&amp;K127&amp;"&lt;a href="&amp;""""&amp;L127&amp;""""&amp;" target="&amp;""""&amp;"_blank"&amp;""""&amp;"&gt;"&amp;L127&amp;"&lt;/a&gt;&lt;span style="&amp;""""&amp;"color:white"&amp;""""&amp;"&gt;[.]{#"&amp;F127&amp;"}}&lt;/span&gt;&lt;/div&gt;&lt;br&gt;"</f>
        <v>&lt;div class="hanging"&gt;Fancourt, B. A. (2016). Avoiding the subject: The implications of avoidance behaviour for detecting predators. &lt;i&gt;Behavioral Ecology and Sociobiology, 70&lt;/i&gt;(9), 1535-1546.&lt;a href="https://doi.org/10.1007/s00265-016-2162-7" target="_blank"&gt;https://doi.org/10.1007/s00265-016-2162-7&lt;/a&gt;&lt;span style="color:white"&gt;[.]{#fancourt_2016}}&lt;/span&gt;&lt;/div&gt;&lt;br&gt;</v>
      </c>
      <c r="O127" s="65" t="str">
        <f>"{{ rtxt_"&amp;F127&amp;" }}"</f>
        <v>{{ rtxt_fancourt_2016 }}</v>
      </c>
      <c r="P127" s="65" t="str">
        <f>"{{ rbib_"&amp;F127&amp;" }}"</f>
        <v>{{ rbib_fancourt_2016 }}</v>
      </c>
      <c r="Q127" s="65" t="str">
        <f>"    rtxt_"&amp;F127&amp;": "&amp;""""&amp;"&lt;a href=\"&amp;""""&amp;"/08_references.html#"&amp;F127&amp;"\"&amp;""""&amp;" target=\"&amp;""""&amp;"_blank\"&amp;""""&amp;"&gt;"&amp;G127&amp;"&lt;/a&gt;"&amp;""""</f>
        <v xml:space="preserve">    rtxt_fancourt_2016: "&lt;a href=\"/08_references.html#fancourt_2016\" target=\"_blank\"&gt;Fancourt, 2016&lt;/a&gt;"</v>
      </c>
      <c r="R127" s="65" t="str">
        <f>"    rbib_"&amp;F127&amp;": "&amp;""""&amp;K127&amp;"&lt;a href=\"&amp;""""&amp;L127&amp;""""&amp;" target=\"&amp;""""&amp;"_blank\"&amp;""""&amp;"&gt;"&amp;L127&amp;"&lt;/a&gt;"&amp;""""</f>
        <v xml:space="preserve">    rbib_fancourt_2016: "Fancourt, B. A. (2016). Avoiding the subject: The implications of avoidance behaviour for detecting predators. &lt;i&gt;Behavioral Ecology and Sociobiology, 70&lt;/i&gt;(9), 1535-1546.&lt;a href=\"https://doi.org/10.1007/s00265-016-2162-7" target=\"_blank\"&gt;https://doi.org/10.1007/s00265-016-2162-7&lt;/a&gt;"</v>
      </c>
      <c r="S127" s="65" t="str">
        <f>"    rbib_"&amp;F127&amp;": "&amp;""""&amp;"&lt;div class=\"&amp;""""&amp;"hanging\"&amp;""""&amp;"&gt;"&amp;J127&amp;"&lt;/div&gt;"&amp;""""</f>
        <v xml:space="preserve">    rbib_fancourt_2016: "&lt;div class=\"hanging\"&gt;Fancourt, B. A. (2016). Avoiding the subject: The implications of avoidance behaviour for detecting predators. *Behavioral Ecology and Sociobiology, 70*(9), 1535-1546. &lt;https://doi.org/10.1007/s00265-016-2162-7&gt;&lt;/div&gt;"</v>
      </c>
      <c r="T127" s="65"/>
    </row>
    <row r="128" spans="1:20" ht="15.75">
      <c r="A128" s="65"/>
      <c r="B128" s="155" t="b">
        <v>0</v>
      </c>
      <c r="C128" s="155" t="b">
        <v>1</v>
      </c>
      <c r="D128" s="155" t="b">
        <v>0</v>
      </c>
      <c r="E128" s="65" t="s">
        <v>1904</v>
      </c>
      <c r="F128" s="65" t="s">
        <v>3459</v>
      </c>
      <c r="G128" s="65" t="s">
        <v>3458</v>
      </c>
      <c r="H128" s="65" t="s">
        <v>3458</v>
      </c>
      <c r="I128" s="65" t="b">
        <v>1</v>
      </c>
      <c r="J128" s="65" t="s">
        <v>3457</v>
      </c>
      <c r="K128" s="65" t="s">
        <v>5230</v>
      </c>
      <c r="L128" s="65" t="s">
        <v>3456</v>
      </c>
      <c r="M128" s="65" t="s">
        <v>984</v>
      </c>
      <c r="N128" s="65" t="str">
        <f>"&lt;div class="&amp;""""&amp;"hanging"&amp;""""&amp;"&gt;"&amp;K128&amp;"&lt;a href="&amp;""""&amp;L128&amp;""""&amp;" target="&amp;""""&amp;"_blank"&amp;""""&amp;"&gt;"&amp;L128&amp;"&lt;/a&gt;&lt;span style="&amp;""""&amp;"color:white"&amp;""""&amp;"&gt;[.]{#"&amp;F128&amp;"}}&lt;/span&gt;&lt;/div&gt;&lt;br&gt;"</f>
        <v>&lt;div class="hanging"&gt;Fegraus, E. H., Lin, K., Ahumada, J. A., Baru, C., Chandra, S., &amp; Youn, C. (2011). Data acquisition and management software for camera trap data: A case study from the TEAM Network. &lt;i&gt;Ecological Informatics, 6&lt;/i&gt;(6), 345-353.&lt;a href="https://doi.org/10.1016/j.ecoinf.2011.06.003" target="_blank"&gt;https://doi.org/10.1016/j.ecoinf.2011.06.003&lt;/a&gt;&lt;span style="color:white"&gt;[.]{#fegraus_et_al_2011}}&lt;/span&gt;&lt;/div&gt;&lt;br&gt;</v>
      </c>
      <c r="O128" s="65" t="str">
        <f>"{{ rtxt_"&amp;F128&amp;" }}"</f>
        <v>{{ rtxt_fegraus_et_al_2011 }}</v>
      </c>
      <c r="P128" s="65" t="str">
        <f>"{{ rbib_"&amp;F128&amp;" }}"</f>
        <v>{{ rbib_fegraus_et_al_2011 }}</v>
      </c>
      <c r="Q128" s="65" t="str">
        <f>"    rtxt_"&amp;F128&amp;": "&amp;""""&amp;"&lt;a href=\"&amp;""""&amp;"/08_references.html#"&amp;F128&amp;"\"&amp;""""&amp;" target=\"&amp;""""&amp;"_blank\"&amp;""""&amp;"&gt;"&amp;G128&amp;"&lt;/a&gt;"&amp;""""</f>
        <v xml:space="preserve">    rtxt_fegraus_et_al_2011: "&lt;a href=\"/08_references.html#fegraus_et_al_2011\" target=\"_blank\"&gt;Fegraus et al., 2011&lt;/a&gt;"</v>
      </c>
      <c r="R128" s="65" t="str">
        <f>"    rbib_"&amp;F128&amp;": "&amp;""""&amp;K128&amp;"&lt;a href=\"&amp;""""&amp;L128&amp;""""&amp;" target=\"&amp;""""&amp;"_blank\"&amp;""""&amp;"&gt;"&amp;L128&amp;"&lt;/a&gt;"&amp;""""</f>
        <v xml:space="preserve">    rbib_fegraus_et_al_2011: "Fegraus, E. H., Lin, K., Ahumada, J. A., Baru, C., Chandra, S., &amp; Youn, C. (2011). Data acquisition and management software for camera trap data: A case study from the TEAM Network. &lt;i&gt;Ecological Informatics, 6&lt;/i&gt;(6), 345-353.&lt;a href=\"https://doi.org/10.1016/j.ecoinf.2011.06.003" target=\"_blank\"&gt;https://doi.org/10.1016/j.ecoinf.2011.06.003&lt;/a&gt;"</v>
      </c>
      <c r="S128" s="65" t="str">
        <f>"    rbib_"&amp;F128&amp;": "&amp;""""&amp;"&lt;div class=\"&amp;""""&amp;"hanging\"&amp;""""&amp;"&gt;"&amp;J128&amp;"&lt;/div&gt;"&amp;""""</f>
        <v xml:space="preserve">    rbib_fegraus_et_al_2011: "&lt;div class=\"hanging\"&gt;Fegraus, E. H., Lin, K., Ahumada, J. A., Baru, C., Chandra, S., &amp; Youn, C. (2011). Data acquisition and management software for camera trap data: A case study from the TEAM Network. *Ecological Informatics, 6*(6), 345-353. &lt;https://doi.org/10.1016/j.ecoinf.2011.06.003&gt;&lt;/div&gt;"</v>
      </c>
      <c r="T128" s="65"/>
    </row>
    <row r="129" spans="1:20" ht="15.75">
      <c r="A129" s="65"/>
      <c r="B129" s="155" t="b">
        <v>1</v>
      </c>
      <c r="C129" s="155" t="b">
        <v>0</v>
      </c>
      <c r="D129" s="155" t="b">
        <v>0</v>
      </c>
      <c r="E129" s="65" t="s">
        <v>1904</v>
      </c>
      <c r="F129" s="65" t="s">
        <v>3455</v>
      </c>
      <c r="G129" s="65" t="s">
        <v>3454</v>
      </c>
      <c r="H129" s="65" t="s">
        <v>3453</v>
      </c>
      <c r="I129" s="65" t="b">
        <v>1</v>
      </c>
      <c r="J129" s="65" t="s">
        <v>3452</v>
      </c>
      <c r="K129" s="65" t="s">
        <v>5238</v>
      </c>
      <c r="L129" s="65" t="s">
        <v>3451</v>
      </c>
      <c r="M129" s="65" t="s">
        <v>984</v>
      </c>
      <c r="N129" s="65" t="str">
        <f>"&lt;div class="&amp;""""&amp;"hanging"&amp;""""&amp;"&gt;"&amp;K129&amp;"&lt;a href="&amp;""""&amp;L129&amp;""""&amp;" target="&amp;""""&amp;"_blank"&amp;""""&amp;"&gt;"&amp;L129&amp;"&lt;/a&gt;&lt;span style="&amp;""""&amp;"color:white"&amp;""""&amp;"&gt;[.]{#"&amp;F129&amp;"}}&lt;/span&gt;&lt;/div&gt;&lt;br&gt;"</f>
        <v>&lt;div class="hanging"&gt;Fennell, M., Beirne, C., &amp; Burton, A. C. (2022). Use of object detection in camera trap image identification: Assessing a method to rapidly and accurately classify human and animal detections for research and application in recreation ecology. &lt;i&gt;Global Ecology and Conservation, 35&lt;/i&gt;.&lt;a href="https://doi.org/10.1016/j.gecco.2022.e02104" target="_blank"&gt;https://doi.org/10.1016/j.gecco.2022.e02104&lt;/a&gt;&lt;span style="color:white"&gt;[.]{#fennell_et_al_2022}}&lt;/span&gt;&lt;/div&gt;&lt;br&gt;</v>
      </c>
      <c r="O129" s="65" t="str">
        <f>"{{ rtxt_"&amp;F129&amp;" }}"</f>
        <v>{{ rtxt_fennell_et_al_2022 }}</v>
      </c>
      <c r="P129" s="65" t="str">
        <f>"{{ rbib_"&amp;F129&amp;" }}"</f>
        <v>{{ rbib_fennell_et_al_2022 }}</v>
      </c>
      <c r="Q129" s="65" t="str">
        <f>"    rtxt_"&amp;F129&amp;": "&amp;""""&amp;"&lt;a href=\"&amp;""""&amp;"/08_references.html#"&amp;F129&amp;"\"&amp;""""&amp;" target=\"&amp;""""&amp;"_blank\"&amp;""""&amp;"&gt;"&amp;G129&amp;"&lt;/a&gt;"&amp;""""</f>
        <v xml:space="preserve">    rtxt_fennell_et_al_2022: "&lt;a href=\"/08_references.html#fennell_et_al_2022\" target=\"_blank\"&gt;Fennell et al., 2022&lt;/a&gt;"</v>
      </c>
      <c r="R129" s="65" t="str">
        <f>"    rbib_"&amp;F129&amp;": "&amp;""""&amp;K129&amp;"&lt;a href=\"&amp;""""&amp;L129&amp;""""&amp;" target=\"&amp;""""&amp;"_blank\"&amp;""""&amp;"&gt;"&amp;L129&amp;"&lt;/a&gt;"&amp;""""</f>
        <v xml:space="preserve">    rbib_fennell_et_al_2022: "Fennell, M., Beirne, C., &amp; Burton, A. C. (2022). Use of object detection in camera trap image identification: Assessing a method to rapidly and accurately classify human and animal detections for research and application in recreation ecology. &lt;i&gt;Global Ecology and Conservation, 35&lt;/i&gt;.&lt;a href=\"https://doi.org/10.1016/j.gecco.2022.e02104" target=\"_blank\"&gt;https://doi.org/10.1016/j.gecco.2022.e02104&lt;/a&gt;"</v>
      </c>
      <c r="S129" s="65" t="str">
        <f>"    rbib_"&amp;F129&amp;": "&amp;""""&amp;"&lt;div class=\"&amp;""""&amp;"hanging\"&amp;""""&amp;"&gt;"&amp;J129&amp;"&lt;/div&gt;"&amp;""""</f>
        <v xml:space="preserve">    rbib_fennell_et_al_2022: "&lt;div class=\"hanging\"&gt;Fennell, M., Beirne, C., &amp; Burton, A. C. (2022). Use of object detection in camera trap image identification: Assessing a method to rapidly and accurately classify human and animal detections for research and application in recreation ecology. *Global Ecology and Conservation, 35*. &lt;https://doi.org/10.1016/j.gecco.2022.e02104&gt;&lt;/div&gt;"</v>
      </c>
      <c r="T129" s="65"/>
    </row>
    <row r="130" spans="1:20" ht="15.75">
      <c r="A130" s="65"/>
      <c r="B130" s="155"/>
      <c r="C130" s="155"/>
      <c r="D130" s="155"/>
      <c r="E130" s="65" t="s">
        <v>1945</v>
      </c>
      <c r="F130" s="65" t="s">
        <v>4795</v>
      </c>
      <c r="G130" s="65" t="s">
        <v>4797</v>
      </c>
      <c r="H130" s="65"/>
      <c r="I130" s="65" t="b">
        <v>1</v>
      </c>
      <c r="J130" s="65" t="s">
        <v>4796</v>
      </c>
      <c r="K130" s="158" t="s">
        <v>5526</v>
      </c>
      <c r="L130" s="65" t="s">
        <v>5090</v>
      </c>
      <c r="M130" s="157" t="s">
        <v>4803</v>
      </c>
      <c r="N130" s="65" t="str">
        <f>"&lt;div class="&amp;""""&amp;"hanging"&amp;""""&amp;"&gt;"&amp;K130&amp;"&lt;a href="&amp;""""&amp;L130&amp;""""&amp;" target="&amp;""""&amp;"_blank"&amp;""""&amp;"&gt;"&amp;L130&amp;"&lt;/a&gt;&lt;span style="&amp;""""&amp;"color:white"&amp;""""&amp;"&gt;[.]{#"&amp;F130&amp;"}}&lt;/span&gt;&lt;/div&gt;&lt;br&gt;"</f>
        <v>&lt;div class="hanging"&gt;Ferguson, L. (2021, Apr 27). &lt;i&gt;Dispersal &amp; Animal Home Range.&lt;/i&gt;  [Video]. YouTube.&lt;a href="https://www.youtube.com/watch?v=7447x_f-now" target="_blank"&gt;https://www.youtube.com/watch?v=7447x_f-now&lt;/a&gt;&lt;span style="color:white"&gt;[.]{#ferguson_2021}}&lt;/span&gt;&lt;/div&gt;&lt;br&gt;</v>
      </c>
      <c r="O130" s="65" t="str">
        <f>"{{ rtxt_"&amp;F130&amp;" }}"</f>
        <v>{{ rtxt_ferguson_2021 }}</v>
      </c>
      <c r="P130" s="65" t="str">
        <f>"{{ rbib_"&amp;F130&amp;" }}"</f>
        <v>{{ rbib_ferguson_2021 }}</v>
      </c>
      <c r="Q130" s="65" t="str">
        <f>"    rtxt_"&amp;F130&amp;": "&amp;""""&amp;"&lt;a href=\"&amp;""""&amp;"/08_references.html#"&amp;F130&amp;"\"&amp;""""&amp;" target=\"&amp;""""&amp;"_blank\"&amp;""""&amp;"&gt;"&amp;G130&amp;"&lt;/a&gt;"&amp;""""</f>
        <v xml:space="preserve">    rtxt_ferguson_2021: "&lt;a href=\"/08_references.html#ferguson_2021\" target=\"_blank\"&gt;Ferguson, 2021&lt;/a&gt;"</v>
      </c>
      <c r="R130" s="65" t="str">
        <f>"    rbib_"&amp;F130&amp;": "&amp;""""&amp;K130&amp;"&lt;a href=\"&amp;""""&amp;L130&amp;""""&amp;" target=\"&amp;""""&amp;"_blank\"&amp;""""&amp;"&gt;"&amp;L130&amp;"&lt;/a&gt;"&amp;""""</f>
        <v xml:space="preserve">    rbib_ferguson_2021: "Ferguson, L. (2021, Apr 27). &lt;i&gt;Dispersal &amp; Animal Home Range.&lt;/i&gt;  [Video]. YouTube.&lt;a href=\"https://www.youtube.com/watch?v=7447x_f-now" target=\"_blank\"&gt;https://www.youtube.com/watch?v=7447x_f-now&lt;/a&gt;"</v>
      </c>
      <c r="S130" s="65" t="str">
        <f>"    rbib_"&amp;F130&amp;": "&amp;""""&amp;"&lt;div class=\"&amp;""""&amp;"hanging\"&amp;""""&amp;"&gt;"&amp;J130&amp;"&lt;/div&gt;"&amp;""""</f>
        <v xml:space="preserve">    rbib_ferguson_2021: "&lt;div class=\"hanging\"&gt;Ferguson, L. (2021, Apr 27). *Dispersal &amp; Animal Home Range.*  [Video]. YouTube. &lt;https://www.youtube.com/watch?v=7447x_f-now&gt;&lt;/div&gt;"</v>
      </c>
      <c r="T130" s="65"/>
    </row>
    <row r="131" spans="1:20" ht="15.75">
      <c r="A131" s="65"/>
      <c r="B131" s="155" t="b">
        <v>0</v>
      </c>
      <c r="C131" s="155" t="b">
        <v>0</v>
      </c>
      <c r="D131" s="155" t="b">
        <v>1</v>
      </c>
      <c r="E131" s="65" t="s">
        <v>1904</v>
      </c>
      <c r="F131" s="65" t="s">
        <v>3450</v>
      </c>
      <c r="G131" s="65" t="s">
        <v>3449</v>
      </c>
      <c r="H131" s="65" t="s">
        <v>3449</v>
      </c>
      <c r="I131" s="65" t="b">
        <v>1</v>
      </c>
      <c r="J131" s="65" t="s">
        <v>3448</v>
      </c>
      <c r="K131" s="65" t="s">
        <v>5211</v>
      </c>
      <c r="L131" s="65" t="s">
        <v>3447</v>
      </c>
      <c r="M131" s="65" t="s">
        <v>984</v>
      </c>
      <c r="N131" s="65" t="str">
        <f>"&lt;div class="&amp;""""&amp;"hanging"&amp;""""&amp;"&gt;"&amp;K131&amp;"&lt;a href="&amp;""""&amp;L131&amp;""""&amp;" target="&amp;""""&amp;"_blank"&amp;""""&amp;"&gt;"&amp;L131&amp;"&lt;/a&gt;&lt;span style="&amp;""""&amp;"color:white"&amp;""""&amp;"&gt;[.]{#"&amp;F131&amp;"}}&lt;/span&gt;&lt;/div&gt;&lt;br&gt;"</f>
        <v>&lt;div class="hanging"&gt;Ferreira-Rodríguez, N., &amp; Pombal, M. A. (2019). Bait effectiveness in camera trap studies in the Iberian Peninsula. &lt;i&gt;Mammal Research, 64&lt;/i&gt;(2), 155-164.&lt;a href="https://doi.org/10.1007/s13364-018-00414-1" target="_blank"&gt;https://doi.org/10.1007/s13364-018-00414-1&lt;/a&gt;&lt;span style="color:white"&gt;[.]{#ferreira_rodriguez_et_al_2019}}&lt;/span&gt;&lt;/div&gt;&lt;br&gt;</v>
      </c>
      <c r="O131" s="65" t="str">
        <f>"{{ rtxt_"&amp;F131&amp;" }}"</f>
        <v>{{ rtxt_ferreira_rodriguez_et_al_2019 }}</v>
      </c>
      <c r="P131" s="65" t="str">
        <f>"{{ rbib_"&amp;F131&amp;" }}"</f>
        <v>{{ rbib_ferreira_rodriguez_et_al_2019 }}</v>
      </c>
      <c r="Q131" s="65" t="str">
        <f>"    rtxt_"&amp;F131&amp;": "&amp;""""&amp;"&lt;a href=\"&amp;""""&amp;"/08_references.html#"&amp;F131&amp;"\"&amp;""""&amp;" target=\"&amp;""""&amp;"_blank\"&amp;""""&amp;"&gt;"&amp;G131&amp;"&lt;/a&gt;"&amp;""""</f>
        <v xml:space="preserve">    rtxt_ferreira_rodriguez_et_al_2019: "&lt;a href=\"/08_references.html#ferreira_rodriguez_et_al_2019\" target=\"_blank\"&gt;Ferreira-Rodríguez et al., 2019&lt;/a&gt;"</v>
      </c>
      <c r="R131" s="65" t="str">
        <f>"    rbib_"&amp;F131&amp;": "&amp;""""&amp;K131&amp;"&lt;a href=\"&amp;""""&amp;L131&amp;""""&amp;" target=\"&amp;""""&amp;"_blank\"&amp;""""&amp;"&gt;"&amp;L131&amp;"&lt;/a&gt;"&amp;""""</f>
        <v xml:space="preserve">    rbib_ferreira_rodriguez_et_al_2019: "Ferreira-Rodríguez, N., &amp; Pombal, M. A. (2019). Bait effectiveness in camera trap studies in the Iberian Peninsula. &lt;i&gt;Mammal Research, 64&lt;/i&gt;(2), 155-164.&lt;a href=\"https://doi.org/10.1007/s13364-018-00414-1" target=\"_blank\"&gt;https://doi.org/10.1007/s13364-018-00414-1&lt;/a&gt;"</v>
      </c>
      <c r="S131" s="65" t="str">
        <f>"    rbib_"&amp;F131&amp;": "&amp;""""&amp;"&lt;div class=\"&amp;""""&amp;"hanging\"&amp;""""&amp;"&gt;"&amp;J131&amp;"&lt;/div&gt;"&amp;""""</f>
        <v xml:space="preserve">    rbib_ferreira_rodriguez_et_al_2019: "&lt;div class=\"hanging\"&gt;Ferreira-Rodríguez, N., &amp; Pombal, M. A. (2019). Bait effectiveness in camera trap studies in the Iberian Peninsula. *Mammal Research, 64*(2), 155-164. &lt;https://doi.org/10.1007/s13364-018-00414-1&gt;&lt;/div&gt;"</v>
      </c>
      <c r="T131" s="65"/>
    </row>
    <row r="132" spans="1:20" ht="15.75">
      <c r="A132" s="65"/>
      <c r="B132" s="155"/>
      <c r="C132" s="155"/>
      <c r="D132" s="155"/>
      <c r="E132" s="65" t="s">
        <v>1950</v>
      </c>
      <c r="F132" s="65" t="s">
        <v>3446</v>
      </c>
      <c r="G132" s="65" t="s">
        <v>3445</v>
      </c>
      <c r="H132" s="65"/>
      <c r="I132" s="65" t="b">
        <v>1</v>
      </c>
      <c r="J132" s="65" t="s">
        <v>3444</v>
      </c>
      <c r="K132" s="65" t="s">
        <v>5434</v>
      </c>
      <c r="L132" s="65" t="s">
        <v>3436</v>
      </c>
      <c r="M132" s="65" t="s">
        <v>984</v>
      </c>
      <c r="N132" s="65" t="str">
        <f>"&lt;div class="&amp;""""&amp;"hanging"&amp;""""&amp;"&gt;"&amp;K132&amp;"&lt;a href="&amp;""""&amp;L132&amp;""""&amp;" target="&amp;""""&amp;"_blank"&amp;""""&amp;"&gt;"&amp;L132&amp;"&lt;/a&gt;&lt;span style="&amp;""""&amp;"color:white"&amp;""""&amp;"&gt;[.]{#"&amp;F132&amp;"}}&lt;/span&gt;&lt;/div&gt;&lt;br&gt;"</f>
        <v>&lt;div class="hanging"&gt;Fidino, M. (2021a) &lt;i&gt;multi-state-occupancy-models.&lt;/i&gt;&lt;a href="https://github.com/mfidino/integrated-occupancy-model" target="_blank"&gt;https://github.com/mfidino/integrated-occupancy-model&lt;/a&gt;&lt;span style="color:white"&gt;[.]{#fidino_2021a}}&lt;/span&gt;&lt;/div&gt;&lt;br&gt;</v>
      </c>
      <c r="O132" s="65" t="str">
        <f>"{{ rtxt_"&amp;F132&amp;" }}"</f>
        <v>{{ rtxt_fidino_2021a }}</v>
      </c>
      <c r="P132" s="65" t="str">
        <f>"{{ rbib_"&amp;F132&amp;" }}"</f>
        <v>{{ rbib_fidino_2021a }}</v>
      </c>
      <c r="Q132" s="65" t="str">
        <f>"    rtxt_"&amp;F132&amp;": "&amp;""""&amp;"&lt;a href=\"&amp;""""&amp;"/08_references.html#"&amp;F132&amp;"\"&amp;""""&amp;" target=\"&amp;""""&amp;"_blank\"&amp;""""&amp;"&gt;"&amp;G132&amp;"&lt;/a&gt;"&amp;""""</f>
        <v xml:space="preserve">    rtxt_fidino_2021a: "&lt;a href=\"/08_references.html#fidino_2021a\" target=\"_blank\"&gt;Fidino, 2021a&lt;/a&gt;"</v>
      </c>
      <c r="R132" s="65" t="str">
        <f>"    rbib_"&amp;F132&amp;": "&amp;""""&amp;K132&amp;"&lt;a href=\"&amp;""""&amp;L132&amp;""""&amp;" target=\"&amp;""""&amp;"_blank\"&amp;""""&amp;"&gt;"&amp;L132&amp;"&lt;/a&gt;"&amp;""""</f>
        <v xml:space="preserve">    rbib_fidino_2021a: "Fidino, M. (2021a) &lt;i&gt;multi-state-occupancy-models.&lt;/i&gt;&lt;a href=\"https://github.com/mfidino/integrated-occupancy-model" target=\"_blank\"&gt;https://github.com/mfidino/integrated-occupancy-model&lt;/a&gt;"</v>
      </c>
      <c r="S132" s="65" t="str">
        <f>"    rbib_"&amp;F132&amp;": "&amp;""""&amp;"&lt;div class=\"&amp;""""&amp;"hanging\"&amp;""""&amp;"&gt;"&amp;J132&amp;"&lt;/div&gt;"&amp;""""</f>
        <v xml:space="preserve">    rbib_fidino_2021a: "&lt;div class=\"hanging\"&gt;Fidino, M. (2021a) *multi-state-occupancy-models.* &lt;https://github.com/mfidino/integrated-occupancy-model&gt;&lt;/div&gt;"</v>
      </c>
      <c r="T132" s="65"/>
    </row>
    <row r="133" spans="1:20" ht="15.75">
      <c r="A133" s="65"/>
      <c r="B133" s="155"/>
      <c r="C133" s="155"/>
      <c r="D133" s="155"/>
      <c r="E133" s="65" t="s">
        <v>1950</v>
      </c>
      <c r="F133" s="65" t="s">
        <v>3443</v>
      </c>
      <c r="G133" s="65" t="s">
        <v>3442</v>
      </c>
      <c r="H133" s="65"/>
      <c r="I133" s="65" t="b">
        <v>1</v>
      </c>
      <c r="J133" s="68" t="s">
        <v>3441</v>
      </c>
      <c r="K133" s="65" t="s">
        <v>5450</v>
      </c>
      <c r="L133" s="65" t="s">
        <v>3440</v>
      </c>
      <c r="M133" s="65" t="s">
        <v>984</v>
      </c>
      <c r="N133" s="65" t="str">
        <f>"&lt;div class="&amp;""""&amp;"hanging"&amp;""""&amp;"&gt;"&amp;K133&amp;"&lt;a href="&amp;""""&amp;L133&amp;""""&amp;" target="&amp;""""&amp;"_blank"&amp;""""&amp;"&gt;"&amp;L133&amp;"&lt;/a&gt;&lt;span style="&amp;""""&amp;"color:white"&amp;""""&amp;"&gt;[.]{#"&amp;F133&amp;"}}&lt;/span&gt;&lt;/div&gt;&lt;br&gt;"</f>
        <v>&lt;div class="hanging"&gt;Fidino, M. (2021b) &lt;i&gt;A gentle introduction to an integrated occupancy model that combines presence-only and detection/non-detection data, and how to fit it in JAGS&lt;/i&gt;&lt;a href="https://masonfidino.com/bayesian_integrated_model" target="_blank"&gt;https://masonfidino.com/bayesian_integrated_model&lt;/a&gt;&lt;span style="color:white"&gt;[.]{#fidino_2021b}}&lt;/span&gt;&lt;/div&gt;&lt;br&gt;</v>
      </c>
      <c r="O133" s="65" t="str">
        <f>"{{ rtxt_"&amp;F133&amp;" }}"</f>
        <v>{{ rtxt_fidino_2021b }}</v>
      </c>
      <c r="P133" s="65" t="str">
        <f>"{{ rbib_"&amp;F133&amp;" }}"</f>
        <v>{{ rbib_fidino_2021b }}</v>
      </c>
      <c r="Q133" s="65" t="str">
        <f>"    rtxt_"&amp;F133&amp;": "&amp;""""&amp;"&lt;a href=\"&amp;""""&amp;"/08_references.html#"&amp;F133&amp;"\"&amp;""""&amp;" target=\"&amp;""""&amp;"_blank\"&amp;""""&amp;"&gt;"&amp;G133&amp;"&lt;/a&gt;"&amp;""""</f>
        <v xml:space="preserve">    rtxt_fidino_2021b: "&lt;a href=\"/08_references.html#fidino_2021b\" target=\"_blank\"&gt;Fidino, 2021b&lt;/a&gt;"</v>
      </c>
      <c r="R133" s="65" t="str">
        <f>"    rbib_"&amp;F133&amp;": "&amp;""""&amp;K133&amp;"&lt;a href=\"&amp;""""&amp;L133&amp;""""&amp;" target=\"&amp;""""&amp;"_blank\"&amp;""""&amp;"&gt;"&amp;L133&amp;"&lt;/a&gt;"&amp;""""</f>
        <v xml:space="preserve">    rbib_fidino_2021b: "Fidino, M. (2021b) &lt;i&gt;A gentle introduction to an integrated occupancy model that combines presence-only and detection/non-detection data, and how to fit it in JAGS&lt;/i&gt;&lt;a href=\"https://masonfidino.com/bayesian_integrated_model" target=\"_blank\"&gt;https://masonfidino.com/bayesian_integrated_model&lt;/a&gt;"</v>
      </c>
      <c r="S133" s="65" t="str">
        <f>"    rbib_"&amp;F133&amp;": "&amp;""""&amp;"&lt;div class=\"&amp;""""&amp;"hanging\"&amp;""""&amp;"&gt;"&amp;J133&amp;"&lt;/div&gt;"&amp;""""</f>
        <v xml:space="preserve">    rbib_fidino_2021b: "&lt;div class=\"hanging\"&gt;Fidino, M. (2021b) *A gentle introduction to an integrated occupancy model that combines presence-only and detection/non-detection data, and how to fit it in JAGS* &lt;https://masonfidino.com/bayesian_integrated_model&gt;&lt;/div&gt;"</v>
      </c>
      <c r="T133" s="65"/>
    </row>
    <row r="134" spans="1:20" ht="15.75">
      <c r="A134" s="65"/>
      <c r="B134" s="155"/>
      <c r="C134" s="155"/>
      <c r="D134" s="155"/>
      <c r="E134" s="65" t="s">
        <v>1950</v>
      </c>
      <c r="F134" s="65" t="s">
        <v>3439</v>
      </c>
      <c r="G134" s="65" t="s">
        <v>3438</v>
      </c>
      <c r="H134" s="65"/>
      <c r="I134" s="65" t="b">
        <v>1</v>
      </c>
      <c r="J134" s="68" t="s">
        <v>3437</v>
      </c>
      <c r="K134" s="65" t="s">
        <v>5435</v>
      </c>
      <c r="L134" s="65" t="s">
        <v>3436</v>
      </c>
      <c r="M134" s="65" t="s">
        <v>984</v>
      </c>
      <c r="N134" s="65" t="str">
        <f>"&lt;div class="&amp;""""&amp;"hanging"&amp;""""&amp;"&gt;"&amp;K134&amp;"&lt;a href="&amp;""""&amp;L134&amp;""""&amp;" target="&amp;""""&amp;"_blank"&amp;""""&amp;"&gt;"&amp;L134&amp;"&lt;/a&gt;&lt;span style="&amp;""""&amp;"color:white"&amp;""""&amp;"&gt;[.]{#"&amp;F134&amp;"}}&lt;/span&gt;&lt;/div&gt;&lt;br&gt;"</f>
        <v>&lt;div class="hanging"&gt;Fidino, M. (2021c) &lt;i&gt;integrated-occupancy-models&lt;/i&gt;&lt;a href="https://github.com/mfidino/integrated-occupancy-model" target="_blank"&gt;https://github.com/mfidino/integrated-occupancy-model&lt;/a&gt;&lt;span style="color:white"&gt;[.]{#fidino_2021c}}&lt;/span&gt;&lt;/div&gt;&lt;br&gt;</v>
      </c>
      <c r="O134" s="65" t="str">
        <f>"{{ rtxt_"&amp;F134&amp;" }}"</f>
        <v>{{ rtxt_fidino_2021c }}</v>
      </c>
      <c r="P134" s="65" t="str">
        <f>"{{ rbib_"&amp;F134&amp;" }}"</f>
        <v>{{ rbib_fidino_2021c }}</v>
      </c>
      <c r="Q134" s="65" t="str">
        <f>"    rtxt_"&amp;F134&amp;": "&amp;""""&amp;"&lt;a href=\"&amp;""""&amp;"/08_references.html#"&amp;F134&amp;"\"&amp;""""&amp;" target=\"&amp;""""&amp;"_blank\"&amp;""""&amp;"&gt;"&amp;G134&amp;"&lt;/a&gt;"&amp;""""</f>
        <v xml:space="preserve">    rtxt_fidino_2021c: "&lt;a href=\"/08_references.html#fidino_2021c\" target=\"_blank\"&gt;Fidino, 2021c&lt;/a&gt;"</v>
      </c>
      <c r="R134" s="65" t="str">
        <f>"    rbib_"&amp;F134&amp;": "&amp;""""&amp;K134&amp;"&lt;a href=\"&amp;""""&amp;L134&amp;""""&amp;" target=\"&amp;""""&amp;"_blank\"&amp;""""&amp;"&gt;"&amp;L134&amp;"&lt;/a&gt;"&amp;""""</f>
        <v xml:space="preserve">    rbib_fidino_2021c: "Fidino, M. (2021c) &lt;i&gt;integrated-occupancy-models&lt;/i&gt;&lt;a href=\"https://github.com/mfidino/integrated-occupancy-model" target=\"_blank\"&gt;https://github.com/mfidino/integrated-occupancy-model&lt;/a&gt;"</v>
      </c>
      <c r="S134" s="65" t="str">
        <f>"    rbib_"&amp;F134&amp;": "&amp;""""&amp;"&lt;div class=\"&amp;""""&amp;"hanging\"&amp;""""&amp;"&gt;"&amp;J134&amp;"&lt;/div&gt;"&amp;""""</f>
        <v xml:space="preserve">    rbib_fidino_2021c: "&lt;div class=\"hanging\"&gt;Fidino, M. (2021c) *integrated-occupancy-models* &lt;https://github.com/mfidino/integrated-occupancy-model&gt;&lt;/div&gt;"</v>
      </c>
      <c r="T134" s="65"/>
    </row>
    <row r="135" spans="1:20" ht="15.75">
      <c r="A135" s="65"/>
      <c r="B135" s="155"/>
      <c r="C135" s="155"/>
      <c r="D135" s="155"/>
      <c r="E135" s="65" t="s">
        <v>1950</v>
      </c>
      <c r="F135" s="65" t="s">
        <v>3435</v>
      </c>
      <c r="G135" s="65" t="s">
        <v>3434</v>
      </c>
      <c r="H135" s="65"/>
      <c r="I135" s="65" t="b">
        <v>1</v>
      </c>
      <c r="J135" s="68" t="s">
        <v>3433</v>
      </c>
      <c r="K135" s="65" t="s">
        <v>5449</v>
      </c>
      <c r="L135" s="65" t="s">
        <v>3432</v>
      </c>
      <c r="M135" s="65" t="s">
        <v>984</v>
      </c>
      <c r="N135" s="65" t="str">
        <f>"&lt;div class="&amp;""""&amp;"hanging"&amp;""""&amp;"&gt;"&amp;K135&amp;"&lt;a href="&amp;""""&amp;L135&amp;""""&amp;" target="&amp;""""&amp;"_blank"&amp;""""&amp;"&gt;"&amp;L135&amp;"&lt;/a&gt;&lt;span style="&amp;""""&amp;"color:white"&amp;""""&amp;"&gt;[.]{#"&amp;F135&amp;"}}&lt;/span&gt;&lt;/div&gt;&lt;br&gt;"</f>
        <v>&lt;div class="hanging"&gt;Fidino, M. (2021d) &lt;i&gt;So, you don't have enough data to fit a dynamic occupancy model? An introduction to auto-logistic occupancy models.&lt;/i&gt;&lt;a href="https://masonfidino.com/autologistic_occupancy_model" target="_blank"&gt;https://masonfidino.com/autologistic_occupancy_model&lt;/a&gt;&lt;span style="color:white"&gt;[.]{#fidino_2021d}}&lt;/span&gt;&lt;/div&gt;&lt;br&gt;</v>
      </c>
      <c r="O135" s="65" t="str">
        <f>"{{ rtxt_"&amp;F135&amp;" }}"</f>
        <v>{{ rtxt_fidino_2021d }}</v>
      </c>
      <c r="P135" s="65" t="str">
        <f>"{{ rbib_"&amp;F135&amp;" }}"</f>
        <v>{{ rbib_fidino_2021d }}</v>
      </c>
      <c r="Q135" s="65" t="str">
        <f>"    rtxt_"&amp;F135&amp;": "&amp;""""&amp;"&lt;a href=\"&amp;""""&amp;"/08_references.html#"&amp;F135&amp;"\"&amp;""""&amp;" target=\"&amp;""""&amp;"_blank\"&amp;""""&amp;"&gt;"&amp;G135&amp;"&lt;/a&gt;"&amp;""""</f>
        <v xml:space="preserve">    rtxt_fidino_2021d: "&lt;a href=\"/08_references.html#fidino_2021d\" target=\"_blank\"&gt;Fidino, 2021d&lt;/a&gt;"</v>
      </c>
      <c r="R135" s="65" t="str">
        <f>"    rbib_"&amp;F135&amp;": "&amp;""""&amp;K135&amp;"&lt;a href=\"&amp;""""&amp;L135&amp;""""&amp;" target=\"&amp;""""&amp;"_blank\"&amp;""""&amp;"&gt;"&amp;L135&amp;"&lt;/a&gt;"&amp;""""</f>
        <v xml:space="preserve">    rbib_fidino_2021d: "Fidino, M. (2021d) &lt;i&gt;So, you don't have enough data to fit a dynamic occupancy model? An introduction to auto-logistic occupancy models.&lt;/i&gt;&lt;a href=\"https://masonfidino.com/autologistic_occupancy_model" target=\"_blank\"&gt;https://masonfidino.com/autologistic_occupancy_model&lt;/a&gt;"</v>
      </c>
      <c r="S135" s="65" t="str">
        <f>"    rbib_"&amp;F135&amp;": "&amp;""""&amp;"&lt;div class=\"&amp;""""&amp;"hanging\"&amp;""""&amp;"&gt;"&amp;J135&amp;"&lt;/div&gt;"&amp;""""</f>
        <v xml:space="preserve">    rbib_fidino_2021d: "&lt;div class=\"hanging\"&gt;Fidino, M. (2021d) *So, you don't have enough data to fit a dynamic occupancy model? An introduction to auto-logistic occupancy models.* &lt;https://masonfidino.com/autologistic_occupancy_model&gt;&lt;/div&gt;"</v>
      </c>
      <c r="T135" s="65"/>
    </row>
    <row r="136" spans="1:20" ht="15.75">
      <c r="A136" s="65"/>
      <c r="B136" s="155"/>
      <c r="C136" s="155"/>
      <c r="D136" s="155"/>
      <c r="E136" s="65" t="s">
        <v>1950</v>
      </c>
      <c r="F136" s="65" t="s">
        <v>3431</v>
      </c>
      <c r="G136" s="65" t="s">
        <v>3430</v>
      </c>
      <c r="H136" s="65"/>
      <c r="I136" s="65" t="b">
        <v>1</v>
      </c>
      <c r="J136" s="65" t="s">
        <v>3429</v>
      </c>
      <c r="K136" s="65" t="s">
        <v>5432</v>
      </c>
      <c r="L136" s="65" t="s">
        <v>3428</v>
      </c>
      <c r="M136" s="65" t="s">
        <v>984</v>
      </c>
      <c r="N136" s="65" t="str">
        <f>"&lt;div class="&amp;""""&amp;"hanging"&amp;""""&amp;"&gt;"&amp;K136&amp;"&lt;a href="&amp;""""&amp;L136&amp;""""&amp;" target="&amp;""""&amp;"_blank"&amp;""""&amp;"&gt;"&amp;L136&amp;"&lt;/a&gt;&lt;span style="&amp;""""&amp;"color:white"&amp;""""&amp;"&gt;[.]{#"&amp;F136&amp;"}}&lt;/span&gt;&lt;/div&gt;&lt;br&gt;"</f>
        <v>&lt;div class="hanging"&gt;Fidino, M. (2021e) &lt;i&gt;auto-logistic-occupancy.&lt;/i&gt;&lt;a href="https://github.com/mfidino/auto-logistic-occupancy" target="_blank"&gt;https://github.com/mfidino/auto-logistic-occupancy&lt;/a&gt;&lt;span style="color:white"&gt;[.]{#fidino_2021e}}&lt;/span&gt;&lt;/div&gt;&lt;br&gt;</v>
      </c>
      <c r="O136" s="65" t="str">
        <f>"{{ rtxt_"&amp;F136&amp;" }}"</f>
        <v>{{ rtxt_fidino_2021e }}</v>
      </c>
      <c r="P136" s="65" t="str">
        <f>"{{ rbib_"&amp;F136&amp;" }}"</f>
        <v>{{ rbib_fidino_2021e }}</v>
      </c>
      <c r="Q136" s="65" t="str">
        <f>"    rtxt_"&amp;F136&amp;": "&amp;""""&amp;"&lt;a href=\"&amp;""""&amp;"/08_references.html#"&amp;F136&amp;"\"&amp;""""&amp;" target=\"&amp;""""&amp;"_blank\"&amp;""""&amp;"&gt;"&amp;G136&amp;"&lt;/a&gt;"&amp;""""</f>
        <v xml:space="preserve">    rtxt_fidino_2021e: "&lt;a href=\"/08_references.html#fidino_2021e\" target=\"_blank\"&gt;Fidino, 2021e&lt;/a&gt;"</v>
      </c>
      <c r="R136" s="65" t="str">
        <f>"    rbib_"&amp;F136&amp;": "&amp;""""&amp;K136&amp;"&lt;a href=\"&amp;""""&amp;L136&amp;""""&amp;" target=\"&amp;""""&amp;"_blank\"&amp;""""&amp;"&gt;"&amp;L136&amp;"&lt;/a&gt;"&amp;""""</f>
        <v xml:space="preserve">    rbib_fidino_2021e: "Fidino, M. (2021e) &lt;i&gt;auto-logistic-occupancy.&lt;/i&gt;&lt;a href=\"https://github.com/mfidino/auto-logistic-occupancy" target=\"_blank\"&gt;https://github.com/mfidino/auto-logistic-occupancy&lt;/a&gt;"</v>
      </c>
      <c r="S136" s="65" t="str">
        <f>"    rbib_"&amp;F136&amp;": "&amp;""""&amp;"&lt;div class=\"&amp;""""&amp;"hanging\"&amp;""""&amp;"&gt;"&amp;J136&amp;"&lt;/div&gt;"&amp;""""</f>
        <v xml:space="preserve">    rbib_fidino_2021e: "&lt;div class=\"hanging\"&gt;Fidino, M. (2021e) *auto-logistic-occupancy.* &lt;https://github.com/mfidino/auto-logistic-occupancy&gt;&lt;/div&gt;"</v>
      </c>
      <c r="T136" s="65"/>
    </row>
    <row r="137" spans="1:20" ht="15.75">
      <c r="A137" s="65"/>
      <c r="B137" s="155"/>
      <c r="C137" s="155"/>
      <c r="D137" s="155"/>
      <c r="E137" s="65" t="s">
        <v>2246</v>
      </c>
      <c r="F137" s="65" t="s">
        <v>3427</v>
      </c>
      <c r="G137" s="65" t="s">
        <v>3426</v>
      </c>
      <c r="H137" s="65"/>
      <c r="I137" s="65" t="b">
        <v>1</v>
      </c>
      <c r="J137" s="65" t="s">
        <v>3425</v>
      </c>
      <c r="K137" s="65" t="s">
        <v>5451</v>
      </c>
      <c r="L137" s="65" t="s">
        <v>3424</v>
      </c>
      <c r="M137" s="65" t="s">
        <v>984</v>
      </c>
      <c r="N137" s="65" t="str">
        <f>"&lt;div class="&amp;""""&amp;"hanging"&amp;""""&amp;"&gt;"&amp;K137&amp;"&lt;a href="&amp;""""&amp;L137&amp;""""&amp;" target="&amp;""""&amp;"_blank"&amp;""""&amp;"&gt;"&amp;L137&amp;"&lt;/a&gt;&lt;span style="&amp;""""&amp;"color:white"&amp;""""&amp;"&gt;[.]{#"&amp;F137&amp;"}}&lt;/span&gt;&lt;/div&gt;&lt;br&gt;"</f>
        <v>&lt;div class="hanging"&gt;Fidino, M. (2021F) &lt;i&gt;Using the mgcvmgcv package to create a generalized additive occupancy model in R.&lt;/i&gt;&lt;a href="https://masonfidino.com/generalized_additive_occupancy_model" target="_blank"&gt;https://masonfidino.com/generalized_additive_occupancy_model&lt;/a&gt;&lt;span style="color:white"&gt;[.]{#fidino_2021f}}&lt;/span&gt;&lt;/div&gt;&lt;br&gt;</v>
      </c>
      <c r="O137" s="65" t="str">
        <f>"{{ rtxt_"&amp;F137&amp;" }}"</f>
        <v>{{ rtxt_fidino_2021f }}</v>
      </c>
      <c r="P137" s="65" t="str">
        <f>"{{ rbib_"&amp;F137&amp;" }}"</f>
        <v>{{ rbib_fidino_2021f }}</v>
      </c>
      <c r="Q137" s="65" t="str">
        <f>"    rtxt_"&amp;F137&amp;": "&amp;""""&amp;"&lt;a href=\"&amp;""""&amp;"/08_references.html#"&amp;F137&amp;"\"&amp;""""&amp;" target=\"&amp;""""&amp;"_blank\"&amp;""""&amp;"&gt;"&amp;G137&amp;"&lt;/a&gt;"&amp;""""</f>
        <v xml:space="preserve">    rtxt_fidino_2021f: "&lt;a href=\"/08_references.html#fidino_2021f\" target=\"_blank\"&gt;Fidino, 2021f&lt;/a&gt;"</v>
      </c>
      <c r="R137" s="65" t="str">
        <f>"    rbib_"&amp;F137&amp;": "&amp;""""&amp;K137&amp;"&lt;a href=\"&amp;""""&amp;L137&amp;""""&amp;" target=\"&amp;""""&amp;"_blank\"&amp;""""&amp;"&gt;"&amp;L137&amp;"&lt;/a&gt;"&amp;""""</f>
        <v xml:space="preserve">    rbib_fidino_2021f: "Fidino, M. (2021F) &lt;i&gt;Using the mgcvmgcv package to create a generalized additive occupancy model in R.&lt;/i&gt;&lt;a href=\"https://masonfidino.com/generalized_additive_occupancy_model" target=\"_blank\"&gt;https://masonfidino.com/generalized_additive_occupancy_model&lt;/a&gt;"</v>
      </c>
      <c r="S137" s="65" t="str">
        <f>"    rbib_"&amp;F137&amp;": "&amp;""""&amp;"&lt;div class=\"&amp;""""&amp;"hanging\"&amp;""""&amp;"&gt;"&amp;J137&amp;"&lt;/div&gt;"&amp;""""</f>
        <v xml:space="preserve">    rbib_fidino_2021f: "&lt;div class=\"hanging\"&gt;Fidino, M. (2021F) *Using the mgcvmgcv package to create a generalized additive occupancy model in R.* &lt;https://masonfidino.com/generalized_additive_occupancy_model&gt;&lt;/div&gt;"</v>
      </c>
      <c r="T137" s="65"/>
    </row>
    <row r="138" spans="1:20" ht="15.75">
      <c r="A138" s="65"/>
      <c r="B138" s="155"/>
      <c r="C138" s="155"/>
      <c r="D138" s="155"/>
      <c r="E138" s="65" t="s">
        <v>2246</v>
      </c>
      <c r="F138" s="65" t="s">
        <v>3423</v>
      </c>
      <c r="G138" s="65" t="s">
        <v>3422</v>
      </c>
      <c r="H138" s="65"/>
      <c r="I138" s="65" t="b">
        <v>1</v>
      </c>
      <c r="J138" s="65" t="s">
        <v>3421</v>
      </c>
      <c r="K138" s="65" t="s">
        <v>5433</v>
      </c>
      <c r="L138" s="65" t="s">
        <v>3420</v>
      </c>
      <c r="M138" s="65" t="s">
        <v>984</v>
      </c>
      <c r="N138" s="65" t="str">
        <f>"&lt;div class="&amp;""""&amp;"hanging"&amp;""""&amp;"&gt;"&amp;K138&amp;"&lt;a href="&amp;""""&amp;L138&amp;""""&amp;" target="&amp;""""&amp;"_blank"&amp;""""&amp;"&gt;"&amp;L138&amp;"&lt;/a&gt;&lt;span style="&amp;""""&amp;"color:white"&amp;""""&amp;"&gt;[.]{#"&amp;F138&amp;"}}&lt;/span&gt;&lt;/div&gt;&lt;br&gt;"</f>
        <v>&lt;div class="hanging"&gt;Fidino, M. (2023) &lt;i&gt;autoOcc: An R package for fitting autologistic occupancy models.&lt;/i&gt; R package version 0.1.1,&lt;a href="https://github.com/mfidino/autoOcc" target="_blank"&gt;https://github.com/mfidino/autoOcc&lt;/a&gt;&lt;span style="color:white"&gt;[.]{#fidino_2023}}&lt;/span&gt;&lt;/div&gt;&lt;br&gt;</v>
      </c>
      <c r="O138" s="65" t="str">
        <f>"{{ rtxt_"&amp;F138&amp;" }}"</f>
        <v>{{ rtxt_fidino_2023 }}</v>
      </c>
      <c r="P138" s="65" t="str">
        <f>"{{ rbib_"&amp;F138&amp;" }}"</f>
        <v>{{ rbib_fidino_2023 }}</v>
      </c>
      <c r="Q138" s="65" t="str">
        <f>"    rtxt_"&amp;F138&amp;": "&amp;""""&amp;"&lt;a href=\"&amp;""""&amp;"/08_references.html#"&amp;F138&amp;"\"&amp;""""&amp;" target=\"&amp;""""&amp;"_blank\"&amp;""""&amp;"&gt;"&amp;G138&amp;"&lt;/a&gt;"&amp;""""</f>
        <v xml:space="preserve">    rtxt_fidino_2023: "&lt;a href=\"/08_references.html#fidino_2023\" target=\"_blank\"&gt;Fidino, 2023&lt;/a&gt;"</v>
      </c>
      <c r="R138" s="65" t="str">
        <f>"    rbib_"&amp;F138&amp;": "&amp;""""&amp;K138&amp;"&lt;a href=\"&amp;""""&amp;L138&amp;""""&amp;" target=\"&amp;""""&amp;"_blank\"&amp;""""&amp;"&gt;"&amp;L138&amp;"&lt;/a&gt;"&amp;""""</f>
        <v xml:space="preserve">    rbib_fidino_2023: "Fidino, M. (2023) &lt;i&gt;autoOcc: An R package for fitting autologistic occupancy models.&lt;/i&gt; R package version 0.1.1,&lt;a href=\"https://github.com/mfidino/autoOcc" target=\"_blank\"&gt;https://github.com/mfidino/autoOcc&lt;/a&gt;"</v>
      </c>
      <c r="S138" s="65" t="str">
        <f>"    rbib_"&amp;F138&amp;": "&amp;""""&amp;"&lt;div class=\"&amp;""""&amp;"hanging\"&amp;""""&amp;"&gt;"&amp;J138&amp;"&lt;/div&gt;"&amp;""""</f>
        <v xml:space="preserve">    rbib_fidino_2023: "&lt;div class=\"hanging\"&gt;Fidino, M. (2023) *autoOcc: An R package for fitting autologistic occupancy models.* R package version 0.1.1, &lt;https://github.com/mfidino/autoOcc&gt;&lt;/div&gt;"</v>
      </c>
      <c r="T138" s="65"/>
    </row>
    <row r="139" spans="1:20" ht="15.75">
      <c r="A139" s="65"/>
      <c r="B139" s="155"/>
      <c r="C139" s="155"/>
      <c r="D139" s="155"/>
      <c r="E139" s="65" t="s">
        <v>1904</v>
      </c>
      <c r="F139" s="65" t="s">
        <v>3415</v>
      </c>
      <c r="G139" s="67" t="s">
        <v>3414</v>
      </c>
      <c r="H139" s="65"/>
      <c r="I139" s="65" t="b">
        <v>1</v>
      </c>
      <c r="J139" s="67" t="s">
        <v>3413</v>
      </c>
      <c r="K139" s="65" t="s">
        <v>5147</v>
      </c>
      <c r="L139" s="65" t="s">
        <v>3412</v>
      </c>
      <c r="M139" s="65" t="s">
        <v>984</v>
      </c>
      <c r="N139" s="65" t="str">
        <f>"&lt;div class="&amp;""""&amp;"hanging"&amp;""""&amp;"&gt;"&amp;K139&amp;"&lt;a href="&amp;""""&amp;L139&amp;""""&amp;" target="&amp;""""&amp;"_blank"&amp;""""&amp;"&gt;"&amp;L139&amp;"&lt;/a&gt;&lt;span style="&amp;""""&amp;"color:white"&amp;""""&amp;"&gt;[.]{#"&amp;F139&amp;"}}&lt;/span&gt;&lt;/div&gt;&lt;br&gt;"</f>
        <v>&lt;div class="hanging"&gt;Fidino, M., &amp; Magle, S. B. (2017). Using Fourier series to predict periodic patterns in dynamic occupancy models. &lt;i&gt;Ecosphere,8&lt;/i&gt;(9) , e01944.&lt;a href="https://doi.org/10.1002/ecs2.1944" target="_blank"&gt;https://doi.org/10.1002/ecs2.1944&lt;/a&gt;&lt;span style="color:white"&gt;[.]{#fidino_magle_2017}}&lt;/span&gt;&lt;/div&gt;&lt;br&gt;</v>
      </c>
      <c r="O139" s="65" t="str">
        <f>"{{ rtxt_"&amp;F139&amp;" }}"</f>
        <v>{{ rtxt_fidino_magle_2017 }}</v>
      </c>
      <c r="P139" s="65" t="str">
        <f>"{{ rbib_"&amp;F139&amp;" }}"</f>
        <v>{{ rbib_fidino_magle_2017 }}</v>
      </c>
      <c r="Q139" s="65" t="str">
        <f>"    rtxt_"&amp;F139&amp;": "&amp;""""&amp;"&lt;a href=\"&amp;""""&amp;"/08_references.html#"&amp;F139&amp;"\"&amp;""""&amp;" target=\"&amp;""""&amp;"_blank\"&amp;""""&amp;"&gt;"&amp;G139&amp;"&lt;/a&gt;"&amp;""""</f>
        <v xml:space="preserve">    rtxt_fidino_magle_2017: "&lt;a href=\"/08_references.html#fidino_magle_2017\" target=\"_blank\"&gt;Fidino &amp; Magle, 2017&lt;/a&gt;"</v>
      </c>
      <c r="R139" s="65" t="str">
        <f>"    rbib_"&amp;F139&amp;": "&amp;""""&amp;K139&amp;"&lt;a href=\"&amp;""""&amp;L139&amp;""""&amp;" target=\"&amp;""""&amp;"_blank\"&amp;""""&amp;"&gt;"&amp;L139&amp;"&lt;/a&gt;"&amp;""""</f>
        <v xml:space="preserve">    rbib_fidino_magle_2017: "Fidino, M., &amp; Magle, S. B. (2017). Using Fourier series to predict periodic patterns in dynamic occupancy models. &lt;i&gt;Ecosphere,8&lt;/i&gt;(9) , e01944.&lt;a href=\"https://doi.org/10.1002/ecs2.1944" target=\"_blank\"&gt;https://doi.org/10.1002/ecs2.1944&lt;/a&gt;"</v>
      </c>
      <c r="S139" s="65" t="str">
        <f>"    rbib_"&amp;F139&amp;": "&amp;""""&amp;"&lt;div class=\"&amp;""""&amp;"hanging\"&amp;""""&amp;"&gt;"&amp;J139&amp;"&lt;/div&gt;"&amp;""""</f>
        <v xml:space="preserve">    rbib_fidino_magle_2017: "&lt;div class=\"hanging\"&gt;Fidino, M., &amp; Magle, S. B. (2017). Using Fourier series to predict periodic patterns in dynamic occupancy models. *Ecosphere, 8*(9) , e01944. &lt;https://doi.org/10.1002/ecs2.1944&gt;&lt;/div&gt;"</v>
      </c>
      <c r="T139" s="65"/>
    </row>
    <row r="140" spans="1:20" ht="15.75">
      <c r="A140" s="65"/>
      <c r="B140" s="155" t="b">
        <v>0</v>
      </c>
      <c r="C140" s="155" t="b">
        <v>0</v>
      </c>
      <c r="D140" s="155" t="b">
        <v>1</v>
      </c>
      <c r="E140" s="65" t="s">
        <v>1904</v>
      </c>
      <c r="F140" s="65" t="s">
        <v>3419</v>
      </c>
      <c r="G140" s="65" t="s">
        <v>3418</v>
      </c>
      <c r="H140" s="65" t="s">
        <v>3418</v>
      </c>
      <c r="I140" s="65" t="b">
        <v>1</v>
      </c>
      <c r="J140" s="65" t="s">
        <v>3417</v>
      </c>
      <c r="K140" s="65" t="s">
        <v>5180</v>
      </c>
      <c r="L140" s="65" t="s">
        <v>3416</v>
      </c>
      <c r="M140" s="65" t="s">
        <v>984</v>
      </c>
      <c r="N140" s="65" t="str">
        <f>"&lt;div class="&amp;""""&amp;"hanging"&amp;""""&amp;"&gt;"&amp;K140&amp;"&lt;a href="&amp;""""&amp;L140&amp;""""&amp;" target="&amp;""""&amp;"_blank"&amp;""""&amp;"&gt;"&amp;L140&amp;"&lt;/a&gt;&lt;span style="&amp;""""&amp;"color:white"&amp;""""&amp;"&gt;[.]{#"&amp;F140&amp;"}}&lt;/span&gt;&lt;/div&gt;&lt;br&gt;"</f>
        <v>&lt;div class="hanging"&gt;Fidino, M., Barnas, G. R., Lehrer, E. W., Murray, M. H., &amp; Magle, S. B. (2020). Effect of Lure on Detecting Mammals with Camera Traps. &lt;i&gt;Wildlife Society Bulletin&lt;/i&gt;.&lt;a href="https://doi.org/10.1002/wsb.1122" target="_blank"&gt;https://doi.org/10.1002/wsb.1122&lt;/a&gt;&lt;span style="color:white"&gt;[.]{#fidino_et_al_2020}}&lt;/span&gt;&lt;/div&gt;&lt;br&gt;</v>
      </c>
      <c r="O140" s="65" t="str">
        <f>"{{ rtxt_"&amp;F140&amp;" }}"</f>
        <v>{{ rtxt_fidino_et_al_2020 }}</v>
      </c>
      <c r="P140" s="65" t="str">
        <f>"{{ rbib_"&amp;F140&amp;" }}"</f>
        <v>{{ rbib_fidino_et_al_2020 }}</v>
      </c>
      <c r="Q140" s="65" t="str">
        <f>"    rtxt_"&amp;F140&amp;": "&amp;""""&amp;"&lt;a href=\"&amp;""""&amp;"/08_references.html#"&amp;F140&amp;"\"&amp;""""&amp;" target=\"&amp;""""&amp;"_blank\"&amp;""""&amp;"&gt;"&amp;G140&amp;"&lt;/a&gt;"&amp;""""</f>
        <v xml:space="preserve">    rtxt_fidino_et_al_2020: "&lt;a href=\"/08_references.html#fidino_et_al_2020\" target=\"_blank\"&gt;Fidino et al., 2020&lt;/a&gt;"</v>
      </c>
      <c r="R140" s="65" t="str">
        <f>"    rbib_"&amp;F140&amp;": "&amp;""""&amp;K140&amp;"&lt;a href=\"&amp;""""&amp;L140&amp;""""&amp;" target=\"&amp;""""&amp;"_blank\"&amp;""""&amp;"&gt;"&amp;L140&amp;"&lt;/a&gt;"&amp;""""</f>
        <v xml:space="preserve">    rbib_fidino_et_al_2020: "Fidino, M., Barnas, G. R., Lehrer, E. W., Murray, M. H., &amp; Magle, S. B. (2020). Effect of Lure on Detecting Mammals with Camera Traps. &lt;i&gt;Wildlife Society Bulletin&lt;/i&gt;.&lt;a href=\"https://doi.org/10.1002/wsb.1122" target=\"_blank\"&gt;https://doi.org/10.1002/wsb.1122&lt;/a&gt;"</v>
      </c>
      <c r="S140" s="65" t="str">
        <f>"    rbib_"&amp;F140&amp;": "&amp;""""&amp;"&lt;div class=\"&amp;""""&amp;"hanging\"&amp;""""&amp;"&gt;"&amp;J140&amp;"&lt;/div&gt;"&amp;""""</f>
        <v xml:space="preserve">    rbib_fidino_et_al_2020: "&lt;div class=\"hanging\"&gt;Fidino, M., Barnas, G. R., Lehrer, E. W., Murray, M. H., &amp; Magle, S. B. (2020). Effect of Lure on Detecting Mammals with Camera Traps. *Wildlife Society Bulletin*. &lt;https://doi.org/10.1002/wsb.1122&gt;&lt;/div&gt;"</v>
      </c>
      <c r="T140" s="65"/>
    </row>
    <row r="141" spans="1:20" ht="15.75">
      <c r="A141" s="65"/>
      <c r="B141" s="155" t="b">
        <v>1</v>
      </c>
      <c r="C141" s="155" t="b">
        <v>0</v>
      </c>
      <c r="D141" s="155" t="b">
        <v>0</v>
      </c>
      <c r="E141" s="65" t="s">
        <v>1904</v>
      </c>
      <c r="F141" s="65" t="s">
        <v>3411</v>
      </c>
      <c r="G141" s="65" t="s">
        <v>3410</v>
      </c>
      <c r="H141" s="65" t="s">
        <v>3409</v>
      </c>
      <c r="I141" s="65" t="b">
        <v>1</v>
      </c>
      <c r="J141" s="65" t="s">
        <v>3408</v>
      </c>
      <c r="K141" s="65" t="s">
        <v>5212</v>
      </c>
      <c r="L141" s="65" t="s">
        <v>3407</v>
      </c>
      <c r="M141" s="65" t="s">
        <v>984</v>
      </c>
      <c r="N141" s="65" t="str">
        <f>"&lt;div class="&amp;""""&amp;"hanging"&amp;""""&amp;"&gt;"&amp;K141&amp;"&lt;a href="&amp;""""&amp;L141&amp;""""&amp;" target="&amp;""""&amp;"_blank"&amp;""""&amp;"&gt;"&amp;L141&amp;"&lt;/a&gt;&lt;span style="&amp;""""&amp;"color:white"&amp;""""&amp;"&gt;[.]{#"&amp;F141&amp;"}}&lt;/span&gt;&lt;/div&gt;&lt;br&gt;"</f>
        <v>&lt;div class="hanging"&gt;Findlay, M. A., Briers, R. A., &amp; White, P. J. C. (2020). Component processes of detection probability in camera-trap studies: understanding the occurrence of false-negatives. &lt;i&gt;Mammal Research, 65&lt;/i&gt;, 167-180.&lt;a href="https://doi.org/10.1007/s13364-020-00478-y" target="_blank"&gt;https://doi.org/10.1007/s13364-020-00478-y&lt;/a&gt;&lt;span style="color:white"&gt;[.]{#findlay_et_al_2020}}&lt;/span&gt;&lt;/div&gt;&lt;br&gt;</v>
      </c>
      <c r="O141" s="65" t="str">
        <f>"{{ rtxt_"&amp;F141&amp;" }}"</f>
        <v>{{ rtxt_findlay_et_al_2020 }}</v>
      </c>
      <c r="P141" s="65" t="str">
        <f>"{{ rbib_"&amp;F141&amp;" }}"</f>
        <v>{{ rbib_findlay_et_al_2020 }}</v>
      </c>
      <c r="Q141" s="65" t="str">
        <f>"    rtxt_"&amp;F141&amp;": "&amp;""""&amp;"&lt;a href=\"&amp;""""&amp;"/08_references.html#"&amp;F141&amp;"\"&amp;""""&amp;" target=\"&amp;""""&amp;"_blank\"&amp;""""&amp;"&gt;"&amp;G141&amp;"&lt;/a&gt;"&amp;""""</f>
        <v xml:space="preserve">    rtxt_findlay_et_al_2020: "&lt;a href=\"/08_references.html#findlay_et_al_2020\" target=\"_blank\"&gt;Findlay et al., 2020&lt;/a&gt;"</v>
      </c>
      <c r="R141" s="65" t="str">
        <f>"    rbib_"&amp;F141&amp;": "&amp;""""&amp;K141&amp;"&lt;a href=\"&amp;""""&amp;L141&amp;""""&amp;" target=\"&amp;""""&amp;"_blank\"&amp;""""&amp;"&gt;"&amp;L141&amp;"&lt;/a&gt;"&amp;""""</f>
        <v xml:space="preserve">    rbib_findlay_et_al_2020: "Findlay, M. A., Briers, R. A., &amp; White, P. J. C. (2020). Component processes of detection probability in camera-trap studies: understanding the occurrence of false-negatives. &lt;i&gt;Mammal Research, 65&lt;/i&gt;, 167-180.&lt;a href=\"https://doi.org/10.1007/s13364-020-00478-y" target=\"_blank\"&gt;https://doi.org/10.1007/s13364-020-00478-y&lt;/a&gt;"</v>
      </c>
      <c r="S141" s="65" t="str">
        <f>"    rbib_"&amp;F141&amp;": "&amp;""""&amp;"&lt;div class=\"&amp;""""&amp;"hanging\"&amp;""""&amp;"&gt;"&amp;J141&amp;"&lt;/div&gt;"&amp;""""</f>
        <v xml:space="preserve">    rbib_findlay_et_al_2020: "&lt;div class=\"hanging\"&gt;Findlay, M. A., Briers, R. A., &amp; White, P. J. C. (2020). Component processes of detection probability in camera-trap studies: understanding the occurrence of false-negatives. *Mammal Research, 65*, 167-180. &lt;https://doi.org/10.1007/s13364-020-00478-y&gt;&lt;/div&gt;"</v>
      </c>
      <c r="T141" s="65"/>
    </row>
    <row r="142" spans="1:20" ht="15.75">
      <c r="A142" s="65"/>
      <c r="B142" s="155" t="b">
        <v>1</v>
      </c>
      <c r="C142" s="155" t="b">
        <v>1</v>
      </c>
      <c r="D142" s="155" t="b">
        <v>0</v>
      </c>
      <c r="E142" s="65" t="s">
        <v>1904</v>
      </c>
      <c r="F142" s="65" t="s">
        <v>3406</v>
      </c>
      <c r="G142" s="65" t="s">
        <v>3405</v>
      </c>
      <c r="H142" s="65" t="s">
        <v>3405</v>
      </c>
      <c r="I142" s="65" t="b">
        <v>1</v>
      </c>
      <c r="J142" s="65" t="s">
        <v>3404</v>
      </c>
      <c r="K142" s="65" t="s">
        <v>5130</v>
      </c>
      <c r="L142" s="65" t="s">
        <v>3403</v>
      </c>
      <c r="M142" s="65" t="s">
        <v>984</v>
      </c>
      <c r="N142" s="65" t="str">
        <f>"&lt;div class="&amp;""""&amp;"hanging"&amp;""""&amp;"&gt;"&amp;K142&amp;"&lt;a href="&amp;""""&amp;L142&amp;""""&amp;" target="&amp;""""&amp;"_blank"&amp;""""&amp;"&gt;"&amp;L142&amp;"&lt;/a&gt;&lt;span style="&amp;""""&amp;"color:white"&amp;""""&amp;"&gt;[.]{#"&amp;F142&amp;"}}&lt;/span&gt;&lt;/div&gt;&lt;br&gt;"</f>
        <v>&lt;div class="hanging"&gt;Fisher, J. T., &amp; Burton, C. (2012). &lt;i&gt;Monitoring Mammals in Alberta: Recommendations for Remote Camera Trapping&lt;/i&gt;. Alberta Innovates - Technology Futures &amp; Alberta Biodiversity Monitoring Institute.&lt;a href="https://doi.org/0.13140/RG.2.1.3944.3680" target="_blank"&gt;https://doi.org/0.13140/RG.2.1.3944.3680&lt;/a&gt;&lt;span style="color:white"&gt;[.]{#fisher_burton_2012}}&lt;/span&gt;&lt;/div&gt;&lt;br&gt;</v>
      </c>
      <c r="O142" s="65" t="str">
        <f>"{{ rtxt_"&amp;F142&amp;" }}"</f>
        <v>{{ rtxt_fisher_burton_2012 }}</v>
      </c>
      <c r="P142" s="65" t="str">
        <f>"{{ rbib_"&amp;F142&amp;" }}"</f>
        <v>{{ rbib_fisher_burton_2012 }}</v>
      </c>
      <c r="Q142" s="65" t="str">
        <f>"    rtxt_"&amp;F142&amp;": "&amp;""""&amp;"&lt;a href=\"&amp;""""&amp;"/08_references.html#"&amp;F142&amp;"\"&amp;""""&amp;" target=\"&amp;""""&amp;"_blank\"&amp;""""&amp;"&gt;"&amp;G142&amp;"&lt;/a&gt;"&amp;""""</f>
        <v xml:space="preserve">    rtxt_fisher_burton_2012: "&lt;a href=\"/08_references.html#fisher_burton_2012\" target=\"_blank\"&gt;Fisher &amp; Burton, 2012&lt;/a&gt;"</v>
      </c>
      <c r="R142" s="65" t="str">
        <f>"    rbib_"&amp;F142&amp;": "&amp;""""&amp;K142&amp;"&lt;a href=\"&amp;""""&amp;L142&amp;""""&amp;" target=\"&amp;""""&amp;"_blank\"&amp;""""&amp;"&gt;"&amp;L142&amp;"&lt;/a&gt;"&amp;""""</f>
        <v xml:space="preserve">    rbib_fisher_burton_2012: "Fisher, J. T., &amp; Burton, C. (2012). &lt;i&gt;Monitoring Mammals in Alberta: Recommendations for Remote Camera Trapping&lt;/i&gt;. Alberta Innovates - Technology Futures &amp; Alberta Biodiversity Monitoring Institute.&lt;a href=\"https://doi.org/0.13140/RG.2.1.3944.3680" target=\"_blank\"&gt;https://doi.org/0.13140/RG.2.1.3944.3680&lt;/a&gt;"</v>
      </c>
      <c r="S142" s="65" t="str">
        <f>"    rbib_"&amp;F142&amp;": "&amp;""""&amp;"&lt;div class=\"&amp;""""&amp;"hanging\"&amp;""""&amp;"&gt;"&amp;J142&amp;"&lt;/div&gt;"&amp;""""</f>
        <v xml:space="preserve">    rbib_fisher_burton_2012: "&lt;div class=\"hanging\"&gt;Fisher, J. T., &amp; Burton, C. (2012). *Monitoring Mammals in Alberta: Recommendations for Remote Camera Trapping*. Alberta Innovates - Technology Futures &amp; Alberta Biodiversity Monitoring Institute. &lt;https://doi.org/0.13140/RG.2.1.3944.3680&gt;&lt;/div&gt;"</v>
      </c>
      <c r="T142" s="65"/>
    </row>
    <row r="143" spans="1:20" ht="15.75">
      <c r="A143" s="65"/>
      <c r="B143" s="155" t="b">
        <v>0</v>
      </c>
      <c r="C143" s="155" t="b">
        <v>0</v>
      </c>
      <c r="D143" s="155" t="b">
        <v>1</v>
      </c>
      <c r="E143" s="65" t="s">
        <v>1904</v>
      </c>
      <c r="F143" s="65" t="s">
        <v>3402</v>
      </c>
      <c r="G143" s="65" t="s">
        <v>3401</v>
      </c>
      <c r="H143" s="65" t="s">
        <v>3401</v>
      </c>
      <c r="I143" s="65" t="b">
        <v>1</v>
      </c>
      <c r="J143" s="65" t="s">
        <v>3400</v>
      </c>
      <c r="K143" s="65" t="s">
        <v>6077</v>
      </c>
      <c r="L143" s="65" t="s">
        <v>3399</v>
      </c>
      <c r="M143" s="65" t="s">
        <v>984</v>
      </c>
      <c r="N143" s="65" t="str">
        <f>"&lt;div class="&amp;""""&amp;"hanging"&amp;""""&amp;"&gt;"&amp;K143&amp;"&lt;a href="&amp;""""&amp;L143&amp;""""&amp;" target="&amp;""""&amp;"_blank"&amp;""""&amp;"&gt;"&amp;L143&amp;"&lt;/a&gt;&lt;span style="&amp;""""&amp;"color:white"&amp;""""&amp;"&gt;[.]{#"&amp;F143&amp;"}}&lt;/span&gt;&lt;/div&gt;&lt;br&gt;"</f>
        <v>&lt;div class="hanging"&gt;Fisher, J. T., Anholt, B., &amp; Volpe, J. P. (2011). Body Mass Explains Characteristic Scales of Habitat Selection in Terrestrial Mammals. &lt;i&gt;Ecology and Evolution, 1&lt;/i&gt;(4), 517-528.&lt;a href="https://doi.org/10.1002/ece3.45" target="_blank"&gt;https://doi.org/10.1002/ece3.45&lt;/a&gt;&lt;span style="color:white"&gt;[.]{#fisher_et_al_2011}}&lt;/span&gt;&lt;/div&gt;&lt;br&gt;</v>
      </c>
      <c r="O143" s="65" t="str">
        <f>"{{ rtxt_"&amp;F143&amp;" }}"</f>
        <v>{{ rtxt_fisher_et_al_2011 }}</v>
      </c>
      <c r="P143" s="65" t="str">
        <f>"{{ rbib_"&amp;F143&amp;" }}"</f>
        <v>{{ rbib_fisher_et_al_2011 }}</v>
      </c>
      <c r="Q143" s="65" t="str">
        <f>"    rtxt_"&amp;F143&amp;": "&amp;""""&amp;"&lt;a href=\"&amp;""""&amp;"/08_references.html#"&amp;F143&amp;"\"&amp;""""&amp;" target=\"&amp;""""&amp;"_blank\"&amp;""""&amp;"&gt;"&amp;G143&amp;"&lt;/a&gt;"&amp;""""</f>
        <v xml:space="preserve">    rtxt_fisher_et_al_2011: "&lt;a href=\"/08_references.html#fisher_et_al_2011\" target=\"_blank\"&gt;Fisher et al., 2011&lt;/a&gt;"</v>
      </c>
      <c r="R143" s="65" t="str">
        <f>"    rbib_"&amp;F143&amp;": "&amp;""""&amp;K143&amp;"&lt;a href=\"&amp;""""&amp;L143&amp;""""&amp;" target=\"&amp;""""&amp;"_blank\"&amp;""""&amp;"&gt;"&amp;L143&amp;"&lt;/a&gt;"&amp;""""</f>
        <v xml:space="preserve">    rbib_fisher_et_al_2011: "Fisher, J. T., Anholt, B., &amp; Volpe, J. P. (2011). Body Mass Explains Characteristic Scales of Habitat Selection in Terrestrial Mammals. &lt;i&gt;Ecology and Evolution, 1&lt;/i&gt;(4), 517-528.&lt;a href=\"https://doi.org/10.1002/ece3.45" target=\"_blank\"&gt;https://doi.org/10.1002/ece3.45&lt;/a&gt;"</v>
      </c>
      <c r="S143" s="65" t="str">
        <f>"    rbib_"&amp;F143&amp;": "&amp;""""&amp;"&lt;div class=\"&amp;""""&amp;"hanging\"&amp;""""&amp;"&gt;"&amp;J143&amp;"&lt;/div&gt;"&amp;""""</f>
        <v xml:space="preserve">    rbib_fisher_et_al_2011: "&lt;div class=\"hanging\"&gt;Fisher, J. T., Anholt, B., &amp; Volpe, J. P. (2011). Body Mass Explains Characteristic Scales of Habitat Selection in Terrestrial Mammals. *Ecology and Evolution, 1*(4), 517-528. &lt;https://doi.org/10.1002/ece3.45&gt;&lt;/div&gt;"</v>
      </c>
      <c r="T143" s="65"/>
    </row>
    <row r="144" spans="1:20" ht="15.75">
      <c r="A144" s="65"/>
      <c r="B144" s="155" t="b">
        <v>1</v>
      </c>
      <c r="C144" s="155" t="b">
        <v>1</v>
      </c>
      <c r="D144" s="155" t="b">
        <v>0</v>
      </c>
      <c r="E144" s="65" t="s">
        <v>1904</v>
      </c>
      <c r="F144" s="65" t="s">
        <v>3398</v>
      </c>
      <c r="G144" s="65" t="s">
        <v>3397</v>
      </c>
      <c r="H144" s="65" t="s">
        <v>3396</v>
      </c>
      <c r="I144" s="65" t="b">
        <v>1</v>
      </c>
      <c r="J144" s="65" t="s">
        <v>3395</v>
      </c>
      <c r="K144" s="65" t="s">
        <v>5305</v>
      </c>
      <c r="L144" s="65" t="s">
        <v>3394</v>
      </c>
      <c r="M144" s="65" t="s">
        <v>984</v>
      </c>
      <c r="N144" s="65" t="str">
        <f>"&lt;div class="&amp;""""&amp;"hanging"&amp;""""&amp;"&gt;"&amp;K144&amp;"&lt;a href="&amp;""""&amp;L144&amp;""""&amp;" target="&amp;""""&amp;"_blank"&amp;""""&amp;"&gt;"&amp;L144&amp;"&lt;/a&gt;&lt;span style="&amp;""""&amp;"color:white"&amp;""""&amp;"&gt;[.]{#"&amp;F144&amp;"}}&lt;/span&gt;&lt;/div&gt;&lt;br&gt;"</f>
        <v>&lt;div class="hanging"&gt;Fisher, J. T., Wheatley, M., &amp; Mackenzie, D. (2014). Spatial Patterns of Breeding Success of Grizzly Bears derived from Hierarchical Multistate Models. &lt;i&gt;Conservation Biology, 28&lt;/i&gt;(5), 1249-1259.&lt;a href="https://doi.org/10.1111/cobi.12302" target="_blank"&gt;https://doi.org/10.1111/cobi.12302&lt;/a&gt;&lt;span style="color:white"&gt;[.]{#fisher_et_al_2014}}&lt;/span&gt;&lt;/div&gt;&lt;br&gt;</v>
      </c>
      <c r="O144" s="65" t="str">
        <f>"{{ rtxt_"&amp;F144&amp;" }}"</f>
        <v>{{ rtxt_fisher_et_al_2014 }}</v>
      </c>
      <c r="P144" s="65" t="str">
        <f>"{{ rbib_"&amp;F144&amp;" }}"</f>
        <v>{{ rbib_fisher_et_al_2014 }}</v>
      </c>
      <c r="Q144" s="65" t="str">
        <f>"    rtxt_"&amp;F144&amp;": "&amp;""""&amp;"&lt;a href=\"&amp;""""&amp;"/08_references.html#"&amp;F144&amp;"\"&amp;""""&amp;" target=\"&amp;""""&amp;"_blank\"&amp;""""&amp;"&gt;"&amp;G144&amp;"&lt;/a&gt;"&amp;""""</f>
        <v xml:space="preserve">    rtxt_fisher_et_al_2014: "&lt;a href=\"/08_references.html#fisher_et_al_2014\" target=\"_blank\"&gt;Fisher et al., 2014&lt;/a&gt;"</v>
      </c>
      <c r="R144" s="65" t="str">
        <f>"    rbib_"&amp;F144&amp;": "&amp;""""&amp;K144&amp;"&lt;a href=\"&amp;""""&amp;L144&amp;""""&amp;" target=\"&amp;""""&amp;"_blank\"&amp;""""&amp;"&gt;"&amp;L144&amp;"&lt;/a&gt;"&amp;""""</f>
        <v xml:space="preserve">    rbib_fisher_et_al_2014: "Fisher, J. T., Wheatley, M., &amp; Mackenzie, D. (2014). Spatial Patterns of Breeding Success of Grizzly Bears derived from Hierarchical Multistate Models. &lt;i&gt;Conservation Biology, 28&lt;/i&gt;(5), 1249-1259.&lt;a href=\"https://doi.org/10.1111/cobi.12302" target=\"_blank\"&gt;https://doi.org/10.1111/cobi.12302&lt;/a&gt;"</v>
      </c>
      <c r="S144" s="65" t="str">
        <f>"    rbib_"&amp;F144&amp;": "&amp;""""&amp;"&lt;div class=\"&amp;""""&amp;"hanging\"&amp;""""&amp;"&gt;"&amp;J144&amp;"&lt;/div&gt;"&amp;""""</f>
        <v xml:space="preserve">    rbib_fisher_et_al_2014: "&lt;div class=\"hanging\"&gt;Fisher, J. T., Wheatley, M., &amp; Mackenzie, D. (2014). Spatial Patterns of Breeding Success of Grizzly Bears derived from Hierarchical Multistate Models. *Conservation Biology, 28*(5), 1249-1259. &lt;https://doi.org/10.1111/cobi.12302&gt;&lt;/div&gt;"</v>
      </c>
      <c r="T144" s="65"/>
    </row>
    <row r="145" spans="1:20" ht="15.75">
      <c r="A145" s="65"/>
      <c r="B145" s="155"/>
      <c r="C145" s="155"/>
      <c r="D145" s="155"/>
      <c r="E145" s="65" t="s">
        <v>2246</v>
      </c>
      <c r="F145" s="65" t="s">
        <v>3039</v>
      </c>
      <c r="G145" s="65" t="s">
        <v>3038</v>
      </c>
      <c r="H145" s="65"/>
      <c r="I145" s="65" t="b">
        <v>1</v>
      </c>
      <c r="J145" s="65" t="s">
        <v>3037</v>
      </c>
      <c r="K145" s="65" t="s">
        <v>5487</v>
      </c>
      <c r="L145" s="65" t="s">
        <v>3036</v>
      </c>
      <c r="M145" s="65" t="s">
        <v>984</v>
      </c>
      <c r="N145" s="65" t="str">
        <f>"&lt;div class="&amp;""""&amp;"hanging"&amp;""""&amp;"&gt;"&amp;K145&amp;"&lt;a href="&amp;""""&amp;L145&amp;""""&amp;" target="&amp;""""&amp;"_blank"&amp;""""&amp;"&gt;"&amp;L145&amp;"&lt;/a&gt;&lt;span style="&amp;""""&amp;"color:white"&amp;""""&amp;"&gt;[.]{#"&amp;F145&amp;"}}&lt;/span&gt;&lt;/div&gt;&lt;br&gt;"</f>
        <v>&lt;div class="hanging"&gt;Fiske, I. &amp; Chandler, R. (2011). unmarked: An R Package for Fitting Hierarchical Models of Wildlife Occurrence and Abundance. &lt;i&gt;Journal of Statistical Software, 43&lt;/i&gt;(10), 1-23.&lt;a href="https://www.jstatsoft.org/v43/i10" target="_blank"&gt;https://www.jstatsoft.org/v43/i10&lt;/a&gt;&lt;span style="color:white"&gt;[.]{#kellner_et_al_2023}}&lt;/span&gt;&lt;/div&gt;&lt;br&gt;</v>
      </c>
      <c r="O145" s="65" t="str">
        <f>"{{ rtxt_"&amp;F145&amp;" }}"</f>
        <v>{{ rtxt_kellner_et_al_2023 }}</v>
      </c>
      <c r="P145" s="65" t="str">
        <f>"{{ rbib_"&amp;F145&amp;" }}"</f>
        <v>{{ rbib_kellner_et_al_2023 }}</v>
      </c>
      <c r="Q145" s="65" t="str">
        <f>"    rtxt_"&amp;F145&amp;": "&amp;""""&amp;"&lt;a href=\"&amp;""""&amp;"/08_references.html#"&amp;F145&amp;"\"&amp;""""&amp;" target=\"&amp;""""&amp;"_blank\"&amp;""""&amp;"&gt;"&amp;G145&amp;"&lt;/a&gt;"&amp;""""</f>
        <v xml:space="preserve">    rtxt_kellner_et_al_2023: "&lt;a href=\"/08_references.html#kellner_et_al_2023\" target=\"_blank\"&gt;Kellner et al., 2023&lt;/a&gt;"</v>
      </c>
      <c r="R145" s="65" t="str">
        <f>"    rbib_"&amp;F145&amp;": "&amp;""""&amp;K145&amp;"&lt;a href=\"&amp;""""&amp;L145&amp;""""&amp;" target=\"&amp;""""&amp;"_blank\"&amp;""""&amp;"&gt;"&amp;L145&amp;"&lt;/a&gt;"&amp;""""</f>
        <v xml:space="preserve">    rbib_kellner_et_al_2023: "Fiske, I. &amp; Chandler, R. (2011). unmarked: An R Package for Fitting Hierarchical Models of Wildlife Occurrence and Abundance. &lt;i&gt;Journal of Statistical Software, 43&lt;/i&gt;(10), 1-23.&lt;a href=\"https://www.jstatsoft.org/v43/i10" target=\"_blank\"&gt;https://www.jstatsoft.org/v43/i10&lt;/a&gt;"</v>
      </c>
      <c r="S145" s="65" t="str">
        <f>"    rbib_"&amp;F145&amp;": "&amp;""""&amp;"&lt;div class=\"&amp;""""&amp;"hanging\"&amp;""""&amp;"&gt;"&amp;J145&amp;"&lt;/div&gt;"&amp;""""</f>
        <v xml:space="preserve">    rbib_kellner_et_al_2023: "&lt;div class=\"hanging\"&gt;Fiske, I. &amp; Chandler, R. (2011). unmarked: An R Package for Fitting Hierarchical Models of Wildlife Occurrence and Abundance. *Journal of Statistical Software, 43* (10), 1-23. &lt;https://www.jstatsoft.org/v43/i10&gt;&lt;/div&gt;"</v>
      </c>
      <c r="T145" s="65"/>
    </row>
    <row r="146" spans="1:20" ht="15.75">
      <c r="A146" s="65"/>
      <c r="B146" s="155" t="b">
        <v>0</v>
      </c>
      <c r="C146" s="155" t="b">
        <v>0</v>
      </c>
      <c r="D146" s="155"/>
      <c r="E146" s="65" t="s">
        <v>984</v>
      </c>
      <c r="F146" s="65" t="s">
        <v>3389</v>
      </c>
      <c r="G146" s="65" t="s">
        <v>3388</v>
      </c>
      <c r="H146" s="65" t="s">
        <v>3388</v>
      </c>
      <c r="I146" s="65" t="b">
        <v>1</v>
      </c>
      <c r="J146" s="65" t="s">
        <v>3387</v>
      </c>
      <c r="K146" s="65" t="s">
        <v>5509</v>
      </c>
      <c r="L146" s="65" t="s">
        <v>3386</v>
      </c>
      <c r="M146" s="65" t="s">
        <v>984</v>
      </c>
      <c r="N146" s="65" t="str">
        <f>"&lt;div class="&amp;""""&amp;"hanging"&amp;""""&amp;"&gt;"&amp;K146&amp;"&lt;a href="&amp;""""&amp;L146&amp;""""&amp;" target="&amp;""""&amp;"_blank"&amp;""""&amp;"&gt;"&amp;L146&amp;"&lt;/a&gt;&lt;span style="&amp;""""&amp;"color:white"&amp;""""&amp;"&gt;[.]{#"&amp;F146&amp;"}}&lt;/span&gt;&lt;/div&gt;&lt;br&gt;"</f>
        <v>&lt;div class="hanging"&gt;Flather, C. H., &amp; Sieg, C. H. (2007). Species rarity: definition, causes, and classification. In M. G. Raphael, &amp; R. Molina (Eds.), &lt;i&gt;Conservation of Rare or Little-Known Species: Biological, Social, and Economic Considerations&lt;/i&gt; (pp. 40-66).&lt;a href="https://www.researchgate.net/publication/236965289_Species_rarity_definition_causes_and_classification#:~:text=Rarity%20is%20a%20relative%20concept,of%20other%20organisms%20of%20comparable" target="_blank"&gt;https://www.researchgate.net/publication/236965289_Species_rarity_definition_causes_and_classification#:~:text=Rarity%20is%20a%20relative%20concept,of%20other%20organisms%20of%20comparable&lt;/a&gt;&lt;span style="color:white"&gt;[.]{#flather_sieg_2007}}&lt;/span&gt;&lt;/div&gt;&lt;br&gt;</v>
      </c>
      <c r="O146" s="65" t="str">
        <f>"{{ rtxt_"&amp;F146&amp;" }}"</f>
        <v>{{ rtxt_flather_sieg_2007 }}</v>
      </c>
      <c r="P146" s="65" t="str">
        <f>"{{ rbib_"&amp;F146&amp;" }}"</f>
        <v>{{ rbib_flather_sieg_2007 }}</v>
      </c>
      <c r="Q146" s="65" t="str">
        <f>"    rtxt_"&amp;F146&amp;": "&amp;""""&amp;"&lt;a href=\"&amp;""""&amp;"/08_references.html#"&amp;F146&amp;"\"&amp;""""&amp;" target=\"&amp;""""&amp;"_blank\"&amp;""""&amp;"&gt;"&amp;G146&amp;"&lt;/a&gt;"&amp;""""</f>
        <v xml:space="preserve">    rtxt_flather_sieg_2007: "&lt;a href=\"/08_references.html#flather_sieg_2007\" target=\"_blank\"&gt;Flather &amp; Sieg, 2007&lt;/a&gt;"</v>
      </c>
      <c r="R146" s="65" t="str">
        <f>"    rbib_"&amp;F146&amp;": "&amp;""""&amp;K146&amp;"&lt;a href=\"&amp;""""&amp;L146&amp;""""&amp;" target=\"&amp;""""&amp;"_blank\"&amp;""""&amp;"&gt;"&amp;L146&amp;"&lt;/a&gt;"&amp;""""</f>
        <v xml:space="preserve">    rbib_flather_sieg_2007: "Flather, C. H., &amp; Sieg, C. H. (2007). Species rarity: definition, causes, and classification. In M. G. Raphael, &amp; R. Molina (Eds.), &lt;i&gt;Conservation of Rare or Little-Known Species: Biological, Social, and Economic Considerations&lt;/i&gt; (pp. 40-66).&lt;a href=\"https://www.researchgate.net/publication/236965289_Species_rarity_definition_causes_and_classification#:~:text=Rarity%20is%20a%20relative%20concept,of%20other%20organisms%20of%20comparable" target=\"_blank\"&gt;https://www.researchgate.net/publication/236965289_Species_rarity_definition_causes_and_classification#:~:text=Rarity%20is%20a%20relative%20concept,of%20other%20organisms%20of%20comparable&lt;/a&gt;"</v>
      </c>
      <c r="S146" s="65" t="str">
        <f>"    rbib_"&amp;F146&amp;": "&amp;""""&amp;"&lt;div class=\"&amp;""""&amp;"hanging\"&amp;""""&amp;"&gt;"&amp;J146&amp;"&lt;/div&gt;"&amp;""""</f>
        <v xml:space="preserve">    rbib_flather_sieg_2007: "&lt;div class=\"hanging\"&gt;Flather, C. H., &amp; Sieg, C. H. (2007). Species rarity: definition, causes, and classification. In M. G. Raphael, &amp; R. Molina (Eds.), *Conservation of Rare or Little-Known Species: Biological, Social, and Economic Considerations* (pp. 40-66). &lt;https://www.researchgate.net/publication/236965289_Species_rarity_definition_causes_and_classification#:~:text=Rarity%20is%20a%20relative%20concept,of%20other%20organisms%20of%20comparable&gt;&lt;/div&gt;"</v>
      </c>
      <c r="T146" s="65"/>
    </row>
    <row r="147" spans="1:20" ht="15.75">
      <c r="A147" s="65"/>
      <c r="B147" s="155"/>
      <c r="C147" s="155"/>
      <c r="D147" s="155"/>
      <c r="E147" s="65" t="s">
        <v>1904</v>
      </c>
      <c r="F147" s="65" t="s">
        <v>3385</v>
      </c>
      <c r="G147" s="65" t="s">
        <v>3384</v>
      </c>
      <c r="H147" s="65" t="s">
        <v>3384</v>
      </c>
      <c r="I147" s="65" t="b">
        <v>1</v>
      </c>
      <c r="J147" s="65" t="s">
        <v>3383</v>
      </c>
      <c r="K147" s="65" t="s">
        <v>5136</v>
      </c>
      <c r="L147" s="65" t="s">
        <v>3382</v>
      </c>
      <c r="M147" s="65" t="s">
        <v>984</v>
      </c>
      <c r="N147" s="65" t="str">
        <f>"&lt;div class="&amp;""""&amp;"hanging"&amp;""""&amp;"&gt;"&amp;K147&amp;"&lt;a href="&amp;""""&amp;L147&amp;""""&amp;" target="&amp;""""&amp;"_blank"&amp;""""&amp;"&gt;"&amp;L147&amp;"&lt;/a&gt;&lt;span style="&amp;""""&amp;"color:white"&amp;""""&amp;"&gt;[.]{#"&amp;F147&amp;"}}&lt;/span&gt;&lt;/div&gt;&lt;br&gt;"</f>
        <v>&lt;div class="hanging"&gt;Fleming, J., Grant, E. H. C., Sterrett, S. C., &amp; Sutherland, C. (2021). Experimental evaluation of spatial capture-recapture study design. &lt;i&gt;Ecological Applications, 31&lt;/i&gt;(7), e02419.&lt;a href="https://doi.org/10.1002/eap.2419" target="_blank"&gt;https://doi.org/10.1002/eap.2419&lt;/a&gt;&lt;span style="color:white"&gt;[.]{#fleming_et_al_2021}}&lt;/span&gt;&lt;/div&gt;&lt;br&gt;</v>
      </c>
      <c r="O147" s="65" t="str">
        <f>"{{ rtxt_"&amp;F147&amp;" }}"</f>
        <v>{{ rtxt_fleming_et_al_2021 }}</v>
      </c>
      <c r="P147" s="65" t="str">
        <f>"{{ rbib_"&amp;F147&amp;" }}"</f>
        <v>{{ rbib_fleming_et_al_2021 }}</v>
      </c>
      <c r="Q147" s="65" t="str">
        <f>"    rtxt_"&amp;F147&amp;": "&amp;""""&amp;"&lt;a href=\"&amp;""""&amp;"/08_references.html#"&amp;F147&amp;"\"&amp;""""&amp;" target=\"&amp;""""&amp;"_blank\"&amp;""""&amp;"&gt;"&amp;G147&amp;"&lt;/a&gt;"&amp;""""</f>
        <v xml:space="preserve">    rtxt_fleming_et_al_2021: "&lt;a href=\"/08_references.html#fleming_et_al_2021\" target=\"_blank\"&gt;Fleming et al., 2021&lt;/a&gt;"</v>
      </c>
      <c r="R147" s="65" t="str">
        <f>"    rbib_"&amp;F147&amp;": "&amp;""""&amp;K147&amp;"&lt;a href=\"&amp;""""&amp;L147&amp;""""&amp;" target=\"&amp;""""&amp;"_blank\"&amp;""""&amp;"&gt;"&amp;L147&amp;"&lt;/a&gt;"&amp;""""</f>
        <v xml:space="preserve">    rbib_fleming_et_al_2021: "Fleming, J., Grant, E. H. C., Sterrett, S. C., &amp; Sutherland, C. (2021). Experimental evaluation of spatial capture-recapture study design. &lt;i&gt;Ecological Applications, 31&lt;/i&gt;(7), e02419.&lt;a href=\"https://doi.org/10.1002/eap.2419" target=\"_blank\"&gt;https://doi.org/10.1002/eap.2419&lt;/a&gt;"</v>
      </c>
      <c r="S147" s="65" t="str">
        <f>"    rbib_"&amp;F147&amp;": "&amp;""""&amp;"&lt;div class=\"&amp;""""&amp;"hanging\"&amp;""""&amp;"&gt;"&amp;J147&amp;"&lt;/div&gt;"&amp;""""</f>
        <v xml:space="preserve">    rbib_fleming_et_al_2021: "&lt;div class=\"hanging\"&gt;Fleming, J., Grant, E. H. C., Sterrett, S. C., &amp; Sutherland, C. (2021). Experimental evaluation of spatial capture-recapture study design. *Ecological Applications, 31*(7), e02419. &lt;https://doi.org/10.1002/eap.2419&gt;&lt;/div&gt;"</v>
      </c>
      <c r="T147" s="65"/>
    </row>
    <row r="148" spans="1:20" ht="15.75">
      <c r="A148" s="65"/>
      <c r="B148" s="155"/>
      <c r="C148" s="155"/>
      <c r="D148" s="155"/>
      <c r="E148" s="65" t="s">
        <v>1904</v>
      </c>
      <c r="F148" s="65" t="s">
        <v>3381</v>
      </c>
      <c r="G148" s="65" t="s">
        <v>3380</v>
      </c>
      <c r="H148" s="65" t="s">
        <v>3380</v>
      </c>
      <c r="I148" s="65" t="b">
        <v>1</v>
      </c>
      <c r="J148" s="65" t="s">
        <v>3379</v>
      </c>
      <c r="K148" s="65" t="s">
        <v>5421</v>
      </c>
      <c r="L148" s="65" t="s">
        <v>3378</v>
      </c>
      <c r="M148" s="65" t="s">
        <v>984</v>
      </c>
      <c r="N148" s="65" t="str">
        <f>"&lt;div class="&amp;""""&amp;"hanging"&amp;""""&amp;"&gt;"&amp;K148&amp;"&lt;a href="&amp;""""&amp;L148&amp;""""&amp;" target="&amp;""""&amp;"_blank"&amp;""""&amp;"&gt;"&amp;L148&amp;"&lt;/a&gt;&lt;span style="&amp;""""&amp;"color:white"&amp;""""&amp;"&gt;[.]{#"&amp;F148&amp;"}}&lt;/span&gt;&lt;/div&gt;&lt;br&gt;"</f>
        <v>&lt;div class="hanging"&gt;Foca, J. M. (2021). &lt;i&gt;Camera Traps for Evaluating Ungulate Densities and Interspecific Interactions in the Beaver Hills Region of Alberta&lt;/i&gt;. [Master's thesis, University of Alberta].&lt;a href="https://doi.org/10.7939/r3-bm8f-yj13" target="_blank"&gt;https://doi.org/10.7939/r3-bm8f-yj13&lt;/a&gt;&lt;span style="color:white"&gt;[.]{#foca_2021}}&lt;/span&gt;&lt;/div&gt;&lt;br&gt;</v>
      </c>
      <c r="O148" s="65" t="str">
        <f>"{{ rtxt_"&amp;F148&amp;" }}"</f>
        <v>{{ rtxt_foca_2021 }}</v>
      </c>
      <c r="P148" s="65" t="str">
        <f>"{{ rbib_"&amp;F148&amp;" }}"</f>
        <v>{{ rbib_foca_2021 }}</v>
      </c>
      <c r="Q148" s="65" t="str">
        <f>"    rtxt_"&amp;F148&amp;": "&amp;""""&amp;"&lt;a href=\"&amp;""""&amp;"/08_references.html#"&amp;F148&amp;"\"&amp;""""&amp;" target=\"&amp;""""&amp;"_blank\"&amp;""""&amp;"&gt;"&amp;G148&amp;"&lt;/a&gt;"&amp;""""</f>
        <v xml:space="preserve">    rtxt_foca_2021: "&lt;a href=\"/08_references.html#foca_2021\" target=\"_blank\"&gt;Foca, 2021&lt;/a&gt;"</v>
      </c>
      <c r="R148" s="65" t="str">
        <f>"    rbib_"&amp;F148&amp;": "&amp;""""&amp;K148&amp;"&lt;a href=\"&amp;""""&amp;L148&amp;""""&amp;" target=\"&amp;""""&amp;"_blank\"&amp;""""&amp;"&gt;"&amp;L148&amp;"&lt;/a&gt;"&amp;""""</f>
        <v xml:space="preserve">    rbib_foca_2021: "Foca, J. M. (2021). &lt;i&gt;Camera Traps for Evaluating Ungulate Densities and Interspecific Interactions in the Beaver Hills Region of Alberta&lt;/i&gt;. [Master's thesis, University of Alberta].&lt;a href=\"https://doi.org/10.7939/r3-bm8f-yj13" target=\"_blank\"&gt;https://doi.org/10.7939/r3-bm8f-yj13&lt;/a&gt;"</v>
      </c>
      <c r="S148" s="65" t="str">
        <f>"    rbib_"&amp;F148&amp;": "&amp;""""&amp;"&lt;div class=\"&amp;""""&amp;"hanging\"&amp;""""&amp;"&gt;"&amp;J148&amp;"&lt;/div&gt;"&amp;""""</f>
        <v xml:space="preserve">    rbib_foca_2021: "&lt;div class=\"hanging\"&gt;Foca, J. M. (2021). *Camera Traps for Evaluating Ungulate Densities and Interspecific Interactions in the Beaver Hills Region of Alberta*. [Master's thesis, University of Alberta]. &lt;https://doi.org/10.7939/r3-bm8f-yj13&gt;&lt;/div&gt;"</v>
      </c>
      <c r="T148" s="65"/>
    </row>
    <row r="149" spans="1:20" ht="15.75">
      <c r="A149" s="65"/>
      <c r="B149" s="155"/>
      <c r="C149" s="155"/>
      <c r="D149" s="155"/>
      <c r="E149" s="65" t="s">
        <v>1904</v>
      </c>
      <c r="F149" s="65" t="s">
        <v>3377</v>
      </c>
      <c r="G149" s="65" t="s">
        <v>3376</v>
      </c>
      <c r="H149" s="65" t="s">
        <v>3376</v>
      </c>
      <c r="I149" s="65" t="b">
        <v>1</v>
      </c>
      <c r="J149" s="65" t="s">
        <v>3375</v>
      </c>
      <c r="K149" s="65" t="s">
        <v>5204</v>
      </c>
      <c r="L149" s="65" t="s">
        <v>3374</v>
      </c>
      <c r="M149" s="65" t="s">
        <v>984</v>
      </c>
      <c r="N149" s="65" t="str">
        <f>"&lt;div class="&amp;""""&amp;"hanging"&amp;""""&amp;"&gt;"&amp;K149&amp;"&lt;a href="&amp;""""&amp;L149&amp;""""&amp;" target="&amp;""""&amp;"_blank"&amp;""""&amp;"&gt;"&amp;L149&amp;"&lt;/a&gt;&lt;span style="&amp;""""&amp;"color:white"&amp;""""&amp;"&gt;[.]{#"&amp;F149&amp;"}}&lt;/span&gt;&lt;/div&gt;&lt;br&gt;"</f>
        <v>&lt;div class="hanging"&gt;Ford, A. T., Sunter, E. J., Fauvelle, C., Bradshaw, J. L., Ford, B., Hutchen, J., Phillipow, N., &amp; Teichman, K. J. (2020). Effective corridor width: Linking the spatial ecology of wildlife with land use policy. &lt;i&gt;European Journal of Wildlife Research, 66&lt;/i&gt;(4), 69.&lt;a href="https://doi.org/10.1007/s10344-020-01385-y" target="_blank"&gt;https://doi.org/10.1007/s10344-020-01385-y&lt;/a&gt;&lt;span style="color:white"&gt;[.]{#ford_et_al_2020}}&lt;/span&gt;&lt;/div&gt;&lt;br&gt;</v>
      </c>
      <c r="O149" s="65" t="str">
        <f>"{{ rtxt_"&amp;F149&amp;" }}"</f>
        <v>{{ rtxt_ford_et_al_2020 }}</v>
      </c>
      <c r="P149" s="65" t="str">
        <f>"{{ rbib_"&amp;F149&amp;" }}"</f>
        <v>{{ rbib_ford_et_al_2020 }}</v>
      </c>
      <c r="Q149" s="65" t="str">
        <f>"    rtxt_"&amp;F149&amp;": "&amp;""""&amp;"&lt;a href=\"&amp;""""&amp;"/08_references.html#"&amp;F149&amp;"\"&amp;""""&amp;" target=\"&amp;""""&amp;"_blank\"&amp;""""&amp;"&gt;"&amp;G149&amp;"&lt;/a&gt;"&amp;""""</f>
        <v xml:space="preserve">    rtxt_ford_et_al_2020: "&lt;a href=\"/08_references.html#ford_et_al_2020\" target=\"_blank\"&gt;Ford et al., 2020&lt;/a&gt;"</v>
      </c>
      <c r="R149" s="65" t="str">
        <f>"    rbib_"&amp;F149&amp;": "&amp;""""&amp;K149&amp;"&lt;a href=\"&amp;""""&amp;L149&amp;""""&amp;" target=\"&amp;""""&amp;"_blank\"&amp;""""&amp;"&gt;"&amp;L149&amp;"&lt;/a&gt;"&amp;""""</f>
        <v xml:space="preserve">    rbib_ford_et_al_2020: "Ford, A. T., Sunter, E. J., Fauvelle, C., Bradshaw, J. L., Ford, B., Hutchen, J., Phillipow, N., &amp; Teichman, K. J. (2020). Effective corridor width: Linking the spatial ecology of wildlife with land use policy. &lt;i&gt;European Journal of Wildlife Research, 66&lt;/i&gt;(4), 69.&lt;a href=\"https://doi.org/10.1007/s10344-020-01385-y" target=\"_blank\"&gt;https://doi.org/10.1007/s10344-020-01385-y&lt;/a&gt;"</v>
      </c>
      <c r="S149" s="65" t="str">
        <f>"    rbib_"&amp;F149&amp;": "&amp;""""&amp;"&lt;div class=\"&amp;""""&amp;"hanging\"&amp;""""&amp;"&gt;"&amp;J149&amp;"&lt;/div&gt;"&amp;""""</f>
        <v xml:space="preserve">    rbib_ford_et_al_2020: "&lt;div class=\"hanging\"&gt;Ford, A. T., Sunter, E. J., Fauvelle, C., Bradshaw, J. L., Ford, B., Hutchen, J., Phillipow, N., &amp; Teichman, K. J. (2020). Effective corridor width: Linking the spatial ecology of wildlife with land use policy. *European Journal of Wildlife Research, 66*(4), 69. &lt;https://doi.org/10.1007/s10344-020-01385-y&gt;&lt;/div&gt;"</v>
      </c>
      <c r="T149" s="65"/>
    </row>
    <row r="150" spans="1:20" ht="15.75">
      <c r="A150" s="65"/>
      <c r="B150" s="155" t="b">
        <v>1</v>
      </c>
      <c r="C150" s="155" t="b">
        <v>1</v>
      </c>
      <c r="D150" s="155" t="b">
        <v>0</v>
      </c>
      <c r="E150" s="65" t="s">
        <v>1904</v>
      </c>
      <c r="F150" s="65" t="s">
        <v>3373</v>
      </c>
      <c r="G150" s="65" t="s">
        <v>3372</v>
      </c>
      <c r="H150" s="65" t="s">
        <v>3372</v>
      </c>
      <c r="I150" s="65" t="b">
        <v>1</v>
      </c>
      <c r="J150" s="65" t="s">
        <v>3371</v>
      </c>
      <c r="K150" s="65" t="s">
        <v>5411</v>
      </c>
      <c r="L150" s="65" t="s">
        <v>3370</v>
      </c>
      <c r="M150" s="65" t="s">
        <v>984</v>
      </c>
      <c r="N150" s="65" t="str">
        <f>"&lt;div class="&amp;""""&amp;"hanging"&amp;""""&amp;"&gt;"&amp;K150&amp;"&lt;a href="&amp;""""&amp;L150&amp;""""&amp;" target="&amp;""""&amp;"_blank"&amp;""""&amp;"&gt;"&amp;L150&amp;"&lt;/a&gt;&lt;span style="&amp;""""&amp;"color:white"&amp;""""&amp;"&gt;[.]{#"&amp;F150&amp;"}}&lt;/span&gt;&lt;/div&gt;&lt;br&gt;"</f>
        <v>&lt;div class="hanging"&gt;Forrester, T., O'Brien, T., Fegraus, E., Jansen, P. A., Palmer, J., Kays, R., Ahumada, J., Stern, B., &amp; McShea, W. (2016). An Open Standard for Camera Trap Data. &lt;i&gt;Biodiversity Data Journal, 4&lt;/i&gt;, e10197.&lt;a href="https://doi.org/10.3897/BDJ.4.e10197" target="_blank"&gt;https://doi.org/10.3897/BDJ.4.e10197&lt;/a&gt;&lt;span style="color:white"&gt;[.]{#forrester_et_al_2016}}&lt;/span&gt;&lt;/div&gt;&lt;br&gt;</v>
      </c>
      <c r="O150" s="65" t="str">
        <f>"{{ rtxt_"&amp;F150&amp;" }}"</f>
        <v>{{ rtxt_forrester_et_al_2016 }}</v>
      </c>
      <c r="P150" s="65" t="str">
        <f>"{{ rbib_"&amp;F150&amp;" }}"</f>
        <v>{{ rbib_forrester_et_al_2016 }}</v>
      </c>
      <c r="Q150" s="65" t="str">
        <f>"    rtxt_"&amp;F150&amp;": "&amp;""""&amp;"&lt;a href=\"&amp;""""&amp;"/08_references.html#"&amp;F150&amp;"\"&amp;""""&amp;" target=\"&amp;""""&amp;"_blank\"&amp;""""&amp;"&gt;"&amp;G150&amp;"&lt;/a&gt;"&amp;""""</f>
        <v xml:space="preserve">    rtxt_forrester_et_al_2016: "&lt;a href=\"/08_references.html#forrester_et_al_2016\" target=\"_blank\"&gt;Forrester et al., 2016&lt;/a&gt;"</v>
      </c>
      <c r="R150" s="65" t="str">
        <f>"    rbib_"&amp;F150&amp;": "&amp;""""&amp;K150&amp;"&lt;a href=\"&amp;""""&amp;L150&amp;""""&amp;" target=\"&amp;""""&amp;"_blank\"&amp;""""&amp;"&gt;"&amp;L150&amp;"&lt;/a&gt;"&amp;""""</f>
        <v xml:space="preserve">    rbib_forrester_et_al_2016: "Forrester, T., O'Brien, T., Fegraus, E., Jansen, P. A., Palmer, J., Kays, R., Ahumada, J., Stern, B., &amp; McShea, W. (2016). An Open Standard for Camera Trap Data. &lt;i&gt;Biodiversity Data Journal, 4&lt;/i&gt;, e10197.&lt;a href=\"https://doi.org/10.3897/BDJ.4.e10197" target=\"_blank\"&gt;https://doi.org/10.3897/BDJ.4.e10197&lt;/a&gt;"</v>
      </c>
      <c r="S150" s="65" t="str">
        <f>"    rbib_"&amp;F150&amp;": "&amp;""""&amp;"&lt;div class=\"&amp;""""&amp;"hanging\"&amp;""""&amp;"&gt;"&amp;J150&amp;"&lt;/div&gt;"&amp;""""</f>
        <v xml:space="preserve">    rbib_forrester_et_al_2016: "&lt;div class=\"hanging\"&gt;Forrester, T., O'Brien, T., Fegraus, E., Jansen, P. A., Palmer, J., Kays, R., Ahumada, J., Stern, B., &amp; McShea, W. (2016). An Open Standard for Camera Trap Data. *Biodiversity Data Journal, 4*, e10197. &lt;https://doi.org/10.3897/BDJ.4.e10197&gt;&lt;/div&gt;"</v>
      </c>
      <c r="T150" s="65"/>
    </row>
    <row r="151" spans="1:20" ht="15.75">
      <c r="A151" s="65"/>
      <c r="B151" s="155" t="b">
        <v>1</v>
      </c>
      <c r="C151" s="155" t="b">
        <v>0</v>
      </c>
      <c r="D151" s="155" t="b">
        <v>0</v>
      </c>
      <c r="E151" s="65" t="s">
        <v>1904</v>
      </c>
      <c r="F151" s="65" t="s">
        <v>3369</v>
      </c>
      <c r="G151" s="65" t="s">
        <v>3368</v>
      </c>
      <c r="H151" s="65" t="s">
        <v>3368</v>
      </c>
      <c r="I151" s="65" t="b">
        <v>1</v>
      </c>
      <c r="J151" s="65" t="s">
        <v>3367</v>
      </c>
      <c r="K151" s="65" t="s">
        <v>6098</v>
      </c>
      <c r="L151" s="65" t="s">
        <v>3366</v>
      </c>
      <c r="M151" s="65" t="s">
        <v>984</v>
      </c>
      <c r="N151" s="65" t="str">
        <f>"&lt;div class="&amp;""""&amp;"hanging"&amp;""""&amp;"&gt;"&amp;K151&amp;"&lt;a href="&amp;""""&amp;L151&amp;""""&amp;" target="&amp;""""&amp;"_blank"&amp;""""&amp;"&gt;"&amp;L151&amp;"&lt;/a&gt;&lt;span style="&amp;""""&amp;"color:white"&amp;""""&amp;"&gt;[.]{#"&amp;F151&amp;"}}&lt;/span&gt;&lt;/div&gt;&lt;br&gt;"</f>
        <v>&lt;div class="hanging"&gt;Foster, R. J., &amp; Harmsen, B. J. (2012). A Critique of Density Estimation from Camera Trap Data. &lt;i&gt;Journal of Wildlife Management, 76&lt;/i&gt;(2), 224-36.&lt;a href="https://doi.org/10.1002/jwmg.275" target="_blank"&gt;https://doi.org/10.1002/jwmg.275&lt;/a&gt;&lt;span style="color:white"&gt;[.]{#foster_harmsen_2012}}&lt;/span&gt;&lt;/div&gt;&lt;br&gt;</v>
      </c>
      <c r="O151" s="65" t="str">
        <f>"{{ rtxt_"&amp;F151&amp;" }}"</f>
        <v>{{ rtxt_foster_harmsen_2012 }}</v>
      </c>
      <c r="P151" s="65" t="str">
        <f>"{{ rbib_"&amp;F151&amp;" }}"</f>
        <v>{{ rbib_foster_harmsen_2012 }}</v>
      </c>
      <c r="Q151" s="65" t="str">
        <f>"    rtxt_"&amp;F151&amp;": "&amp;""""&amp;"&lt;a href=\"&amp;""""&amp;"/08_references.html#"&amp;F151&amp;"\"&amp;""""&amp;" target=\"&amp;""""&amp;"_blank\"&amp;""""&amp;"&gt;"&amp;G151&amp;"&lt;/a&gt;"&amp;""""</f>
        <v xml:space="preserve">    rtxt_foster_harmsen_2012: "&lt;a href=\"/08_references.html#foster_harmsen_2012\" target=\"_blank\"&gt;Foster &amp; Harmsen, 2012&lt;/a&gt;"</v>
      </c>
      <c r="R151" s="65" t="str">
        <f>"    rbib_"&amp;F151&amp;": "&amp;""""&amp;K151&amp;"&lt;a href=\"&amp;""""&amp;L151&amp;""""&amp;" target=\"&amp;""""&amp;"_blank\"&amp;""""&amp;"&gt;"&amp;L151&amp;"&lt;/a&gt;"&amp;""""</f>
        <v xml:space="preserve">    rbib_foster_harmsen_2012: "Foster, R. J., &amp; Harmsen, B. J. (2012). A Critique of Density Estimation from Camera Trap Data. &lt;i&gt;Journal of Wildlife Management, 76&lt;/i&gt;(2), 224-36.&lt;a href=\"https://doi.org/10.1002/jwmg.275" target=\"_blank\"&gt;https://doi.org/10.1002/jwmg.275&lt;/a&gt;"</v>
      </c>
      <c r="S151" s="65" t="str">
        <f>"    rbib_"&amp;F151&amp;": "&amp;""""&amp;"&lt;div class=\"&amp;""""&amp;"hanging\"&amp;""""&amp;"&gt;"&amp;J151&amp;"&lt;/div&gt;"&amp;""""</f>
        <v xml:space="preserve">    rbib_foster_harmsen_2012: "&lt;div class=\"hanging\"&gt;Foster, R. J., &amp; Harmsen, B. J. (2012). A Critique of Density Estimation from Camera Trap Data. *Journal of* *Wildlife Management, 76*(2), 224-36. &lt;https://doi.org/10.1002/jwmg.275&gt;&lt;/div&gt;"</v>
      </c>
      <c r="T151" s="65"/>
    </row>
    <row r="152" spans="1:20" ht="15.75">
      <c r="A152" s="65"/>
      <c r="B152" s="155" t="b">
        <v>1</v>
      </c>
      <c r="C152" s="155" t="b">
        <v>0</v>
      </c>
      <c r="D152" s="155" t="b">
        <v>0</v>
      </c>
      <c r="E152" s="65" t="s">
        <v>1904</v>
      </c>
      <c r="F152" s="65" t="s">
        <v>3365</v>
      </c>
      <c r="G152" s="65" t="s">
        <v>3364</v>
      </c>
      <c r="H152" s="65" t="s">
        <v>3364</v>
      </c>
      <c r="I152" s="65" t="b">
        <v>1</v>
      </c>
      <c r="J152" s="65" t="s">
        <v>3363</v>
      </c>
      <c r="K152" s="65" t="s">
        <v>5127</v>
      </c>
      <c r="L152" s="65" t="s">
        <v>3362</v>
      </c>
      <c r="M152" s="65" t="s">
        <v>984</v>
      </c>
      <c r="N152" s="65" t="str">
        <f>"&lt;div class="&amp;""""&amp;"hanging"&amp;""""&amp;"&gt;"&amp;K152&amp;"&lt;a href="&amp;""""&amp;L152&amp;""""&amp;" target="&amp;""""&amp;"_blank"&amp;""""&amp;"&gt;"&amp;L152&amp;"&lt;/a&gt;&lt;span style="&amp;""""&amp;"color:white"&amp;""""&amp;"&gt;[.]{#"&amp;F152&amp;"}}&lt;/span&gt;&lt;/div&gt;&lt;br&gt;"</f>
        <v>&lt;div class="hanging"&gt;Found, R., &amp; Patterson, B. R. (2020). Assessing Ungulate Populations in Temperate North America. &lt;i&gt;Canadian Wildlife Biology and Management, 9&lt;/i&gt;(1), 21-42.&lt;a href="https://cwbm.ca/wp-content/uploads/2020/05/Found-Patterson.pdf" target="_blank"&gt;https://cwbm.ca/wp-content/uploads/2020/05/Found-Patterson.pdf&lt;/a&gt;&lt;span style="color:white"&gt;[.]{#found_patterson_2020}}&lt;/span&gt;&lt;/div&gt;&lt;br&gt;</v>
      </c>
      <c r="O152" s="65" t="str">
        <f>"{{ rtxt_"&amp;F152&amp;" }}"</f>
        <v>{{ rtxt_found_patterson_2020 }}</v>
      </c>
      <c r="P152" s="65" t="str">
        <f>"{{ rbib_"&amp;F152&amp;" }}"</f>
        <v>{{ rbib_found_patterson_2020 }}</v>
      </c>
      <c r="Q152" s="65" t="str">
        <f>"    rtxt_"&amp;F152&amp;": "&amp;""""&amp;"&lt;a href=\"&amp;""""&amp;"/08_references.html#"&amp;F152&amp;"\"&amp;""""&amp;" target=\"&amp;""""&amp;"_blank\"&amp;""""&amp;"&gt;"&amp;G152&amp;"&lt;/a&gt;"&amp;""""</f>
        <v xml:space="preserve">    rtxt_found_patterson_2020: "&lt;a href=\"/08_references.html#found_patterson_2020\" target=\"_blank\"&gt;Found &amp; Patterson, 2020&lt;/a&gt;"</v>
      </c>
      <c r="R152" s="65" t="str">
        <f>"    rbib_"&amp;F152&amp;": "&amp;""""&amp;K152&amp;"&lt;a href=\"&amp;""""&amp;L152&amp;""""&amp;" target=\"&amp;""""&amp;"_blank\"&amp;""""&amp;"&gt;"&amp;L152&amp;"&lt;/a&gt;"&amp;""""</f>
        <v xml:space="preserve">    rbib_found_patterson_2020: "Found, R., &amp; Patterson, B. R. (2020). Assessing Ungulate Populations in Temperate North America. &lt;i&gt;Canadian Wildlife Biology and Management, 9&lt;/i&gt;(1), 21-42.&lt;a href=\"https://cwbm.ca/wp-content/uploads/2020/05/Found-Patterson.pdf" target=\"_blank\"&gt;https://cwbm.ca/wp-content/uploads/2020/05/Found-Patterson.pdf&lt;/a&gt;"</v>
      </c>
      <c r="S152" s="65" t="str">
        <f>"    rbib_"&amp;F152&amp;": "&amp;""""&amp;"&lt;div class=\"&amp;""""&amp;"hanging\"&amp;""""&amp;"&gt;"&amp;J152&amp;"&lt;/div&gt;"&amp;""""</f>
        <v xml:space="preserve">    rbib_found_patterson_2020: "&lt;div class=\"hanging\"&gt;Found, R., &amp; Patterson, B. R. (2020). Assessing Ungulate Populations in Temperate North America. *Canadian Wildlife Biology and Management, 9*(1), 21-42. &lt;https://cwbm.ca/wp-content/uploads/2020/05/Found-Patterson.pdf&gt;&lt;/div&gt;"</v>
      </c>
      <c r="T152" s="65"/>
    </row>
    <row r="153" spans="1:20" ht="15.75">
      <c r="A153" s="65"/>
      <c r="B153" s="155" t="b">
        <v>0</v>
      </c>
      <c r="C153" s="155" t="b">
        <v>0</v>
      </c>
      <c r="D153" s="155"/>
      <c r="E153" s="65" t="s">
        <v>1904</v>
      </c>
      <c r="F153" s="65" t="s">
        <v>3361</v>
      </c>
      <c r="G153" s="65" t="s">
        <v>3360</v>
      </c>
      <c r="H153" s="65" t="s">
        <v>3360</v>
      </c>
      <c r="I153" s="65" t="b">
        <v>1</v>
      </c>
      <c r="J153" s="65" t="s">
        <v>3359</v>
      </c>
      <c r="K153" s="65" t="s">
        <v>5348</v>
      </c>
      <c r="L153" s="65" t="s">
        <v>3358</v>
      </c>
      <c r="M153" s="65" t="s">
        <v>984</v>
      </c>
      <c r="N153" s="65" t="str">
        <f>"&lt;div class="&amp;""""&amp;"hanging"&amp;""""&amp;"&gt;"&amp;K153&amp;"&lt;a href="&amp;""""&amp;L153&amp;""""&amp;" target="&amp;""""&amp;"_blank"&amp;""""&amp;"&gt;"&amp;L153&amp;"&lt;/a&gt;&lt;span style="&amp;""""&amp;"color:white"&amp;""""&amp;"&gt;[.]{#"&amp;F153&amp;"}}&lt;/span&gt;&lt;/div&gt;&lt;br&gt;"</f>
        <v>&lt;div class="hanging"&gt;Frampton, G., Whaley, P., Bennett, M., Bilotta, G., Dorne, J. L. C. M., Eales, J., James, K., Kohl, C., Land, M., Livoreil, B., Makowski, D., Muchiri, E., Petrokofsky, G., Randall, N., &amp; Schofield, K. (2022). Principles and framework for assessing the risk of bias for studies included in comparative quantitative environmental systematic reviews. &lt;i&gt;Environmental Evidence, 11&lt;/i&gt;(1), 12.&lt;a href="https://doi.org/10.1186/s13750-022-00264-0" target="_blank"&gt;https://doi.org/10.1186/s13750-022-00264-0&lt;/a&gt;&lt;span style="color:white"&gt;[.]{#frampton_et_al_2022}}&lt;/span&gt;&lt;/div&gt;&lt;br&gt;</v>
      </c>
      <c r="O153" s="65" t="str">
        <f>"{{ rtxt_"&amp;F153&amp;" }}"</f>
        <v>{{ rtxt_frampton_et_al_2022 }}</v>
      </c>
      <c r="P153" s="65" t="str">
        <f>"{{ rbib_"&amp;F153&amp;" }}"</f>
        <v>{{ rbib_frampton_et_al_2022 }}</v>
      </c>
      <c r="Q153" s="65" t="str">
        <f>"    rtxt_"&amp;F153&amp;": "&amp;""""&amp;"&lt;a href=\"&amp;""""&amp;"/08_references.html#"&amp;F153&amp;"\"&amp;""""&amp;" target=\"&amp;""""&amp;"_blank\"&amp;""""&amp;"&gt;"&amp;G153&amp;"&lt;/a&gt;"&amp;""""</f>
        <v xml:space="preserve">    rtxt_frampton_et_al_2022: "&lt;a href=\"/08_references.html#frampton_et_al_2022\" target=\"_blank\"&gt;Frampton et al., 2022&lt;/a&gt;"</v>
      </c>
      <c r="R153" s="65" t="str">
        <f>"    rbib_"&amp;F153&amp;": "&amp;""""&amp;K153&amp;"&lt;a href=\"&amp;""""&amp;L153&amp;""""&amp;" target=\"&amp;""""&amp;"_blank\"&amp;""""&amp;"&gt;"&amp;L153&amp;"&lt;/a&gt;"&amp;""""</f>
        <v xml:space="preserve">    rbib_frampton_et_al_2022: "Frampton, G., Whaley, P., Bennett, M., Bilotta, G., Dorne, J. L. C. M., Eales, J., James, K., Kohl, C., Land, M., Livoreil, B., Makowski, D., Muchiri, E., Petrokofsky, G., Randall, N., &amp; Schofield, K. (2022). Principles and framework for assessing the risk of bias for studies included in comparative quantitative environmental systematic reviews. &lt;i&gt;Environmental Evidence, 11&lt;/i&gt;(1), 12.&lt;a href=\"https://doi.org/10.1186/s13750-022-00264-0" target=\"_blank\"&gt;https://doi.org/10.1186/s13750-022-00264-0&lt;/a&gt;"</v>
      </c>
      <c r="S153" s="65" t="str">
        <f>"    rbib_"&amp;F153&amp;": "&amp;""""&amp;"&lt;div class=\"&amp;""""&amp;"hanging\"&amp;""""&amp;"&gt;"&amp;J153&amp;"&lt;/div&gt;"&amp;""""</f>
        <v xml:space="preserve">    rbib_frampton_et_al_2022: "&lt;div class=\"hanging\"&gt;Frampton, G., Whaley, P., Bennett, M., Bilotta, G., Dorne, J. L. C. M., Eales, J., James, K., Kohl, C., Land, M., Livoreil, B., Makowski, D., Muchiri, E., Petrokofsky, G., Randall, N., &amp; Schofield, K. (2022). Principles and framework for assessing the risk of bias for studies included in comparative quantitative environmental systematic reviews. *Environmental Evidence, 11*(1), 12. &lt;https://doi.org/10.1186/s13750-022-00264-0&gt;&lt;/div&gt;"</v>
      </c>
      <c r="T153" s="65"/>
    </row>
    <row r="154" spans="1:20" ht="15.75">
      <c r="A154" s="65"/>
      <c r="B154" s="155"/>
      <c r="C154" s="155"/>
      <c r="D154" s="155"/>
      <c r="E154" s="65" t="s">
        <v>2246</v>
      </c>
      <c r="F154" s="65" t="s">
        <v>3357</v>
      </c>
      <c r="G154" s="65" t="s">
        <v>3356</v>
      </c>
      <c r="H154" s="65"/>
      <c r="I154" s="65" t="b">
        <v>1</v>
      </c>
      <c r="J154" s="65" t="s">
        <v>3355</v>
      </c>
      <c r="K154" s="65" t="s">
        <v>5485</v>
      </c>
      <c r="L154" s="65" t="s">
        <v>3354</v>
      </c>
      <c r="M154" s="65" t="s">
        <v>984</v>
      </c>
      <c r="N154" s="65" t="str">
        <f>"&lt;div class="&amp;""""&amp;"hanging"&amp;""""&amp;"&gt;"&amp;K154&amp;"&lt;a href="&amp;""""&amp;L154&amp;""""&amp;" target="&amp;""""&amp;"_blank"&amp;""""&amp;"&gt;"&amp;L154&amp;"&lt;/a&gt;&lt;span style="&amp;""""&amp;"color:white"&amp;""""&amp;"&gt;[.]{#"&amp;F154&amp;"}}&lt;/span&gt;&lt;/div&gt;&lt;br&gt;"</f>
        <v>&lt;div class="hanging"&gt;Freeman, E. A. &amp; Moisen, G. (2008). PresenceAbsence: An R Package for Presence Absence Analysis. &lt;i&gt;Journal of Statistical Software, 23&lt;/i&gt;(11).&lt;a href="https://www.fs.usda.gov/rm/pubs_other/rmrs_2008_freeman_e001.pdf" target="_blank"&gt;https://www.fs.usda.gov/rm/pubs_other/rmrs_2008_freeman_e001.pdf&lt;/a&gt;&lt;span style="color:white"&gt;[.]{#freeman_gretchen_2008}}&lt;/span&gt;&lt;/div&gt;&lt;br&gt;</v>
      </c>
      <c r="O154" s="65" t="str">
        <f>"{{ rtxt_"&amp;F154&amp;" }}"</f>
        <v>{{ rtxt_freeman_gretchen_2008 }}</v>
      </c>
      <c r="P154" s="65" t="str">
        <f>"{{ rbib_"&amp;F154&amp;" }}"</f>
        <v>{{ rbib_freeman_gretchen_2008 }}</v>
      </c>
      <c r="Q154" s="65" t="str">
        <f>"    rtxt_"&amp;F154&amp;": "&amp;""""&amp;"&lt;a href=\"&amp;""""&amp;"/08_references.html#"&amp;F154&amp;"\"&amp;""""&amp;" target=\"&amp;""""&amp;"_blank\"&amp;""""&amp;"&gt;"&amp;G154&amp;"&lt;/a&gt;"&amp;""""</f>
        <v xml:space="preserve">    rtxt_freeman_gretchen_2008: "&lt;a href=\"/08_references.html#freeman_gretchen_2008\" target=\"_blank\"&gt;Freeman &amp; Moisen, 2008&lt;/a&gt;"</v>
      </c>
      <c r="R154" s="65" t="str">
        <f>"    rbib_"&amp;F154&amp;": "&amp;""""&amp;K154&amp;"&lt;a href=\"&amp;""""&amp;L154&amp;""""&amp;" target=\"&amp;""""&amp;"_blank\"&amp;""""&amp;"&gt;"&amp;L154&amp;"&lt;/a&gt;"&amp;""""</f>
        <v xml:space="preserve">    rbib_freeman_gretchen_2008: "Freeman, E. A. &amp; Moisen, G. (2008). PresenceAbsence: An R Package for Presence Absence Analysis. &lt;i&gt;Journal of Statistical Software, 23&lt;/i&gt;(11).&lt;a href=\"https://www.fs.usda.gov/rm/pubs_other/rmrs_2008_freeman_e001.pdf" target=\"_blank\"&gt;https://www.fs.usda.gov/rm/pubs_other/rmrs_2008_freeman_e001.pdf&lt;/a&gt;"</v>
      </c>
      <c r="S154" s="65" t="str">
        <f>"    rbib_"&amp;F154&amp;": "&amp;""""&amp;"&lt;div class=\"&amp;""""&amp;"hanging\"&amp;""""&amp;"&gt;"&amp;J154&amp;"&lt;/div&gt;"&amp;""""</f>
        <v xml:space="preserve">    rbib_freeman_gretchen_2008: "&lt;div class=\"hanging\"&gt;Freeman, E. A. &amp; Moisen, G. (2008). PresenceAbsence: An R Package for Presence Absence Analysis. *Journal of Statistical Software, 23*(11). &lt;https://www.fs.usda.gov/rm/pubs_other/rmrs_2008_freeman_e001.pdf&gt;&lt;/div&gt;"</v>
      </c>
      <c r="T154" s="65"/>
    </row>
    <row r="155" spans="1:20" ht="15.75">
      <c r="A155" s="65"/>
      <c r="B155" s="155" t="b">
        <v>1</v>
      </c>
      <c r="C155" s="155" t="b">
        <v>1</v>
      </c>
      <c r="D155" s="155" t="b">
        <v>0</v>
      </c>
      <c r="E155" s="65" t="s">
        <v>1904</v>
      </c>
      <c r="F155" s="65" t="s">
        <v>3353</v>
      </c>
      <c r="G155" s="65" t="s">
        <v>3352</v>
      </c>
      <c r="H155" s="65" t="s">
        <v>3352</v>
      </c>
      <c r="I155" s="65" t="b">
        <v>1</v>
      </c>
      <c r="J155" s="65" t="s">
        <v>3351</v>
      </c>
      <c r="K155" s="65" t="s">
        <v>5558</v>
      </c>
      <c r="L155" s="65" t="s">
        <v>3350</v>
      </c>
      <c r="M155" s="65" t="s">
        <v>984</v>
      </c>
      <c r="N155" s="65" t="str">
        <f>"&lt;div class="&amp;""""&amp;"hanging"&amp;""""&amp;"&gt;"&amp;K155&amp;"&lt;a href="&amp;""""&amp;L155&amp;""""&amp;" target="&amp;""""&amp;"_blank"&amp;""""&amp;"&gt;"&amp;L155&amp;"&lt;/a&gt;&lt;span style="&amp;""""&amp;"color:white"&amp;""""&amp;"&gt;[.]{#"&amp;F155&amp;"}}&lt;/span&gt;&lt;/div&gt;&lt;br&gt;"</f>
        <v>&lt;div class="hanging"&gt;Frey, S., Fisher, J. T., Burton, A. C., &amp; Volpe, J. P. (2017). Investigating Animal Activity Patterns and Temporal Niche Partitioning using Camera-Trap Data: Challenges and Opportunities. &lt;i&gt;Remote Sensing in Ecology and Conservation, 3&lt;/i&gt; (3), 123-132.&lt;a href="https://zslpublications.onlinelibrary.wiley.com/doi/10.1002/rse2.60" target="_blank"&gt;https://zslpublications.onlinelibrary.wiley.com/doi/10.1002/rse2.60&lt;/a&gt;&lt;span style="color:white"&gt;[.]{#frey_et_al_2017}}&lt;/span&gt;&lt;/div&gt;&lt;br&gt;</v>
      </c>
      <c r="O155" s="65" t="str">
        <f>"{{ rtxt_"&amp;F155&amp;" }}"</f>
        <v>{{ rtxt_frey_et_al_2017 }}</v>
      </c>
      <c r="P155" s="65" t="str">
        <f>"{{ rbib_"&amp;F155&amp;" }}"</f>
        <v>{{ rbib_frey_et_al_2017 }}</v>
      </c>
      <c r="Q155" s="65" t="str">
        <f>"    rtxt_"&amp;F155&amp;": "&amp;""""&amp;"&lt;a href=\"&amp;""""&amp;"/08_references.html#"&amp;F155&amp;"\"&amp;""""&amp;" target=\"&amp;""""&amp;"_blank\"&amp;""""&amp;"&gt;"&amp;G155&amp;"&lt;/a&gt;"&amp;""""</f>
        <v xml:space="preserve">    rtxt_frey_et_al_2017: "&lt;a href=\"/08_references.html#frey_et_al_2017\" target=\"_blank\"&gt;Frey et al., 2017&lt;/a&gt;"</v>
      </c>
      <c r="R155" s="65" t="str">
        <f>"    rbib_"&amp;F155&amp;": "&amp;""""&amp;K155&amp;"&lt;a href=\"&amp;""""&amp;L155&amp;""""&amp;" target=\"&amp;""""&amp;"_blank\"&amp;""""&amp;"&gt;"&amp;L155&amp;"&lt;/a&gt;"&amp;""""</f>
        <v xml:space="preserve">    rbib_frey_et_al_2017: "Frey, S., Fisher, J. T., Burton, A. C., &amp; Volpe, J. P. (2017). Investigating Animal Activity Patterns and Temporal Niche Partitioning using Camera-Trap Data: Challenges and Opportunities. &lt;i&gt;Remote Sensing in Ecology and Conservation, 3&lt;/i&gt; (3), 123-132.&lt;a href=\"https://zslpublications.onlinelibrary.wiley.com/doi/10.1002/rse2.60" target=\"_blank\"&gt;https://zslpublications.onlinelibrary.wiley.com/doi/10.1002/rse2.60&lt;/a&gt;"</v>
      </c>
      <c r="S155" s="65" t="str">
        <f>"    rbib_"&amp;F155&amp;": "&amp;""""&amp;"&lt;div class=\"&amp;""""&amp;"hanging\"&amp;""""&amp;"&gt;"&amp;J155&amp;"&lt;/div&gt;"&amp;""""</f>
        <v xml:space="preserve">    rbib_frey_et_al_2017: "&lt;div class=\"hanging\"&gt;Frey, S., Fisher, J. T., Burton, A. C., &amp; Volpe, J. P. (2017). Investigating Animal Activity Patterns and Temporal Niche Partitioning using Camera-Trap Data: Challenges and Opportunities. *Remote Sensing in Ecology and Conservation, 3* (3), 123-132. &lt;https://zslpublications.onlinelibrary.wiley.com/doi/10.1002/rse2.60&gt;&lt;/div&gt;"</v>
      </c>
      <c r="T155" s="65"/>
    </row>
    <row r="156" spans="1:20" ht="15.75">
      <c r="A156" s="65"/>
      <c r="B156" s="155" t="b">
        <v>1</v>
      </c>
      <c r="C156" s="155" t="b">
        <v>0</v>
      </c>
      <c r="D156" s="155" t="b">
        <v>0</v>
      </c>
      <c r="E156" s="65" t="s">
        <v>1904</v>
      </c>
      <c r="F156" s="65" t="s">
        <v>3345</v>
      </c>
      <c r="G156" s="65" t="s">
        <v>3344</v>
      </c>
      <c r="H156" s="65" t="s">
        <v>3344</v>
      </c>
      <c r="I156" s="65" t="b">
        <v>1</v>
      </c>
      <c r="J156" s="65" t="s">
        <v>3343</v>
      </c>
      <c r="K156" s="65" t="s">
        <v>5416</v>
      </c>
      <c r="L156" s="65" t="s">
        <v>3342</v>
      </c>
      <c r="M156" s="65" t="s">
        <v>984</v>
      </c>
      <c r="N156" s="65" t="str">
        <f>"&lt;div class="&amp;""""&amp;"hanging"&amp;""""&amp;"&gt;"&amp;K156&amp;"&lt;a href="&amp;""""&amp;L156&amp;""""&amp;" target="&amp;""""&amp;"_blank"&amp;""""&amp;"&gt;"&amp;L156&amp;"&lt;/a&gt;&lt;span style="&amp;""""&amp;"color:white"&amp;""""&amp;"&gt;[.]{#"&amp;F156&amp;"}}&lt;/span&gt;&lt;/div&gt;&lt;br&gt;"</f>
        <v>&lt;div class="hanging"&gt;Gallo, T., Fidino, M., Gerber, B., Ahlers, A. A., Angstmann, J. L., Amaya, M., Concilio, A. L., Drake, D., Gay, D., Lehrer, E. W., Murray, M. H., Ryan, T. J., St Clair, C. C., Salsbury, C. M., Sander, H. A., Stankowich, T., Williamson, J., Belaire, J. A., Simon, K., &amp; Magle, S. B. (2022). Mammals Adjust Diel Activity across Gradients of Urbanization. &lt;i&gt;Elife, 11&lt;/i&gt;.&lt;a href="https://doi.org/10.7554/eLife.74756" target="_blank"&gt;https://doi.org/10.7554/eLife.74756&lt;/a&gt;&lt;span style="color:white"&gt;[.]{#gallo_et_al_2022}}&lt;/span&gt;&lt;/div&gt;&lt;br&gt;</v>
      </c>
      <c r="O156" s="65" t="str">
        <f>"{{ rtxt_"&amp;F156&amp;" }}"</f>
        <v>{{ rtxt_gallo_et_al_2022 }}</v>
      </c>
      <c r="P156" s="65" t="str">
        <f>"{{ rbib_"&amp;F156&amp;" }}"</f>
        <v>{{ rbib_gallo_et_al_2022 }}</v>
      </c>
      <c r="Q156" s="65" t="str">
        <f>"    rtxt_"&amp;F156&amp;": "&amp;""""&amp;"&lt;a href=\"&amp;""""&amp;"/08_references.html#"&amp;F156&amp;"\"&amp;""""&amp;" target=\"&amp;""""&amp;"_blank\"&amp;""""&amp;"&gt;"&amp;G156&amp;"&lt;/a&gt;"&amp;""""</f>
        <v xml:space="preserve">    rtxt_gallo_et_al_2022: "&lt;a href=\"/08_references.html#gallo_et_al_2022\" target=\"_blank\"&gt;Gallo et al., 2022&lt;/a&gt;"</v>
      </c>
      <c r="R156" s="65" t="str">
        <f>"    rbib_"&amp;F156&amp;": "&amp;""""&amp;K156&amp;"&lt;a href=\"&amp;""""&amp;L156&amp;""""&amp;" target=\"&amp;""""&amp;"_blank\"&amp;""""&amp;"&gt;"&amp;L156&amp;"&lt;/a&gt;"&amp;""""</f>
        <v xml:space="preserve">    rbib_gallo_et_al_2022: "Gallo, T., Fidino, M., Gerber, B., Ahlers, A. A., Angstmann, J. L., Amaya, M., Concilio, A. L., Drake, D., Gay, D., Lehrer, E. W., Murray, M. H., Ryan, T. J., St Clair, C. C., Salsbury, C. M., Sander, H. A., Stankowich, T., Williamson, J., Belaire, J. A., Simon, K., &amp; Magle, S. B. (2022). Mammals Adjust Diel Activity across Gradients of Urbanization. &lt;i&gt;Elife, 11&lt;/i&gt;.&lt;a href=\"https://doi.org/10.7554/eLife.74756" target=\"_blank\"&gt;https://doi.org/10.7554/eLife.74756&lt;/a&gt;"</v>
      </c>
      <c r="S156" s="65" t="str">
        <f>"    rbib_"&amp;F156&amp;": "&amp;""""&amp;"&lt;div class=\"&amp;""""&amp;"hanging\"&amp;""""&amp;"&gt;"&amp;J156&amp;"&lt;/div&gt;"&amp;""""</f>
        <v xml:space="preserve">    rbib_gallo_et_al_2022: "&lt;div class=\"hanging\"&gt;Gallo, T., Fidino, M., Gerber, B., Ahlers, A. A., Angstmann, J. L., Amaya, M., Concilio, A. L., Drake, D., Gay, D., Lehrer, E. W., Murray, M. H., Ryan, T. J., St Clair, C. C., Salsbury, C. M., Sander, H. A., Stankowich, T., Williamson, J., Belaire, J. A., Simon, K., &amp; Magle, S. B. (2022). Mammals Adjust Diel Activity across Gradients of Urbanization. *Elife, 11*. &lt;https://doi.org/10.7554/eLife.74756&gt;&lt;/div&gt;"</v>
      </c>
      <c r="T156" s="65"/>
    </row>
    <row r="157" spans="1:20" ht="15.75">
      <c r="A157" s="65"/>
      <c r="B157" s="155"/>
      <c r="C157" s="155"/>
      <c r="D157" s="155"/>
      <c r="E157" s="65" t="s">
        <v>1904</v>
      </c>
      <c r="F157" s="65" t="s">
        <v>3349</v>
      </c>
      <c r="G157" s="65" t="s">
        <v>3348</v>
      </c>
      <c r="H157" s="65" t="s">
        <v>3348</v>
      </c>
      <c r="I157" s="65" t="b">
        <v>1</v>
      </c>
      <c r="J157" s="65" t="s">
        <v>3347</v>
      </c>
      <c r="K157" s="65" t="s">
        <v>5276</v>
      </c>
      <c r="L157" s="65" t="s">
        <v>3346</v>
      </c>
      <c r="M157" s="65" t="s">
        <v>984</v>
      </c>
      <c r="N157" s="65" t="str">
        <f>"&lt;div class="&amp;""""&amp;"hanging"&amp;""""&amp;"&gt;"&amp;K157&amp;"&lt;a href="&amp;""""&amp;L157&amp;""""&amp;" target="&amp;""""&amp;"_blank"&amp;""""&amp;"&gt;"&amp;L157&amp;"&lt;/a&gt;&lt;span style="&amp;""""&amp;"color:white"&amp;""""&amp;"&gt;[.]{#"&amp;F157&amp;"}}&lt;/span&gt;&lt;/div&gt;&lt;br&gt;"</f>
        <v>&lt;div class="hanging"&gt;Gallo, T., Fidino, M., Lehrer, E. W., &amp; Magle, S. (2019). Urbanization Alters Predator-Avoidance Behaviours. &lt;i&gt;Journal of Animal Ecology, 88&lt;/i&gt;(5), 793-803.&lt;a href="https://doi.org/10.1111/1365-2656.12967" target="_blank"&gt;https://doi.org/10.1111/1365-2656.12967&lt;/a&gt;&lt;span style="color:white"&gt;[.]{#gallo_et_al_2019}}&lt;/span&gt;&lt;/div&gt;&lt;br&gt;</v>
      </c>
      <c r="O157" s="65" t="str">
        <f>"{{ rtxt_"&amp;F157&amp;" }}"</f>
        <v>{{ rtxt_gallo_et_al_2019 }}</v>
      </c>
      <c r="P157" s="65" t="str">
        <f>"{{ rbib_"&amp;F157&amp;" }}"</f>
        <v>{{ rbib_gallo_et_al_2019 }}</v>
      </c>
      <c r="Q157" s="65" t="str">
        <f>"    rtxt_"&amp;F157&amp;": "&amp;""""&amp;"&lt;a href=\"&amp;""""&amp;"/08_references.html#"&amp;F157&amp;"\"&amp;""""&amp;" target=\"&amp;""""&amp;"_blank\"&amp;""""&amp;"&gt;"&amp;G157&amp;"&lt;/a&gt;"&amp;""""</f>
        <v xml:space="preserve">    rtxt_gallo_et_al_2019: "&lt;a href=\"/08_references.html#gallo_et_al_2019\" target=\"_blank\"&gt;Gallo et al., 2019&lt;/a&gt;"</v>
      </c>
      <c r="R157" s="65" t="str">
        <f>"    rbib_"&amp;F157&amp;": "&amp;""""&amp;K157&amp;"&lt;a href=\"&amp;""""&amp;L157&amp;""""&amp;" target=\"&amp;""""&amp;"_blank\"&amp;""""&amp;"&gt;"&amp;L157&amp;"&lt;/a&gt;"&amp;""""</f>
        <v xml:space="preserve">    rbib_gallo_et_al_2019: "Gallo, T., Fidino, M., Lehrer, E. W., &amp; Magle, S. (2019). Urbanization Alters Predator-Avoidance Behaviours. &lt;i&gt;Journal of Animal Ecology, 88&lt;/i&gt;(5), 793-803.&lt;a href=\"https://doi.org/10.1111/1365-2656.12967" target=\"_blank\"&gt;https://doi.org/10.1111/1365-2656.12967&lt;/a&gt;"</v>
      </c>
      <c r="S157" s="65" t="str">
        <f>"    rbib_"&amp;F157&amp;": "&amp;""""&amp;"&lt;div class=\"&amp;""""&amp;"hanging\"&amp;""""&amp;"&gt;"&amp;J157&amp;"&lt;/div&gt;"&amp;""""</f>
        <v xml:space="preserve">    rbib_gallo_et_al_2019: "&lt;div class=\"hanging\"&gt;Gallo, T., Fidino, M., Lehrer, E. W., &amp; Magle, S. (2019). Urbanization Alters Predator-Avoidance Behaviours. *Journal of Animal Ecology, 88*(5), 793-803. &lt;https://doi.org/10.1111/1365-2656.12967&gt;&lt;/div&gt;"</v>
      </c>
      <c r="T157" s="65"/>
    </row>
    <row r="158" spans="1:20" ht="15.75">
      <c r="A158" s="65"/>
      <c r="B158" s="155" t="b">
        <v>1</v>
      </c>
      <c r="C158" s="155" t="b">
        <v>0</v>
      </c>
      <c r="D158" s="155" t="b">
        <v>0</v>
      </c>
      <c r="E158" s="65" t="s">
        <v>1904</v>
      </c>
      <c r="F158" s="65" t="s">
        <v>3341</v>
      </c>
      <c r="G158" s="65" t="s">
        <v>3340</v>
      </c>
      <c r="H158" s="65" t="s">
        <v>3340</v>
      </c>
      <c r="I158" s="65" t="b">
        <v>1</v>
      </c>
      <c r="J158" s="65" t="s">
        <v>3339</v>
      </c>
      <c r="K158" s="65" t="s">
        <v>6078</v>
      </c>
      <c r="L158" s="65" t="s">
        <v>3338</v>
      </c>
      <c r="M158" s="65" t="s">
        <v>984</v>
      </c>
      <c r="N158" s="65" t="str">
        <f>"&lt;div class="&amp;""""&amp;"hanging"&amp;""""&amp;"&gt;"&amp;K158&amp;"&lt;a href="&amp;""""&amp;L158&amp;""""&amp;" target="&amp;""""&amp;"_blank"&amp;""""&amp;"&gt;"&amp;L158&amp;"&lt;/a&gt;&lt;span style="&amp;""""&amp;"color:white"&amp;""""&amp;"&gt;[.]{#"&amp;F158&amp;"}}&lt;/span&gt;&lt;/div&gt;&lt;br&gt;"</f>
        <v>&lt;div class="hanging"&gt;Gálvez, N., Guillera-Arroita, G., Morgan, B. J. T., &amp; Davies, Z. G. (2016). Cost-Efficient Effort Allocation for Camera-Trap Occupancy Surveys of Mammals. &lt;i&gt;Biological Conservation, 204&lt;/i&gt;(B), 350-359.&lt;a href="https://doi.org/10.1016/j.biocon.2016.10.019" target="_blank"&gt;https://doi.org/10.1016/j.biocon.2016.10.019&lt;/a&gt;&lt;span style="color:white"&gt;[.]{#galvez_et_al_2016}}&lt;/span&gt;&lt;/div&gt;&lt;br&gt;</v>
      </c>
      <c r="O158" s="65" t="str">
        <f>"{{ rtxt_"&amp;F158&amp;" }}"</f>
        <v>{{ rtxt_galvez_et_al_2016 }}</v>
      </c>
      <c r="P158" s="65" t="str">
        <f>"{{ rbib_"&amp;F158&amp;" }}"</f>
        <v>{{ rbib_galvez_et_al_2016 }}</v>
      </c>
      <c r="Q158" s="65" t="str">
        <f>"    rtxt_"&amp;F158&amp;": "&amp;""""&amp;"&lt;a href=\"&amp;""""&amp;"/08_references.html#"&amp;F158&amp;"\"&amp;""""&amp;" target=\"&amp;""""&amp;"_blank\"&amp;""""&amp;"&gt;"&amp;G158&amp;"&lt;/a&gt;"&amp;""""</f>
        <v xml:space="preserve">    rtxt_galvez_et_al_2016: "&lt;a href=\"/08_references.html#galvez_et_al_2016\" target=\"_blank\"&gt;Gálvez et al., 2016&lt;/a&gt;"</v>
      </c>
      <c r="R158" s="65" t="str">
        <f>"    rbib_"&amp;F158&amp;": "&amp;""""&amp;K158&amp;"&lt;a href=\"&amp;""""&amp;L158&amp;""""&amp;" target=\"&amp;""""&amp;"_blank\"&amp;""""&amp;"&gt;"&amp;L158&amp;"&lt;/a&gt;"&amp;""""</f>
        <v xml:space="preserve">    rbib_galvez_et_al_2016: "Gálvez, N., Guillera-Arroita, G., Morgan, B. J. T., &amp; Davies, Z. G. (2016). Cost-Efficient Effort Allocation for Camera-Trap Occupancy Surveys of Mammals. &lt;i&gt;Biological Conservation, 204&lt;/i&gt;(B), 350-359.&lt;a href=\"https://doi.org/10.1016/j.biocon.2016.10.019" target=\"_blank\"&gt;https://doi.org/10.1016/j.biocon.2016.10.019&lt;/a&gt;"</v>
      </c>
      <c r="S158" s="65" t="str">
        <f>"    rbib_"&amp;F158&amp;": "&amp;""""&amp;"&lt;div class=\"&amp;""""&amp;"hanging\"&amp;""""&amp;"&gt;"&amp;J158&amp;"&lt;/div&gt;"&amp;""""</f>
        <v xml:space="preserve">    rbib_galvez_et_al_2016: "&lt;div class=\"hanging\"&gt;Gálvez, N., Guillera-Arroita, G., Morgan, B. J. T., &amp; Davies, Z. G. (2016). Cost-Efficient Effort Allocation for Camera-Trap Occupancy Surveys of Mammals. *Biological Conservation, 204*(B), 350-359. &lt;https://doi.org/10.1016/j.biocon.2016.10.019&gt;&lt;/div&gt;"</v>
      </c>
      <c r="T158" s="65"/>
    </row>
    <row r="159" spans="1:20" ht="15.75">
      <c r="A159" s="65"/>
      <c r="B159" s="155" t="b">
        <v>1</v>
      </c>
      <c r="C159" s="155" t="b">
        <v>0</v>
      </c>
      <c r="D159" s="155" t="b">
        <v>0</v>
      </c>
      <c r="E159" s="65" t="s">
        <v>1904</v>
      </c>
      <c r="F159" s="65" t="s">
        <v>3337</v>
      </c>
      <c r="G159" s="65" t="s">
        <v>3336</v>
      </c>
      <c r="H159" s="65" t="s">
        <v>3336</v>
      </c>
      <c r="I159" s="65" t="b">
        <v>1</v>
      </c>
      <c r="J159" s="65" t="s">
        <v>3335</v>
      </c>
      <c r="K159" s="65" t="s">
        <v>5392</v>
      </c>
      <c r="L159" s="65" t="s">
        <v>3334</v>
      </c>
      <c r="M159" s="65" t="s">
        <v>984</v>
      </c>
      <c r="N159" s="65" t="str">
        <f>"&lt;div class="&amp;""""&amp;"hanging"&amp;""""&amp;"&gt;"&amp;K159&amp;"&lt;a href="&amp;""""&amp;L159&amp;""""&amp;" target="&amp;""""&amp;"_blank"&amp;""""&amp;"&gt;"&amp;L159&amp;"&lt;/a&gt;&lt;span style="&amp;""""&amp;"color:white"&amp;""""&amp;"&gt;[.]{#"&amp;F159&amp;"}}&lt;/span&gt;&lt;/div&gt;&lt;br&gt;"</f>
        <v>&lt;div class="hanging"&gt;Ganskopp, D. C., &amp; Johnson, D. D. (2007). GPS Error in Studies Addressing Animal Movements and Activities. &lt;i&gt;Rangeland Ecology and Management, 60&lt;/i&gt;, 350-358.&lt;a href="https://doi.org/10.2111/1551-5028(2007)60[350:GEISAA]2.0.CO;2" target="_blank"&gt;https://doi.org/10.2111/1551-5028(2007)60[350:GEISAA]2.0.CO;2&lt;/a&gt;&lt;span style="color:white"&gt;[.]{#ganskopp_johnson_2007}}&lt;/span&gt;&lt;/div&gt;&lt;br&gt;</v>
      </c>
      <c r="O159" s="65" t="str">
        <f>"{{ rtxt_"&amp;F159&amp;" }}"</f>
        <v>{{ rtxt_ganskopp_johnson_2007 }}</v>
      </c>
      <c r="P159" s="65" t="str">
        <f>"{{ rbib_"&amp;F159&amp;" }}"</f>
        <v>{{ rbib_ganskopp_johnson_2007 }}</v>
      </c>
      <c r="Q159" s="65" t="str">
        <f>"    rtxt_"&amp;F159&amp;": "&amp;""""&amp;"&lt;a href=\"&amp;""""&amp;"/08_references.html#"&amp;F159&amp;"\"&amp;""""&amp;" target=\"&amp;""""&amp;"_blank\"&amp;""""&amp;"&gt;"&amp;G159&amp;"&lt;/a&gt;"&amp;""""</f>
        <v xml:space="preserve">    rtxt_ganskopp_johnson_2007: "&lt;a href=\"/08_references.html#ganskopp_johnson_2007\" target=\"_blank\"&gt;Ganskopp &amp; Johnson, 2007&lt;/a&gt;"</v>
      </c>
      <c r="R159" s="65" t="str">
        <f>"    rbib_"&amp;F159&amp;": "&amp;""""&amp;K159&amp;"&lt;a href=\"&amp;""""&amp;L159&amp;""""&amp;" target=\"&amp;""""&amp;"_blank\"&amp;""""&amp;"&gt;"&amp;L159&amp;"&lt;/a&gt;"&amp;""""</f>
        <v xml:space="preserve">    rbib_ganskopp_johnson_2007: "Ganskopp, D. C., &amp; Johnson, D. D. (2007). GPS Error in Studies Addressing Animal Movements and Activities. &lt;i&gt;Rangeland Ecology and Management, 60&lt;/i&gt;, 350-358.&lt;a href=\"https://doi.org/10.2111/1551-5028(2007)60[350:GEISAA]2.0.CO;2" target=\"_blank\"&gt;https://doi.org/10.2111/1551-5028(2007)60[350:GEISAA]2.0.CO;2&lt;/a&gt;"</v>
      </c>
      <c r="S159" s="65" t="str">
        <f>"    rbib_"&amp;F159&amp;": "&amp;""""&amp;"&lt;div class=\"&amp;""""&amp;"hanging\"&amp;""""&amp;"&gt;"&amp;J159&amp;"&lt;/div&gt;"&amp;""""</f>
        <v xml:space="preserve">    rbib_ganskopp_johnson_2007: "&lt;div class=\"hanging\"&gt;Ganskopp, D. C., &amp; Johnson, D. D. (2007). GPS Error in Studies Addressing Animal Movements and Activities. *Rangeland Ecology and Management, 60*, 350-358. &lt;https://doi.org/10.2111/1551-5028(2007)60[350:GEISAA]2.0.CO;2&gt;&lt;/div&gt;"</v>
      </c>
      <c r="T159" s="65"/>
    </row>
    <row r="160" spans="1:20" ht="15.75">
      <c r="A160" s="65"/>
      <c r="B160" s="155"/>
      <c r="C160" s="155"/>
      <c r="D160" s="155"/>
      <c r="E160" s="65" t="s">
        <v>1904</v>
      </c>
      <c r="F160" s="65" t="s">
        <v>3333</v>
      </c>
      <c r="G160" s="65" t="s">
        <v>3332</v>
      </c>
      <c r="H160" s="65" t="s">
        <v>3332</v>
      </c>
      <c r="I160" s="65" t="b">
        <v>1</v>
      </c>
      <c r="J160" s="65" t="s">
        <v>3331</v>
      </c>
      <c r="K160" s="65" t="s">
        <v>5221</v>
      </c>
      <c r="L160" s="65" t="s">
        <v>3330</v>
      </c>
      <c r="M160" s="65" t="s">
        <v>984</v>
      </c>
      <c r="N160" s="65" t="str">
        <f>"&lt;div class="&amp;""""&amp;"hanging"&amp;""""&amp;"&gt;"&amp;K160&amp;"&lt;a href="&amp;""""&amp;L160&amp;""""&amp;" target="&amp;""""&amp;"_blank"&amp;""""&amp;"&gt;"&amp;L160&amp;"&lt;/a&gt;&lt;span style="&amp;""""&amp;"color:white"&amp;""""&amp;"&gt;[.]{#"&amp;F160&amp;"}}&lt;/span&gt;&lt;/div&gt;&lt;br&gt;"</f>
        <v>&lt;div class="hanging"&gt;Garamszegi, L. Z. (2016). A simple statistical guide for the analysis of behaviour when data are constrained due to practical or ethical reasons. &lt;i&gt;Animal Behaviour, 120&lt;/i&gt;, 223-234.&lt;a href="https://doi.org/10.1016/j.anbehav.2015.11.009" target="_blank"&gt;https://doi.org/10.1016/j.anbehav.2015.11.009&lt;/a&gt;&lt;span style="color:white"&gt;[.]{#garamszegi_2016}}&lt;/span&gt;&lt;/div&gt;&lt;br&gt;</v>
      </c>
      <c r="O160" s="65" t="str">
        <f>"{{ rtxt_"&amp;F160&amp;" }}"</f>
        <v>{{ rtxt_garamszegi_2016 }}</v>
      </c>
      <c r="P160" s="65" t="str">
        <f>"{{ rbib_"&amp;F160&amp;" }}"</f>
        <v>{{ rbib_garamszegi_2016 }}</v>
      </c>
      <c r="Q160" s="65" t="str">
        <f>"    rtxt_"&amp;F160&amp;": "&amp;""""&amp;"&lt;a href=\"&amp;""""&amp;"/08_references.html#"&amp;F160&amp;"\"&amp;""""&amp;" target=\"&amp;""""&amp;"_blank\"&amp;""""&amp;"&gt;"&amp;G160&amp;"&lt;/a&gt;"&amp;""""</f>
        <v xml:space="preserve">    rtxt_garamszegi_2016: "&lt;a href=\"/08_references.html#garamszegi_2016\" target=\"_blank\"&gt;Garamszegi, 2016&lt;/a&gt;"</v>
      </c>
      <c r="R160" s="65" t="str">
        <f>"    rbib_"&amp;F160&amp;": "&amp;""""&amp;K160&amp;"&lt;a href=\"&amp;""""&amp;L160&amp;""""&amp;" target=\"&amp;""""&amp;"_blank\"&amp;""""&amp;"&gt;"&amp;L160&amp;"&lt;/a&gt;"&amp;""""</f>
        <v xml:space="preserve">    rbib_garamszegi_2016: "Garamszegi, L. Z. (2016). A simple statistical guide for the analysis of behaviour when data are constrained due to practical or ethical reasons. &lt;i&gt;Animal Behaviour, 120&lt;/i&gt;, 223-234.&lt;a href=\"https://doi.org/10.1016/j.anbehav.2015.11.009" target=\"_blank\"&gt;https://doi.org/10.1016/j.anbehav.2015.11.009&lt;/a&gt;"</v>
      </c>
      <c r="S160" s="65" t="str">
        <f>"    rbib_"&amp;F160&amp;": "&amp;""""&amp;"&lt;div class=\"&amp;""""&amp;"hanging\"&amp;""""&amp;"&gt;"&amp;J160&amp;"&lt;/div&gt;"&amp;""""</f>
        <v xml:space="preserve">    rbib_garamszegi_2016: "&lt;div class=\"hanging\"&gt;Garamszegi, L. Z. (2016). A simple statistical guide for the analysis of behaviour when data are constrained due to practical or ethical reasons. *Animal Behaviour, 120*, 223-234. &lt;https://doi.org/10.1016/j.anbehav.2015.11.009&gt;&lt;/div&gt;"</v>
      </c>
      <c r="T160" s="65"/>
    </row>
    <row r="161" spans="1:20" ht="15.75">
      <c r="A161" s="65"/>
      <c r="B161" s="155"/>
      <c r="C161" s="155"/>
      <c r="D161" s="155"/>
      <c r="E161" s="65" t="s">
        <v>1904</v>
      </c>
      <c r="F161" s="65" t="s">
        <v>3325</v>
      </c>
      <c r="G161" s="65" t="s">
        <v>3324</v>
      </c>
      <c r="H161" s="65" t="s">
        <v>3324</v>
      </c>
      <c r="I161" s="65" t="b">
        <v>1</v>
      </c>
      <c r="J161" s="65" t="s">
        <v>3323</v>
      </c>
      <c r="K161" s="65" t="s">
        <v>5160</v>
      </c>
      <c r="L161" s="65" t="s">
        <v>3322</v>
      </c>
      <c r="M161" s="65" t="s">
        <v>984</v>
      </c>
      <c r="N161" s="65" t="str">
        <f>"&lt;div class="&amp;""""&amp;"hanging"&amp;""""&amp;"&gt;"&amp;K161&amp;"&lt;a href="&amp;""""&amp;L161&amp;""""&amp;" target="&amp;""""&amp;"_blank"&amp;""""&amp;"&gt;"&amp;L161&amp;"&lt;/a&gt;&lt;span style="&amp;""""&amp;"color:white"&amp;""""&amp;"&gt;[.]{#"&amp;F161&amp;"}}&lt;/span&gt;&lt;/div&gt;&lt;br&gt;"</f>
        <v>&lt;div class="hanging"&gt;Garland, L., Neilson, E., Avgar, T., Bayne, E., &amp; Boutin, S. (2020). Random Encounter and Staying Time Model Testing with Human Volunteers. &lt;i&gt;The Journal of Wildlife Management, 84&lt;/i&gt;(6), 1179-1184.&lt;a href="https://doi.org/10.1002/jwmg.21879" target="_blank"&gt;https://doi.org/10.1002/jwmg.21879&lt;/a&gt;&lt;span style="color:white"&gt;[.]{#garland_et_al_2020}}&lt;/span&gt;&lt;/div&gt;&lt;br&gt;</v>
      </c>
      <c r="O161" s="65" t="str">
        <f>"{{ rtxt_"&amp;F161&amp;" }}"</f>
        <v>{{ rtxt_garland_et_al_2020 }}</v>
      </c>
      <c r="P161" s="65" t="str">
        <f>"{{ rbib_"&amp;F161&amp;" }}"</f>
        <v>{{ rbib_garland_et_al_2020 }}</v>
      </c>
      <c r="Q161" s="65" t="str">
        <f>"    rtxt_"&amp;F161&amp;": "&amp;""""&amp;"&lt;a href=\"&amp;""""&amp;"/08_references.html#"&amp;F161&amp;"\"&amp;""""&amp;" target=\"&amp;""""&amp;"_blank\"&amp;""""&amp;"&gt;"&amp;G161&amp;"&lt;/a&gt;"&amp;""""</f>
        <v xml:space="preserve">    rtxt_garland_et_al_2020: "&lt;a href=\"/08_references.html#garland_et_al_2020\" target=\"_blank\"&gt;Garland et al., 2020&lt;/a&gt;"</v>
      </c>
      <c r="R161" s="65" t="str">
        <f>"    rbib_"&amp;F161&amp;": "&amp;""""&amp;K161&amp;"&lt;a href=\"&amp;""""&amp;L161&amp;""""&amp;" target=\"&amp;""""&amp;"_blank\"&amp;""""&amp;"&gt;"&amp;L161&amp;"&lt;/a&gt;"&amp;""""</f>
        <v xml:space="preserve">    rbib_garland_et_al_2020: "Garland, L., Neilson, E., Avgar, T., Bayne, E., &amp; Boutin, S. (2020). Random Encounter and Staying Time Model Testing with Human Volunteers. &lt;i&gt;The Journal of Wildlife Management, 84&lt;/i&gt;(6), 1179-1184.&lt;a href=\"https://doi.org/10.1002/jwmg.21879" target=\"_blank\"&gt;https://doi.org/10.1002/jwmg.21879&lt;/a&gt;"</v>
      </c>
      <c r="S161" s="65" t="str">
        <f>"    rbib_"&amp;F161&amp;": "&amp;""""&amp;"&lt;div class=\"&amp;""""&amp;"hanging\"&amp;""""&amp;"&gt;"&amp;J161&amp;"&lt;/div&gt;"&amp;""""</f>
        <v xml:space="preserve">    rbib_garland_et_al_2020: "&lt;div class=\"hanging\"&gt;Garland, L., Neilson, E., Avgar, T., Bayne, E., &amp; Boutin, S. (2020). Random Encounter and Staying Time Model Testing with Human Volunteers. *The Journal of Wildlife Management, 84*(6), 1179-1184. &lt;https://doi.org/10.1002/jwmg.21879&gt;&lt;/div&gt;"</v>
      </c>
      <c r="T161" s="65"/>
    </row>
    <row r="162" spans="1:20" ht="15.75">
      <c r="A162" s="65"/>
      <c r="B162" s="155"/>
      <c r="C162" s="155"/>
      <c r="D162" s="155"/>
      <c r="E162" s="65" t="s">
        <v>1904</v>
      </c>
      <c r="F162" s="65" t="s">
        <v>3329</v>
      </c>
      <c r="G162" s="65" t="s">
        <v>3328</v>
      </c>
      <c r="H162" s="65" t="s">
        <v>3328</v>
      </c>
      <c r="I162" s="65" t="b">
        <v>1</v>
      </c>
      <c r="J162" s="65" t="s">
        <v>3327</v>
      </c>
      <c r="K162" s="65" t="s">
        <v>5328</v>
      </c>
      <c r="L162" s="65" t="s">
        <v>3326</v>
      </c>
      <c r="M162" s="65" t="s">
        <v>984</v>
      </c>
      <c r="N162" s="65" t="str">
        <f>"&lt;div class="&amp;""""&amp;"hanging"&amp;""""&amp;"&gt;"&amp;K162&amp;"&lt;a href="&amp;""""&amp;L162&amp;""""&amp;" target="&amp;""""&amp;"_blank"&amp;""""&amp;"&gt;"&amp;L162&amp;"&lt;/a&gt;&lt;span style="&amp;""""&amp;"color:white"&amp;""""&amp;"&gt;[.]{#"&amp;F162&amp;"}}&lt;/span&gt;&lt;/div&gt;&lt;br&gt;"</f>
        <v>&lt;div class="hanging"&gt;Garland, T. (1983). The relation between maximal running speed and body mass in terrestrial mammals. &lt;i&gt;Journal of Zoology, 199&lt;/i&gt;(2), 157-170.&lt;a href="https://doi.org/10.1111/j.1469-7998.1983.tb02087.x" target="_blank"&gt;https://doi.org/10.1111/j.1469-7998.1983.tb02087.x&lt;/a&gt;&lt;span style="color:white"&gt;[.]{#garland_1983}}&lt;/span&gt;&lt;/div&gt;&lt;br&gt;</v>
      </c>
      <c r="O162" s="65" t="str">
        <f>"{{ rtxt_"&amp;F162&amp;" }}"</f>
        <v>{{ rtxt_garland_1983 }}</v>
      </c>
      <c r="P162" s="65" t="str">
        <f>"{{ rbib_"&amp;F162&amp;" }}"</f>
        <v>{{ rbib_garland_1983 }}</v>
      </c>
      <c r="Q162" s="65" t="str">
        <f>"    rtxt_"&amp;F162&amp;": "&amp;""""&amp;"&lt;a href=\"&amp;""""&amp;"/08_references.html#"&amp;F162&amp;"\"&amp;""""&amp;" target=\"&amp;""""&amp;"_blank\"&amp;""""&amp;"&gt;"&amp;G162&amp;"&lt;/a&gt;"&amp;""""</f>
        <v xml:space="preserve">    rtxt_garland_1983: "&lt;a href=\"/08_references.html#garland_1983\" target=\"_blank\"&gt;Garland, 1983&lt;/a&gt;"</v>
      </c>
      <c r="R162" s="65" t="str">
        <f>"    rbib_"&amp;F162&amp;": "&amp;""""&amp;K162&amp;"&lt;a href=\"&amp;""""&amp;L162&amp;""""&amp;" target=\"&amp;""""&amp;"_blank\"&amp;""""&amp;"&gt;"&amp;L162&amp;"&lt;/a&gt;"&amp;""""</f>
        <v xml:space="preserve">    rbib_garland_1983: "Garland, T. (1983). The relation between maximal running speed and body mass in terrestrial mammals. &lt;i&gt;Journal of Zoology, 199&lt;/i&gt;(2), 157-170.&lt;a href=\"https://doi.org/10.1111/j.1469-7998.1983.tb02087.x" target=\"_blank\"&gt;https://doi.org/10.1111/j.1469-7998.1983.tb02087.x&lt;/a&gt;"</v>
      </c>
      <c r="S162" s="65" t="str">
        <f>"    rbib_"&amp;F162&amp;": "&amp;""""&amp;"&lt;div class=\"&amp;""""&amp;"hanging\"&amp;""""&amp;"&gt;"&amp;J162&amp;"&lt;/div&gt;"&amp;""""</f>
        <v xml:space="preserve">    rbib_garland_1983: "&lt;div class=\"hanging\"&gt;Garland, T. (1983). The relation between maximal running speed and body mass in terrestrial mammals. *Journal of Zoology, 199*(2), 157-170. &lt;https://doi.org/10.1111/j.1469-7998.1983.tb02087.x&gt;&lt;/div&gt;"</v>
      </c>
      <c r="T162" s="65"/>
    </row>
    <row r="163" spans="1:20" ht="15.75">
      <c r="A163" s="65"/>
      <c r="B163" s="155"/>
      <c r="C163" s="155"/>
      <c r="D163" s="155"/>
      <c r="E163" s="65" t="s">
        <v>1904</v>
      </c>
      <c r="F163" s="65" t="s">
        <v>3321</v>
      </c>
      <c r="G163" s="65" t="s">
        <v>3320</v>
      </c>
      <c r="H163" s="65" t="s">
        <v>3320</v>
      </c>
      <c r="I163" s="65" t="b">
        <v>1</v>
      </c>
      <c r="J163" s="65" t="s">
        <v>3319</v>
      </c>
      <c r="K163" s="65" t="s">
        <v>5253</v>
      </c>
      <c r="L163" s="65" t="s">
        <v>3318</v>
      </c>
      <c r="M163" s="65" t="s">
        <v>984</v>
      </c>
      <c r="N163" s="65" t="str">
        <f>"&lt;div class="&amp;""""&amp;"hanging"&amp;""""&amp;"&gt;"&amp;K163&amp;"&lt;a href="&amp;""""&amp;L163&amp;""""&amp;" target="&amp;""""&amp;"_blank"&amp;""""&amp;"&gt;"&amp;L163&amp;"&lt;/a&gt;&lt;span style="&amp;""""&amp;"color:white"&amp;""""&amp;"&gt;[.]{#"&amp;F163&amp;"}}&lt;/span&gt;&lt;/div&gt;&lt;br&gt;"</f>
        <v>&lt;div class="hanging"&gt;Gaston, K. J., Blackburn, T. M., Greenwood, J. J. D., Gregory, R. D., Quinn, R. M., &amp; Lawton, J. H. (2000). Abundance-Occupancy Relationships. &lt;i&gt;The Journal of Applied Ecology, 37&lt;/i&gt;(s1), 39-59.&lt;a href="https://doi.org/10.1046/j.1365-2664.2000.00485.x" target="_blank"&gt;https://doi.org/10.1046/j.1365-2664.2000.00485.x&lt;/a&gt;&lt;span style="color:white"&gt;[.]{#gaston_et_al_2000}}&lt;/span&gt;&lt;/div&gt;&lt;br&gt;</v>
      </c>
      <c r="O163" s="65" t="str">
        <f>"{{ rtxt_"&amp;F163&amp;" }}"</f>
        <v>{{ rtxt_gaston_et_al_2000 }}</v>
      </c>
      <c r="P163" s="65" t="str">
        <f>"{{ rbib_"&amp;F163&amp;" }}"</f>
        <v>{{ rbib_gaston_et_al_2000 }}</v>
      </c>
      <c r="Q163" s="65" t="str">
        <f>"    rtxt_"&amp;F163&amp;": "&amp;""""&amp;"&lt;a href=\"&amp;""""&amp;"/08_references.html#"&amp;F163&amp;"\"&amp;""""&amp;" target=\"&amp;""""&amp;"_blank\"&amp;""""&amp;"&gt;"&amp;G163&amp;"&lt;/a&gt;"&amp;""""</f>
        <v xml:space="preserve">    rtxt_gaston_et_al_2000: "&lt;a href=\"/08_references.html#gaston_et_al_2000\" target=\"_blank\"&gt;Gaston et al., 2000&lt;/a&gt;"</v>
      </c>
      <c r="R163" s="65" t="str">
        <f>"    rbib_"&amp;F163&amp;": "&amp;""""&amp;K163&amp;"&lt;a href=\"&amp;""""&amp;L163&amp;""""&amp;" target=\"&amp;""""&amp;"_blank\"&amp;""""&amp;"&gt;"&amp;L163&amp;"&lt;/a&gt;"&amp;""""</f>
        <v xml:space="preserve">    rbib_gaston_et_al_2000: "Gaston, K. J., Blackburn, T. M., Greenwood, J. J. D., Gregory, R. D., Quinn, R. M., &amp; Lawton, J. H. (2000). Abundance-Occupancy Relationships. &lt;i&gt;The Journal of Applied Ecology, 37&lt;/i&gt;(s1), 39-59.&lt;a href=\"https://doi.org/10.1046/j.1365-2664.2000.00485.x" target=\"_blank\"&gt;https://doi.org/10.1046/j.1365-2664.2000.00485.x&lt;/a&gt;"</v>
      </c>
      <c r="S163" s="65" t="str">
        <f>"    rbib_"&amp;F163&amp;": "&amp;""""&amp;"&lt;div class=\"&amp;""""&amp;"hanging\"&amp;""""&amp;"&gt;"&amp;J163&amp;"&lt;/div&gt;"&amp;""""</f>
        <v xml:space="preserve">    rbib_gaston_et_al_2000: "&lt;div class=\"hanging\"&gt;Gaston, K. J., Blackburn, T. M., Greenwood, J. J. D., Gregory, R. D., Quinn, R. M., &amp; Lawton, J. H. (2000). Abundance-Occupancy Relationships. *The Journal of Applied Ecology, 37*(s1), 39-59. &lt;https://doi.org/10.1046/j.1365-2664.2000.00485.x&gt;&lt;/div&gt;"</v>
      </c>
      <c r="T163" s="65"/>
    </row>
    <row r="164" spans="1:20" ht="15.75">
      <c r="A164" s="65"/>
      <c r="B164" s="155"/>
      <c r="C164" s="155"/>
      <c r="D164" s="155"/>
      <c r="E164" s="65" t="s">
        <v>1904</v>
      </c>
      <c r="F164" s="65" t="s">
        <v>3309</v>
      </c>
      <c r="G164" s="65" t="s">
        <v>3308</v>
      </c>
      <c r="H164" s="65" t="s">
        <v>3308</v>
      </c>
      <c r="I164" s="65" t="b">
        <v>1</v>
      </c>
      <c r="J164" s="65" t="s">
        <v>3307</v>
      </c>
      <c r="K164" s="65" t="s">
        <v>5271</v>
      </c>
      <c r="L164" s="65" t="s">
        <v>3306</v>
      </c>
      <c r="M164" s="65" t="s">
        <v>984</v>
      </c>
      <c r="N164" s="65" t="str">
        <f>"&lt;div class="&amp;""""&amp;"hanging"&amp;""""&amp;"&gt;"&amp;K164&amp;"&lt;a href="&amp;""""&amp;L164&amp;""""&amp;" target="&amp;""""&amp;"_blank"&amp;""""&amp;"&gt;"&amp;L164&amp;"&lt;/a&gt;&lt;span style="&amp;""""&amp;"color:white"&amp;""""&amp;"&gt;[.]{#"&amp;F164&amp;"}}&lt;/span&gt;&lt;/div&gt;&lt;br&gt;"</f>
        <v>&lt;div class="hanging"&gt;Gerber, B. D., Devarajan, K., Farris, Z. J., &amp; Fidino, M. (2023). A model-based hypothesis framework to define and estimate the diel niche via the ‘Diel.Niche’ R package. &lt;i&gt;bioRxiv, 2023.06.21.545898.&lt;/i&gt;&lt;a href="https://doi.org/10.1101/2023.06.21.545898" target="_blank"&gt;https://doi.org/10.1101/2023.06.21.545898&lt;/a&gt;&lt;span style="color:white"&gt;[.]{#gerber_et_al_2023}}&lt;/span&gt;&lt;/div&gt;&lt;br&gt;</v>
      </c>
      <c r="O164" s="65" t="str">
        <f>"{{ rtxt_"&amp;F164&amp;" }}"</f>
        <v>{{ rtxt_gerber_et_al_2023 }}</v>
      </c>
      <c r="P164" s="65" t="str">
        <f>"{{ rbib_"&amp;F164&amp;" }}"</f>
        <v>{{ rbib_gerber_et_al_2023 }}</v>
      </c>
      <c r="Q164" s="65" t="str">
        <f>"    rtxt_"&amp;F164&amp;": "&amp;""""&amp;"&lt;a href=\"&amp;""""&amp;"/08_references.html#"&amp;F164&amp;"\"&amp;""""&amp;" target=\"&amp;""""&amp;"_blank\"&amp;""""&amp;"&gt;"&amp;G164&amp;"&lt;/a&gt;"&amp;""""</f>
        <v xml:space="preserve">    rtxt_gerber_et_al_2023: "&lt;a href=\"/08_references.html#gerber_et_al_2023\" target=\"_blank\"&gt;Gerber et al., 2023&lt;/a&gt;"</v>
      </c>
      <c r="R164" s="65" t="str">
        <f>"    rbib_"&amp;F164&amp;": "&amp;""""&amp;K164&amp;"&lt;a href=\"&amp;""""&amp;L164&amp;""""&amp;" target=\"&amp;""""&amp;"_blank\"&amp;""""&amp;"&gt;"&amp;L164&amp;"&lt;/a&gt;"&amp;""""</f>
        <v xml:space="preserve">    rbib_gerber_et_al_2023: "Gerber, B. D., Devarajan, K., Farris, Z. J., &amp; Fidino, M. (2023). A model-based hypothesis framework to define and estimate the diel niche via the ‘Diel.Niche’ R package. &lt;i&gt;bioRxiv, 2023.06.21.545898.&lt;/i&gt;&lt;a href=\"https://doi.org/10.1101/2023.06.21.545898" target=\"_blank\"&gt;https://doi.org/10.1101/2023.06.21.545898&lt;/a&gt;"</v>
      </c>
      <c r="S164" s="65" t="str">
        <f>"    rbib_"&amp;F164&amp;": "&amp;""""&amp;"&lt;div class=\"&amp;""""&amp;"hanging\"&amp;""""&amp;"&gt;"&amp;J164&amp;"&lt;/div&gt;"&amp;""""</f>
        <v xml:space="preserve">    rbib_gerber_et_al_2023: "&lt;div class=\"hanging\"&gt;Gerber, B. D., Devarajan, K., Farris, Z. J., &amp; Fidino, M. (2023). A model-based hypothesis framework to define and estimate the diel niche via the ‘Diel.Niche’ R package. *bioRxiv, 2023.06.21.545898.* &lt;https://doi.org/10.1101/2023.06.21.545898&gt;&lt;/div&gt;"</v>
      </c>
      <c r="T164" s="65"/>
    </row>
    <row r="165" spans="1:20" ht="15.75">
      <c r="A165" s="65"/>
      <c r="B165" s="155" t="b">
        <v>0</v>
      </c>
      <c r="C165" s="155" t="b">
        <v>0</v>
      </c>
      <c r="D165" s="155" t="b">
        <v>1</v>
      </c>
      <c r="E165" s="65" t="s">
        <v>1904</v>
      </c>
      <c r="F165" s="65" t="s">
        <v>3313</v>
      </c>
      <c r="G165" s="65" t="s">
        <v>3312</v>
      </c>
      <c r="H165" s="65" t="s">
        <v>3312</v>
      </c>
      <c r="I165" s="65" t="b">
        <v>1</v>
      </c>
      <c r="J165" s="65" t="s">
        <v>3311</v>
      </c>
      <c r="K165" s="65" t="s">
        <v>5199</v>
      </c>
      <c r="L165" s="65" t="s">
        <v>3310</v>
      </c>
      <c r="M165" s="65" t="s">
        <v>984</v>
      </c>
      <c r="N165" s="65" t="str">
        <f>"&lt;div class="&amp;""""&amp;"hanging"&amp;""""&amp;"&gt;"&amp;K165&amp;"&lt;a href="&amp;""""&amp;L165&amp;""""&amp;" target="&amp;""""&amp;"_blank"&amp;""""&amp;"&gt;"&amp;L165&amp;"&lt;/a&gt;&lt;span style="&amp;""""&amp;"color:white"&amp;""""&amp;"&gt;[.]{#"&amp;F165&amp;"}}&lt;/span&gt;&lt;/div&gt;&lt;br&gt;"</f>
        <v>&lt;div class="hanging"&gt;Gerber, B. D., Karpanty, S. M., &amp; Kelly, M. J. (2011). Evaluating the potential biases in carnivore capture-recapture studies associated with the use of lure and varying Density estimation techniques using photographic-sampling data of the Malagasy civet. &lt;i&gt;Population Ecology, 54&lt;/i&gt;(1), 43-54.&lt;a href="https://doi.org/10.1007/s10144-011-0276-3" target="_blank"&gt;https://doi.org/10.1007/s10144-011-0276-3&lt;/a&gt;&lt;span style="color:white"&gt;[.]{#gerber_et_al_2011}}&lt;/span&gt;&lt;/div&gt;&lt;br&gt;</v>
      </c>
      <c r="O165" s="65" t="str">
        <f>"{{ rtxt_"&amp;F165&amp;" }}"</f>
        <v>{{ rtxt_gerber_et_al_2011 }}</v>
      </c>
      <c r="P165" s="65" t="str">
        <f>"{{ rbib_"&amp;F165&amp;" }}"</f>
        <v>{{ rbib_gerber_et_al_2011 }}</v>
      </c>
      <c r="Q165" s="65" t="str">
        <f>"    rtxt_"&amp;F165&amp;": "&amp;""""&amp;"&lt;a href=\"&amp;""""&amp;"/08_references.html#"&amp;F165&amp;"\"&amp;""""&amp;" target=\"&amp;""""&amp;"_blank\"&amp;""""&amp;"&gt;"&amp;G165&amp;"&lt;/a&gt;"&amp;""""</f>
        <v xml:space="preserve">    rtxt_gerber_et_al_2011: "&lt;a href=\"/08_references.html#gerber_et_al_2011\" target=\"_blank\"&gt;Gerber et al., 2011&lt;/a&gt;"</v>
      </c>
      <c r="R165" s="65" t="str">
        <f>"    rbib_"&amp;F165&amp;": "&amp;""""&amp;K165&amp;"&lt;a href=\"&amp;""""&amp;L165&amp;""""&amp;" target=\"&amp;""""&amp;"_blank\"&amp;""""&amp;"&gt;"&amp;L165&amp;"&lt;/a&gt;"&amp;""""</f>
        <v xml:space="preserve">    rbib_gerber_et_al_2011: "Gerber, B. D., Karpanty, S. M., &amp; Kelly, M. J. (2011). Evaluating the potential biases in carnivore capture-recapture studies associated with the use of lure and varying Density estimation techniques using photographic-sampling data of the Malagasy civet. &lt;i&gt;Population Ecology, 54&lt;/i&gt;(1), 43-54.&lt;a href=\"https://doi.org/10.1007/s10144-011-0276-3" target=\"_blank\"&gt;https://doi.org/10.1007/s10144-011-0276-3&lt;/a&gt;"</v>
      </c>
      <c r="S165" s="65" t="str">
        <f>"    rbib_"&amp;F165&amp;": "&amp;""""&amp;"&lt;div class=\"&amp;""""&amp;"hanging\"&amp;""""&amp;"&gt;"&amp;J165&amp;"&lt;/div&gt;"&amp;""""</f>
        <v xml:space="preserve">    rbib_gerber_et_al_2011: "&lt;div class=\"hanging\"&gt;Gerber, B. D., Karpanty, S. M., &amp; Kelly, M. J. (2011). Evaluating the potential biases in carnivore capture-recapture studies associated with the use of lure and varying Density estimation techniques using photographic-sampling data of the Malagasy civet. *Population Ecology, 54*(1), 43-54. &lt;https://doi.org/10.1007/s10144-011-0276-3&gt;&lt;/div&gt;"</v>
      </c>
      <c r="T165" s="65"/>
    </row>
    <row r="166" spans="1:20" ht="15.75">
      <c r="A166" s="65"/>
      <c r="B166" s="155" t="b">
        <v>1</v>
      </c>
      <c r="C166" s="155" t="b">
        <v>1</v>
      </c>
      <c r="D166" s="155" t="b">
        <v>0</v>
      </c>
      <c r="E166" s="65" t="s">
        <v>1904</v>
      </c>
      <c r="F166" s="65" t="s">
        <v>3317</v>
      </c>
      <c r="G166" s="65" t="s">
        <v>3316</v>
      </c>
      <c r="H166" s="65" t="s">
        <v>3316</v>
      </c>
      <c r="I166" s="65" t="b">
        <v>1</v>
      </c>
      <c r="J166" s="65" t="s">
        <v>3315</v>
      </c>
      <c r="K166" s="65" t="s">
        <v>5243</v>
      </c>
      <c r="L166" s="65" t="s">
        <v>3314</v>
      </c>
      <c r="M166" s="65" t="s">
        <v>984</v>
      </c>
      <c r="N166" s="65" t="str">
        <f>"&lt;div class="&amp;""""&amp;"hanging"&amp;""""&amp;"&gt;"&amp;K166&amp;"&lt;a href="&amp;""""&amp;L166&amp;""""&amp;" target="&amp;""""&amp;"_blank"&amp;""""&amp;"&gt;"&amp;L166&amp;"&lt;/a&gt;&lt;span style="&amp;""""&amp;"color:white"&amp;""""&amp;"&gt;[.]{#"&amp;F166&amp;"}}&lt;/span&gt;&lt;/div&gt;&lt;br&gt;"</f>
        <v>&lt;div class="hanging"&gt;Gerber, B., Karpanty, S. S. M., Crawford, C., Kotschwar, M., &amp; Randrianantenaina, J. (2010). An assessment of carnivore relative abundance and Density in the eastern rainforests of Madagascar using remotely-triggered camera traps. &lt;i&gt;Oryx, 44&lt;/i&gt;(2), 219-222.&lt;a href="https://doi.org/10.1017/S0030605309991037" target="_blank"&gt;https://doi.org/10.1017/S0030605309991037&lt;/a&gt;&lt;span style="color:white"&gt;[.]{#gerber_et_al_2010}}&lt;/span&gt;&lt;/div&gt;&lt;br&gt;</v>
      </c>
      <c r="O166" s="65" t="str">
        <f>"{{ rtxt_"&amp;F166&amp;" }}"</f>
        <v>{{ rtxt_gerber_et_al_2010 }}</v>
      </c>
      <c r="P166" s="65" t="str">
        <f>"{{ rbib_"&amp;F166&amp;" }}"</f>
        <v>{{ rbib_gerber_et_al_2010 }}</v>
      </c>
      <c r="Q166" s="65" t="str">
        <f>"    rtxt_"&amp;F166&amp;": "&amp;""""&amp;"&lt;a href=\"&amp;""""&amp;"/08_references.html#"&amp;F166&amp;"\"&amp;""""&amp;" target=\"&amp;""""&amp;"_blank\"&amp;""""&amp;"&gt;"&amp;G166&amp;"&lt;/a&gt;"&amp;""""</f>
        <v xml:space="preserve">    rtxt_gerber_et_al_2010: "&lt;a href=\"/08_references.html#gerber_et_al_2010\" target=\"_blank\"&gt;Gerber et al., 2010&lt;/a&gt;"</v>
      </c>
      <c r="R166" s="65" t="str">
        <f>"    rbib_"&amp;F166&amp;": "&amp;""""&amp;K166&amp;"&lt;a href=\"&amp;""""&amp;L166&amp;""""&amp;" target=\"&amp;""""&amp;"_blank\"&amp;""""&amp;"&gt;"&amp;L166&amp;"&lt;/a&gt;"&amp;""""</f>
        <v xml:space="preserve">    rbib_gerber_et_al_2010: "Gerber, B., Karpanty, S. S. M., Crawford, C., Kotschwar, M., &amp; Randrianantenaina, J. (2010). An assessment of carnivore relative abundance and Density in the eastern rainforests of Madagascar using remotely-triggered camera traps. &lt;i&gt;Oryx, 44&lt;/i&gt;(2), 219-222.&lt;a href=\"https://doi.org/10.1017/S0030605309991037" target=\"_blank\"&gt;https://doi.org/10.1017/S0030605309991037&lt;/a&gt;"</v>
      </c>
      <c r="S166" s="65" t="str">
        <f>"    rbib_"&amp;F166&amp;": "&amp;""""&amp;"&lt;div class=\"&amp;""""&amp;"hanging\"&amp;""""&amp;"&gt;"&amp;J166&amp;"&lt;/div&gt;"&amp;""""</f>
        <v xml:space="preserve">    rbib_gerber_et_al_2010: "&lt;div class=\"hanging\"&gt;Gerber, B., Karpanty, S. S. M., Crawford, C., Kotschwar, M., &amp; Randrianantenaina, J. (2010). An assessment of carnivore relative abundance and Density in the eastern rainforests of Madagascar using remotely-triggered camera traps. *Oryx, 44*(2), 219-222. &lt;https://doi.org/10.1017/S0030605309991037&gt;&lt;/div&gt;"</v>
      </c>
      <c r="T166" s="65"/>
    </row>
    <row r="167" spans="1:20" ht="15.75">
      <c r="A167" s="65"/>
      <c r="B167" s="155" t="b">
        <v>0</v>
      </c>
      <c r="C167" s="155" t="b">
        <v>0</v>
      </c>
      <c r="D167" s="155"/>
      <c r="E167" s="65" t="s">
        <v>984</v>
      </c>
      <c r="F167" s="65" t="s">
        <v>3305</v>
      </c>
      <c r="G167" s="65" t="s">
        <v>3304</v>
      </c>
      <c r="H167" s="65" t="s">
        <v>3303</v>
      </c>
      <c r="I167" s="65" t="b">
        <v>1</v>
      </c>
      <c r="J167" s="65" t="s">
        <v>3302</v>
      </c>
      <c r="K167" s="65" t="s">
        <v>5111</v>
      </c>
      <c r="L167" s="65" t="s">
        <v>3301</v>
      </c>
      <c r="M167" s="65" t="s">
        <v>984</v>
      </c>
      <c r="N167" s="65" t="str">
        <f>"&lt;div class="&amp;""""&amp;"hanging"&amp;""""&amp;"&gt;"&amp;K167&amp;"&lt;a href="&amp;""""&amp;L167&amp;""""&amp;" target="&amp;""""&amp;"_blank"&amp;""""&amp;"&gt;"&amp;L167&amp;"&lt;/a&gt;&lt;span style="&amp;""""&amp;"color:white"&amp;""""&amp;"&gt;[.]{#"&amp;F167&amp;"}}&lt;/span&gt;&lt;/div&gt;&lt;br&gt;"</f>
        <v>&lt;div class="hanging"&gt;Gerhart-Barley, L., M. (n.d.). &lt;i&gt;2.2: Measuring Species Diversity&lt;/i&gt;&lt;a href="https://bio.libretexts.org/Courses/University_of_California_Davis/BIS_2B%3A_Introduction_to_Biology_-_Ecology_and_Evolution/02%3A_Biodiversity/2.02%3A_Measuring_Species_Diversity" target="_blank"&gt;https://bio.libretexts.org/Courses/University_of_California_Davis/BIS_2B%3A_Introduction_to_Biology_-_Ecology_and_Evolution/02%3A_Biodiversity/2.02%3A_Measuring_Species_Diversity&lt;/a&gt;&lt;span style="color:white"&gt;[.]{#gerhartbarley_nd}}&lt;/span&gt;&lt;/div&gt;&lt;br&gt;</v>
      </c>
      <c r="O167" s="65" t="str">
        <f>"{{ rtxt_"&amp;F167&amp;" }}"</f>
        <v>{{ rtxt_gerhartbarley_nd }}</v>
      </c>
      <c r="P167" s="65" t="str">
        <f>"{{ rbib_"&amp;F167&amp;" }}"</f>
        <v>{{ rbib_gerhartbarley_nd }}</v>
      </c>
      <c r="Q167" s="65" t="str">
        <f>"    rtxt_"&amp;F167&amp;": "&amp;""""&amp;"&lt;a href=\"&amp;""""&amp;"/08_references.html#"&amp;F167&amp;"\"&amp;""""&amp;" target=\"&amp;""""&amp;"_blank\"&amp;""""&amp;"&gt;"&amp;G167&amp;"&lt;/a&gt;"&amp;""""</f>
        <v xml:space="preserve">    rtxt_gerhartbarley_nd: "&lt;a href=\"/08_references.html#gerhartbarley_nd\" target=\"_blank\"&gt;Gerhart-Barley, n.d.&lt;/a&gt;"</v>
      </c>
      <c r="R167" s="65" t="str">
        <f>"    rbib_"&amp;F167&amp;": "&amp;""""&amp;K167&amp;"&lt;a href=\"&amp;""""&amp;L167&amp;""""&amp;" target=\"&amp;""""&amp;"_blank\"&amp;""""&amp;"&gt;"&amp;L167&amp;"&lt;/a&gt;"&amp;""""</f>
        <v xml:space="preserve">    rbib_gerhartbarley_nd: "Gerhart-Barley, L., M. (n.d.). &lt;i&gt;2.2: Measuring Species Diversity&lt;/i&gt;&lt;a href=\"https://bio.libretexts.org/Courses/University_of_California_Davis/BIS_2B%3A_Introduction_to_Biology_-_Ecology_and_Evolution/02%3A_Biodiversity/2.02%3A_Measuring_Species_Diversity" target=\"_blank\"&gt;https://bio.libretexts.org/Courses/University_of_California_Davis/BIS_2B%3A_Introduction_to_Biology_-_Ecology_and_Evolution/02%3A_Biodiversity/2.02%3A_Measuring_Species_Diversity&lt;/a&gt;"</v>
      </c>
      <c r="S167" s="65" t="str">
        <f>"    rbib_"&amp;F167&amp;": "&amp;""""&amp;"&lt;div class=\"&amp;""""&amp;"hanging\"&amp;""""&amp;"&gt;"&amp;J167&amp;"&lt;/div&gt;"&amp;""""</f>
        <v xml:space="preserve">    rbib_gerhartbarley_nd: "&lt;div class=\"hanging\"&gt;Gerhart-Barley, L., M. (n.d.). *2.2: Measuring Species Diversity* &lt;https://bio.libretexts.org/Courses/University_of_California_Davis/BIS_2B%3A_Introduction_to_Biology_-_Ecology_and_Evolution/02%3A_Biodiversity/2.02%3A_Measuring_Species_Diversity&gt;&lt;/div&gt;"</v>
      </c>
      <c r="T167" s="65"/>
    </row>
    <row r="168" spans="1:20" ht="15.75">
      <c r="A168" s="65"/>
      <c r="B168" s="155"/>
      <c r="C168" s="155"/>
      <c r="D168" s="155"/>
      <c r="E168" s="65" t="s">
        <v>2945</v>
      </c>
      <c r="F168" s="65" t="s">
        <v>3296</v>
      </c>
      <c r="G168" s="65" t="s">
        <v>3295</v>
      </c>
      <c r="H168" s="65"/>
      <c r="I168" s="65" t="b">
        <v>1</v>
      </c>
      <c r="J168" s="65" t="s">
        <v>3294</v>
      </c>
      <c r="K168" s="65" t="s">
        <v>5095</v>
      </c>
      <c r="L168" s="157" t="s">
        <v>5563</v>
      </c>
      <c r="M168" s="65" t="s">
        <v>984</v>
      </c>
      <c r="N168" s="65" t="str">
        <f>"&lt;div class="&amp;""""&amp;"hanging"&amp;""""&amp;"&gt;"&amp;K168&amp;"&lt;a href="&amp;""""&amp;L168&amp;""""&amp;" target="&amp;""""&amp;"_blank"&amp;""""&amp;"&gt;"&amp;L168&amp;"&lt;/a&gt;&lt;span style="&amp;""""&amp;"color:white"&amp;""""&amp;"&gt;[.]{#"&amp;F168&amp;"}}&lt;/span&gt;&lt;/div&gt;&lt;br&gt;"</f>
        <v>&lt;div class="hanging"&gt;Gilbert, N. A. (2022). &lt;i&gt;Towards a temporal ecology of wildlife populations and communities.&lt;/i&gt; [Doctor of Philosophy]. University of Wisconsin-Madison.&lt;a href="https://search.proquest.com/openview/bfe15ec06593d5a8d3904add35055867/1?pq-origsite=gscholar&amp;cbl=18750&amp;diss=y" target="_blank"&gt;https://search.proquest.com/openview/bfe15ec06593d5a8d3904add35055867/1?pq-origsite=gscholar&amp;cbl=18750&amp;diss=y&lt;/a&gt;&lt;span style="color:white"&gt;[.]{#gilbert_et_al_2022}}&lt;/span&gt;&lt;/div&gt;&lt;br&gt;</v>
      </c>
      <c r="O168" s="65" t="str">
        <f>"{{ rtxt_"&amp;F168&amp;" }}"</f>
        <v>{{ rtxt_gilbert_et_al_2022 }}</v>
      </c>
      <c r="P168" s="65" t="str">
        <f>"{{ rbib_"&amp;F168&amp;" }}"</f>
        <v>{{ rbib_gilbert_et_al_2022 }}</v>
      </c>
      <c r="Q168" s="65" t="str">
        <f>"    rtxt_"&amp;F168&amp;": "&amp;""""&amp;"&lt;a href=\"&amp;""""&amp;"/08_references.html#"&amp;F168&amp;"\"&amp;""""&amp;" target=\"&amp;""""&amp;"_blank\"&amp;""""&amp;"&gt;"&amp;G168&amp;"&lt;/a&gt;"&amp;""""</f>
        <v xml:space="preserve">    rtxt_gilbert_et_al_2022: "&lt;a href=\"/08_references.html#gilbert_et_al_2022\" target=\"_blank\"&gt;Gilbert, 2022&lt;/a&gt;"</v>
      </c>
      <c r="R168" s="65" t="str">
        <f>"    rbib_"&amp;F168&amp;": "&amp;""""&amp;K168&amp;"&lt;a href=\"&amp;""""&amp;L168&amp;""""&amp;" target=\"&amp;""""&amp;"_blank\"&amp;""""&amp;"&gt;"&amp;L168&amp;"&lt;/a&gt;"&amp;""""</f>
        <v xml:space="preserve">    rbib_gilbert_et_al_2022: "Gilbert, N. A. (2022). &lt;i&gt;Towards a temporal ecology of wildlife populations and communities.&lt;/i&gt; [Doctor of Philosophy]. University of Wisconsin-Madison.&lt;a href=\"https://search.proquest.com/openview/bfe15ec06593d5a8d3904add35055867/1?pq-origsite=gscholar&amp;cbl=18750&amp;diss=y" target=\"_blank\"&gt;https://search.proquest.com/openview/bfe15ec06593d5a8d3904add35055867/1?pq-origsite=gscholar&amp;cbl=18750&amp;diss=y&lt;/a&gt;"</v>
      </c>
      <c r="S168" s="65" t="str">
        <f>"    rbib_"&amp;F168&amp;": "&amp;""""&amp;"&lt;div class=\"&amp;""""&amp;"hanging\"&amp;""""&amp;"&gt;"&amp;J168&amp;"&lt;/div&gt;"&amp;""""</f>
        <v xml:space="preserve">    rbib_gilbert_et_al_2022: "&lt;div class=\"hanging\"&gt;Gilbert, N. A. (2022). *Towards a temporal ecology of wildlife populations and communities.* [Doctor of Philosophy]. University of Wisconsin-Madison. &lt; https://search.proquest.com/openview/bfe15ec06593d5a8d3904add35055867/1?pq-origsite=gscholar&amp;cbl=18750&amp;diss=y&gt;&lt;/div&gt;"</v>
      </c>
      <c r="T168" s="65"/>
    </row>
    <row r="169" spans="1:20" ht="15.75">
      <c r="A169" s="65"/>
      <c r="B169" s="155" t="b">
        <v>1</v>
      </c>
      <c r="C169" s="155" t="b">
        <v>0</v>
      </c>
      <c r="D169" s="155" t="b">
        <v>0</v>
      </c>
      <c r="E169" s="65" t="s">
        <v>1904</v>
      </c>
      <c r="F169" s="65" t="s">
        <v>3300</v>
      </c>
      <c r="G169" s="65" t="s">
        <v>3299</v>
      </c>
      <c r="H169" s="65" t="s">
        <v>3299</v>
      </c>
      <c r="I169" s="65" t="b">
        <v>1</v>
      </c>
      <c r="J169" s="65" t="s">
        <v>3298</v>
      </c>
      <c r="K169" s="65" t="s">
        <v>5308</v>
      </c>
      <c r="L169" s="65" t="s">
        <v>3297</v>
      </c>
      <c r="M169" s="65" t="s">
        <v>984</v>
      </c>
      <c r="N169" s="65" t="str">
        <f>"&lt;div class="&amp;""""&amp;"hanging"&amp;""""&amp;"&gt;"&amp;K169&amp;"&lt;a href="&amp;""""&amp;L169&amp;""""&amp;" target="&amp;""""&amp;"_blank"&amp;""""&amp;"&gt;"&amp;L169&amp;"&lt;/a&gt;&lt;span style="&amp;""""&amp;"color:white"&amp;""""&amp;"&gt;[.]{#"&amp;F169&amp;"}}&lt;/span&gt;&lt;/div&gt;&lt;br&gt;"</f>
        <v>&lt;div class="hanging"&gt;Gilbert, N. A., Clare, J. D. J., Stenglein, J. L., &amp; Zuckerberg, B. (2020). Abundance Estimation of Unmarked Animals based on Camera-Trap Data. &lt;i&gt;Conservation Biology, 35&lt;/i&gt;(1), 88-100.&lt;a href="https://doi.org/10.1111/cobi.13517" target="_blank"&gt;https://doi.org/10.1111/cobi.13517&lt;/a&gt;&lt;span style="color:white"&gt;[.]{#gilbert_et_al_2020}}&lt;/span&gt;&lt;/div&gt;&lt;br&gt;</v>
      </c>
      <c r="O169" s="65" t="str">
        <f>"{{ rtxt_"&amp;F169&amp;" }}"</f>
        <v>{{ rtxt_gilbert_et_al_2020 }}</v>
      </c>
      <c r="P169" s="65" t="str">
        <f>"{{ rbib_"&amp;F169&amp;" }}"</f>
        <v>{{ rbib_gilbert_et_al_2020 }}</v>
      </c>
      <c r="Q169" s="65" t="str">
        <f>"    rtxt_"&amp;F169&amp;": "&amp;""""&amp;"&lt;a href=\"&amp;""""&amp;"/08_references.html#"&amp;F169&amp;"\"&amp;""""&amp;" target=\"&amp;""""&amp;"_blank\"&amp;""""&amp;"&gt;"&amp;G169&amp;"&lt;/a&gt;"&amp;""""</f>
        <v xml:space="preserve">    rtxt_gilbert_et_al_2020: "&lt;a href=\"/08_references.html#gilbert_et_al_2020\" target=\"_blank\"&gt;Gilbert et al., 2020&lt;/a&gt;"</v>
      </c>
      <c r="R169" s="65" t="str">
        <f>"    rbib_"&amp;F169&amp;": "&amp;""""&amp;K169&amp;"&lt;a href=\"&amp;""""&amp;L169&amp;""""&amp;" target=\"&amp;""""&amp;"_blank\"&amp;""""&amp;"&gt;"&amp;L169&amp;"&lt;/a&gt;"&amp;""""</f>
        <v xml:space="preserve">    rbib_gilbert_et_al_2020: "Gilbert, N. A., Clare, J. D. J., Stenglein, J. L., &amp; Zuckerberg, B. (2020). Abundance Estimation of Unmarked Animals based on Camera-Trap Data. &lt;i&gt;Conservation Biology, 35&lt;/i&gt;(1), 88-100.&lt;a href=\"https://doi.org/10.1111/cobi.13517" target=\"_blank\"&gt;https://doi.org/10.1111/cobi.13517&lt;/a&gt;"</v>
      </c>
      <c r="S169" s="65" t="str">
        <f>"    rbib_"&amp;F169&amp;": "&amp;""""&amp;"&lt;div class=\"&amp;""""&amp;"hanging\"&amp;""""&amp;"&gt;"&amp;J169&amp;"&lt;/div&gt;"&amp;""""</f>
        <v xml:space="preserve">    rbib_gilbert_et_al_2020: "&lt;div class=\"hanging\"&gt;Gilbert, N. A., Clare, J. D. J., Stenglein, J. L., &amp; Zuckerberg, B. (2020). Abundance Estimation of Unmarked Animals based on Camera-Trap Data. *Conservation Biology, 35*(1), 88-100. &lt;https://doi.org/10.1111/cobi.13517&gt;&lt;/div&gt;"</v>
      </c>
      <c r="T169" s="65"/>
    </row>
    <row r="170" spans="1:20" ht="15.75">
      <c r="A170" s="65"/>
      <c r="B170" s="155" t="b">
        <v>1</v>
      </c>
      <c r="C170" s="155" t="b">
        <v>0</v>
      </c>
      <c r="D170" s="155" t="b">
        <v>0</v>
      </c>
      <c r="E170" s="65" t="s">
        <v>2480</v>
      </c>
      <c r="F170" s="65" t="s">
        <v>3293</v>
      </c>
      <c r="G170" s="65" t="s">
        <v>3292</v>
      </c>
      <c r="H170" s="65" t="s">
        <v>3292</v>
      </c>
      <c r="I170" s="65" t="b">
        <v>1</v>
      </c>
      <c r="J170" s="65" t="s">
        <v>3291</v>
      </c>
      <c r="K170" s="65" t="s">
        <v>5452</v>
      </c>
      <c r="L170" s="65" t="s">
        <v>3290</v>
      </c>
      <c r="M170" s="65" t="s">
        <v>984</v>
      </c>
      <c r="N170" s="65" t="str">
        <f>"&lt;div class="&amp;""""&amp;"hanging"&amp;""""&amp;"&gt;"&amp;K170&amp;"&lt;a href="&amp;""""&amp;L170&amp;""""&amp;" target="&amp;""""&amp;"_blank"&amp;""""&amp;"&gt;"&amp;L170&amp;"&lt;/a&gt;&lt;span style="&amp;""""&amp;"color:white"&amp;""""&amp;"&gt;[.]{#"&amp;F170&amp;"}}&lt;/span&gt;&lt;/div&gt;&lt;br&gt;"</f>
        <v>&lt;div class="hanging"&gt;Gillespie, G. R., Brennan, K., Gentles, T., Hill, B., Low Choy, J., Mahney, T., Stevens, A., &amp; Stokeld, D. (2015). &lt;i&gt;A Guide for the use of Remote Cameras for Wildlife Survey in Northern Australia&lt;/i&gt;. Darwin: Charles Darwin University.&lt;a href="https://nesplandscapes.edu.au/wp-content/uploads/2015/10/5.2.4_a_guide_to_use_of_remote_cameras_for_wildlife_Surveys_final_web2.pdf" target="_blank"&gt;https://nesplandscapes.edu.au/wp-content/uploads/2015/10/5.2.4_a_guide_to_use_of_remote_cameras_for_wildlife_Surveys_final_web2.pdf&lt;/a&gt;&lt;span style="color:white"&gt;[.]{#gillespie_et_al_2015}}&lt;/span&gt;&lt;/div&gt;&lt;br&gt;</v>
      </c>
      <c r="O170" s="65" t="str">
        <f>"{{ rtxt_"&amp;F170&amp;" }}"</f>
        <v>{{ rtxt_gillespie_et_al_2015 }}</v>
      </c>
      <c r="P170" s="65" t="str">
        <f>"{{ rbib_"&amp;F170&amp;" }}"</f>
        <v>{{ rbib_gillespie_et_al_2015 }}</v>
      </c>
      <c r="Q170" s="65" t="str">
        <f>"    rtxt_"&amp;F170&amp;": "&amp;""""&amp;"&lt;a href=\"&amp;""""&amp;"/08_references.html#"&amp;F170&amp;"\"&amp;""""&amp;" target=\"&amp;""""&amp;"_blank\"&amp;""""&amp;"&gt;"&amp;G170&amp;"&lt;/a&gt;"&amp;""""</f>
        <v xml:space="preserve">    rtxt_gillespie_et_al_2015: "&lt;a href=\"/08_references.html#gillespie_et_al_2015\" target=\"_blank\"&gt;Gillespie et al., 2015&lt;/a&gt;"</v>
      </c>
      <c r="R170" s="65" t="str">
        <f>"    rbib_"&amp;F170&amp;": "&amp;""""&amp;K170&amp;"&lt;a href=\"&amp;""""&amp;L170&amp;""""&amp;" target=\"&amp;""""&amp;"_blank\"&amp;""""&amp;"&gt;"&amp;L170&amp;"&lt;/a&gt;"&amp;""""</f>
        <v xml:space="preserve">    rbib_gillespie_et_al_2015: "Gillespie, G. R., Brennan, K., Gentles, T., Hill, B., Low Choy, J., Mahney, T., Stevens, A., &amp; Stokeld, D. (2015). &lt;i&gt;A Guide for the use of Remote Cameras for Wildlife Survey in Northern Australia&lt;/i&gt;. Darwin: Charles Darwin University.&lt;a href=\"https://nesplandscapes.edu.au/wp-content/uploads/2015/10/5.2.4_a_guide_to_use_of_remote_cameras_for_wildlife_Surveys_final_web2.pdf" target=\"_blank\"&gt;https://nesplandscapes.edu.au/wp-content/uploads/2015/10/5.2.4_a_guide_to_use_of_remote_cameras_for_wildlife_Surveys_final_web2.pdf&lt;/a&gt;"</v>
      </c>
      <c r="S170" s="65" t="str">
        <f>"    rbib_"&amp;F170&amp;": "&amp;""""&amp;"&lt;div class=\"&amp;""""&amp;"hanging\"&amp;""""&amp;"&gt;"&amp;J170&amp;"&lt;/div&gt;"&amp;""""</f>
        <v xml:space="preserve">    rbib_gillespie_et_al_2015: "&lt;div class=\"hanging\"&gt;Gillespie, G. R., Brennan, K., Gentles, T., Hill, B., Low Choy, J., Mahney, T., Stevens, A., &amp; Stokeld, D. (2015). *A Guide for the use of Remote Cameras for Wildlife Survey in Northern Australia*. Darwin: Charles Darwin University. &lt;https://nesplandscapes.edu.au/wp-content/uploads/2015/10/5.2.4_a_guide_to_use_of_remote_cameras_for_wildlife_Surveys_final_web2.pdf&gt;&lt;/div&gt;"</v>
      </c>
      <c r="T170" s="65"/>
    </row>
    <row r="171" spans="1:20" ht="15.75">
      <c r="A171" s="65"/>
      <c r="B171" s="155"/>
      <c r="C171" s="155"/>
      <c r="D171" s="155"/>
      <c r="E171" s="65" t="s">
        <v>1950</v>
      </c>
      <c r="F171" s="65" t="s">
        <v>3289</v>
      </c>
      <c r="G171" s="65" t="s">
        <v>3288</v>
      </c>
      <c r="H171" s="65" t="s">
        <v>3288</v>
      </c>
      <c r="I171" s="65" t="b">
        <v>1</v>
      </c>
      <c r="J171" s="65" t="s">
        <v>3287</v>
      </c>
      <c r="K171" s="65" t="s">
        <v>5428</v>
      </c>
      <c r="L171" s="65" t="s">
        <v>3286</v>
      </c>
      <c r="M171" s="65" t="s">
        <v>984</v>
      </c>
      <c r="N171" s="65" t="str">
        <f>"&lt;div class="&amp;""""&amp;"hanging"&amp;""""&amp;"&gt;"&amp;K171&amp;"&lt;a href="&amp;""""&amp;L171&amp;""""&amp;" target="&amp;""""&amp;"_blank"&amp;""""&amp;"&gt;"&amp;L171&amp;"&lt;/a&gt;&lt;span style="&amp;""""&amp;"color:white"&amp;""""&amp;"&gt;[.]{#"&amp;F171&amp;"}}&lt;/span&gt;&lt;/div&gt;&lt;br&gt;"</f>
        <v>&lt;div class="hanging"&gt;Gimenez, O. (2020a). &lt;i&gt;Bias in single-season occupancy models.&lt;/i&gt;&lt;a href="https://ecologicalstatistics.shinyapps.io/bias_occupancy; " target="_blank"&gt;https://ecologicalstatistics.shinyapps.io/bias_occupancy; &lt;/a&gt;&lt;span style="color:white"&gt;[.]{#gimenez_2020a}}&lt;/span&gt;&lt;/div&gt;&lt;br&gt;</v>
      </c>
      <c r="O171" s="65" t="str">
        <f>"{{ rtxt_"&amp;F171&amp;" }}"</f>
        <v>{{ rtxt_gimenez_2020a }}</v>
      </c>
      <c r="P171" s="65" t="str">
        <f>"{{ rbib_"&amp;F171&amp;" }}"</f>
        <v>{{ rbib_gimenez_2020a }}</v>
      </c>
      <c r="Q171" s="65" t="str">
        <f>"    rtxt_"&amp;F171&amp;": "&amp;""""&amp;"&lt;a href=\"&amp;""""&amp;"/08_references.html#"&amp;F171&amp;"\"&amp;""""&amp;" target=\"&amp;""""&amp;"_blank\"&amp;""""&amp;"&gt;"&amp;G171&amp;"&lt;/a&gt;"&amp;""""</f>
        <v xml:space="preserve">    rtxt_gimenez_2020a: "&lt;a href=\"/08_references.html#gimenez_2020a\" target=\"_blank\"&gt;Gimenez, 2020a&lt;/a&gt;"</v>
      </c>
      <c r="R171" s="65" t="str">
        <f>"    rbib_"&amp;F171&amp;": "&amp;""""&amp;K171&amp;"&lt;a href=\"&amp;""""&amp;L171&amp;""""&amp;" target=\"&amp;""""&amp;"_blank\"&amp;""""&amp;"&gt;"&amp;L171&amp;"&lt;/a&gt;"&amp;""""</f>
        <v xml:space="preserve">    rbib_gimenez_2020a: "Gimenez, O. (2020a). &lt;i&gt;Bias in single-season occupancy models.&lt;/i&gt;&lt;a href=\"https://ecologicalstatistics.shinyapps.io/bias_occupancy; " target=\"_blank\"&gt;https://ecologicalstatistics.shinyapps.io/bias_occupancy; &lt;/a&gt;"</v>
      </c>
      <c r="S171" s="65" t="str">
        <f>"    rbib_"&amp;F171&amp;": "&amp;""""&amp;"&lt;div class=\"&amp;""""&amp;"hanging\"&amp;""""&amp;"&gt;"&amp;J171&amp;"&lt;/div&gt;"&amp;""""</f>
        <v xml:space="preserve">    rbib_gimenez_2020a: "&lt;div class=\"hanging\"&gt;Gimenez, O. (2020a). *Bias in single-season occupancy models.* &lt;https://ecologicalstatistics.shinyapps.io/bias_occupancy&gt;; &lt;https://github.com/oliviergimenez/bias_occupancy_flexdashboard&gt;&lt;/div&gt;"</v>
      </c>
      <c r="T171" s="65" t="s">
        <v>3285</v>
      </c>
    </row>
    <row r="172" spans="1:20" ht="15.75">
      <c r="A172" s="65"/>
      <c r="B172" s="155"/>
      <c r="C172" s="155"/>
      <c r="D172" s="155"/>
      <c r="E172" s="65" t="s">
        <v>1950</v>
      </c>
      <c r="F172" s="65" t="s">
        <v>3284</v>
      </c>
      <c r="G172" s="65" t="s">
        <v>3283</v>
      </c>
      <c r="H172" s="65" t="s">
        <v>3283</v>
      </c>
      <c r="I172" s="65" t="b">
        <v>1</v>
      </c>
      <c r="J172" s="65" t="s">
        <v>3282</v>
      </c>
      <c r="K172" s="65" t="s">
        <v>5436</v>
      </c>
      <c r="L172" s="65" t="s">
        <v>3281</v>
      </c>
      <c r="M172" s="65" t="s">
        <v>984</v>
      </c>
      <c r="N172" s="65" t="str">
        <f>"&lt;div class="&amp;""""&amp;"hanging"&amp;""""&amp;"&gt;"&amp;K172&amp;"&lt;a href="&amp;""""&amp;L172&amp;""""&amp;" target="&amp;""""&amp;"_blank"&amp;""""&amp;"&gt;"&amp;L172&amp;"&lt;/a&gt;&lt;span style="&amp;""""&amp;"color:white"&amp;""""&amp;"&gt;[.]{#"&amp;F172&amp;"}}&lt;/span&gt;&lt;/div&gt;&lt;br&gt;"</f>
        <v>&lt;div class="hanging"&gt;Gimenez, O. (2020b). &lt;i&gt;Bias in occupancy estimate for a static model.&lt;/i&gt;&lt;a href="https://github.com/oliviergimenez/bias_occupancy" target="_blank"&gt;https://github.com/oliviergimenez/bias_occupancy&lt;/a&gt;&lt;span style="color:white"&gt;[.]{#gimenez_2020b}}&lt;/span&gt;&lt;/div&gt;&lt;br&gt;</v>
      </c>
      <c r="O172" s="65" t="str">
        <f>"{{ rtxt_"&amp;F172&amp;" }}"</f>
        <v>{{ rtxt_gimenez_2020b }}</v>
      </c>
      <c r="P172" s="65" t="str">
        <f>"{{ rbib_"&amp;F172&amp;" }}"</f>
        <v>{{ rbib_gimenez_2020b }}</v>
      </c>
      <c r="Q172" s="65" t="str">
        <f>"    rtxt_"&amp;F172&amp;": "&amp;""""&amp;"&lt;a href=\"&amp;""""&amp;"/08_references.html#"&amp;F172&amp;"\"&amp;""""&amp;" target=\"&amp;""""&amp;"_blank\"&amp;""""&amp;"&gt;"&amp;G172&amp;"&lt;/a&gt;"&amp;""""</f>
        <v xml:space="preserve">    rtxt_gimenez_2020b: "&lt;a href=\"/08_references.html#gimenez_2020b\" target=\"_blank\"&gt;Gimenez, 2020b&lt;/a&gt;"</v>
      </c>
      <c r="R172" s="65" t="str">
        <f>"    rbib_"&amp;F172&amp;": "&amp;""""&amp;K172&amp;"&lt;a href=\"&amp;""""&amp;L172&amp;""""&amp;" target=\"&amp;""""&amp;"_blank\"&amp;""""&amp;"&gt;"&amp;L172&amp;"&lt;/a&gt;"&amp;""""</f>
        <v xml:space="preserve">    rbib_gimenez_2020b: "Gimenez, O. (2020b). &lt;i&gt;Bias in occupancy estimate for a static model.&lt;/i&gt;&lt;a href=\"https://github.com/oliviergimenez/bias_occupancy" target=\"_blank\"&gt;https://github.com/oliviergimenez/bias_occupancy&lt;/a&gt;"</v>
      </c>
      <c r="S172" s="65" t="str">
        <f>"    rbib_"&amp;F172&amp;": "&amp;""""&amp;"&lt;div class=\"&amp;""""&amp;"hanging\"&amp;""""&amp;"&gt;"&amp;J172&amp;"&lt;/div&gt;"&amp;""""</f>
        <v xml:space="preserve">    rbib_gimenez_2020b: "&lt;div class=\"hanging\"&gt;Gimenez, O. (2020b). *Bias in occupancy estimate for a static model.* &lt;https://github.com/oliviergimenez/bias_occupancy&gt;&lt;/div&gt;"</v>
      </c>
      <c r="T172" s="65"/>
    </row>
    <row r="173" spans="1:20" ht="15.75">
      <c r="A173" s="65"/>
      <c r="B173" s="155"/>
      <c r="C173" s="155"/>
      <c r="D173" s="155"/>
      <c r="E173" s="65" t="s">
        <v>1945</v>
      </c>
      <c r="F173" s="65" t="s">
        <v>3280</v>
      </c>
      <c r="G173" s="65" t="s">
        <v>3279</v>
      </c>
      <c r="H173" s="65" t="s">
        <v>3279</v>
      </c>
      <c r="I173" s="65" t="b">
        <v>1</v>
      </c>
      <c r="J173" s="65" t="s">
        <v>3278</v>
      </c>
      <c r="K173" s="65" t="s">
        <v>5541</v>
      </c>
      <c r="L173" s="65" t="s">
        <v>3276</v>
      </c>
      <c r="M173" s="65" t="s">
        <v>3277</v>
      </c>
      <c r="N173" s="65" t="str">
        <f>"&lt;div class="&amp;""""&amp;"hanging"&amp;""""&amp;"&gt;"&amp;K173&amp;"&lt;a href="&amp;""""&amp;L173&amp;""""&amp;" target="&amp;""""&amp;"_blank"&amp;""""&amp;"&gt;"&amp;L173&amp;"&lt;/a&gt;&lt;span style="&amp;""""&amp;"color:white"&amp;""""&amp;"&gt;[.]{#"&amp;F173&amp;"}}&lt;/span&gt;&lt;/div&gt;&lt;br&gt;"</f>
        <v>&lt;div class="hanging"&gt;Gimenez, O. (2023, May 16). &lt;i&gt;Workshop on estimating (wolf) occupancy with R&lt;/i&gt; [Video]. YouTube.&lt;a href="https://www.youtube.com/watch?v=rpjVrFI_dr8" target="_blank"&gt;https://www.youtube.com/watch?v=rpjVrFI_dr8&lt;/a&gt;&lt;span style="color:white"&gt;[.]{#gimenez_2023}}&lt;/span&gt;&lt;/div&gt;&lt;br&gt;</v>
      </c>
      <c r="O173" s="65" t="str">
        <f>"{{ rtxt_"&amp;F173&amp;" }}"</f>
        <v>{{ rtxt_gimenez_2023 }}</v>
      </c>
      <c r="P173" s="65" t="str">
        <f>"{{ rbib_"&amp;F173&amp;" }}"</f>
        <v>{{ rbib_gimenez_2023 }}</v>
      </c>
      <c r="Q173" s="65" t="str">
        <f>"    rtxt_"&amp;F173&amp;": "&amp;""""&amp;"&lt;a href=\"&amp;""""&amp;"/08_references.html#"&amp;F173&amp;"\"&amp;""""&amp;" target=\"&amp;""""&amp;"_blank\"&amp;""""&amp;"&gt;"&amp;G173&amp;"&lt;/a&gt;"&amp;""""</f>
        <v xml:space="preserve">    rtxt_gimenez_2023: "&lt;a href=\"/08_references.html#gimenez_2023\" target=\"_blank\"&gt;Gimenez, 2023&lt;/a&gt;"</v>
      </c>
      <c r="R173" s="65" t="str">
        <f>"    rbib_"&amp;F173&amp;": "&amp;""""&amp;K173&amp;"&lt;a href=\"&amp;""""&amp;L173&amp;""""&amp;" target=\"&amp;""""&amp;"_blank\"&amp;""""&amp;"&gt;"&amp;L173&amp;"&lt;/a&gt;"&amp;""""</f>
        <v xml:space="preserve">    rbib_gimenez_2023: "Gimenez, O. (2023, May 16). &lt;i&gt;Workshop on estimating (wolf) occupancy with R&lt;/i&gt; [Video]. YouTube.&lt;a href=\"https://www.youtube.com/watch?v=rpjVrFI_dr8" target=\"_blank\"&gt;https://www.youtube.com/watch?v=rpjVrFI_dr8&lt;/a&gt;"</v>
      </c>
      <c r="S173" s="65" t="str">
        <f>"    rbib_"&amp;F173&amp;": "&amp;""""&amp;"&lt;div class=\"&amp;""""&amp;"hanging\"&amp;""""&amp;"&gt;"&amp;J173&amp;"&lt;/div&gt;"&amp;""""</f>
        <v xml:space="preserve">    rbib_gimenez_2023: "&lt;div class=\"hanging\"&gt;Gimenez, O. (2023, May 16). *Workshop on estimating (wolf) occupancy with R* [Video]. YouTube. &lt;https://www.youtube.com/watch?v=rpjVrFI_dr8&gt;&lt;/div&gt;"</v>
      </c>
      <c r="T173" s="65"/>
    </row>
    <row r="174" spans="1:20" ht="15.75">
      <c r="A174" s="65"/>
      <c r="B174" s="155" t="b">
        <v>1</v>
      </c>
      <c r="C174" s="155" t="b">
        <v>0</v>
      </c>
      <c r="D174" s="155" t="b">
        <v>0</v>
      </c>
      <c r="E174" s="65" t="s">
        <v>1904</v>
      </c>
      <c r="F174" s="65" t="s">
        <v>3275</v>
      </c>
      <c r="G174" s="65" t="s">
        <v>3274</v>
      </c>
      <c r="H174" s="65" t="s">
        <v>3274</v>
      </c>
      <c r="I174" s="65" t="b">
        <v>1</v>
      </c>
      <c r="J174" s="65" t="s">
        <v>3273</v>
      </c>
      <c r="K174" s="65" t="s">
        <v>5357</v>
      </c>
      <c r="L174" s="65" t="s">
        <v>3272</v>
      </c>
      <c r="M174" s="65" t="s">
        <v>984</v>
      </c>
      <c r="N174" s="65" t="str">
        <f>"&lt;div class="&amp;""""&amp;"hanging"&amp;""""&amp;"&gt;"&amp;K174&amp;"&lt;a href="&amp;""""&amp;L174&amp;""""&amp;" target="&amp;""""&amp;"_blank"&amp;""""&amp;"&gt;"&amp;L174&amp;"&lt;/a&gt;&lt;span style="&amp;""""&amp;"color:white"&amp;""""&amp;"&gt;[.]{#"&amp;F174&amp;"}}&lt;/span&gt;&lt;/div&gt;&lt;br&gt;"</f>
        <v>&lt;div class="hanging"&gt;Glen, A. S., Cockburn, S., Nichols, M., Ekanayake, J., &amp; Warburton, B. (2013) Optimising Camera Traps for Monitoring Small Mammals. &lt;i&gt;PloS one, 8&lt;/i&gt;(6), Article e67940.&lt;a href="https://doi.org/10.1371/journal.pone.0067940" target="_blank"&gt;https://doi.org/10.1371/journal.pone.0067940&lt;/a&gt;&lt;span style="color:white"&gt;[.]{#glen_et_al_2013}}&lt;/span&gt;&lt;/div&gt;&lt;br&gt;</v>
      </c>
      <c r="O174" s="65" t="str">
        <f>"{{ rtxt_"&amp;F174&amp;" }}"</f>
        <v>{{ rtxt_glen_et_al_2013 }}</v>
      </c>
      <c r="P174" s="65" t="str">
        <f>"{{ rbib_"&amp;F174&amp;" }}"</f>
        <v>{{ rbib_glen_et_al_2013 }}</v>
      </c>
      <c r="Q174" s="65" t="str">
        <f>"    rtxt_"&amp;F174&amp;": "&amp;""""&amp;"&lt;a href=\"&amp;""""&amp;"/08_references.html#"&amp;F174&amp;"\"&amp;""""&amp;" target=\"&amp;""""&amp;"_blank\"&amp;""""&amp;"&gt;"&amp;G174&amp;"&lt;/a&gt;"&amp;""""</f>
        <v xml:space="preserve">    rtxt_glen_et_al_2013: "&lt;a href=\"/08_references.html#glen_et_al_2013\" target=\"_blank\"&gt;Glen et al., 2013&lt;/a&gt;"</v>
      </c>
      <c r="R174" s="65" t="str">
        <f>"    rbib_"&amp;F174&amp;": "&amp;""""&amp;K174&amp;"&lt;a href=\"&amp;""""&amp;L174&amp;""""&amp;" target=\"&amp;""""&amp;"_blank\"&amp;""""&amp;"&gt;"&amp;L174&amp;"&lt;/a&gt;"&amp;""""</f>
        <v xml:space="preserve">    rbib_glen_et_al_2013: "Glen, A. S., Cockburn, S., Nichols, M., Ekanayake, J., &amp; Warburton, B. (2013) Optimising Camera Traps for Monitoring Small Mammals. &lt;i&gt;PloS one, 8&lt;/i&gt;(6), Article e67940.&lt;a href=\"https://doi.org/10.1371/journal.pone.0067940" target=\"_blank\"&gt;https://doi.org/10.1371/journal.pone.0067940&lt;/a&gt;"</v>
      </c>
      <c r="S174" s="65" t="str">
        <f>"    rbib_"&amp;F174&amp;": "&amp;""""&amp;"&lt;div class=\"&amp;""""&amp;"hanging\"&amp;""""&amp;"&gt;"&amp;J174&amp;"&lt;/div&gt;"&amp;""""</f>
        <v xml:space="preserve">    rbib_glen_et_al_2013: "&lt;div class=\"hanging\"&gt;Glen, A. S., Cockburn, S., Nichols, M., Ekanayake, J., &amp; Warburton, B. (2013) Optimising Camera Traps for Monitoring Small Mammals. *PloS one,* 8(6), Article e67940. &lt;https://doi.org/10.1371/journal.pone.0067940&gt;&lt;/div&gt;"</v>
      </c>
      <c r="T174" s="65"/>
    </row>
    <row r="175" spans="1:20" ht="15.75">
      <c r="A175" s="65"/>
      <c r="B175" s="155" t="b">
        <v>0</v>
      </c>
      <c r="C175" s="155" t="b">
        <v>0</v>
      </c>
      <c r="D175" s="155" t="s">
        <v>1993</v>
      </c>
      <c r="E175" s="65" t="s">
        <v>1904</v>
      </c>
      <c r="F175" s="65" t="s">
        <v>3271</v>
      </c>
      <c r="G175" s="65" t="s">
        <v>3270</v>
      </c>
      <c r="H175" s="65" t="s">
        <v>3270</v>
      </c>
      <c r="I175" s="65" t="b">
        <v>1</v>
      </c>
      <c r="J175" s="65" t="s">
        <v>3269</v>
      </c>
      <c r="K175" s="65" t="s">
        <v>5166</v>
      </c>
      <c r="L175" s="65" t="s">
        <v>3268</v>
      </c>
      <c r="M175" s="65" t="s">
        <v>984</v>
      </c>
      <c r="N175" s="65" t="str">
        <f>"&lt;div class="&amp;""""&amp;"hanging"&amp;""""&amp;"&gt;"&amp;K175&amp;"&lt;a href="&amp;""""&amp;L175&amp;""""&amp;" target="&amp;""""&amp;"_blank"&amp;""""&amp;"&gt;"&amp;L175&amp;"&lt;/a&gt;&lt;span style="&amp;""""&amp;"color:white"&amp;""""&amp;"&gt;[.]{#"&amp;F175&amp;"}}&lt;/span&gt;&lt;/div&gt;&lt;br&gt;"</f>
        <v>&lt;div class="hanging"&gt;Glover‐Kapfer, P., Soto‐Navarro, C. A., Wearn, O. R., Rowcliffe, M., &amp; Sollmann, R. (2019). Camera‐trapping version 3.0: Current constraints and future priorities for development. &lt;i&gt;Remote Sensing in Ecology and Conservation, 5&lt;/i&gt;(3), 209-223.&lt;a href="https://doi.org/10.1002/rse2.106" target="_blank"&gt;https://doi.org/10.1002/rse2.106&lt;/a&gt;&lt;span style="color:white"&gt;[.]{#glover_kapfer_et_al_2019}}&lt;/span&gt;&lt;/div&gt;&lt;br&gt;</v>
      </c>
      <c r="O175" s="65" t="str">
        <f>"{{ rtxt_"&amp;F175&amp;" }}"</f>
        <v>{{ rtxt_glover_kapfer_et_al_2019 }}</v>
      </c>
      <c r="P175" s="65" t="str">
        <f>"{{ rbib_"&amp;F175&amp;" }}"</f>
        <v>{{ rbib_glover_kapfer_et_al_2019 }}</v>
      </c>
      <c r="Q175" s="65" t="str">
        <f>"    rtxt_"&amp;F175&amp;": "&amp;""""&amp;"&lt;a href=\"&amp;""""&amp;"/08_references.html#"&amp;F175&amp;"\"&amp;""""&amp;" target=\"&amp;""""&amp;"_blank\"&amp;""""&amp;"&gt;"&amp;G175&amp;"&lt;/a&gt;"&amp;""""</f>
        <v xml:space="preserve">    rtxt_glover_kapfer_et_al_2019: "&lt;a href=\"/08_references.html#glover_kapfer_et_al_2019\" target=\"_blank\"&gt;Glover-Kapfer et al., 2017&lt;/a&gt;"</v>
      </c>
      <c r="R175" s="65" t="str">
        <f>"    rbib_"&amp;F175&amp;": "&amp;""""&amp;K175&amp;"&lt;a href=\"&amp;""""&amp;L175&amp;""""&amp;" target=\"&amp;""""&amp;"_blank\"&amp;""""&amp;"&gt;"&amp;L175&amp;"&lt;/a&gt;"&amp;""""</f>
        <v xml:space="preserve">    rbib_glover_kapfer_et_al_2019: "Glover‐Kapfer, P., Soto‐Navarro, C. A., Wearn, O. R., Rowcliffe, M., &amp; Sollmann, R. (2019). Camera‐trapping version 3.0: Current constraints and future priorities for development. &lt;i&gt;Remote Sensing in Ecology and Conservation, 5&lt;/i&gt;(3), 209-223.&lt;a href=\"https://doi.org/10.1002/rse2.106" target=\"_blank\"&gt;https://doi.org/10.1002/rse2.106&lt;/a&gt;"</v>
      </c>
      <c r="S175" s="65" t="str">
        <f>"    rbib_"&amp;F175&amp;": "&amp;""""&amp;"&lt;div class=\"&amp;""""&amp;"hanging\"&amp;""""&amp;"&gt;"&amp;J175&amp;"&lt;/div&gt;"&amp;""""</f>
        <v xml:space="preserve">    rbib_glover_kapfer_et_al_2019: "&lt;div class=\"hanging\"&gt;Glover‐Kapfer, P., Soto‐Navarro, C. A., Wearn, O. R., Rowcliffe, M., &amp; Sollmann, R. (2019). Camera‐trapping version 3.0: Current constraints and future priorities for development. *Remote Sensing in Ecology and Conservation, 5*(3), 209-223. &lt;https://doi.org/10.1002/rse2.106&gt;&lt;/div&gt;"</v>
      </c>
      <c r="T175" s="65"/>
    </row>
    <row r="176" spans="1:20" ht="15.75">
      <c r="A176" s="65"/>
      <c r="B176" s="155" t="b">
        <v>0</v>
      </c>
      <c r="C176" s="155" t="b">
        <v>0</v>
      </c>
      <c r="D176" s="155"/>
      <c r="E176" s="65" t="s">
        <v>1904</v>
      </c>
      <c r="F176" s="65" t="s">
        <v>3259</v>
      </c>
      <c r="G176" s="65" t="s">
        <v>3258</v>
      </c>
      <c r="H176" s="65" t="s">
        <v>3258</v>
      </c>
      <c r="I176" s="65" t="b">
        <v>1</v>
      </c>
      <c r="J176" s="65" t="s">
        <v>3257</v>
      </c>
      <c r="K176" s="65" t="s">
        <v>5340</v>
      </c>
      <c r="L176" s="65" t="s">
        <v>3256</v>
      </c>
      <c r="M176" s="65" t="s">
        <v>984</v>
      </c>
      <c r="N176" s="65" t="str">
        <f>"&lt;div class="&amp;""""&amp;"hanging"&amp;""""&amp;"&gt;"&amp;K176&amp;"&lt;a href="&amp;""""&amp;L176&amp;""""&amp;" target="&amp;""""&amp;"_blank"&amp;""""&amp;"&gt;"&amp;L176&amp;"&lt;/a&gt;&lt;span style="&amp;""""&amp;"color:white"&amp;""""&amp;"&gt;[.]{#"&amp;F176&amp;"}}&lt;/span&gt;&lt;/div&gt;&lt;br&gt;"</f>
        <v>&lt;div class="hanging"&gt;Gopalaswamy, A. M., Royle, J. A., Hines, J. E., Singh, P., Jathanna, D., Kumar, N. S., &amp; Karanth, K. U. (2012). Program SPACECAP: software for estimating animal Density using spatially explicit capture-recapture models. &lt;i&gt;Methods in Ecology and Evolution, 3&lt;/i&gt;(6), 1067-1072.&lt;a href="https://doi.org/10.1111/j.2041-210X.2012.00241.x" target="_blank"&gt;https://doi.org/10.1111/j.2041-210X.2012.00241.x&lt;/a&gt;&lt;span style="color:white"&gt;[.]{#gopalaswamy_et_al_2012}}&lt;/span&gt;&lt;/div&gt;&lt;br&gt;</v>
      </c>
      <c r="O176" s="65" t="str">
        <f>"{{ rtxt_"&amp;F176&amp;" }}"</f>
        <v>{{ rtxt_gopalaswamy_et_al_2012 }}</v>
      </c>
      <c r="P176" s="65" t="str">
        <f>"{{ rbib_"&amp;F176&amp;" }}"</f>
        <v>{{ rbib_gopalaswamy_et_al_2012 }}</v>
      </c>
      <c r="Q176" s="65" t="str">
        <f>"    rtxt_"&amp;F176&amp;": "&amp;""""&amp;"&lt;a href=\"&amp;""""&amp;"/08_references.html#"&amp;F176&amp;"\"&amp;""""&amp;" target=\"&amp;""""&amp;"_blank\"&amp;""""&amp;"&gt;"&amp;G176&amp;"&lt;/a&gt;"&amp;""""</f>
        <v xml:space="preserve">    rtxt_gopalaswamy_et_al_2012: "&lt;a href=\"/08_references.html#gopalaswamy_et_al_2012\" target=\"_blank\"&gt;Gopalaswamy et al., 2012&lt;/a&gt;"</v>
      </c>
      <c r="R176" s="65" t="str">
        <f>"    rbib_"&amp;F176&amp;": "&amp;""""&amp;K176&amp;"&lt;a href=\"&amp;""""&amp;L176&amp;""""&amp;" target=\"&amp;""""&amp;"_blank\"&amp;""""&amp;"&gt;"&amp;L176&amp;"&lt;/a&gt;"&amp;""""</f>
        <v xml:space="preserve">    rbib_gopalaswamy_et_al_2012: "Gopalaswamy, A. M., Royle, J. A., Hines, J. E., Singh, P., Jathanna, D., Kumar, N. S., &amp; Karanth, K. U. (2012). Program SPACECAP: software for estimating animal Density using spatially explicit capture-recapture models. &lt;i&gt;Methods in Ecology and Evolution, 3&lt;/i&gt;(6), 1067-1072.&lt;a href=\"https://doi.org/10.1111/j.2041-210X.2012.00241.x" target=\"_blank\"&gt;https://doi.org/10.1111/j.2041-210X.2012.00241.x&lt;/a&gt;"</v>
      </c>
      <c r="S176" s="65" t="str">
        <f>"    rbib_"&amp;F176&amp;": "&amp;""""&amp;"&lt;div class=\"&amp;""""&amp;"hanging\"&amp;""""&amp;"&gt;"&amp;J176&amp;"&lt;/div&gt;"&amp;""""</f>
        <v xml:space="preserve">    rbib_gopalaswamy_et_al_2012: "&lt;div class=\"hanging\"&gt;Gopalaswamy, A. M., Royle, J. A., Hines, J. E., Singh, P., Jathanna, D., Kumar, N. S., &amp; Karanth, K. U. (2012). Program SPACECAP: software for estimating animal Density using spatially explicit capture-recapture models. *Methods in Ecology and Evolution, 3*(6), 1067-1072. &lt;https://doi.org/10.1111/j.2041-210X.2012.00241.x&gt;&lt;/div&gt;"</v>
      </c>
      <c r="T176" s="65"/>
    </row>
    <row r="177" spans="1:20" ht="15.75">
      <c r="A177" s="65"/>
      <c r="B177" s="155" t="b">
        <v>0</v>
      </c>
      <c r="C177" s="155" t="b">
        <v>0</v>
      </c>
      <c r="D177" s="155"/>
      <c r="E177" s="65" t="s">
        <v>1904</v>
      </c>
      <c r="F177" s="65" t="s">
        <v>3255</v>
      </c>
      <c r="G177" s="65" t="s">
        <v>3254</v>
      </c>
      <c r="H177" s="65" t="s">
        <v>3254</v>
      </c>
      <c r="I177" s="65" t="b">
        <v>1</v>
      </c>
      <c r="J177" s="65" t="s">
        <v>3253</v>
      </c>
      <c r="K177" s="65" t="s">
        <v>5218</v>
      </c>
      <c r="L177" s="65" t="s">
        <v>3252</v>
      </c>
      <c r="M177" s="65" t="s">
        <v>984</v>
      </c>
      <c r="N177" s="65" t="str">
        <f>"&lt;div class="&amp;""""&amp;"hanging"&amp;""""&amp;"&gt;"&amp;K177&amp;"&lt;a href="&amp;""""&amp;L177&amp;""""&amp;" target="&amp;""""&amp;"_blank"&amp;""""&amp;"&gt;"&amp;L177&amp;"&lt;/a&gt;&lt;span style="&amp;""""&amp;"color:white"&amp;""""&amp;"&gt;[.]{#"&amp;F177&amp;"}}&lt;/span&gt;&lt;/div&gt;&lt;br&gt;"</f>
        <v>&lt;div class="hanging"&gt;Gotelli, N. J., &amp; Chao, A. (2013). Measuring and Estimating Species Richness, Species Diversity, and Biotic Similarity from Sampling Data. In &lt;i&gt;Encyclopedia of Biodiversity&lt;/i&gt; (pp. 195-211). Elsevier.&lt;a href="https://doi.org/10.1016/B978-0-12-384719-5.00424-X" target="_blank"&gt;https://doi.org/10.1016/B978-0-12-384719-5.00424-X&lt;/a&gt;&lt;span style="color:white"&gt;[.]{#gotelli_chao_2013}}&lt;/span&gt;&lt;/div&gt;&lt;br&gt;</v>
      </c>
      <c r="O177" s="65" t="str">
        <f>"{{ rtxt_"&amp;F177&amp;" }}"</f>
        <v>{{ rtxt_gotelli_chao_2013 }}</v>
      </c>
      <c r="P177" s="65" t="str">
        <f>"{{ rbib_"&amp;F177&amp;" }}"</f>
        <v>{{ rbib_gotelli_chao_2013 }}</v>
      </c>
      <c r="Q177" s="65" t="str">
        <f>"    rtxt_"&amp;F177&amp;": "&amp;""""&amp;"&lt;a href=\"&amp;""""&amp;"/08_references.html#"&amp;F177&amp;"\"&amp;""""&amp;" target=\"&amp;""""&amp;"_blank\"&amp;""""&amp;"&gt;"&amp;G177&amp;"&lt;/a&gt;"&amp;""""</f>
        <v xml:space="preserve">    rtxt_gotelli_chao_2013: "&lt;a href=\"/08_references.html#gotelli_chao_2013\" target=\"_blank\"&gt;Gotelli &amp; Chao, 2013&lt;/a&gt;"</v>
      </c>
      <c r="R177" s="65" t="str">
        <f>"    rbib_"&amp;F177&amp;": "&amp;""""&amp;K177&amp;"&lt;a href=\"&amp;""""&amp;L177&amp;""""&amp;" target=\"&amp;""""&amp;"_blank\"&amp;""""&amp;"&gt;"&amp;L177&amp;"&lt;/a&gt;"&amp;""""</f>
        <v xml:space="preserve">    rbib_gotelli_chao_2013: "Gotelli, N. J., &amp; Chao, A. (2013). Measuring and Estimating Species Richness, Species Diversity, and Biotic Similarity from Sampling Data. In &lt;i&gt;Encyclopedia of Biodiversity&lt;/i&gt; (pp. 195-211). Elsevier.&lt;a href=\"https://doi.org/10.1016/B978-0-12-384719-5.00424-X" target=\"_blank\"&gt;https://doi.org/10.1016/B978-0-12-384719-5.00424-X&lt;/a&gt;"</v>
      </c>
      <c r="S177" s="65" t="str">
        <f>"    rbib_"&amp;F177&amp;": "&amp;""""&amp;"&lt;div class=\"&amp;""""&amp;"hanging\"&amp;""""&amp;"&gt;"&amp;J177&amp;"&lt;/div&gt;"&amp;""""</f>
        <v xml:space="preserve">    rbib_gotelli_chao_2013: "&lt;div class=\"hanging\"&gt;Gotelli, N. J., &amp; Chao, A. (2013). Measuring and Estimating Species Richness, Species Diversity, and Biotic Similarity from Sampling Data. In *Encyclopedia of Biodiversity* (pp. 195-211). Elsevier. &lt;https://doi.org/10.1016/B978-0-12-384719-5.00424-X&gt;&lt;/div&gt;"</v>
      </c>
      <c r="T177" s="65"/>
    </row>
    <row r="178" spans="1:20" ht="15.75">
      <c r="A178" s="65"/>
      <c r="B178" s="155" t="b">
        <v>0</v>
      </c>
      <c r="C178" s="155" t="b">
        <v>0</v>
      </c>
      <c r="D178" s="155" t="b">
        <v>1</v>
      </c>
      <c r="E178" s="65" t="s">
        <v>1904</v>
      </c>
      <c r="F178" s="65" t="s">
        <v>3251</v>
      </c>
      <c r="G178" s="65" t="s">
        <v>3250</v>
      </c>
      <c r="H178" s="65" t="s">
        <v>3250</v>
      </c>
      <c r="I178" s="65" t="b">
        <v>1</v>
      </c>
      <c r="J178" s="65" t="s">
        <v>3249</v>
      </c>
      <c r="K178" s="65" t="s">
        <v>5254</v>
      </c>
      <c r="L178" s="65" t="s">
        <v>3248</v>
      </c>
      <c r="M178" s="65" t="s">
        <v>984</v>
      </c>
      <c r="N178" s="65" t="str">
        <f>"&lt;div class="&amp;""""&amp;"hanging"&amp;""""&amp;"&gt;"&amp;K178&amp;"&lt;a href="&amp;""""&amp;L178&amp;""""&amp;" target="&amp;""""&amp;"_blank"&amp;""""&amp;"&gt;"&amp;L178&amp;"&lt;/a&gt;&lt;span style="&amp;""""&amp;"color:white"&amp;""""&amp;"&gt;[.]{#"&amp;F178&amp;"}}&lt;/span&gt;&lt;/div&gt;&lt;br&gt;"</f>
        <v>&lt;div class="hanging"&gt;Gotelli, N., &amp; Colwell, R. (2001). Quantifying biodiversity: procedures and pitfalls in the measurement and comparison of species richness. &lt;i&gt;Ecology Letters, 4&lt;/i&gt;, 379-391.&lt;a href="https://doi.org/10.1046/j.1461-0248.2001.00230.x" target="_blank"&gt;https://doi.org/10.1046/j.1461-0248.2001.00230.x&lt;/a&gt;&lt;span style="color:white"&gt;[.]{#gotelli_colwell_2001}}&lt;/span&gt;&lt;/div&gt;&lt;br&gt;</v>
      </c>
      <c r="O178" s="65" t="str">
        <f>"{{ rtxt_"&amp;F178&amp;" }}"</f>
        <v>{{ rtxt_gotelli_colwell_2001 }}</v>
      </c>
      <c r="P178" s="65" t="str">
        <f>"{{ rbib_"&amp;F178&amp;" }}"</f>
        <v>{{ rbib_gotelli_colwell_2001 }}</v>
      </c>
      <c r="Q178" s="65" t="str">
        <f>"    rtxt_"&amp;F178&amp;": "&amp;""""&amp;"&lt;a href=\"&amp;""""&amp;"/08_references.html#"&amp;F178&amp;"\"&amp;""""&amp;" target=\"&amp;""""&amp;"_blank\"&amp;""""&amp;"&gt;"&amp;G178&amp;"&lt;/a&gt;"&amp;""""</f>
        <v xml:space="preserve">    rtxt_gotelli_colwell_2001: "&lt;a href=\"/08_references.html#gotelli_colwell_2001\" target=\"_blank\"&gt;Gotelli &amp; Colwell, 2001&lt;/a&gt;"</v>
      </c>
      <c r="R178" s="65" t="str">
        <f>"    rbib_"&amp;F178&amp;": "&amp;""""&amp;K178&amp;"&lt;a href=\"&amp;""""&amp;L178&amp;""""&amp;" target=\"&amp;""""&amp;"_blank\"&amp;""""&amp;"&gt;"&amp;L178&amp;"&lt;/a&gt;"&amp;""""</f>
        <v xml:space="preserve">    rbib_gotelli_colwell_2001: "Gotelli, N., &amp; Colwell, R. (2001). Quantifying biodiversity: procedures and pitfalls in the measurement and comparison of species richness. &lt;i&gt;Ecology Letters, 4&lt;/i&gt;, 379-391.&lt;a href=\"https://doi.org/10.1046/j.1461-0248.2001.00230.x" target=\"_blank\"&gt;https://doi.org/10.1046/j.1461-0248.2001.00230.x&lt;/a&gt;"</v>
      </c>
      <c r="S178" s="65" t="str">
        <f>"    rbib_"&amp;F178&amp;": "&amp;""""&amp;"&lt;div class=\"&amp;""""&amp;"hanging\"&amp;""""&amp;"&gt;"&amp;J178&amp;"&lt;/div&gt;"&amp;""""</f>
        <v xml:space="preserve">    rbib_gotelli_colwell_2001: "&lt;div class=\"hanging\"&gt;Gotelli, N., &amp; Colwell, R. (2001). Quantifying biodiversity: procedures and pitfalls in the measurement and comparison of species richness. *Ecology Letters, 4*, 379-391. &lt;https://doi.org/10.1046/j.1461-0248.2001.00230.x&gt;&lt;/div&gt;"</v>
      </c>
      <c r="T178" s="65"/>
    </row>
    <row r="179" spans="1:20" ht="15.75">
      <c r="A179" s="65"/>
      <c r="B179" s="155" t="b">
        <v>0</v>
      </c>
      <c r="C179" s="155" t="b">
        <v>0</v>
      </c>
      <c r="D179" s="155" t="b">
        <v>1</v>
      </c>
      <c r="E179" s="65" t="s">
        <v>1939</v>
      </c>
      <c r="F179" s="65" t="s">
        <v>3247</v>
      </c>
      <c r="G179" s="65" t="s">
        <v>3246</v>
      </c>
      <c r="H179" s="65" t="s">
        <v>3246</v>
      </c>
      <c r="I179" s="65" t="b">
        <v>1</v>
      </c>
      <c r="J179" s="65" t="s">
        <v>3245</v>
      </c>
      <c r="K179" s="65" t="s">
        <v>5508</v>
      </c>
      <c r="L179" s="65" t="s">
        <v>3244</v>
      </c>
      <c r="M179" s="65" t="s">
        <v>984</v>
      </c>
      <c r="N179" s="65" t="str">
        <f>"&lt;div class="&amp;""""&amp;"hanging"&amp;""""&amp;"&gt;"&amp;K179&amp;"&lt;a href="&amp;""""&amp;L179&amp;""""&amp;" target="&amp;""""&amp;"_blank"&amp;""""&amp;"&gt;"&amp;L179&amp;"&lt;/a&gt;&lt;span style="&amp;""""&amp;"color:white"&amp;""""&amp;"&gt;[.]{#"&amp;F179&amp;"}}&lt;/span&gt;&lt;/div&gt;&lt;br&gt;"</f>
        <v>&lt;div class="hanging"&gt;Gotelli, N., &amp; Colwell, R. (2011). Estimating species richness. In &lt;i&gt;Biological Diversity: Frontiers in Measurement and Assessment&lt;/i&gt; (eds. Magurran, A., &amp; McGill, B.). Oxford University Press. Oxford, pp. 39-54.&lt;a href="https://www.researchgate.net/publication/236734446_Estimating_species_richness" target="_blank"&gt;https://www.researchgate.net/publication/236734446_Estimating_species_richness&lt;/a&gt;&lt;span style="color:white"&gt;[.]{#gotelli_colwell_2011}}&lt;/span&gt;&lt;/div&gt;&lt;br&gt;</v>
      </c>
      <c r="O179" s="65" t="str">
        <f>"{{ rtxt_"&amp;F179&amp;" }}"</f>
        <v>{{ rtxt_gotelli_colwell_2011 }}</v>
      </c>
      <c r="P179" s="65" t="str">
        <f>"{{ rbib_"&amp;F179&amp;" }}"</f>
        <v>{{ rbib_gotelli_colwell_2011 }}</v>
      </c>
      <c r="Q179" s="65" t="str">
        <f>"    rtxt_"&amp;F179&amp;": "&amp;""""&amp;"&lt;a href=\"&amp;""""&amp;"/08_references.html#"&amp;F179&amp;"\"&amp;""""&amp;" target=\"&amp;""""&amp;"_blank\"&amp;""""&amp;"&gt;"&amp;G179&amp;"&lt;/a&gt;"&amp;""""</f>
        <v xml:space="preserve">    rtxt_gotelli_colwell_2011: "&lt;a href=\"/08_references.html#gotelli_colwell_2011\" target=\"_blank\"&gt;Gotelli &amp; Colwell, 2011&lt;/a&gt;"</v>
      </c>
      <c r="R179" s="65" t="str">
        <f>"    rbib_"&amp;F179&amp;": "&amp;""""&amp;K179&amp;"&lt;a href=\"&amp;""""&amp;L179&amp;""""&amp;" target=\"&amp;""""&amp;"_blank\"&amp;""""&amp;"&gt;"&amp;L179&amp;"&lt;/a&gt;"&amp;""""</f>
        <v xml:space="preserve">    rbib_gotelli_colwell_2011: "Gotelli, N., &amp; Colwell, R. (2011). Estimating species richness. In &lt;i&gt;Biological Diversity: Frontiers in Measurement and Assessment&lt;/i&gt; (eds. Magurran, A., &amp; McGill, B.). Oxford University Press. Oxford, pp. 39-54.&lt;a href=\"https://www.researchgate.net/publication/236734446_Estimating_species_richness" target=\"_blank\"&gt;https://www.researchgate.net/publication/236734446_Estimating_species_richness&lt;/a&gt;"</v>
      </c>
      <c r="S179" s="65" t="str">
        <f>"    rbib_"&amp;F179&amp;": "&amp;""""&amp;"&lt;div class=\"&amp;""""&amp;"hanging\"&amp;""""&amp;"&gt;"&amp;J179&amp;"&lt;/div&gt;"&amp;""""</f>
        <v xml:space="preserve">    rbib_gotelli_colwell_2011: "&lt;div class=\"hanging\"&gt;Gotelli, N., &amp; Colwell, R. (2011). Estimating species richness. In *Biological Diversity: Frontiers in Measurement and Assessment* (eds. Magurran, A., &amp; McGill, B.). Oxford University Press. Oxford, pp. 39-54. &lt;https://www.researchgate.net/publication/236734446_Estimating_species_richness&gt;&lt;/div&gt;"</v>
      </c>
      <c r="T179" s="65"/>
    </row>
    <row r="180" spans="1:20" ht="15.75">
      <c r="A180" s="65"/>
      <c r="B180" s="155" t="b">
        <v>1</v>
      </c>
      <c r="C180" s="155" t="b">
        <v>0</v>
      </c>
      <c r="D180" s="155" t="b">
        <v>0</v>
      </c>
      <c r="E180" s="65" t="s">
        <v>2480</v>
      </c>
      <c r="F180" s="65" t="s">
        <v>3267</v>
      </c>
      <c r="G180" s="65" t="s">
        <v>3266</v>
      </c>
      <c r="H180" s="65" t="s">
        <v>3266</v>
      </c>
      <c r="I180" s="65" t="b">
        <v>1</v>
      </c>
      <c r="J180" s="65" t="s">
        <v>3265</v>
      </c>
      <c r="K180" s="65" t="s">
        <v>5481</v>
      </c>
      <c r="L180" s="65" t="s">
        <v>3264</v>
      </c>
      <c r="M180" s="65" t="s">
        <v>984</v>
      </c>
      <c r="N180" s="65" t="str">
        <f>"&lt;div class="&amp;""""&amp;"hanging"&amp;""""&amp;"&gt;"&amp;K180&amp;"&lt;a href="&amp;""""&amp;L180&amp;""""&amp;" target="&amp;""""&amp;"_blank"&amp;""""&amp;"&gt;"&amp;L180&amp;"&lt;/a&gt;&lt;span style="&amp;""""&amp;"color:white"&amp;""""&amp;"&gt;[.]{#"&amp;F180&amp;"}}&lt;/span&gt;&lt;/div&gt;&lt;br&gt;"</f>
        <v>&lt;div class="hanging"&gt;Government of Alberta (2023a) &lt;i&gt;LAT Overview.&lt;/i&gt; Edmonton, Alberta.&lt;a href="https://www.alberta.ca/lat-overview.aspx" target="_blank"&gt;https://www.alberta.ca/lat-overview.aspx&lt;/a&gt;&lt;span style="color:white"&gt;[.]{#goa_2023a}}&lt;/span&gt;&lt;/div&gt;&lt;br&gt;</v>
      </c>
      <c r="O180" s="65" t="str">
        <f>"{{ rtxt_"&amp;F180&amp;" }}"</f>
        <v>{{ rtxt_goa_2023a }}</v>
      </c>
      <c r="P180" s="65" t="str">
        <f>"{{ rbib_"&amp;F180&amp;" }}"</f>
        <v>{{ rbib_goa_2023a }}</v>
      </c>
      <c r="Q180" s="65" t="str">
        <f>"    rtxt_"&amp;F180&amp;": "&amp;""""&amp;"&lt;a href=\"&amp;""""&amp;"/08_references.html#"&amp;F180&amp;"\"&amp;""""&amp;" target=\"&amp;""""&amp;"_blank\"&amp;""""&amp;"&gt;"&amp;G180&amp;"&lt;/a&gt;"&amp;""""</f>
        <v xml:space="preserve">    rtxt_goa_2023a: "&lt;a href=\"/08_references.html#goa_2023a\" target=\"_blank\"&gt;Government of Alberta, 2023a&lt;/a&gt;"</v>
      </c>
      <c r="R180" s="65" t="str">
        <f>"    rbib_"&amp;F180&amp;": "&amp;""""&amp;K180&amp;"&lt;a href=\"&amp;""""&amp;L180&amp;""""&amp;" target=\"&amp;""""&amp;"_blank\"&amp;""""&amp;"&gt;"&amp;L180&amp;"&lt;/a&gt;"&amp;""""</f>
        <v xml:space="preserve">    rbib_goa_2023a: "Government of Alberta (2023a) &lt;i&gt;LAT Overview.&lt;/i&gt; Edmonton, Alberta.&lt;a href=\"https://www.alberta.ca/lat-overview.aspx" target=\"_blank\"&gt;https://www.alberta.ca/lat-overview.aspx&lt;/a&gt;"</v>
      </c>
      <c r="S180" s="65" t="str">
        <f>"    rbib_"&amp;F180&amp;": "&amp;""""&amp;"&lt;div class=\"&amp;""""&amp;"hanging\"&amp;""""&amp;"&gt;"&amp;J180&amp;"&lt;/div&gt;"&amp;""""</f>
        <v xml:space="preserve">    rbib_goa_2023a: "&lt;div class=\"hanging\"&gt;Government of Alberta (2023a) *LAT Overview.* Edmonton, Alberta. &lt;https://www.alberta.ca/lat-overview.aspx&gt;&lt;/div&gt;"</v>
      </c>
      <c r="T180" s="65"/>
    </row>
    <row r="181" spans="1:20" ht="15.75">
      <c r="A181" s="65"/>
      <c r="B181" s="155" t="b">
        <v>1</v>
      </c>
      <c r="C181" s="155" t="b">
        <v>0</v>
      </c>
      <c r="D181" s="155" t="b">
        <v>0</v>
      </c>
      <c r="E181" s="65" t="s">
        <v>2480</v>
      </c>
      <c r="F181" s="65" t="s">
        <v>3263</v>
      </c>
      <c r="G181" s="65" t="s">
        <v>3262</v>
      </c>
      <c r="H181" s="65" t="s">
        <v>3262</v>
      </c>
      <c r="I181" s="65" t="b">
        <v>1</v>
      </c>
      <c r="J181" s="65" t="s">
        <v>3261</v>
      </c>
      <c r="K181" s="65" t="s">
        <v>5482</v>
      </c>
      <c r="L181" s="65" t="s">
        <v>3260</v>
      </c>
      <c r="M181" s="65" t="s">
        <v>984</v>
      </c>
      <c r="N181" s="65" t="str">
        <f>"&lt;div class="&amp;""""&amp;"hanging"&amp;""""&amp;"&gt;"&amp;K181&amp;"&lt;a href="&amp;""""&amp;L181&amp;""""&amp;" target="&amp;""""&amp;"_blank"&amp;""""&amp;"&gt;"&amp;L181&amp;"&lt;/a&gt;&lt;span style="&amp;""""&amp;"color:white"&amp;""""&amp;"&gt;[.]{#"&amp;F181&amp;"}}&lt;/span&gt;&lt;/div&gt;&lt;br&gt;"</f>
        <v>&lt;div class="hanging"&gt;Government of Alberta (2023b) &lt;i&gt;Proponent-led Indigenous consultations.&lt;/i&gt; Edmonton, Alberta.&lt;a href="https://www.alberta.ca/proponent-led-indigenous-consultations.aspx" target="_blank"&gt;https://www.alberta.ca/proponent-led-indigenous-consultations.aspx&lt;/a&gt;&lt;span style="color:white"&gt;[.]{#goa_2023b}}&lt;/span&gt;&lt;/div&gt;&lt;br&gt;</v>
      </c>
      <c r="O181" s="65" t="str">
        <f>"{{ rtxt_"&amp;F181&amp;" }}"</f>
        <v>{{ rtxt_goa_2023b }}</v>
      </c>
      <c r="P181" s="65" t="str">
        <f>"{{ rbib_"&amp;F181&amp;" }}"</f>
        <v>{{ rbib_goa_2023b }}</v>
      </c>
      <c r="Q181" s="65" t="str">
        <f>"    rtxt_"&amp;F181&amp;": "&amp;""""&amp;"&lt;a href=\"&amp;""""&amp;"/08_references.html#"&amp;F181&amp;"\"&amp;""""&amp;" target=\"&amp;""""&amp;"_blank\"&amp;""""&amp;"&gt;"&amp;G181&amp;"&lt;/a&gt;"&amp;""""</f>
        <v xml:space="preserve">    rtxt_goa_2023b: "&lt;a href=\"/08_references.html#goa_2023b\" target=\"_blank\"&gt;Government of Alberta, 2023b&lt;/a&gt;"</v>
      </c>
      <c r="R181" s="65" t="str">
        <f>"    rbib_"&amp;F181&amp;": "&amp;""""&amp;K181&amp;"&lt;a href=\"&amp;""""&amp;L181&amp;""""&amp;" target=\"&amp;""""&amp;"_blank\"&amp;""""&amp;"&gt;"&amp;L181&amp;"&lt;/a&gt;"&amp;""""</f>
        <v xml:space="preserve">    rbib_goa_2023b: "Government of Alberta (2023b) &lt;i&gt;Proponent-led Indigenous consultations.&lt;/i&gt; Edmonton, Alberta.&lt;a href=\"https://www.alberta.ca/proponent-led-indigenous-consultations.aspx" target=\"_blank\"&gt;https://www.alberta.ca/proponent-led-indigenous-consultations.aspx&lt;/a&gt;"</v>
      </c>
      <c r="S181" s="65" t="str">
        <f>"    rbib_"&amp;F181&amp;": "&amp;""""&amp;"&lt;div class=\"&amp;""""&amp;"hanging\"&amp;""""&amp;"&gt;"&amp;J181&amp;"&lt;/div&gt;"&amp;""""</f>
        <v xml:space="preserve">    rbib_goa_2023b: "&lt;div class=\"hanging\"&gt;Government of Alberta (2023b) *Proponent-led Indigenous consultations.* Edmonton, Alberta. &lt;https://www.alberta.ca/proponent-led-indigenous-consultations.aspx&gt;&lt;/div&gt;"</v>
      </c>
      <c r="T181" s="65"/>
    </row>
    <row r="182" spans="1:20" ht="15.75">
      <c r="A182" s="65"/>
      <c r="B182" s="155"/>
      <c r="C182" s="155"/>
      <c r="D182" s="155"/>
      <c r="E182" s="65" t="s">
        <v>2480</v>
      </c>
      <c r="F182" s="65" t="s">
        <v>3243</v>
      </c>
      <c r="G182" s="65" t="s">
        <v>3242</v>
      </c>
      <c r="H182" s="65" t="s">
        <v>3242</v>
      </c>
      <c r="I182" s="65" t="b">
        <v>1</v>
      </c>
      <c r="J182" s="65" t="s">
        <v>3241</v>
      </c>
      <c r="K182" s="65" t="s">
        <v>5476</v>
      </c>
      <c r="L182" s="65" t="s">
        <v>3240</v>
      </c>
      <c r="M182" s="65" t="s">
        <v>984</v>
      </c>
      <c r="N182" s="65" t="str">
        <f>"&lt;div class="&amp;""""&amp;"hanging"&amp;""""&amp;"&gt;"&amp;K182&amp;"&lt;a href="&amp;""""&amp;L182&amp;""""&amp;" target="&amp;""""&amp;"_blank"&amp;""""&amp;"&gt;"&amp;L182&amp;"&lt;/a&gt;&lt;span style="&amp;""""&amp;"color:white"&amp;""""&amp;"&gt;[.]{#"&amp;F182&amp;"}}&lt;/span&gt;&lt;/div&gt;&lt;br&gt;"</f>
        <v>&lt;div class="hanging"&gt;Granados, A. (2021). &lt;i&gt;WildCAM Guide to Camera Trap Set Up. &lt;/i&gt; WildCAM.&lt;a href="https://wildcams.ca/site/assets/files/1148/wildcam_guide_to_camera_trap_set_up_feb2021.pdf" target="_blank"&gt;https://wildcams.ca/site/assets/files/1148/wildcam_guide_to_camera_trap_set_up_feb2021.pdf&lt;/a&gt;&lt;span style="color:white"&gt;[.]{#granados_2021}}&lt;/span&gt;&lt;/div&gt;&lt;br&gt;</v>
      </c>
      <c r="O182" s="65" t="str">
        <f>"{{ rtxt_"&amp;F182&amp;" }}"</f>
        <v>{{ rtxt_granados_2021 }}</v>
      </c>
      <c r="P182" s="65" t="str">
        <f>"{{ rbib_"&amp;F182&amp;" }}"</f>
        <v>{{ rbib_granados_2021 }}</v>
      </c>
      <c r="Q182" s="65" t="str">
        <f>"    rtxt_"&amp;F182&amp;": "&amp;""""&amp;"&lt;a href=\"&amp;""""&amp;"/08_references.html#"&amp;F182&amp;"\"&amp;""""&amp;" target=\"&amp;""""&amp;"_blank\"&amp;""""&amp;"&gt;"&amp;G182&amp;"&lt;/a&gt;"&amp;""""</f>
        <v xml:space="preserve">    rtxt_granados_2021: "&lt;a href=\"/08_references.html#granados_2021\" target=\"_blank\"&gt;Granados, 2021&lt;/a&gt;"</v>
      </c>
      <c r="R182" s="65" t="str">
        <f>"    rbib_"&amp;F182&amp;": "&amp;""""&amp;K182&amp;"&lt;a href=\"&amp;""""&amp;L182&amp;""""&amp;" target=\"&amp;""""&amp;"_blank\"&amp;""""&amp;"&gt;"&amp;L182&amp;"&lt;/a&gt;"&amp;""""</f>
        <v xml:space="preserve">    rbib_granados_2021: "Granados, A. (2021). &lt;i&gt;WildCAM Guide to Camera Trap Set Up. &lt;/i&gt; WildCAM.&lt;a href=\"https://wildcams.ca/site/assets/files/1148/wildcam_guide_to_camera_trap_set_up_feb2021.pdf" target=\"_blank\"&gt;https://wildcams.ca/site/assets/files/1148/wildcam_guide_to_camera_trap_set_up_feb2021.pdf&lt;/a&gt;"</v>
      </c>
      <c r="S182" s="65" t="str">
        <f>"    rbib_"&amp;F182&amp;": "&amp;""""&amp;"&lt;div class=\"&amp;""""&amp;"hanging\"&amp;""""&amp;"&gt;"&amp;J182&amp;"&lt;/div&gt;"&amp;""""</f>
        <v xml:space="preserve">    rbib_granados_2021: "&lt;div class=\"hanging\"&gt;Granados, A. (2021). *WildCAM Guide to Camera Trap Set Up*. WildCAM. &lt;https://wildcams.ca/site/assets/files/1148/wildcam_guide_to_camera_trap_set_up_feb2021.pdf&gt;&lt;/div&gt;"</v>
      </c>
      <c r="T182" s="65"/>
    </row>
    <row r="183" spans="1:20" ht="15.75">
      <c r="A183" s="65"/>
      <c r="B183" s="155" t="b">
        <v>1</v>
      </c>
      <c r="C183" s="155" t="b">
        <v>0</v>
      </c>
      <c r="D183" s="155" t="b">
        <v>0</v>
      </c>
      <c r="E183" s="65" t="s">
        <v>1904</v>
      </c>
      <c r="F183" s="65" t="s">
        <v>3239</v>
      </c>
      <c r="G183" s="65" t="s">
        <v>3238</v>
      </c>
      <c r="H183" s="65" t="s">
        <v>3237</v>
      </c>
      <c r="I183" s="65" t="b">
        <v>1</v>
      </c>
      <c r="J183" s="65" t="s">
        <v>3236</v>
      </c>
      <c r="K183" s="65" t="s">
        <v>5408</v>
      </c>
      <c r="L183" s="65" t="s">
        <v>3235</v>
      </c>
      <c r="M183" s="65" t="s">
        <v>984</v>
      </c>
      <c r="N183" s="65" t="str">
        <f>"&lt;div class="&amp;""""&amp;"hanging"&amp;""""&amp;"&gt;"&amp;K183&amp;"&lt;a href="&amp;""""&amp;L183&amp;""""&amp;" target="&amp;""""&amp;"_blank"&amp;""""&amp;"&gt;"&amp;L183&amp;"&lt;/a&gt;&lt;span style="&amp;""""&amp;"color:white"&amp;""""&amp;"&gt;[.]{#"&amp;F183&amp;"}}&lt;/span&gt;&lt;/div&gt;&lt;br&gt;"</f>
        <v>&lt;div class="hanging"&gt;Green, A. M., Chynoweth, M. W., &amp; Şekercioğlu, Ç. H. (2020). Spatially Explicit Capture-Recapture Through Camera Trapping: A Review of Benchmark Analyses for Wildlife Density Estimation. &lt;i&gt;Frontiers in Ecology and Evolution&lt;/i&gt;, 8, Article 563477.&lt;a href="https://doi.org/10.3389/fevo.2020.563477" target="_blank"&gt;https://doi.org/10.3389/fevo.2020.563477&lt;/a&gt;&lt;span style="color:white"&gt;[.]{#green_et_al_2020}}&lt;/span&gt;&lt;/div&gt;&lt;br&gt;</v>
      </c>
      <c r="O183" s="65" t="str">
        <f>"{{ rtxt_"&amp;F183&amp;" }}"</f>
        <v>{{ rtxt_green_et_al_2020 }}</v>
      </c>
      <c r="P183" s="65" t="str">
        <f>"{{ rbib_"&amp;F183&amp;" }}"</f>
        <v>{{ rbib_green_et_al_2020 }}</v>
      </c>
      <c r="Q183" s="65" t="str">
        <f>"    rtxt_"&amp;F183&amp;": "&amp;""""&amp;"&lt;a href=\"&amp;""""&amp;"/08_references.html#"&amp;F183&amp;"\"&amp;""""&amp;" target=\"&amp;""""&amp;"_blank\"&amp;""""&amp;"&gt;"&amp;G183&amp;"&lt;/a&gt;"&amp;""""</f>
        <v xml:space="preserve">    rtxt_green_et_al_2020: "&lt;a href=\"/08_references.html#green_et_al_2020\" target=\"_blank\"&gt;Green et al., 2020&lt;/a&gt;"</v>
      </c>
      <c r="R183" s="65" t="str">
        <f>"    rbib_"&amp;F183&amp;": "&amp;""""&amp;K183&amp;"&lt;a href=\"&amp;""""&amp;L183&amp;""""&amp;" target=\"&amp;""""&amp;"_blank\"&amp;""""&amp;"&gt;"&amp;L183&amp;"&lt;/a&gt;"&amp;""""</f>
        <v xml:space="preserve">    rbib_green_et_al_2020: "Green, A. M., Chynoweth, M. W., &amp; Şekercioğlu, Ç. H. (2020). Spatially Explicit Capture-Recapture Through Camera Trapping: A Review of Benchmark Analyses for Wildlife Density Estimation. &lt;i&gt;Frontiers in Ecology and Evolution&lt;/i&gt;, 8, Article 563477.&lt;a href=\"https://doi.org/10.3389/fevo.2020.563477" target=\"_blank\"&gt;https://doi.org/10.3389/fevo.2020.563477&lt;/a&gt;"</v>
      </c>
      <c r="S183" s="65" t="str">
        <f>"    rbib_"&amp;F183&amp;": "&amp;""""&amp;"&lt;div class=\"&amp;""""&amp;"hanging\"&amp;""""&amp;"&gt;"&amp;J183&amp;"&lt;/div&gt;"&amp;""""</f>
        <v xml:space="preserve">    rbib_green_et_al_2020: "&lt;div class=\"hanging\"&gt;Green, A. M., Chynoweth, M. W., &amp; Şekercioğlu, Ç. H. (2020). Spatially Explicit Capture-Recapture Through Camera Trapping: A Review of Benchmark Analyses for Wildlife Density Estimation. *Frontiers in Ecology and Evolution*, 8, Article 563477. &lt;https://doi.org/10.3389/fevo.2020.563477&gt;&lt;/div&gt;"</v>
      </c>
      <c r="T183" s="65"/>
    </row>
    <row r="184" spans="1:20" ht="15.75">
      <c r="A184" s="65"/>
      <c r="B184" s="155" t="b">
        <v>1</v>
      </c>
      <c r="C184" s="155" t="b">
        <v>0</v>
      </c>
      <c r="D184" s="155" t="b">
        <v>0</v>
      </c>
      <c r="E184" s="65" t="s">
        <v>2296</v>
      </c>
      <c r="F184" s="65" t="s">
        <v>3234</v>
      </c>
      <c r="G184" s="65" t="s">
        <v>3233</v>
      </c>
      <c r="H184" s="65" t="s">
        <v>3233</v>
      </c>
      <c r="I184" s="65" t="b">
        <v>1</v>
      </c>
      <c r="J184" s="65" t="s">
        <v>3232</v>
      </c>
      <c r="K184" s="65" t="s">
        <v>5466</v>
      </c>
      <c r="L184" s="65" t="s">
        <v>3231</v>
      </c>
      <c r="M184" s="65" t="s">
        <v>984</v>
      </c>
      <c r="N184" s="65" t="str">
        <f>"&lt;div class="&amp;""""&amp;"hanging"&amp;""""&amp;"&gt;"&amp;K184&amp;"&lt;a href="&amp;""""&amp;L184&amp;""""&amp;" target="&amp;""""&amp;"_blank"&amp;""""&amp;"&gt;"&amp;L184&amp;"&lt;/a&gt;&lt;span style="&amp;""""&amp;"color:white"&amp;""""&amp;"&gt;[.]{#"&amp;F184&amp;"}}&lt;/span&gt;&lt;/div&gt;&lt;br&gt;"</f>
        <v>&lt;div class="hanging"&gt;Greenberg, S. (2018). &lt;i&gt;Timelapse: An Image Analyser for Camera Traps.&lt;/i&gt; University of Calgary.&lt;a href="https://saul.cpsc.ucalgary.ca/timelapse/pmwiki.php?n=Main.Download2./" target="_blank"&gt;https://saul.cpsc.ucalgary.ca/timelapse/pmwiki.php?n=Main.Download2./&lt;/a&gt;&lt;span style="color:white"&gt;[.]{#greenberg_2018}}&lt;/span&gt;&lt;/div&gt;&lt;br&gt;</v>
      </c>
      <c r="O184" s="65" t="str">
        <f>"{{ rtxt_"&amp;F184&amp;" }}"</f>
        <v>{{ rtxt_greenberg_2018 }}</v>
      </c>
      <c r="P184" s="65" t="str">
        <f>"{{ rbib_"&amp;F184&amp;" }}"</f>
        <v>{{ rbib_greenberg_2018 }}</v>
      </c>
      <c r="Q184" s="65" t="str">
        <f>"    rtxt_"&amp;F184&amp;": "&amp;""""&amp;"&lt;a href=\"&amp;""""&amp;"/08_references.html#"&amp;F184&amp;"\"&amp;""""&amp;" target=\"&amp;""""&amp;"_blank\"&amp;""""&amp;"&gt;"&amp;G184&amp;"&lt;/a&gt;"&amp;""""</f>
        <v xml:space="preserve">    rtxt_greenberg_2018: "&lt;a href=\"/08_references.html#greenberg_2018\" target=\"_blank\"&gt;Greenberg, 2018&lt;/a&gt;"</v>
      </c>
      <c r="R184" s="65" t="str">
        <f>"    rbib_"&amp;F184&amp;": "&amp;""""&amp;K184&amp;"&lt;a href=\"&amp;""""&amp;L184&amp;""""&amp;" target=\"&amp;""""&amp;"_blank\"&amp;""""&amp;"&gt;"&amp;L184&amp;"&lt;/a&gt;"&amp;""""</f>
        <v xml:space="preserve">    rbib_greenberg_2018: "Greenberg, S. (2018). &lt;i&gt;Timelapse: An Image Analyser for Camera Traps.&lt;/i&gt; University of Calgary.&lt;a href=\"https://saul.cpsc.ucalgary.ca/timelapse/pmwiki.php?n=Main.Download2./" target=\"_blank\"&gt;https://saul.cpsc.ucalgary.ca/timelapse/pmwiki.php?n=Main.Download2./&lt;/a&gt;"</v>
      </c>
      <c r="S184" s="65" t="str">
        <f>"    rbib_"&amp;F184&amp;": "&amp;""""&amp;"&lt;div class=\"&amp;""""&amp;"hanging\"&amp;""""&amp;"&gt;"&amp;J184&amp;"&lt;/div&gt;"&amp;""""</f>
        <v xml:space="preserve">    rbib_greenberg_2018: "&lt;div class=\"hanging\"&gt;Greenberg, S. (2018). *Timelapse: An Image Analyser for Camera Traps.* University of Calgary. &lt;https://saul.cpsc.ucalgary.ca/timelapse/pmwiki.php?n=Main.Download2./&gt;&lt;/div&gt;"</v>
      </c>
      <c r="T184" s="65"/>
    </row>
    <row r="185" spans="1:20" ht="15.75">
      <c r="A185" s="65"/>
      <c r="B185" s="155" t="b">
        <v>1</v>
      </c>
      <c r="C185" s="155" t="b">
        <v>0</v>
      </c>
      <c r="D185" s="155" t="b">
        <v>0</v>
      </c>
      <c r="E185" s="65" t="s">
        <v>3214</v>
      </c>
      <c r="F185" s="65" t="s">
        <v>3230</v>
      </c>
      <c r="G185" s="65" t="s">
        <v>3229</v>
      </c>
      <c r="H185" s="65" t="s">
        <v>3229</v>
      </c>
      <c r="I185" s="65" t="b">
        <v>1</v>
      </c>
      <c r="J185" s="65" t="s">
        <v>3228</v>
      </c>
      <c r="K185" s="65" t="s">
        <v>5461</v>
      </c>
      <c r="L185" s="65" t="s">
        <v>3227</v>
      </c>
      <c r="M185" s="65" t="s">
        <v>984</v>
      </c>
      <c r="N185" s="65" t="str">
        <f>"&lt;div class="&amp;""""&amp;"hanging"&amp;""""&amp;"&gt;"&amp;K185&amp;"&lt;a href="&amp;""""&amp;L185&amp;""""&amp;" target="&amp;""""&amp;"_blank"&amp;""""&amp;"&gt;"&amp;L185&amp;"&lt;/a&gt;&lt;span style="&amp;""""&amp;"color:white"&amp;""""&amp;"&gt;[.]{#"&amp;F185&amp;"}}&lt;/span&gt;&lt;/div&gt;&lt;br&gt;"</f>
        <v>&lt;div class="hanging"&gt;Greenberg, S. (2020). &lt;i&gt;Automated Image Recognition for Wildlife Camera Traps: Making it Work for You&lt;/i&gt;. Research report, University of Calgary: Prism Digital Repository, August 21, 15 pages,&lt;a href="https://prism.ucalgary.ca/items/f68a0c27-8502-4fe4-a3b9-3a3c2d994762" target="_blank"&gt;https://prism.ucalgary.ca/items/f68a0c27-8502-4fe4-a3b9-3a3c2d994762&lt;/a&gt;&lt;span style="color:white"&gt;[.]{#greenberg_2020}}&lt;/span&gt;&lt;/div&gt;&lt;br&gt;</v>
      </c>
      <c r="O185" s="65" t="str">
        <f>"{{ rtxt_"&amp;F185&amp;" }}"</f>
        <v>{{ rtxt_greenberg_2020 }}</v>
      </c>
      <c r="P185" s="65" t="str">
        <f>"{{ rbib_"&amp;F185&amp;" }}"</f>
        <v>{{ rbib_greenberg_2020 }}</v>
      </c>
      <c r="Q185" s="65" t="str">
        <f>"    rtxt_"&amp;F185&amp;": "&amp;""""&amp;"&lt;a href=\"&amp;""""&amp;"/08_references.html#"&amp;F185&amp;"\"&amp;""""&amp;" target=\"&amp;""""&amp;"_blank\"&amp;""""&amp;"&gt;"&amp;G185&amp;"&lt;/a&gt;"&amp;""""</f>
        <v xml:space="preserve">    rtxt_greenberg_2020: "&lt;a href=\"/08_references.html#greenberg_2020\" target=\"_blank\"&gt;Greenberg, 2020&lt;/a&gt;"</v>
      </c>
      <c r="R185" s="65" t="str">
        <f>"    rbib_"&amp;F185&amp;": "&amp;""""&amp;K185&amp;"&lt;a href=\"&amp;""""&amp;L185&amp;""""&amp;" target=\"&amp;""""&amp;"_blank\"&amp;""""&amp;"&gt;"&amp;L185&amp;"&lt;/a&gt;"&amp;""""</f>
        <v xml:space="preserve">    rbib_greenberg_2020: "Greenberg, S. (2020). &lt;i&gt;Automated Image Recognition for Wildlife Camera Traps: Making it Work for You&lt;/i&gt;. Research report, University of Calgary: Prism Digital Repository, August 21, 15 pages,&lt;a href=\"https://prism.ucalgary.ca/items/f68a0c27-8502-4fe4-a3b9-3a3c2d994762" target=\"_blank\"&gt;https://prism.ucalgary.ca/items/f68a0c27-8502-4fe4-a3b9-3a3c2d994762&lt;/a&gt;"</v>
      </c>
      <c r="S185" s="65" t="str">
        <f>"    rbib_"&amp;F185&amp;": "&amp;""""&amp;"&lt;div class=\"&amp;""""&amp;"hanging\"&amp;""""&amp;"&gt;"&amp;J185&amp;"&lt;/div&gt;"&amp;""""</f>
        <v xml:space="preserve">    rbib_greenberg_2020: "&lt;div class=\"hanging\"&gt;Greenberg, S. (2020). *Automated Image Recognition for Wildlife Camera Traps: Making it Work for You*. Research report, University of Calgary: Prism Digital Repository, August 21, 15 pages, &lt;https://prism.ucalgary.ca/items/f68a0c27-8502-4fe4-a3b9-3a3c2d994762&gt;&lt;/div&gt;"</v>
      </c>
      <c r="T185" s="65"/>
    </row>
    <row r="186" spans="1:20" ht="15.75">
      <c r="A186" s="65"/>
      <c r="B186" s="155"/>
      <c r="C186" s="155"/>
      <c r="D186" s="155"/>
      <c r="E186" s="65" t="s">
        <v>1904</v>
      </c>
      <c r="F186" s="65" t="s">
        <v>3218</v>
      </c>
      <c r="G186" s="65" t="s">
        <v>3217</v>
      </c>
      <c r="H186" s="65" t="s">
        <v>3217</v>
      </c>
      <c r="I186" s="65" t="b">
        <v>1</v>
      </c>
      <c r="J186" s="65" t="s">
        <v>3216</v>
      </c>
      <c r="K186" s="65" t="s">
        <v>5311</v>
      </c>
      <c r="L186" s="65" t="s">
        <v>3215</v>
      </c>
      <c r="M186" s="65" t="s">
        <v>984</v>
      </c>
      <c r="N186" s="65" t="str">
        <f>"&lt;div class="&amp;""""&amp;"hanging"&amp;""""&amp;"&gt;"&amp;K186&amp;"&lt;a href="&amp;""""&amp;L186&amp;""""&amp;" target="&amp;""""&amp;"_blank"&amp;""""&amp;"&gt;"&amp;L186&amp;"&lt;/a&gt;&lt;span style="&amp;""""&amp;"color:white"&amp;""""&amp;"&gt;[.]{#"&amp;F186&amp;"}}&lt;/span&gt;&lt;/div&gt;&lt;br&gt;"</f>
        <v>&lt;div class="hanging"&gt;Guillera‐Arroita, G. (2017). Modelling of species distributions, range dynamics and communities under imperfect detection: Advances, challenges and opportunities. &lt;i&gt;Ecography, 40&lt;/i&gt;(2), 281-295.&lt;a href="https://doi.org/10.1111/ecog.02445" target="_blank"&gt;https://doi.org/10.1111/ecog.02445&lt;/a&gt;&lt;span style="color:white"&gt;[.]{#guilleraarroita_2016}}&lt;/span&gt;&lt;/div&gt;&lt;br&gt;</v>
      </c>
      <c r="O186" s="65" t="str">
        <f>"{{ rtxt_"&amp;F186&amp;" }}"</f>
        <v>{{ rtxt_guilleraarroita_2016 }}</v>
      </c>
      <c r="P186" s="65" t="str">
        <f>"{{ rbib_"&amp;F186&amp;" }}"</f>
        <v>{{ rbib_guilleraarroita_2016 }}</v>
      </c>
      <c r="Q186" s="65" t="str">
        <f>"    rtxt_"&amp;F186&amp;": "&amp;""""&amp;"&lt;a href=\"&amp;""""&amp;"/08_references.html#"&amp;F186&amp;"\"&amp;""""&amp;" target=\"&amp;""""&amp;"_blank\"&amp;""""&amp;"&gt;"&amp;G186&amp;"&lt;/a&gt;"&amp;""""</f>
        <v xml:space="preserve">    rtxt_guilleraarroita_2016: "&lt;a href=\"/08_references.html#guilleraarroita_2016\" target=\"_blank\"&gt;Guillera‐Arroita, 2017&lt;/a&gt;"</v>
      </c>
      <c r="R186" s="65" t="str">
        <f>"    rbib_"&amp;F186&amp;": "&amp;""""&amp;K186&amp;"&lt;a href=\"&amp;""""&amp;L186&amp;""""&amp;" target=\"&amp;""""&amp;"_blank\"&amp;""""&amp;"&gt;"&amp;L186&amp;"&lt;/a&gt;"&amp;""""</f>
        <v xml:space="preserve">    rbib_guilleraarroita_2016: "Guillera‐Arroita, G. (2017). Modelling of species distributions, range dynamics and communities under imperfect detection: Advances, challenges and opportunities. &lt;i&gt;Ecography, 40&lt;/i&gt;(2), 281-295.&lt;a href=\"https://doi.org/10.1111/ecog.02445" target=\"_blank\"&gt;https://doi.org/10.1111/ecog.02445&lt;/a&gt;"</v>
      </c>
      <c r="S186" s="65" t="str">
        <f>"    rbib_"&amp;F186&amp;": "&amp;""""&amp;"&lt;div class=\"&amp;""""&amp;"hanging\"&amp;""""&amp;"&gt;"&amp;J186&amp;"&lt;/div&gt;"&amp;""""</f>
        <v xml:space="preserve">    rbib_guilleraarroita_2016: "&lt;div class=\"hanging\"&gt;Guillera‐Arroita, G. (2017). Modelling of species distributions, range dynamics and communities under imperfect detection: Advances, challenges and opportunities. *Ecography, 40*(2), 281-295. &lt;https://doi.org/10.1111/ecog.02445&gt;&lt;/div&gt;"</v>
      </c>
      <c r="T186" s="65"/>
    </row>
    <row r="187" spans="1:20" ht="15.75">
      <c r="A187" s="65"/>
      <c r="B187" s="155"/>
      <c r="C187" s="155"/>
      <c r="D187" s="155"/>
      <c r="E187" s="65" t="s">
        <v>1904</v>
      </c>
      <c r="F187" s="65" t="s">
        <v>3222</v>
      </c>
      <c r="G187" s="65" t="s">
        <v>3221</v>
      </c>
      <c r="H187" s="65"/>
      <c r="I187" s="65" t="b">
        <v>1</v>
      </c>
      <c r="J187" s="65" t="s">
        <v>3220</v>
      </c>
      <c r="K187" s="65" t="s">
        <v>5339</v>
      </c>
      <c r="L187" s="65" t="s">
        <v>3219</v>
      </c>
      <c r="M187" s="65" t="s">
        <v>984</v>
      </c>
      <c r="N187" s="65" t="str">
        <f>"&lt;div class="&amp;""""&amp;"hanging"&amp;""""&amp;"&gt;"&amp;K187&amp;"&lt;a href="&amp;""""&amp;L187&amp;""""&amp;" target="&amp;""""&amp;"_blank"&amp;""""&amp;"&gt;"&amp;L187&amp;"&lt;/a&gt;&lt;span style="&amp;""""&amp;"color:white"&amp;""""&amp;"&gt;[.]{#"&amp;F187&amp;"}}&lt;/span&gt;&lt;/div&gt;&lt;br&gt;"</f>
        <v>&lt;div class="hanging"&gt;Guillera-Arroita, G., &amp; Lahoz-Monfort, J. J. (2012). Designing studies to detect differences in species occupancy: Power analysis under imperfect detection. &lt;i&gt;Methods in Ecology and Evolution, 3&lt;/i&gt;(5), 860-869.&lt;a href="https://doi.org/10.1111/j.2041-210X.2012.00225.x" target="_blank"&gt;https://doi.org/10.1111/j.2041-210X.2012.00225.x&lt;/a&gt;&lt;span style="color:white"&gt;[.]{#guillera_arroita_et_al_2012}}&lt;/span&gt;&lt;/div&gt;&lt;br&gt;</v>
      </c>
      <c r="O187" s="65" t="str">
        <f>"{{ rtxt_"&amp;F187&amp;" }}"</f>
        <v>{{ rtxt_guillera_arroita_et_al_2012 }}</v>
      </c>
      <c r="P187" s="65" t="str">
        <f>"{{ rbib_"&amp;F187&amp;" }}"</f>
        <v>{{ rbib_guillera_arroita_et_al_2012 }}</v>
      </c>
      <c r="Q187" s="65" t="str">
        <f>"    rtxt_"&amp;F187&amp;": "&amp;""""&amp;"&lt;a href=\"&amp;""""&amp;"/08_references.html#"&amp;F187&amp;"\"&amp;""""&amp;" target=\"&amp;""""&amp;"_blank\"&amp;""""&amp;"&gt;"&amp;G187&amp;"&lt;/a&gt;"&amp;""""</f>
        <v xml:space="preserve">    rtxt_guillera_arroita_et_al_2012: "&lt;a href=\"/08_references.html#guillera_arroita_et_al_2012\" target=\"_blank\"&gt;Guillera-Arroita et al., 2012&lt;/a&gt;"</v>
      </c>
      <c r="R187" s="65" t="str">
        <f>"    rbib_"&amp;F187&amp;": "&amp;""""&amp;K187&amp;"&lt;a href=\"&amp;""""&amp;L187&amp;""""&amp;" target=\"&amp;""""&amp;"_blank\"&amp;""""&amp;"&gt;"&amp;L187&amp;"&lt;/a&gt;"&amp;""""</f>
        <v xml:space="preserve">    rbib_guillera_arroita_et_al_2012: "Guillera-Arroita, G., &amp; Lahoz-Monfort, J. J. (2012). Designing studies to detect differences in species occupancy: Power analysis under imperfect detection. &lt;i&gt;Methods in Ecology and Evolution, 3&lt;/i&gt;(5), 860-869.&lt;a href=\"https://doi.org/10.1111/j.2041-210X.2012.00225.x" target=\"_blank\"&gt;https://doi.org/10.1111/j.2041-210X.2012.00225.x&lt;/a&gt;"</v>
      </c>
      <c r="S187" s="65" t="str">
        <f>"    rbib_"&amp;F187&amp;": "&amp;""""&amp;"&lt;div class=\"&amp;""""&amp;"hanging\"&amp;""""&amp;"&gt;"&amp;J187&amp;"&lt;/div&gt;"&amp;""""</f>
        <v xml:space="preserve">    rbib_guillera_arroita_et_al_2012: "&lt;div class=\"hanging\"&gt;Guillera-Arroita, G., &amp; Lahoz-Monfort, J. J. (2012). Designing studies to detect differences in species occupancy: Power analysis under imperfect detection. *Methods in Ecology and Evolution, 3*(5), 860-869. &lt;https://doi.org/10.1111/j.2041-210X.2012.00225.x&gt;&lt;/div&gt;"</v>
      </c>
      <c r="T187" s="65"/>
    </row>
    <row r="188" spans="1:20" ht="15.75">
      <c r="A188" s="65"/>
      <c r="B188" s="155" t="b">
        <v>1</v>
      </c>
      <c r="C188" s="155" t="b">
        <v>0</v>
      </c>
      <c r="D188" s="155" t="b">
        <v>0</v>
      </c>
      <c r="E188" s="65" t="s">
        <v>1904</v>
      </c>
      <c r="F188" s="65" t="s">
        <v>3226</v>
      </c>
      <c r="G188" s="65" t="s">
        <v>3225</v>
      </c>
      <c r="H188" s="65" t="s">
        <v>2249</v>
      </c>
      <c r="I188" s="65" t="b">
        <v>1</v>
      </c>
      <c r="J188" s="65" t="s">
        <v>3224</v>
      </c>
      <c r="K188" s="65" t="s">
        <v>5337</v>
      </c>
      <c r="L188" s="65" t="s">
        <v>3223</v>
      </c>
      <c r="M188" s="65" t="s">
        <v>984</v>
      </c>
      <c r="N188" s="65" t="str">
        <f>"&lt;div class="&amp;""""&amp;"hanging"&amp;""""&amp;"&gt;"&amp;K188&amp;"&lt;a href="&amp;""""&amp;L188&amp;""""&amp;" target="&amp;""""&amp;"_blank"&amp;""""&amp;"&gt;"&amp;L188&amp;"&lt;/a&gt;&lt;span style="&amp;""""&amp;"color:white"&amp;""""&amp;"&gt;[.]{#"&amp;F188&amp;"}}&lt;/span&gt;&lt;/div&gt;&lt;br&gt;"</f>
        <v>&lt;div class="hanging"&gt;Guillera-Arroita, G., Ridout, M. S., &amp; Morgan, B. J. T. (2010). Design of Occupancy Studies with Imperfect Detection. &lt;i&gt;Methods in Ecology and Evolution, 1&lt;/i&gt;, 131-139.&lt;a href="https://doi.org/10.1111/j.2041-210X.2010.00017.x" target="_blank"&gt;https://doi.org/10.1111/j.2041-210X.2010.00017.x&lt;/a&gt;&lt;span style="color:white"&gt;[.]{#guillera_arroita_et_al_2010}}&lt;/span&gt;&lt;/div&gt;&lt;br&gt;</v>
      </c>
      <c r="O188" s="65" t="str">
        <f>"{{ rtxt_"&amp;F188&amp;" }}"</f>
        <v>{{ rtxt_guillera_arroita_et_al_2010 }}</v>
      </c>
      <c r="P188" s="65" t="str">
        <f>"{{ rbib_"&amp;F188&amp;" }}"</f>
        <v>{{ rbib_guillera_arroita_et_al_2010 }}</v>
      </c>
      <c r="Q188" s="65" t="str">
        <f>"    rtxt_"&amp;F188&amp;": "&amp;""""&amp;"&lt;a href=\"&amp;""""&amp;"/08_references.html#"&amp;F188&amp;"\"&amp;""""&amp;" target=\"&amp;""""&amp;"_blank\"&amp;""""&amp;"&gt;"&amp;G188&amp;"&lt;/a&gt;"&amp;""""</f>
        <v xml:space="preserve">    rtxt_guillera_arroita_et_al_2010: "&lt;a href=\"/08_references.html#guillera_arroita_et_al_2010\" target=\"_blank\"&gt;Guillera-Arroita et al., 2010&lt;/a&gt;"</v>
      </c>
      <c r="R188" s="65" t="str">
        <f>"    rbib_"&amp;F188&amp;": "&amp;""""&amp;K188&amp;"&lt;a href=\"&amp;""""&amp;L188&amp;""""&amp;" target=\"&amp;""""&amp;"_blank\"&amp;""""&amp;"&gt;"&amp;L188&amp;"&lt;/a&gt;"&amp;""""</f>
        <v xml:space="preserve">    rbib_guillera_arroita_et_al_2010: "Guillera-Arroita, G., Ridout, M. S., &amp; Morgan, B. J. T. (2010). Design of Occupancy Studies with Imperfect Detection. &lt;i&gt;Methods in Ecology and Evolution, 1&lt;/i&gt;, 131-139.&lt;a href=\"https://doi.org/10.1111/j.2041-210X.2010.00017.x" target=\"_blank\"&gt;https://doi.org/10.1111/j.2041-210X.2010.00017.x&lt;/a&gt;"</v>
      </c>
      <c r="S188" s="65" t="str">
        <f>"    rbib_"&amp;F188&amp;": "&amp;""""&amp;"&lt;div class=\"&amp;""""&amp;"hanging\"&amp;""""&amp;"&gt;"&amp;J188&amp;"&lt;/div&gt;"&amp;""""</f>
        <v xml:space="preserve">    rbib_guillera_arroita_et_al_2010: "&lt;div class=\"hanging\"&gt;Guillera-Arroita, G., Ridout, M. S., &amp; Morgan, B. J. T. (2010). Design of Occupancy Studies with Imperfect Detection. *Methods in Ecology and Evolution, 1*, 131-139. &lt;https://doi.org/10.1111/j.2041-210X.2010.00017.x&gt;&lt;/div&gt;"</v>
      </c>
      <c r="T188" s="65"/>
    </row>
    <row r="189" spans="1:20" ht="15.75">
      <c r="A189" s="65"/>
      <c r="B189" s="155" t="b">
        <v>1</v>
      </c>
      <c r="C189" s="155" t="b">
        <v>0</v>
      </c>
      <c r="D189" s="155" t="b">
        <v>0</v>
      </c>
      <c r="E189" s="65" t="s">
        <v>3214</v>
      </c>
      <c r="F189" s="65" t="s">
        <v>3213</v>
      </c>
      <c r="G189" s="65" t="s">
        <v>3212</v>
      </c>
      <c r="H189" s="65" t="s">
        <v>3211</v>
      </c>
      <c r="I189" s="65" t="b">
        <v>1</v>
      </c>
      <c r="J189" s="65" t="s">
        <v>3210</v>
      </c>
      <c r="K189" s="65" t="s">
        <v>5484</v>
      </c>
      <c r="L189" s="65" t="s">
        <v>3209</v>
      </c>
      <c r="M189" s="65" t="s">
        <v>984</v>
      </c>
      <c r="N189" s="65" t="str">
        <f>"&lt;div class="&amp;""""&amp;"hanging"&amp;""""&amp;"&gt;"&amp;K189&amp;"&lt;a href="&amp;""""&amp;L189&amp;""""&amp;" target="&amp;""""&amp;"_blank"&amp;""""&amp;"&gt;"&amp;L189&amp;"&lt;/a&gt;&lt;span style="&amp;""""&amp;"color:white"&amp;""""&amp;"&gt;[.]{#"&amp;F189&amp;"}}&lt;/span&gt;&lt;/div&gt;&lt;br&gt;"</f>
        <v>&lt;div class="hanging"&gt;Hall, K. W., Cooper, J. K., &amp; Lawton, D. C. (2008). GPS accuracy: Hand-held versus RTK. &lt;i&gt;CREWES Research Report, 20&lt;/i&gt;.&lt;a href="https://www.crewes.org/Documents/ResearchReports/2008/2008-15.pdf" target="_blank"&gt;https://www.crewes.org/Documents/ResearchReports/2008/2008-15.pdf&lt;/a&gt;&lt;span style="color:white"&gt;[.]{#hall_et_al_2008}}&lt;/span&gt;&lt;/div&gt;&lt;br&gt;</v>
      </c>
      <c r="O189" s="65" t="str">
        <f>"{{ rtxt_"&amp;F189&amp;" }}"</f>
        <v>{{ rtxt_hall_et_al_2008 }}</v>
      </c>
      <c r="P189" s="65" t="str">
        <f>"{{ rbib_"&amp;F189&amp;" }}"</f>
        <v>{{ rbib_hall_et_al_2008 }}</v>
      </c>
      <c r="Q189" s="65" t="str">
        <f>"    rtxt_"&amp;F189&amp;": "&amp;""""&amp;"&lt;a href=\"&amp;""""&amp;"/08_references.html#"&amp;F189&amp;"\"&amp;""""&amp;" target=\"&amp;""""&amp;"_blank\"&amp;""""&amp;"&gt;"&amp;G189&amp;"&lt;/a&gt;"&amp;""""</f>
        <v xml:space="preserve">    rtxt_hall_et_al_2008: "&lt;a href=\"/08_references.html#hall_et_al_2008\" target=\"_blank\"&gt;Hall et al., 2008&lt;/a&gt;"</v>
      </c>
      <c r="R189" s="65" t="str">
        <f>"    rbib_"&amp;F189&amp;": "&amp;""""&amp;K189&amp;"&lt;a href=\"&amp;""""&amp;L189&amp;""""&amp;" target=\"&amp;""""&amp;"_blank\"&amp;""""&amp;"&gt;"&amp;L189&amp;"&lt;/a&gt;"&amp;""""</f>
        <v xml:space="preserve">    rbib_hall_et_al_2008: "Hall, K. W., Cooper, J. K., &amp; Lawton, D. C. (2008). GPS accuracy: Hand-held versus RTK. &lt;i&gt;CREWES Research Report, 20&lt;/i&gt;.&lt;a href=\"https://www.crewes.org/Documents/ResearchReports/2008/2008-15.pdf" target=\"_blank\"&gt;https://www.crewes.org/Documents/ResearchReports/2008/2008-15.pdf&lt;/a&gt;"</v>
      </c>
      <c r="S189" s="65" t="str">
        <f>"    rbib_"&amp;F189&amp;": "&amp;""""&amp;"&lt;div class=\"&amp;""""&amp;"hanging\"&amp;""""&amp;"&gt;"&amp;J189&amp;"&lt;/div&gt;"&amp;""""</f>
        <v xml:space="preserve">    rbib_hall_et_al_2008: "&lt;div class=\"hanging\"&gt;Hall, K. W., Cooper, J. K., &amp; Lawton, D. C. (2008). GPS accuracy: Hand-held versus RTK. *CREWES Research Report, 20*. &lt;https://www.crewes.org/Documents/ResearchReports/2008/2008-15.pdf&gt;&lt;/div&gt;"</v>
      </c>
      <c r="T189" s="65"/>
    </row>
    <row r="190" spans="1:20" ht="15.75">
      <c r="A190" s="65"/>
      <c r="B190" s="155" t="b">
        <v>1</v>
      </c>
      <c r="C190" s="155" t="b">
        <v>0</v>
      </c>
      <c r="D190" s="155" t="b">
        <v>1</v>
      </c>
      <c r="E190" s="65" t="s">
        <v>1904</v>
      </c>
      <c r="F190" s="65" t="s">
        <v>3208</v>
      </c>
      <c r="G190" s="65" t="s">
        <v>3207</v>
      </c>
      <c r="H190" s="65" t="s">
        <v>3207</v>
      </c>
      <c r="I190" s="65" t="b">
        <v>1</v>
      </c>
      <c r="J190" s="65" t="s">
        <v>3206</v>
      </c>
      <c r="K190" s="65" t="s">
        <v>5418</v>
      </c>
      <c r="L190" s="65" t="s">
        <v>3205</v>
      </c>
      <c r="M190" s="65" t="s">
        <v>984</v>
      </c>
      <c r="N190" s="65" t="str">
        <f>"&lt;div class="&amp;""""&amp;"hanging"&amp;""""&amp;"&gt;"&amp;K190&amp;"&lt;a href="&amp;""""&amp;L190&amp;""""&amp;" target="&amp;""""&amp;"_blank"&amp;""""&amp;"&gt;"&amp;L190&amp;"&lt;/a&gt;&lt;span style="&amp;""""&amp;"color:white"&amp;""""&amp;"&gt;[.]{#"&amp;F190&amp;"}}&lt;/span&gt;&lt;/div&gt;&lt;br&gt;"</f>
        <v>&lt;div class="hanging"&gt;Harrison, X. A., Donaldson, L., Correa-Cano, M. E., Evans, J., Fisher, D. N., Goodwin, C. E. D., Robinson, B. S., Hodgson, D. J., &amp; Inger, R. (2018). A Brief Introduction to Mixed Effects Modelling and Multi-Model Inference in Ecology. &lt;i&gt;PeerJ, 6&lt;/i&gt;, Article e4794.&lt;a href="https://doi.org/10.7717/peerj.4794" target="_blank"&gt;https://doi.org/10.7717/peerj.4794&lt;/a&gt;&lt;span style="color:white"&gt;[.]{#harrison_et_al_2018}}&lt;/span&gt;&lt;/div&gt;&lt;br&gt;</v>
      </c>
      <c r="O190" s="65" t="str">
        <f>"{{ rtxt_"&amp;F190&amp;" }}"</f>
        <v>{{ rtxt_harrison_et_al_2018 }}</v>
      </c>
      <c r="P190" s="65" t="str">
        <f>"{{ rbib_"&amp;F190&amp;" }}"</f>
        <v>{{ rbib_harrison_et_al_2018 }}</v>
      </c>
      <c r="Q190" s="65" t="str">
        <f>"    rtxt_"&amp;F190&amp;": "&amp;""""&amp;"&lt;a href=\"&amp;""""&amp;"/08_references.html#"&amp;F190&amp;"\"&amp;""""&amp;" target=\"&amp;""""&amp;"_blank\"&amp;""""&amp;"&gt;"&amp;G190&amp;"&lt;/a&gt;"&amp;""""</f>
        <v xml:space="preserve">    rtxt_harrison_et_al_2018: "&lt;a href=\"/08_references.html#harrison_et_al_2018\" target=\"_blank\"&gt;Harrison et al., 2018&lt;/a&gt;"</v>
      </c>
      <c r="R190" s="65" t="str">
        <f>"    rbib_"&amp;F190&amp;": "&amp;""""&amp;K190&amp;"&lt;a href=\"&amp;""""&amp;L190&amp;""""&amp;" target=\"&amp;""""&amp;"_blank\"&amp;""""&amp;"&gt;"&amp;L190&amp;"&lt;/a&gt;"&amp;""""</f>
        <v xml:space="preserve">    rbib_harrison_et_al_2018: "Harrison, X. A., Donaldson, L., Correa-Cano, M. E., Evans, J., Fisher, D. N., Goodwin, C. E. D., Robinson, B. S., Hodgson, D. J., &amp; Inger, R. (2018). A Brief Introduction to Mixed Effects Modelling and Multi-Model Inference in Ecology. &lt;i&gt;PeerJ, 6&lt;/i&gt;, Article e4794.&lt;a href=\"https://doi.org/10.7717/peerj.4794" target=\"_blank\"&gt;https://doi.org/10.7717/peerj.4794&lt;/a&gt;"</v>
      </c>
      <c r="S190" s="65" t="str">
        <f>"    rbib_"&amp;F190&amp;": "&amp;""""&amp;"&lt;div class=\"&amp;""""&amp;"hanging\"&amp;""""&amp;"&gt;"&amp;J190&amp;"&lt;/div&gt;"&amp;""""</f>
        <v xml:space="preserve">    rbib_harrison_et_al_2018: "&lt;div class=\"hanging\"&gt;Harrison, X. A., Donaldson, L., Correa-Cano, M. E., Evans, J., Fisher, D. N., Goodwin, C. E. D., Robinson, B. S., Hodgson, D. J., &amp; Inger, R. (2018). A Brief Introduction to Mixed Effects Modelling and Multi-Model Inference in Ecology. *PeerJ, 6*, Article e4794. &lt;https://doi.org/10.7717/peerj.4794&gt;&lt;/div&gt;"</v>
      </c>
      <c r="T190" s="65"/>
    </row>
    <row r="191" spans="1:20" ht="15.75">
      <c r="A191" s="65"/>
      <c r="B191" s="155" t="b">
        <v>0</v>
      </c>
      <c r="C191" s="155" t="b">
        <v>0</v>
      </c>
      <c r="D191" s="155" t="b">
        <v>1</v>
      </c>
      <c r="E191" s="65" t="s">
        <v>2246</v>
      </c>
      <c r="F191" s="65" t="s">
        <v>3204</v>
      </c>
      <c r="G191" s="65" t="s">
        <v>3203</v>
      </c>
      <c r="H191" s="65" t="s">
        <v>3203</v>
      </c>
      <c r="I191" s="65" t="b">
        <v>1</v>
      </c>
      <c r="J191" s="65" t="s">
        <v>3202</v>
      </c>
      <c r="K191" s="65" t="s">
        <v>5117</v>
      </c>
      <c r="L191" s="65" t="s">
        <v>3201</v>
      </c>
      <c r="M191" s="65" t="s">
        <v>984</v>
      </c>
      <c r="N191" s="65" t="str">
        <f>"&lt;div class="&amp;""""&amp;"hanging"&amp;""""&amp;"&gt;"&amp;K191&amp;"&lt;a href="&amp;""""&amp;L191&amp;""""&amp;" target="&amp;""""&amp;"_blank"&amp;""""&amp;"&gt;"&amp;L191&amp;"&lt;/a&gt;&lt;span style="&amp;""""&amp;"color:white"&amp;""""&amp;"&gt;[.]{#"&amp;F191&amp;"}}&lt;/span&gt;&lt;/div&gt;&lt;br&gt;"</f>
        <v>&lt;div class="hanging"&gt;Hartig, F. (2019). &lt;i&gt;DHARMa: Residual Diagnostics for Hierarchical (Multi-Level/Mixed) Regression Models.&lt;/i&gt; R package version 0.2.2,&lt;a href="https://CRAN.R-project.org/package=DHARMa" target="_blank"&gt;https://CRAN.R-project.org/package=DHARMa&lt;/a&gt;&lt;span style="color:white"&gt;[.]{#hartig_2019}}&lt;/span&gt;&lt;/div&gt;&lt;br&gt;</v>
      </c>
      <c r="O191" s="65" t="str">
        <f>"{{ rtxt_"&amp;F191&amp;" }}"</f>
        <v>{{ rtxt_hartig_2019 }}</v>
      </c>
      <c r="P191" s="65" t="str">
        <f>"{{ rbib_"&amp;F191&amp;" }}"</f>
        <v>{{ rbib_hartig_2019 }}</v>
      </c>
      <c r="Q191" s="65" t="str">
        <f>"    rtxt_"&amp;F191&amp;": "&amp;""""&amp;"&lt;a href=\"&amp;""""&amp;"/08_references.html#"&amp;F191&amp;"\"&amp;""""&amp;" target=\"&amp;""""&amp;"_blank\"&amp;""""&amp;"&gt;"&amp;G191&amp;"&lt;/a&gt;"&amp;""""</f>
        <v xml:space="preserve">    rtxt_hartig_2019: "&lt;a href=\"/08_references.html#hartig_2019\" target=\"_blank\"&gt;Hartig, 2019&lt;/a&gt;"</v>
      </c>
      <c r="R191" s="65" t="str">
        <f>"    rbib_"&amp;F191&amp;": "&amp;""""&amp;K191&amp;"&lt;a href=\"&amp;""""&amp;L191&amp;""""&amp;" target=\"&amp;""""&amp;"_blank\"&amp;""""&amp;"&gt;"&amp;L191&amp;"&lt;/a&gt;"&amp;""""</f>
        <v xml:space="preserve">    rbib_hartig_2019: "Hartig, F. (2019). &lt;i&gt;DHARMa: Residual Diagnostics for Hierarchical (Multi-Level/Mixed) Regression Models.&lt;/i&gt; R package version 0.2.2,&lt;a href=\"https://CRAN.R-project.org/package=DHARMa" target=\"_blank\"&gt;https://CRAN.R-project.org/package=DHARMa&lt;/a&gt;"</v>
      </c>
      <c r="S191" s="65" t="str">
        <f>"    rbib_"&amp;F191&amp;": "&amp;""""&amp;"&lt;div class=\"&amp;""""&amp;"hanging\"&amp;""""&amp;"&gt;"&amp;J191&amp;"&lt;/div&gt;"&amp;""""</f>
        <v xml:space="preserve">    rbib_hartig_2019: "&lt;div class=\"hanging\"&gt;Hartig, F. (2019). *DHARMa: Residual Diagnostics for Hierarchical (Multi-Level/Mixed) Regression Models.* R package version 0.2.2, &lt;https://CRAN.R-project.org/package=DHARMa&gt;&lt;/div&gt;"</v>
      </c>
      <c r="T191" s="65"/>
    </row>
    <row r="192" spans="1:20" ht="15.75">
      <c r="A192" s="65"/>
      <c r="B192" s="155"/>
      <c r="C192" s="155"/>
      <c r="D192" s="155"/>
      <c r="E192" s="65" t="s">
        <v>1904</v>
      </c>
      <c r="F192" s="65" t="s">
        <v>3200</v>
      </c>
      <c r="G192" s="65" t="s">
        <v>3199</v>
      </c>
      <c r="H192" s="65" t="s">
        <v>3199</v>
      </c>
      <c r="I192" s="65" t="b">
        <v>1</v>
      </c>
      <c r="J192" s="65" t="s">
        <v>3198</v>
      </c>
      <c r="K192" s="65" t="s">
        <v>5231</v>
      </c>
      <c r="L192" s="65" t="s">
        <v>3197</v>
      </c>
      <c r="M192" s="65" t="s">
        <v>984</v>
      </c>
      <c r="N192" s="65" t="str">
        <f>"&lt;div class="&amp;""""&amp;"hanging"&amp;""""&amp;"&gt;"&amp;K192&amp;"&lt;a href="&amp;""""&amp;L192&amp;""""&amp;" target="&amp;""""&amp;"_blank"&amp;""""&amp;"&gt;"&amp;L192&amp;"&lt;/a&gt;&lt;span style="&amp;""""&amp;"color:white"&amp;""""&amp;"&gt;[.]{#"&amp;F192&amp;"}}&lt;/span&gt;&lt;/div&gt;&lt;br&gt;"</f>
        <v>&lt;div class="hanging"&gt;Haucke, T., Kühl, H. S., Hoyer, J., &amp; Steinhage, V. (2022). Overcoming the distance estimation bottleneck in estimating animal abundance with camera traps. &lt;i&gt;Ecological Informatics, 68&lt;/i&gt;, 101536.&lt;a href="https://doi.org/10.1016/j.ecoinf.2021.101536" target="_blank"&gt;https://doi.org/10.1016/j.ecoinf.2021.101536&lt;/a&gt;&lt;span style="color:white"&gt;[.]{#hauke_et_al_2022}}&lt;/span&gt;&lt;/div&gt;&lt;br&gt;</v>
      </c>
      <c r="O192" s="65" t="str">
        <f>"{{ rtxt_"&amp;F192&amp;" }}"</f>
        <v>{{ rtxt_hauke_et_al_2022 }}</v>
      </c>
      <c r="P192" s="65" t="str">
        <f>"{{ rbib_"&amp;F192&amp;" }}"</f>
        <v>{{ rbib_hauke_et_al_2022 }}</v>
      </c>
      <c r="Q192" s="65" t="str">
        <f>"    rtxt_"&amp;F192&amp;": "&amp;""""&amp;"&lt;a href=\"&amp;""""&amp;"/08_references.html#"&amp;F192&amp;"\"&amp;""""&amp;" target=\"&amp;""""&amp;"_blank\"&amp;""""&amp;"&gt;"&amp;G192&amp;"&lt;/a&gt;"&amp;""""</f>
        <v xml:space="preserve">    rtxt_hauke_et_al_2022: "&lt;a href=\"/08_references.html#hauke_et_al_2022\" target=\"_blank\"&gt;Haucke et al., 2022&lt;/a&gt;"</v>
      </c>
      <c r="R192" s="65" t="str">
        <f>"    rbib_"&amp;F192&amp;": "&amp;""""&amp;K192&amp;"&lt;a href=\"&amp;""""&amp;L192&amp;""""&amp;" target=\"&amp;""""&amp;"_blank\"&amp;""""&amp;"&gt;"&amp;L192&amp;"&lt;/a&gt;"&amp;""""</f>
        <v xml:space="preserve">    rbib_hauke_et_al_2022: "Haucke, T., Kühl, H. S., Hoyer, J., &amp; Steinhage, V. (2022). Overcoming the distance estimation bottleneck in estimating animal abundance with camera traps. &lt;i&gt;Ecological Informatics, 68&lt;/i&gt;, 101536.&lt;a href=\"https://doi.org/10.1016/j.ecoinf.2021.101536" target=\"_blank\"&gt;https://doi.org/10.1016/j.ecoinf.2021.101536&lt;/a&gt;"</v>
      </c>
      <c r="S192" s="65" t="str">
        <f>"    rbib_"&amp;F192&amp;": "&amp;""""&amp;"&lt;div class=\"&amp;""""&amp;"hanging\"&amp;""""&amp;"&gt;"&amp;J192&amp;"&lt;/div&gt;"&amp;""""</f>
        <v xml:space="preserve">    rbib_hauke_et_al_2022: "&lt;div class=\"hanging\"&gt;Haucke, T., Kühl, H. S., Hoyer, J., &amp; Steinhage, V. (2022). Overcoming the distance estimation bottleneck in estimating animal abundance with camera traps. *Ecological Informatics, 68*, 101536. &lt;https://doi.org/10.1016/j.ecoinf.2021.101536&gt;&lt;/div&gt;"</v>
      </c>
      <c r="T192" s="65"/>
    </row>
    <row r="193" spans="1:20" ht="15.75">
      <c r="A193" s="65"/>
      <c r="B193" s="155" t="b">
        <v>1</v>
      </c>
      <c r="C193" s="155" t="b">
        <v>0</v>
      </c>
      <c r="D193" s="155" t="b">
        <v>1</v>
      </c>
      <c r="E193" s="65" t="s">
        <v>1904</v>
      </c>
      <c r="F193" s="65" t="s">
        <v>3196</v>
      </c>
      <c r="G193" s="65" t="s">
        <v>3195</v>
      </c>
      <c r="H193" s="65" t="s">
        <v>3195</v>
      </c>
      <c r="I193" s="65" t="b">
        <v>1</v>
      </c>
      <c r="J193" s="65" t="s">
        <v>3194</v>
      </c>
      <c r="K193" s="65" t="s">
        <v>5423</v>
      </c>
      <c r="L193" s="65" t="s">
        <v>3193</v>
      </c>
      <c r="M193" s="65" t="s">
        <v>984</v>
      </c>
      <c r="N193" s="65" t="str">
        <f>"&lt;div class="&amp;""""&amp;"hanging"&amp;""""&amp;"&gt;"&amp;K193&amp;"&lt;a href="&amp;""""&amp;L193&amp;""""&amp;" target="&amp;""""&amp;"_blank"&amp;""""&amp;"&gt;"&amp;L193&amp;"&lt;/a&gt;&lt;span style="&amp;""""&amp;"color:white"&amp;""""&amp;"&gt;[.]{#"&amp;F193&amp;"}}&lt;/span&gt;&lt;/div&gt;&lt;br&gt;"</f>
        <v>&lt;div class="hanging"&gt;Heilbron, D. C. (1994). Zero-Altered and other Regression Models for Count Data with Added Zeros. &lt;i&gt;Biometrical Journal, 36&lt;/i&gt;(5), 531-547.&lt;a href="https://doi.org/https://doi.org/10.1002/bimj.4710360505" target="_blank"&gt;https://doi.org/https://doi.org/10.1002/bimj.4710360505&lt;/a&gt;&lt;span style="color:white"&gt;[.]{#heilbron_1994}}&lt;/span&gt;&lt;/div&gt;&lt;br&gt;</v>
      </c>
      <c r="O193" s="65" t="str">
        <f>"{{ rtxt_"&amp;F193&amp;" }}"</f>
        <v>{{ rtxt_heilbron_1994 }}</v>
      </c>
      <c r="P193" s="65" t="str">
        <f>"{{ rbib_"&amp;F193&amp;" }}"</f>
        <v>{{ rbib_heilbron_1994 }}</v>
      </c>
      <c r="Q193" s="65" t="str">
        <f>"    rtxt_"&amp;F193&amp;": "&amp;""""&amp;"&lt;a href=\"&amp;""""&amp;"/08_references.html#"&amp;F193&amp;"\"&amp;""""&amp;" target=\"&amp;""""&amp;"_blank\"&amp;""""&amp;"&gt;"&amp;G193&amp;"&lt;/a&gt;"&amp;""""</f>
        <v xml:space="preserve">    rtxt_heilbron_1994: "&lt;a href=\"/08_references.html#heilbron_1994\" target=\"_blank\"&gt;Heilbron, 1994&lt;/a&gt;"</v>
      </c>
      <c r="R193" s="65" t="str">
        <f>"    rbib_"&amp;F193&amp;": "&amp;""""&amp;K193&amp;"&lt;a href=\"&amp;""""&amp;L193&amp;""""&amp;" target=\"&amp;""""&amp;"_blank\"&amp;""""&amp;"&gt;"&amp;L193&amp;"&lt;/a&gt;"&amp;""""</f>
        <v xml:space="preserve">    rbib_heilbron_1994: "Heilbron, D. C. (1994). Zero-Altered and other Regression Models for Count Data with Added Zeros. &lt;i&gt;Biometrical Journal, 36&lt;/i&gt;(5), 531-547.&lt;a href=\"https://doi.org/https://doi.org/10.1002/bimj.4710360505" target=\"_blank\"&gt;https://doi.org/https://doi.org/10.1002/bimj.4710360505&lt;/a&gt;"</v>
      </c>
      <c r="S193" s="65" t="str">
        <f>"    rbib_"&amp;F193&amp;": "&amp;""""&amp;"&lt;div class=\"&amp;""""&amp;"hanging\"&amp;""""&amp;"&gt;"&amp;J193&amp;"&lt;/div&gt;"&amp;""""</f>
        <v xml:space="preserve">    rbib_heilbron_1994: "&lt;div class=\"hanging\"&gt;Heilbron, D. C. (1994). Zero-Altered and other Regression Models for Count Data with Added Zeros. *Biometrical Journal, 36*(5), 531-547. &lt;https://doi.org/https://doi.org/10.1002/bimj.4710360505&gt;&lt;/div&gt;"</v>
      </c>
      <c r="T193" s="65"/>
    </row>
    <row r="194" spans="1:20" ht="15.75">
      <c r="A194" s="65"/>
      <c r="B194" s="155" t="b">
        <v>0</v>
      </c>
      <c r="C194" s="155" t="b">
        <v>0</v>
      </c>
      <c r="D194" s="155" t="s">
        <v>1993</v>
      </c>
      <c r="E194" s="65" t="s">
        <v>1904</v>
      </c>
      <c r="F194" s="65" t="s">
        <v>3192</v>
      </c>
      <c r="G194" s="65" t="s">
        <v>3191</v>
      </c>
      <c r="H194" s="65" t="s">
        <v>3191</v>
      </c>
      <c r="I194" s="65" t="b">
        <v>1</v>
      </c>
      <c r="J194" s="65" t="s">
        <v>3190</v>
      </c>
      <c r="K194" s="65" t="s">
        <v>5409</v>
      </c>
      <c r="L194" s="65" t="s">
        <v>3189</v>
      </c>
      <c r="M194" s="65" t="s">
        <v>984</v>
      </c>
      <c r="N194" s="65" t="str">
        <f>"&lt;div class="&amp;""""&amp;"hanging"&amp;""""&amp;"&gt;"&amp;K194&amp;"&lt;a href="&amp;""""&amp;L194&amp;""""&amp;" target="&amp;""""&amp;"_blank"&amp;""""&amp;"&gt;"&amp;L194&amp;"&lt;/a&gt;&lt;span style="&amp;""""&amp;"color:white"&amp;""""&amp;"&gt;[.]{#"&amp;F194&amp;"}}&lt;/span&gt;&lt;/div&gt;&lt;br&gt;"</f>
        <v>&lt;div class="hanging"&gt;Henrich, M., Hartig, F., Dormann, C. F., Kühl, H. S., Peters, W., Franke, F., Peterka, T., Šustr, P., &amp; Heurich, M. (2022). Deer Behavior Affects Density Estimates With Camera Traps, but Is Outweighed by Spatial Variability. &lt;i&gt;Frontiers in Ecology and Evolution, 10&lt;/i&gt;, 881502.&lt;a href="https://doi.org/10.3389/fevo.2022.881502" target="_blank"&gt;https://doi.org/10.3389/fevo.2022.881502&lt;/a&gt;&lt;span style="color:white"&gt;[.]{#henrich_et_al_2022}}&lt;/span&gt;&lt;/div&gt;&lt;br&gt;</v>
      </c>
      <c r="O194" s="65" t="str">
        <f>"{{ rtxt_"&amp;F194&amp;" }}"</f>
        <v>{{ rtxt_henrich_et_al_2022 }}</v>
      </c>
      <c r="P194" s="65" t="str">
        <f>"{{ rbib_"&amp;F194&amp;" }}"</f>
        <v>{{ rbib_henrich_et_al_2022 }}</v>
      </c>
      <c r="Q194" s="65" t="str">
        <f>"    rtxt_"&amp;F194&amp;": "&amp;""""&amp;"&lt;a href=\"&amp;""""&amp;"/08_references.html#"&amp;F194&amp;"\"&amp;""""&amp;" target=\"&amp;""""&amp;"_blank\"&amp;""""&amp;"&gt;"&amp;G194&amp;"&lt;/a&gt;"&amp;""""</f>
        <v xml:space="preserve">    rtxt_henrich_et_al_2022: "&lt;a href=\"/08_references.html#henrich_et_al_2022\" target=\"_blank\"&gt;Henrich et al., 2022&lt;/a&gt;"</v>
      </c>
      <c r="R194" s="65" t="str">
        <f>"    rbib_"&amp;F194&amp;": "&amp;""""&amp;K194&amp;"&lt;a href=\"&amp;""""&amp;L194&amp;""""&amp;" target=\"&amp;""""&amp;"_blank\"&amp;""""&amp;"&gt;"&amp;L194&amp;"&lt;/a&gt;"&amp;""""</f>
        <v xml:space="preserve">    rbib_henrich_et_al_2022: "Henrich, M., Hartig, F., Dormann, C. F., Kühl, H. S., Peters, W., Franke, F., Peterka, T., Šustr, P., &amp; Heurich, M. (2022). Deer Behavior Affects Density Estimates With Camera Traps, but Is Outweighed by Spatial Variability. &lt;i&gt;Frontiers in Ecology and Evolution, 10&lt;/i&gt;, 881502.&lt;a href=\"https://doi.org/10.3389/fevo.2022.881502" target=\"_blank\"&gt;https://doi.org/10.3389/fevo.2022.881502&lt;/a&gt;"</v>
      </c>
      <c r="S194" s="65" t="str">
        <f>"    rbib_"&amp;F194&amp;": "&amp;""""&amp;"&lt;div class=\"&amp;""""&amp;"hanging\"&amp;""""&amp;"&gt;"&amp;J194&amp;"&lt;/div&gt;"&amp;""""</f>
        <v xml:space="preserve">    rbib_henrich_et_al_2022: "&lt;div class=\"hanging\"&gt;Henrich, M., Hartig, F., Dormann, C. F., Kühl, H. S., Peters, W., Franke, F., Peterka, T., Šustr, P., &amp; Heurich, M. (2022). Deer Behavior Affects Density Estimates With Camera Traps, but Is Outweighed by Spatial Variability. *Frontiers in Ecology and Evolution, 10*, 881502. &lt;https://doi.org/10.3389/fevo.2022.881502&gt;&lt;/div&gt;"</v>
      </c>
      <c r="T194" s="65"/>
    </row>
    <row r="195" spans="1:20" ht="15.75">
      <c r="A195" s="65"/>
      <c r="B195" s="155"/>
      <c r="C195" s="155"/>
      <c r="D195" s="155"/>
      <c r="E195" s="65" t="s">
        <v>1950</v>
      </c>
      <c r="F195" s="65" t="s">
        <v>3188</v>
      </c>
      <c r="G195" s="65" t="s">
        <v>3187</v>
      </c>
      <c r="H195" s="65" t="s">
        <v>3187</v>
      </c>
      <c r="I195" s="65" t="b">
        <v>1</v>
      </c>
      <c r="J195" s="65" t="s">
        <v>3186</v>
      </c>
      <c r="K195" s="65" t="s">
        <v>5495</v>
      </c>
      <c r="L195" s="65" t="s">
        <v>3185</v>
      </c>
      <c r="M195" s="65" t="s">
        <v>984</v>
      </c>
      <c r="N195" s="65" t="str">
        <f>"&lt;div class="&amp;""""&amp;"hanging"&amp;""""&amp;"&gt;"&amp;K195&amp;"&lt;a href="&amp;""""&amp;L195&amp;""""&amp;" target="&amp;""""&amp;"_blank"&amp;""""&amp;"&gt;"&amp;L195&amp;"&lt;/a&gt;&lt;span style="&amp;""""&amp;"color:white"&amp;""""&amp;"&gt;[.]{#"&amp;F195&amp;"}}&lt;/span&gt;&lt;/div&gt;&lt;br&gt;"</f>
        <v>&lt;div class="hanging"&gt;Hines, J. E. (2006). &lt;i&gt;PRESENCE - Software to estimate patch occupancy and related parameters.&lt;/i&gt;&lt;a href="https://www.mbr-pwrc.usgs.gov/software/presence.html." target="_blank"&gt;https://www.mbr-pwrc.usgs.gov/software/presence.html.&lt;/a&gt;&lt;span style="color:white"&gt;[.]{#hines_2006}}&lt;/span&gt;&lt;/div&gt;&lt;br&gt;</v>
      </c>
      <c r="O195" s="65" t="str">
        <f>"{{ rtxt_"&amp;F195&amp;" }}"</f>
        <v>{{ rtxt_hines_2006 }}</v>
      </c>
      <c r="P195" s="65" t="str">
        <f>"{{ rbib_"&amp;F195&amp;" }}"</f>
        <v>{{ rbib_hines_2006 }}</v>
      </c>
      <c r="Q195" s="65" t="str">
        <f>"    rtxt_"&amp;F195&amp;": "&amp;""""&amp;"&lt;a href=\"&amp;""""&amp;"/08_references.html#"&amp;F195&amp;"\"&amp;""""&amp;" target=\"&amp;""""&amp;"_blank\"&amp;""""&amp;"&gt;"&amp;G195&amp;"&lt;/a&gt;"&amp;""""</f>
        <v xml:space="preserve">    rtxt_hines_2006: "&lt;a href=\"/08_references.html#hines_2006\" target=\"_blank\"&gt;Hines, 2006&lt;/a&gt;"</v>
      </c>
      <c r="R195" s="65" t="str">
        <f>"    rbib_"&amp;F195&amp;": "&amp;""""&amp;K195&amp;"&lt;a href=\"&amp;""""&amp;L195&amp;""""&amp;" target=\"&amp;""""&amp;"_blank\"&amp;""""&amp;"&gt;"&amp;L195&amp;"&lt;/a&gt;"&amp;""""</f>
        <v xml:space="preserve">    rbib_hines_2006: "Hines, J. E. (2006). &lt;i&gt;PRESENCE - Software to estimate patch occupancy and related parameters.&lt;/i&gt;&lt;a href=\"https://www.mbr-pwrc.usgs.gov/software/presence.html." target=\"_blank\"&gt;https://www.mbr-pwrc.usgs.gov/software/presence.html.&lt;/a&gt;"</v>
      </c>
      <c r="S195" s="65" t="str">
        <f>"    rbib_"&amp;F195&amp;": "&amp;""""&amp;"&lt;div class=\"&amp;""""&amp;"hanging\"&amp;""""&amp;"&gt;"&amp;J195&amp;"&lt;/div&gt;"&amp;""""</f>
        <v xml:space="preserve">    rbib_hines_2006: "&lt;div class=\"hanging\"&gt;Hines, J. E. (2006). *PRESENCE - Software to estimate patch occupancy and related parameters.* &lt;https://www.mbr-pwrc.usgs.gov/software/presence.html&gt;.&lt;/div&gt;"</v>
      </c>
      <c r="T195" s="65"/>
    </row>
    <row r="196" spans="1:20" ht="15.75">
      <c r="A196" s="65"/>
      <c r="B196" s="155"/>
      <c r="C196" s="155"/>
      <c r="D196" s="155"/>
      <c r="E196" s="65" t="s">
        <v>1904</v>
      </c>
      <c r="F196" s="65" t="s">
        <v>3184</v>
      </c>
      <c r="G196" s="65" t="s">
        <v>3183</v>
      </c>
      <c r="H196" s="65" t="s">
        <v>3182</v>
      </c>
      <c r="I196" s="65" t="b">
        <v>1</v>
      </c>
      <c r="J196" s="65" t="s">
        <v>3181</v>
      </c>
      <c r="K196" s="65" t="s">
        <v>5438</v>
      </c>
      <c r="L196" s="65" t="s">
        <v>3180</v>
      </c>
      <c r="M196" s="65" t="s">
        <v>984</v>
      </c>
      <c r="N196" s="65" t="str">
        <f>"&lt;div class="&amp;""""&amp;"hanging"&amp;""""&amp;"&gt;"&amp;K196&amp;"&lt;a href="&amp;""""&amp;L196&amp;""""&amp;" target="&amp;""""&amp;"_blank"&amp;""""&amp;"&gt;"&amp;L196&amp;"&lt;/a&gt;&lt;span style="&amp;""""&amp;"color:white"&amp;""""&amp;"&gt;[.]{#"&amp;F196&amp;"}}&lt;/span&gt;&lt;/div&gt;&lt;br&gt;"</f>
        <v>&lt;div class="hanging"&gt;Hoeks, S., Tucker, M., &amp; Broekman, M. (2024). &lt;i&gt;HomeRange&lt;/i&gt;&lt;a href="https://github.com/SHoeks/HomeRange" target="_blank"&gt;https://github.com/SHoeks/HomeRange&lt;/a&gt;&lt;span style="color:white"&gt;[.]{#hoeks_et_al_2024}}&lt;/span&gt;&lt;/div&gt;&lt;br&gt;</v>
      </c>
      <c r="O196" s="65" t="str">
        <f>"{{ rtxt_"&amp;F196&amp;" }}"</f>
        <v>{{ rtxt_hoeks_et_al_2024 }}</v>
      </c>
      <c r="P196" s="65" t="str">
        <f>"{{ rbib_"&amp;F196&amp;" }}"</f>
        <v>{{ rbib_hoeks_et_al_2024 }}</v>
      </c>
      <c r="Q196" s="65" t="str">
        <f>"    rtxt_"&amp;F196&amp;": "&amp;""""&amp;"&lt;a href=\"&amp;""""&amp;"/08_references.html#"&amp;F196&amp;"\"&amp;""""&amp;" target=\"&amp;""""&amp;"_blank\"&amp;""""&amp;"&gt;"&amp;G196&amp;"&lt;/a&gt;"&amp;""""</f>
        <v xml:space="preserve">    rtxt_hoeks_et_al_2024: "&lt;a href=\"/08_references.html#hoeks_et_al_2024\" target=\"_blank\"&gt;Hoeks et al., 2024&lt;/a&gt;"</v>
      </c>
      <c r="R196" s="65" t="str">
        <f>"    rbib_"&amp;F196&amp;": "&amp;""""&amp;K196&amp;"&lt;a href=\"&amp;""""&amp;L196&amp;""""&amp;" target=\"&amp;""""&amp;"_blank\"&amp;""""&amp;"&gt;"&amp;L196&amp;"&lt;/a&gt;"&amp;""""</f>
        <v xml:space="preserve">    rbib_hoeks_et_al_2024: "Hoeks, S., Tucker, M., &amp; Broekman, M. (2024). &lt;i&gt;HomeRange&lt;/i&gt;&lt;a href=\"https://github.com/SHoeks/HomeRange" target=\"_blank\"&gt;https://github.com/SHoeks/HomeRange&lt;/a&gt;"</v>
      </c>
      <c r="S196" s="65" t="str">
        <f>"    rbib_"&amp;F196&amp;": "&amp;""""&amp;"&lt;div class=\"&amp;""""&amp;"hanging\"&amp;""""&amp;"&gt;"&amp;J196&amp;"&lt;/div&gt;"&amp;""""</f>
        <v xml:space="preserve">    rbib_hoeks_et_al_2024: "&lt;div class=\"hanging\"&gt;Hoeks, S., Tucker, M., &amp; Broekman, M. (2024). *HomeRange* &lt;https://github.com/SHoeks/HomeRange&gt;&lt;/div&gt;"</v>
      </c>
      <c r="T196" s="65"/>
    </row>
    <row r="197" spans="1:20" ht="15.75">
      <c r="A197" s="65"/>
      <c r="B197" s="155" t="b">
        <v>1</v>
      </c>
      <c r="C197" s="155" t="b">
        <v>0</v>
      </c>
      <c r="D197" s="155" t="b">
        <v>0</v>
      </c>
      <c r="E197" s="65" t="s">
        <v>1904</v>
      </c>
      <c r="F197" s="65" t="s">
        <v>3175</v>
      </c>
      <c r="G197" s="65" t="s">
        <v>3174</v>
      </c>
      <c r="H197" s="65" t="s">
        <v>3174</v>
      </c>
      <c r="I197" s="65" t="b">
        <v>1</v>
      </c>
      <c r="J197" s="65" t="s">
        <v>3173</v>
      </c>
      <c r="K197" s="65" t="s">
        <v>5141</v>
      </c>
      <c r="L197" s="65" t="s">
        <v>3172</v>
      </c>
      <c r="M197" s="65" t="s">
        <v>984</v>
      </c>
      <c r="N197" s="65" t="str">
        <f>"&lt;div class="&amp;""""&amp;"hanging"&amp;""""&amp;"&gt;"&amp;K197&amp;"&lt;a href="&amp;""""&amp;L197&amp;""""&amp;" target="&amp;""""&amp;"_blank"&amp;""""&amp;"&gt;"&amp;L197&amp;"&lt;/a&gt;&lt;span style="&amp;""""&amp;"color:white"&amp;""""&amp;"&gt;[.]{#"&amp;F197&amp;"}}&lt;/span&gt;&lt;/div&gt;&lt;br&gt;"</f>
        <v>&lt;div class="hanging"&gt;Hofmeester, T. R., Cromsigt, J. P. G. M., Odden, J., Andrén, H., Kindberg, J., &amp; Linnell, J. D. C. (2019). Framing Pictures: A Conceptual Framework to Identify and Correct for Biases in Detection Probability of Camera Traps Enabling Multi-Species Comparison. &lt;i&gt;Ecology and Evolution, 9&lt;/i&gt;(4), 2320-2336.&lt;a href="https://doi.org/10.1002/ece3.4878" target="_blank"&gt;https://doi.org/10.1002/ece3.4878&lt;/a&gt;&lt;span style="color:white"&gt;[.]{#hofmeester_et_al_2019}}&lt;/span&gt;&lt;/div&gt;&lt;br&gt;</v>
      </c>
      <c r="O197" s="65" t="str">
        <f>"{{ rtxt_"&amp;F197&amp;" }}"</f>
        <v>{{ rtxt_hofmeester_et_al_2019 }}</v>
      </c>
      <c r="P197" s="65" t="str">
        <f>"{{ rbib_"&amp;F197&amp;" }}"</f>
        <v>{{ rbib_hofmeester_et_al_2019 }}</v>
      </c>
      <c r="Q197" s="65" t="str">
        <f>"    rtxt_"&amp;F197&amp;": "&amp;""""&amp;"&lt;a href=\"&amp;""""&amp;"/08_references.html#"&amp;F197&amp;"\"&amp;""""&amp;" target=\"&amp;""""&amp;"_blank\"&amp;""""&amp;"&gt;"&amp;G197&amp;"&lt;/a&gt;"&amp;""""</f>
        <v xml:space="preserve">    rtxt_hofmeester_et_al_2019: "&lt;a href=\"/08_references.html#hofmeester_et_al_2019\" target=\"_blank\"&gt;Hofmeester et al., 2019&lt;/a&gt;"</v>
      </c>
      <c r="R197" s="65" t="str">
        <f>"    rbib_"&amp;F197&amp;": "&amp;""""&amp;K197&amp;"&lt;a href=\"&amp;""""&amp;L197&amp;""""&amp;" target=\"&amp;""""&amp;"_blank\"&amp;""""&amp;"&gt;"&amp;L197&amp;"&lt;/a&gt;"&amp;""""</f>
        <v xml:space="preserve">    rbib_hofmeester_et_al_2019: "Hofmeester, T. R., Cromsigt, J. P. G. M., Odden, J., Andrén, H., Kindberg, J., &amp; Linnell, J. D. C. (2019). Framing Pictures: A Conceptual Framework to Identify and Correct for Biases in Detection Probability of Camera Traps Enabling Multi-Species Comparison. &lt;i&gt;Ecology and Evolution, 9&lt;/i&gt;(4), 2320-2336.&lt;a href=\"https://doi.org/10.1002/ece3.4878" target=\"_blank\"&gt;https://doi.org/10.1002/ece3.4878&lt;/a&gt;"</v>
      </c>
      <c r="S197" s="65" t="str">
        <f>"    rbib_"&amp;F197&amp;": "&amp;""""&amp;"&lt;div class=\"&amp;""""&amp;"hanging\"&amp;""""&amp;"&gt;"&amp;J197&amp;"&lt;/div&gt;"&amp;""""</f>
        <v xml:space="preserve">    rbib_hofmeester_et_al_2019: "&lt;div class=\"hanging\"&gt;Hofmeester, T. R., Cromsigt, J. P. G. M., Odden, J., Andrén, H., Kindberg, J., &amp; Linnell, J. D. C. (2019). Framing Pictures: A Conceptual Framework to Identify and Correct for Biases in Detection Probability of Camera Traps Enabling Multi-Species Comparison. *Ecology and Evolution, 9*(4), 2320-2336. &lt;https://doi.org/10.1002/ece3.4878&gt;&lt;/div&gt;"</v>
      </c>
      <c r="T197" s="65"/>
    </row>
    <row r="198" spans="1:20" ht="15.75">
      <c r="A198" s="65"/>
      <c r="B198" s="155"/>
      <c r="C198" s="155"/>
      <c r="D198" s="155"/>
      <c r="E198" s="65" t="s">
        <v>1904</v>
      </c>
      <c r="F198" s="65" t="s">
        <v>3179</v>
      </c>
      <c r="G198" s="65" t="s">
        <v>3178</v>
      </c>
      <c r="H198" s="65" t="s">
        <v>3178</v>
      </c>
      <c r="I198" s="65" t="b">
        <v>1</v>
      </c>
      <c r="J198" s="65" t="s">
        <v>3177</v>
      </c>
      <c r="K198" s="65" t="s">
        <v>5170</v>
      </c>
      <c r="L198" s="65" t="s">
        <v>3176</v>
      </c>
      <c r="M198" s="65" t="s">
        <v>984</v>
      </c>
      <c r="N198" s="65" t="str">
        <f>"&lt;div class="&amp;""""&amp;"hanging"&amp;""""&amp;"&gt;"&amp;K198&amp;"&lt;a href="&amp;""""&amp;L198&amp;""""&amp;" target="&amp;""""&amp;"_blank"&amp;""""&amp;"&gt;"&amp;L198&amp;"&lt;/a&gt;&lt;span style="&amp;""""&amp;"color:white"&amp;""""&amp;"&gt;[.]{#"&amp;F198&amp;"}}&lt;/span&gt;&lt;/div&gt;&lt;br&gt;"</f>
        <v>&lt;div class="hanging"&gt;Hofmeester, T. R., Rowcliffe, J. M., Jansen, P. A., Williams, R., &amp; Kelly, N. (2017). A simple method for estimating the effective detection distance of camera traps. &lt;i&gt;Remote Sensing in Ecology and Conservation, 3&lt;/i&gt;(2), 81-89.&lt;a href="https://doi.org/10.1002/rse2.25" target="_blank"&gt;https://doi.org/10.1002/rse2.25&lt;/a&gt;&lt;span style="color:white"&gt;[.]{#hofmeester_et_al_2017}}&lt;/span&gt;&lt;/div&gt;&lt;br&gt;</v>
      </c>
      <c r="O198" s="65" t="str">
        <f>"{{ rtxt_"&amp;F198&amp;" }}"</f>
        <v>{{ rtxt_hofmeester_et_al_2017 }}</v>
      </c>
      <c r="P198" s="65" t="str">
        <f>"{{ rbib_"&amp;F198&amp;" }}"</f>
        <v>{{ rbib_hofmeester_et_al_2017 }}</v>
      </c>
      <c r="Q198" s="65" t="str">
        <f>"    rtxt_"&amp;F198&amp;": "&amp;""""&amp;"&lt;a href=\"&amp;""""&amp;"/08_references.html#"&amp;F198&amp;"\"&amp;""""&amp;" target=\"&amp;""""&amp;"_blank\"&amp;""""&amp;"&gt;"&amp;G198&amp;"&lt;/a&gt;"&amp;""""</f>
        <v xml:space="preserve">    rtxt_hofmeester_et_al_2017: "&lt;a href=\"/08_references.html#hofmeester_et_al_2017\" target=\"_blank\"&gt;Hofmeester et al., 2017&lt;/a&gt;"</v>
      </c>
      <c r="R198" s="65" t="str">
        <f>"    rbib_"&amp;F198&amp;": "&amp;""""&amp;K198&amp;"&lt;a href=\"&amp;""""&amp;L198&amp;""""&amp;" target=\"&amp;""""&amp;"_blank\"&amp;""""&amp;"&gt;"&amp;L198&amp;"&lt;/a&gt;"&amp;""""</f>
        <v xml:space="preserve">    rbib_hofmeester_et_al_2017: "Hofmeester, T. R., Rowcliffe, J. M., Jansen, P. A., Williams, R., &amp; Kelly, N. (2017). A simple method for estimating the effective detection distance of camera traps. &lt;i&gt;Remote Sensing in Ecology and Conservation, 3&lt;/i&gt;(2), 81-89.&lt;a href=\"https://doi.org/10.1002/rse2.25" target=\"_blank\"&gt;https://doi.org/10.1002/rse2.25&lt;/a&gt;"</v>
      </c>
      <c r="S198" s="65" t="str">
        <f>"    rbib_"&amp;F198&amp;": "&amp;""""&amp;"&lt;div class=\"&amp;""""&amp;"hanging\"&amp;""""&amp;"&gt;"&amp;J198&amp;"&lt;/div&gt;"&amp;""""</f>
        <v xml:space="preserve">    rbib_hofmeester_et_al_2017: "&lt;div class=\"hanging\"&gt;Hofmeester, T. R., Rowcliffe, J. M., Jansen, P. A., Williams, R., &amp; Kelly, N. (2017). A simple method for estimating the effective detection distance of camera traps. *Remote Sensing in Ecology and Conservation, 3*(2), 81-89. &lt;https://doi.org/10.1002/rse2.25&gt;&lt;/div&gt;"</v>
      </c>
      <c r="T198" s="65"/>
    </row>
    <row r="199" spans="1:20" ht="15.75">
      <c r="A199" s="65"/>
      <c r="B199" s="155" t="b">
        <v>1</v>
      </c>
      <c r="C199" s="155" t="b">
        <v>1</v>
      </c>
      <c r="D199" s="155" t="b">
        <v>1</v>
      </c>
      <c r="E199" s="65" t="s">
        <v>1904</v>
      </c>
      <c r="F199" s="65" t="s">
        <v>3171</v>
      </c>
      <c r="G199" s="65" t="s">
        <v>3170</v>
      </c>
      <c r="H199" s="65" t="s">
        <v>3170</v>
      </c>
      <c r="I199" s="65" t="b">
        <v>1</v>
      </c>
      <c r="J199" s="65" t="s">
        <v>3169</v>
      </c>
      <c r="K199" s="65" t="s">
        <v>5369</v>
      </c>
      <c r="L199" s="65" t="s">
        <v>3168</v>
      </c>
      <c r="M199" s="65" t="s">
        <v>984</v>
      </c>
      <c r="N199" s="65" t="str">
        <f>"&lt;div class="&amp;""""&amp;"hanging"&amp;""""&amp;"&gt;"&amp;K199&amp;"&lt;a href="&amp;""""&amp;L199&amp;""""&amp;" target="&amp;""""&amp;"_blank"&amp;""""&amp;"&gt;"&amp;L199&amp;"&lt;/a&gt;&lt;span style="&amp;""""&amp;"color:white"&amp;""""&amp;"&gt;[.]{#"&amp;F199&amp;"}}&lt;/span&gt;&lt;/div&gt;&lt;br&gt;"</f>
        <v>&lt;div class="hanging"&gt;Holinda, D., Burgar, J. M., &amp; Burton, A. C. (2020). Effects of scent lure on camera trap detections vary across mammalian predator and prey species. &lt;i&gt;PLoS One, 15&lt;/i&gt;(5), e0229055.&lt;a href="https://doi.org/10.1371/journal.pone.0229055" target="_blank"&gt;https://doi.org/10.1371/journal.pone.0229055&lt;/a&gt;&lt;span style="color:white"&gt;[.]{#holinda_et_al_2020}}&lt;/span&gt;&lt;/div&gt;&lt;br&gt;</v>
      </c>
      <c r="O199" s="65" t="str">
        <f>"{{ rtxt_"&amp;F199&amp;" }}"</f>
        <v>{{ rtxt_holinda_et_al_2020 }}</v>
      </c>
      <c r="P199" s="65" t="str">
        <f>"{{ rbib_"&amp;F199&amp;" }}"</f>
        <v>{{ rbib_holinda_et_al_2020 }}</v>
      </c>
      <c r="Q199" s="65" t="str">
        <f>"    rtxt_"&amp;F199&amp;": "&amp;""""&amp;"&lt;a href=\"&amp;""""&amp;"/08_references.html#"&amp;F199&amp;"\"&amp;""""&amp;" target=\"&amp;""""&amp;"_blank\"&amp;""""&amp;"&gt;"&amp;G199&amp;"&lt;/a&gt;"&amp;""""</f>
        <v xml:space="preserve">    rtxt_holinda_et_al_2020: "&lt;a href=\"/08_references.html#holinda_et_al_2020\" target=\"_blank\"&gt;Holinda et al., 2020&lt;/a&gt;"</v>
      </c>
      <c r="R199" s="65" t="str">
        <f>"    rbib_"&amp;F199&amp;": "&amp;""""&amp;K199&amp;"&lt;a href=\"&amp;""""&amp;L199&amp;""""&amp;" target=\"&amp;""""&amp;"_blank\"&amp;""""&amp;"&gt;"&amp;L199&amp;"&lt;/a&gt;"&amp;""""</f>
        <v xml:space="preserve">    rbib_holinda_et_al_2020: "Holinda, D., Burgar, J. M., &amp; Burton, A. C. (2020). Effects of scent lure on camera trap detections vary across mammalian predator and prey species. &lt;i&gt;PLoS One, 15&lt;/i&gt;(5), e0229055.&lt;a href=\"https://doi.org/10.1371/journal.pone.0229055" target=\"_blank\"&gt;https://doi.org/10.1371/journal.pone.0229055&lt;/a&gt;"</v>
      </c>
      <c r="S199" s="65" t="str">
        <f>"    rbib_"&amp;F199&amp;": "&amp;""""&amp;"&lt;div class=\"&amp;""""&amp;"hanging\"&amp;""""&amp;"&gt;"&amp;J199&amp;"&lt;/div&gt;"&amp;""""</f>
        <v xml:space="preserve">    rbib_holinda_et_al_2020: "&lt;div class=\"hanging\"&gt;Holinda, D., Burgar, J. M., &amp; Burton, A. C. (2020). Effects of scent lure on camera trap detections vary across mammalian predator and prey species. *PLoS One, 15*(5), e0229055. &lt;https://doi.org/10.1371/journal.pone.0229055&gt;&lt;/div&gt;"</v>
      </c>
      <c r="T199" s="65"/>
    </row>
    <row r="200" spans="1:20" ht="15.75">
      <c r="A200" s="65"/>
      <c r="B200" s="155" t="b">
        <v>1</v>
      </c>
      <c r="C200" s="155" t="b">
        <v>0</v>
      </c>
      <c r="D200" s="155" t="b">
        <v>0</v>
      </c>
      <c r="E200" s="65" t="s">
        <v>1904</v>
      </c>
      <c r="F200" s="65" t="s">
        <v>3167</v>
      </c>
      <c r="G200" s="65" t="s">
        <v>3166</v>
      </c>
      <c r="H200" s="65" t="s">
        <v>3166</v>
      </c>
      <c r="I200" s="65" t="b">
        <v>1</v>
      </c>
      <c r="J200" s="65" t="s">
        <v>3165</v>
      </c>
      <c r="K200" s="65" t="s">
        <v>5425</v>
      </c>
      <c r="L200" s="65" t="s">
        <v>3164</v>
      </c>
      <c r="M200" s="65" t="s">
        <v>984</v>
      </c>
      <c r="N200" s="65" t="str">
        <f>"&lt;div class="&amp;""""&amp;"hanging"&amp;""""&amp;"&gt;"&amp;K200&amp;"&lt;a href="&amp;""""&amp;L200&amp;""""&amp;" target="&amp;""""&amp;"_blank"&amp;""""&amp;"&gt;"&amp;L200&amp;"&lt;/a&gt;&lt;span style="&amp;""""&amp;"color:white"&amp;""""&amp;"&gt;[.]{#"&amp;F200&amp;"}}&lt;/span&gt;&lt;/div&gt;&lt;br&gt;"</f>
        <v>&lt;div class="hanging"&gt;Howe, E. J., Buckland, S. T., Després-Einspenner, M. -L., &amp; Kühl, H. S. (2017). Distance sampling with camera traps. &lt;i&gt;Methods in Ecology and Evolution, 8&lt;/i&gt;(11), 1558-1565.&lt;a href="https://doi.org/https://doi.org/10.1111/2041-210X.12790" target="_blank"&gt;https://doi.org/https://doi.org/10.1111/2041-210X.12790&lt;/a&gt;&lt;span style="color:white"&gt;[.]{#howe_et_al_2017}}&lt;/span&gt;&lt;/div&gt;&lt;br&gt;</v>
      </c>
      <c r="O200" s="65" t="str">
        <f>"{{ rtxt_"&amp;F200&amp;" }}"</f>
        <v>{{ rtxt_howe_et_al_2017 }}</v>
      </c>
      <c r="P200" s="65" t="str">
        <f>"{{ rbib_"&amp;F200&amp;" }}"</f>
        <v>{{ rbib_howe_et_al_2017 }}</v>
      </c>
      <c r="Q200" s="65" t="str">
        <f>"    rtxt_"&amp;F200&amp;": "&amp;""""&amp;"&lt;a href=\"&amp;""""&amp;"/08_references.html#"&amp;F200&amp;"\"&amp;""""&amp;" target=\"&amp;""""&amp;"_blank\"&amp;""""&amp;"&gt;"&amp;G200&amp;"&lt;/a&gt;"&amp;""""</f>
        <v xml:space="preserve">    rtxt_howe_et_al_2017: "&lt;a href=\"/08_references.html#howe_et_al_2017\" target=\"_blank\"&gt;Howe et al., 2017&lt;/a&gt;"</v>
      </c>
      <c r="R200" s="65" t="str">
        <f>"    rbib_"&amp;F200&amp;": "&amp;""""&amp;K200&amp;"&lt;a href=\"&amp;""""&amp;L200&amp;""""&amp;" target=\"&amp;""""&amp;"_blank\"&amp;""""&amp;"&gt;"&amp;L200&amp;"&lt;/a&gt;"&amp;""""</f>
        <v xml:space="preserve">    rbib_howe_et_al_2017: "Howe, E. J., Buckland, S. T., Després-Einspenner, M. -L., &amp; Kühl, H. S. (2017). Distance sampling with camera traps. &lt;i&gt;Methods in Ecology and Evolution, 8&lt;/i&gt;(11), 1558-1565.&lt;a href=\"https://doi.org/https://doi.org/10.1111/2041-210X.12790" target=\"_blank\"&gt;https://doi.org/https://doi.org/10.1111/2041-210X.12790&lt;/a&gt;"</v>
      </c>
      <c r="S200" s="65" t="str">
        <f>"    rbib_"&amp;F200&amp;": "&amp;""""&amp;"&lt;div class=\"&amp;""""&amp;"hanging\"&amp;""""&amp;"&gt;"&amp;J200&amp;"&lt;/div&gt;"&amp;""""</f>
        <v xml:space="preserve">    rbib_howe_et_al_2017: "&lt;div class=\"hanging\"&gt;Howe, E. J., Buckland, S. T., Després-Einspenner, M. -L., &amp; Kühl, H. S. (2017). Distance sampling with camera traps. *Methods in Ecology and Evolution, 8*(11), 1558-1565. &lt;https://doi.org/https://doi.org/10.1111/2041-210X.12790&gt;&lt;/div&gt;"</v>
      </c>
      <c r="T200" s="65"/>
    </row>
    <row r="201" spans="1:20" ht="15.75">
      <c r="A201" s="65"/>
      <c r="B201" s="155" t="b">
        <v>0</v>
      </c>
      <c r="C201" s="155" t="b">
        <v>0</v>
      </c>
      <c r="D201" s="155"/>
      <c r="E201" s="65" t="s">
        <v>1904</v>
      </c>
      <c r="F201" s="65" t="s">
        <v>3163</v>
      </c>
      <c r="G201" s="65" t="s">
        <v>3162</v>
      </c>
      <c r="H201" s="65" t="s">
        <v>3161</v>
      </c>
      <c r="I201" s="65" t="b">
        <v>1</v>
      </c>
      <c r="J201" s="65" t="s">
        <v>3160</v>
      </c>
      <c r="K201" s="65" t="s">
        <v>5405</v>
      </c>
      <c r="L201" s="65" t="s">
        <v>3159</v>
      </c>
      <c r="M201" s="65" t="s">
        <v>984</v>
      </c>
      <c r="N201" s="65" t="str">
        <f>"&lt;div class="&amp;""""&amp;"hanging"&amp;""""&amp;"&gt;"&amp;K201&amp;"&lt;a href="&amp;""""&amp;L201&amp;""""&amp;" target="&amp;""""&amp;"_blank"&amp;""""&amp;"&gt;"&amp;L201&amp;"&lt;/a&gt;&lt;span style="&amp;""""&amp;"color:white"&amp;""""&amp;"&gt;[.]{#"&amp;F201&amp;"}}&lt;/span&gt;&lt;/div&gt;&lt;br&gt;"</f>
        <v>&lt;div class="hanging"&gt;Hsieh, T. C., Ma, K. H., &amp; Chao, A. (2015). &lt;i&gt;iNEXT: Interpolation and Extrapolation for Species Diversity&lt;/i&gt;. R package version 2.6-6.1.&lt;a href="https://doi.org/10.32614/CRAN.package.iNEXT" target="_blank"&gt;https://doi.org/10.32614/CRAN.package.iNEXT&lt;/a&gt;&lt;span style="color:white"&gt;[.]{#hsieh_et_al_2015}}&lt;/span&gt;&lt;/div&gt;&lt;br&gt;</v>
      </c>
      <c r="O201" s="65" t="str">
        <f>"{{ rtxt_"&amp;F201&amp;" }}"</f>
        <v>{{ rtxt_hsieh_et_al_2015 }}</v>
      </c>
      <c r="P201" s="65" t="str">
        <f>"{{ rbib_"&amp;F201&amp;" }}"</f>
        <v>{{ rbib_hsieh_et_al_2015 }}</v>
      </c>
      <c r="Q201" s="65" t="str">
        <f>"    rtxt_"&amp;F201&amp;": "&amp;""""&amp;"&lt;a href=\"&amp;""""&amp;"/08_references.html#"&amp;F201&amp;"\"&amp;""""&amp;" target=\"&amp;""""&amp;"_blank\"&amp;""""&amp;"&gt;"&amp;G201&amp;"&lt;/a&gt;"&amp;""""</f>
        <v xml:space="preserve">    rtxt_hsieh_et_al_2015: "&lt;a href=\"/08_references.html#hsieh_et_al_2015\" target=\"_blank\"&gt;Hsieh et al., 2015&lt;/a&gt;"</v>
      </c>
      <c r="R201" s="65" t="str">
        <f>"    rbib_"&amp;F201&amp;": "&amp;""""&amp;K201&amp;"&lt;a href=\"&amp;""""&amp;L201&amp;""""&amp;" target=\"&amp;""""&amp;"_blank\"&amp;""""&amp;"&gt;"&amp;L201&amp;"&lt;/a&gt;"&amp;""""</f>
        <v xml:space="preserve">    rbib_hsieh_et_al_2015: "Hsieh, T. C., Ma, K. H., &amp; Chao, A. (2015). &lt;i&gt;iNEXT: Interpolation and Extrapolation for Species Diversity&lt;/i&gt;. R package version 2.6-6.1.&lt;a href=\"https://doi.org/10.32614/CRAN.package.iNEXT" target=\"_blank\"&gt;https://doi.org/10.32614/CRAN.package.iNEXT&lt;/a&gt;"</v>
      </c>
      <c r="S201" s="65" t="str">
        <f>"    rbib_"&amp;F201&amp;": "&amp;""""&amp;"&lt;div class=\"&amp;""""&amp;"hanging\"&amp;""""&amp;"&gt;"&amp;J201&amp;"&lt;/div&gt;"&amp;""""</f>
        <v xml:space="preserve">    rbib_hsieh_et_al_2015: "&lt;div class=\"hanging\"&gt;Hsieh, T. C., Ma, K. H., &amp; Chao, A. (2015). *iNEXT: Interpolation and Extrapolation for Species Diversity*. R package Version 2.6-6.1. &lt;https://doi.org/10.32614/CRAN.package.iNEXT&gt;&lt;/div&gt;"</v>
      </c>
      <c r="T201" s="65"/>
    </row>
    <row r="202" spans="1:20" ht="15.75">
      <c r="A202" s="65"/>
      <c r="B202" s="155" t="b">
        <v>1</v>
      </c>
      <c r="C202" s="155" t="b">
        <v>0</v>
      </c>
      <c r="D202" s="155" t="b">
        <v>0</v>
      </c>
      <c r="E202" s="65" t="s">
        <v>2246</v>
      </c>
      <c r="F202" s="65" t="s">
        <v>3158</v>
      </c>
      <c r="G202" s="65" t="s">
        <v>3157</v>
      </c>
      <c r="H202" s="65" t="s">
        <v>3157</v>
      </c>
      <c r="I202" s="65" t="b">
        <v>1</v>
      </c>
      <c r="J202" s="65" t="s">
        <v>3156</v>
      </c>
      <c r="K202" s="65" t="s">
        <v>5479</v>
      </c>
      <c r="L202" s="65" t="s">
        <v>3155</v>
      </c>
      <c r="M202" s="65" t="s">
        <v>984</v>
      </c>
      <c r="N202" s="65" t="str">
        <f>"&lt;div class="&amp;""""&amp;"hanging"&amp;""""&amp;"&gt;"&amp;K202&amp;"&lt;a href="&amp;""""&amp;L202&amp;""""&amp;" target="&amp;""""&amp;"_blank"&amp;""""&amp;"&gt;"&amp;L202&amp;"&lt;/a&gt;&lt;span style="&amp;""""&amp;"color:white"&amp;""""&amp;"&gt;[.]{#"&amp;F202&amp;"}}&lt;/span&gt;&lt;/div&gt;&lt;br&gt;"</f>
        <v>&lt;div class="hanging"&gt;Huggard, D. (2018). &lt;i&gt;Animal Density from Camera Data&lt;/i&gt;. Alberta Biodiversity Monitoring Institute.&lt;a href="https://www.abmi.ca/home/publications/501-550/516" target="_blank"&gt;https://www.abmi.ca/home/publications/501-550/516&lt;/a&gt;&lt;span style="color:white"&gt;[.]{#huggard_2018}}&lt;/span&gt;&lt;/div&gt;&lt;br&gt;</v>
      </c>
      <c r="O202" s="65" t="str">
        <f>"{{ rtxt_"&amp;F202&amp;" }}"</f>
        <v>{{ rtxt_huggard_2018 }}</v>
      </c>
      <c r="P202" s="65" t="str">
        <f>"{{ rbib_"&amp;F202&amp;" }}"</f>
        <v>{{ rbib_huggard_2018 }}</v>
      </c>
      <c r="Q202" s="65" t="str">
        <f>"    rtxt_"&amp;F202&amp;": "&amp;""""&amp;"&lt;a href=\"&amp;""""&amp;"/08_references.html#"&amp;F202&amp;"\"&amp;""""&amp;" target=\"&amp;""""&amp;"_blank\"&amp;""""&amp;"&gt;"&amp;G202&amp;"&lt;/a&gt;"&amp;""""</f>
        <v xml:space="preserve">    rtxt_huggard_2018: "&lt;a href=\"/08_references.html#huggard_2018\" target=\"_blank\"&gt;Huggard, 2018&lt;/a&gt;"</v>
      </c>
      <c r="R202" s="65" t="str">
        <f>"    rbib_"&amp;F202&amp;": "&amp;""""&amp;K202&amp;"&lt;a href=\"&amp;""""&amp;L202&amp;""""&amp;" target=\"&amp;""""&amp;"_blank\"&amp;""""&amp;"&gt;"&amp;L202&amp;"&lt;/a&gt;"&amp;""""</f>
        <v xml:space="preserve">    rbib_huggard_2018: "Huggard, D. (2018). &lt;i&gt;Animal Density from Camera Data&lt;/i&gt;. Alberta Biodiversity Monitoring Institute.&lt;a href=\"https://www.abmi.ca/home/publications/501-550/516" target=\"_blank\"&gt;https://www.abmi.ca/home/publications/501-550/516&lt;/a&gt;"</v>
      </c>
      <c r="S202" s="65" t="str">
        <f>"    rbib_"&amp;F202&amp;": "&amp;""""&amp;"&lt;div class=\"&amp;""""&amp;"hanging\"&amp;""""&amp;"&gt;"&amp;J202&amp;"&lt;/div&gt;"&amp;""""</f>
        <v xml:space="preserve">    rbib_huggard_2018: "&lt;div class=\"hanging\"&gt;Huggard, D. (2018). *Animal Density from Camera Data*. Alberta Biodiversity Monitoring Institute. &lt;https://www.abmi.ca/home/publications/501-550/516&gt;&lt;/div&gt;"</v>
      </c>
      <c r="T202" s="65"/>
    </row>
    <row r="203" spans="1:20" ht="15.75">
      <c r="A203" s="65"/>
      <c r="B203" s="155" t="b">
        <v>1</v>
      </c>
      <c r="C203" s="155" t="b">
        <v>0</v>
      </c>
      <c r="D203" s="155" t="b">
        <v>0</v>
      </c>
      <c r="E203" s="65" t="s">
        <v>1904</v>
      </c>
      <c r="F203" s="65" t="s">
        <v>3154</v>
      </c>
      <c r="G203" s="65" t="s">
        <v>3153</v>
      </c>
      <c r="H203" s="65" t="s">
        <v>3153</v>
      </c>
      <c r="I203" s="65" t="b">
        <v>1</v>
      </c>
      <c r="J203" s="65" t="s">
        <v>3152</v>
      </c>
      <c r="K203" s="65" t="s">
        <v>5396</v>
      </c>
      <c r="L203" s="65" t="s">
        <v>3151</v>
      </c>
      <c r="M203" s="65" t="s">
        <v>984</v>
      </c>
      <c r="N203" s="65" t="str">
        <f>"&lt;div class="&amp;""""&amp;"hanging"&amp;""""&amp;"&gt;"&amp;K203&amp;"&lt;a href="&amp;""""&amp;L203&amp;""""&amp;" target="&amp;""""&amp;"_blank"&amp;""""&amp;"&gt;"&amp;L203&amp;"&lt;/a&gt;&lt;span style="&amp;""""&amp;"color:white"&amp;""""&amp;"&gt;[.]{#"&amp;F203&amp;"}}&lt;/span&gt;&lt;/div&gt;&lt;br&gt;"</f>
        <v>&lt;div class="hanging"&gt;Hurlbert, S. (1984). Pseudoreplication and the design of ecological field experiments. &lt;i&gt;Ecological Monographs, 54&lt;/i&gt;(2), 187-211.&lt;a href="https://doi.org/10.2307/1942661" target="_blank"&gt;https://doi.org/10.2307/1942661&lt;/a&gt;&lt;span style="color:white"&gt;[.]{#hurlbert_1984}}&lt;/span&gt;&lt;/div&gt;&lt;br&gt;</v>
      </c>
      <c r="O203" s="65" t="str">
        <f>"{{ rtxt_"&amp;F203&amp;" }}"</f>
        <v>{{ rtxt_hurlbert_1984 }}</v>
      </c>
      <c r="P203" s="65" t="str">
        <f>"{{ rbib_"&amp;F203&amp;" }}"</f>
        <v>{{ rbib_hurlbert_1984 }}</v>
      </c>
      <c r="Q203" s="65" t="str">
        <f>"    rtxt_"&amp;F203&amp;": "&amp;""""&amp;"&lt;a href=\"&amp;""""&amp;"/08_references.html#"&amp;F203&amp;"\"&amp;""""&amp;" target=\"&amp;""""&amp;"_blank\"&amp;""""&amp;"&gt;"&amp;G203&amp;"&lt;/a&gt;"&amp;""""</f>
        <v xml:space="preserve">    rtxt_hurlbert_1984: "&lt;a href=\"/08_references.html#hurlbert_1984\" target=\"_blank\"&gt;Hurlbert, 1984&lt;/a&gt;"</v>
      </c>
      <c r="R203" s="65" t="str">
        <f>"    rbib_"&amp;F203&amp;": "&amp;""""&amp;K203&amp;"&lt;a href=\"&amp;""""&amp;L203&amp;""""&amp;" target=\"&amp;""""&amp;"_blank\"&amp;""""&amp;"&gt;"&amp;L203&amp;"&lt;/a&gt;"&amp;""""</f>
        <v xml:space="preserve">    rbib_hurlbert_1984: "Hurlbert, S. (1984). Pseudoreplication and the design of ecological field experiments. &lt;i&gt;Ecological Monographs, 54&lt;/i&gt;(2), 187-211.&lt;a href=\"https://doi.org/10.2307/1942661" target=\"_blank\"&gt;https://doi.org/10.2307/1942661&lt;/a&gt;"</v>
      </c>
      <c r="S203" s="65" t="str">
        <f>"    rbib_"&amp;F203&amp;": "&amp;""""&amp;"&lt;div class=\"&amp;""""&amp;"hanging\"&amp;""""&amp;"&gt;"&amp;J203&amp;"&lt;/div&gt;"&amp;""""</f>
        <v xml:space="preserve">    rbib_hurlbert_1984: "&lt;div class=\"hanging\"&gt;Hurlbert, S. (1984). Pseudoreplication and the design of ecological field experiments. *Ecological Monographs, 54*(2), 187-211. &lt;https://doi.org/10.2307/1942661&gt;&lt;/div&gt;"</v>
      </c>
      <c r="T203" s="65"/>
    </row>
    <row r="204" spans="1:20" ht="15.75">
      <c r="A204" s="65"/>
      <c r="B204" s="155" t="b">
        <v>0</v>
      </c>
      <c r="C204" s="155" t="b">
        <v>0</v>
      </c>
      <c r="D204" s="155" t="b">
        <v>1</v>
      </c>
      <c r="E204" s="65" t="s">
        <v>1904</v>
      </c>
      <c r="F204" s="65" t="s">
        <v>3150</v>
      </c>
      <c r="G204" s="65" t="s">
        <v>3149</v>
      </c>
      <c r="H204" s="65" t="s">
        <v>3149</v>
      </c>
      <c r="I204" s="65" t="b">
        <v>1</v>
      </c>
      <c r="J204" s="65" t="s">
        <v>3148</v>
      </c>
      <c r="K204" s="65" t="s">
        <v>6079</v>
      </c>
      <c r="L204" s="65" t="s">
        <v>3147</v>
      </c>
      <c r="M204" s="65" t="s">
        <v>984</v>
      </c>
      <c r="N204" s="65" t="str">
        <f>"&lt;div class="&amp;""""&amp;"hanging"&amp;""""&amp;"&gt;"&amp;K204&amp;"&lt;a href="&amp;""""&amp;L204&amp;""""&amp;" target="&amp;""""&amp;"_blank"&amp;""""&amp;"&gt;"&amp;L204&amp;"&lt;/a&gt;&lt;span style="&amp;""""&amp;"color:white"&amp;""""&amp;"&gt;[.]{#"&amp;F204&amp;"}}&lt;/span&gt;&lt;/div&gt;&lt;br&gt;"</f>
        <v>&lt;div class="hanging"&gt;Iannarilli, F., Erb, J., Arnold, T. W., &amp; Fieberg, J. R. (2021). Evaluating species-specific responses to camera-trap Survey designs. &lt;i&gt;Wildlife Biology, 2021&lt;/i&gt;(1).&lt;a href="https://doi.org/10.2981/wlb.00726" target="_blank"&gt;https://doi.org/10.2981/wlb.00726&lt;/a&gt;&lt;span style="color:white"&gt;[.]{#iannarilli_et_al_2021}}&lt;/span&gt;&lt;/div&gt;&lt;br&gt;</v>
      </c>
      <c r="O204" s="65" t="str">
        <f>"{{ rtxt_"&amp;F204&amp;" }}"</f>
        <v>{{ rtxt_iannarilli_et_al_2021 }}</v>
      </c>
      <c r="P204" s="65" t="str">
        <f>"{{ rbib_"&amp;F204&amp;" }}"</f>
        <v>{{ rbib_iannarilli_et_al_2021 }}</v>
      </c>
      <c r="Q204" s="65" t="str">
        <f>"    rtxt_"&amp;F204&amp;": "&amp;""""&amp;"&lt;a href=\"&amp;""""&amp;"/08_references.html#"&amp;F204&amp;"\"&amp;""""&amp;" target=\"&amp;""""&amp;"_blank\"&amp;""""&amp;"&gt;"&amp;G204&amp;"&lt;/a&gt;"&amp;""""</f>
        <v xml:space="preserve">    rtxt_iannarilli_et_al_2021: "&lt;a href=\"/08_references.html#iannarilli_et_al_2021\" target=\"_blank\"&gt;Iannarilli et al., 2021&lt;/a&gt;"</v>
      </c>
      <c r="R204" s="65" t="str">
        <f>"    rbib_"&amp;F204&amp;": "&amp;""""&amp;K204&amp;"&lt;a href=\"&amp;""""&amp;L204&amp;""""&amp;" target=\"&amp;""""&amp;"_blank\"&amp;""""&amp;"&gt;"&amp;L204&amp;"&lt;/a&gt;"&amp;""""</f>
        <v xml:space="preserve">    rbib_iannarilli_et_al_2021: "Iannarilli, F., Erb, J., Arnold, T. W., &amp; Fieberg, J. R. (2021). Evaluating species-specific responses to camera-trap Survey designs. &lt;i&gt;Wildlife Biology, 2021&lt;/i&gt;(1).&lt;a href=\"https://doi.org/10.2981/wlb.00726" target=\"_blank\"&gt;https://doi.org/10.2981/wlb.00726&lt;/a&gt;"</v>
      </c>
      <c r="S204" s="65" t="str">
        <f>"    rbib_"&amp;F204&amp;": "&amp;""""&amp;"&lt;div class=\"&amp;""""&amp;"hanging\"&amp;""""&amp;"&gt;"&amp;J204&amp;"&lt;/div&gt;"&amp;""""</f>
        <v xml:space="preserve">    rbib_iannarilli_et_al_2021: "&lt;div class=\"hanging\"&gt;Iannarilli, F., Erb, J., Arnold, T. W., &amp; Fieberg, J. R. (2021). Evaluating species-specific responses to camera-trap Survey designs. *Wildlife Biology, 2021*(1). &lt;https://doi.org/10.2981/wlb.00726&gt;&lt;/div&gt;"</v>
      </c>
      <c r="T204" s="65"/>
    </row>
    <row r="205" spans="1:20" ht="15.75">
      <c r="A205" s="65"/>
      <c r="B205" s="155"/>
      <c r="C205" s="155"/>
      <c r="D205" s="155"/>
      <c r="E205" s="65" t="s">
        <v>1904</v>
      </c>
      <c r="F205" s="65" t="s">
        <v>4107</v>
      </c>
      <c r="G205" s="65" t="s">
        <v>4110</v>
      </c>
      <c r="H205" s="65"/>
      <c r="I205" s="65" t="b">
        <v>1</v>
      </c>
      <c r="J205" s="65" t="s">
        <v>4106</v>
      </c>
      <c r="K205" s="158" t="s">
        <v>5279</v>
      </c>
      <c r="L205" s="157" t="s">
        <v>5092</v>
      </c>
      <c r="M205" s="65"/>
      <c r="N205" s="65" t="str">
        <f>"&lt;div class="&amp;""""&amp;"hanging"&amp;""""&amp;"&gt;"&amp;K205&amp;"&lt;a href="&amp;""""&amp;L205&amp;""""&amp;" target="&amp;""""&amp;"_blank"&amp;""""&amp;"&gt;"&amp;L205&amp;"&lt;/a&gt;&lt;span style="&amp;""""&amp;"color:white"&amp;""""&amp;"&gt;[.]{#"&amp;F205&amp;"}}&lt;/span&gt;&lt;/div&gt;&lt;br&gt;"</f>
        <v>&lt;div class="hanging"&gt;Iannarilli, F., Gerber, B. D., Erb, J., &amp; Fieberg, J. R. (2024a). A ‘how‐to’ guide for estimating animal diel activity using hierarchical models. &lt;i&gt;Journal of Animal Ecology&lt;/i&gt;, 1365-2656. 14213.&lt;a href="https://doi.org/10.1111/1365-2656.14213" target="_blank"&gt;https://doi.org/10.1111/1365-2656.14213&lt;/a&gt;&lt;span style="color:white"&gt;[.]{#iannarilli_et_al_2024a}}&lt;/span&gt;&lt;/div&gt;&lt;br&gt;</v>
      </c>
      <c r="O205" s="65" t="str">
        <f>"{{ rtxt_"&amp;F205&amp;" }}"</f>
        <v>{{ rtxt_iannarilli_et_al_2024a }}</v>
      </c>
      <c r="P205" s="65" t="str">
        <f>"{{ rbib_"&amp;F205&amp;" }}"</f>
        <v>{{ rbib_iannarilli_et_al_2024a }}</v>
      </c>
      <c r="Q205" s="65" t="str">
        <f>"    rtxt_"&amp;F205&amp;": "&amp;""""&amp;"&lt;a href=\"&amp;""""&amp;"/08_references.html#"&amp;F205&amp;"\"&amp;""""&amp;" target=\"&amp;""""&amp;"_blank\"&amp;""""&amp;"&gt;"&amp;G205&amp;"&lt;/a&gt;"&amp;""""</f>
        <v xml:space="preserve">    rtxt_iannarilli_et_al_2024a: "&lt;a href=\"/08_references.html#iannarilli_et_al_2024a\" target=\"_blank\"&gt;Iannarilli et al., 2024a&lt;/a&gt;"</v>
      </c>
      <c r="R205" s="65" t="str">
        <f>"    rbib_"&amp;F205&amp;": "&amp;""""&amp;K205&amp;"&lt;a href=\"&amp;""""&amp;L205&amp;""""&amp;" target=\"&amp;""""&amp;"_blank\"&amp;""""&amp;"&gt;"&amp;L205&amp;"&lt;/a&gt;"&amp;""""</f>
        <v xml:space="preserve">    rbib_iannarilli_et_al_2024a: "Iannarilli, F., Gerber, B. D., Erb, J., &amp; Fieberg, J. R. (2024a). A ‘how‐to’ guide for estimating animal diel activity using hierarchical models. &lt;i&gt;Journal of Animal Ecology&lt;/i&gt;, 1365-2656. 14213.&lt;a href=\"https://doi.org/10.1111/1365-2656.14213" target=\"_blank\"&gt;https://doi.org/10.1111/1365-2656.14213&lt;/a&gt;"</v>
      </c>
      <c r="S205" s="65" t="str">
        <f>"    rbib_"&amp;F205&amp;": "&amp;""""&amp;"&lt;div class=\"&amp;""""&amp;"hanging\"&amp;""""&amp;"&gt;"&amp;J205&amp;"&lt;/div&gt;"&amp;""""</f>
        <v xml:space="preserve">    rbib_iannarilli_et_al_2024a: "&lt;div class=\"hanging\"&gt;Iannarilli, F., Gerber, B. D., Erb, J., &amp; Fieberg, J. R. (2024a). A ‘how‐to’ guide for estimating animal diel activity using hierarchical models. *Journal of Animal Ecology*, 1365-2656. 14213. &lt;https://doi.org/10.1111/1365-2656.14213&gt;&lt;/div&gt;"</v>
      </c>
      <c r="T205" s="65"/>
    </row>
    <row r="206" spans="1:20" ht="15.75">
      <c r="A206" s="65"/>
      <c r="B206" s="155"/>
      <c r="C206" s="155"/>
      <c r="D206" s="155"/>
      <c r="E206" s="65" t="s">
        <v>1950</v>
      </c>
      <c r="F206" s="65" t="s">
        <v>4108</v>
      </c>
      <c r="G206" s="65" t="s">
        <v>4111</v>
      </c>
      <c r="H206" s="65"/>
      <c r="I206" s="65" t="b">
        <v>1</v>
      </c>
      <c r="J206" s="65" t="s">
        <v>4109</v>
      </c>
      <c r="K206" s="158" t="s">
        <v>5430</v>
      </c>
      <c r="L206" s="65" t="s">
        <v>5091</v>
      </c>
      <c r="M206" s="65"/>
      <c r="N206" s="65" t="str">
        <f>"&lt;div class="&amp;""""&amp;"hanging"&amp;""""&amp;"&gt;"&amp;K206&amp;"&lt;a href="&amp;""""&amp;L206&amp;""""&amp;" target="&amp;""""&amp;"_blank"&amp;""""&amp;"&gt;"&amp;L206&amp;"&lt;/a&gt;&lt;span style="&amp;""""&amp;"color:white"&amp;""""&amp;"&gt;[.]{#"&amp;F206&amp;"}}&lt;/span&gt;&lt;/div&gt;&lt;br&gt;"</f>
        <v>&lt;div class="hanging"&gt;Iannarilli, F., Gerber, B. D., Erb, J., and Fieberg, J. R. (2024a). &lt;i&gt;Data, R Code, and Output Supporting: A “How-to” Guide for Estimating Animal Diel Activity Using Hierarchical Models.&lt;/i&gt; Retrieved from the Data Repository for the University of Minnesota.&lt;a href="https://github.com/FabiolaIannarilli/HMs_Activit" target="_blank"&gt;https://github.com/FabiolaIannarilli/HMs_Activit&lt;/a&gt;&lt;span style="color:white"&gt;[.]{#iannarilli_et_al_2024b}}&lt;/span&gt;&lt;/div&gt;&lt;br&gt;</v>
      </c>
      <c r="O206" s="65" t="str">
        <f>"{{ rtxt_"&amp;F206&amp;" }}"</f>
        <v>{{ rtxt_iannarilli_et_al_2024b }}</v>
      </c>
      <c r="P206" s="65" t="str">
        <f>"{{ rbib_"&amp;F206&amp;" }}"</f>
        <v>{{ rbib_iannarilli_et_al_2024b }}</v>
      </c>
      <c r="Q206" s="65" t="str">
        <f>"    rtxt_"&amp;F206&amp;": "&amp;""""&amp;"&lt;a href=\"&amp;""""&amp;"/08_references.html#"&amp;F206&amp;"\"&amp;""""&amp;" target=\"&amp;""""&amp;"_blank\"&amp;""""&amp;"&gt;"&amp;G206&amp;"&lt;/a&gt;"&amp;""""</f>
        <v xml:space="preserve">    rtxt_iannarilli_et_al_2024b: "&lt;a href=\"/08_references.html#iannarilli_et_al_2024b\" target=\"_blank\"&gt;Iannarilli et al., 2024b&lt;/a&gt;"</v>
      </c>
      <c r="R206" s="65" t="str">
        <f>"    rbib_"&amp;F206&amp;": "&amp;""""&amp;K206&amp;"&lt;a href=\"&amp;""""&amp;L206&amp;""""&amp;" target=\"&amp;""""&amp;"_blank\"&amp;""""&amp;"&gt;"&amp;L206&amp;"&lt;/a&gt;"&amp;""""</f>
        <v xml:space="preserve">    rbib_iannarilli_et_al_2024b: "Iannarilli, F., Gerber, B. D., Erb, J., and Fieberg, J. R. (2024a). &lt;i&gt;Data, R Code, and Output Supporting: A “How-to” Guide for Estimating Animal Diel Activity Using Hierarchical Models.&lt;/i&gt; Retrieved from the Data Repository for the University of Minnesota.&lt;a href=\"https://github.com/FabiolaIannarilli/HMs_Activit" target=\"_blank\"&gt;https://github.com/FabiolaIannarilli/HMs_Activit&lt;/a&gt;"</v>
      </c>
      <c r="S206" s="65" t="str">
        <f>"    rbib_"&amp;F206&amp;": "&amp;""""&amp;"&lt;div class=\"&amp;""""&amp;"hanging\"&amp;""""&amp;"&gt;"&amp;J206&amp;"&lt;/div&gt;"&amp;""""</f>
        <v xml:space="preserve">    rbib_iannarilli_et_al_2024b: "&lt;div class=\"hanging\"&gt;Iannarilli, F., Gerber, B. D., Erb, J., and Fieberg, J. R. (2024a). *Data, R Code, and Output Supporting: A “How-to” Guide for Estimating Animal Diel Activity Using Hierarchical Models.* Retrieved from the Data Repository for the University of Minnesota. &lt;https://github.com/FabiolaIannarilli/HMs_Activit&gt;&lt;/div&gt;"</v>
      </c>
      <c r="T206" s="65"/>
    </row>
    <row r="207" spans="1:20" ht="15.75">
      <c r="A207" s="65"/>
      <c r="B207" s="155" t="b">
        <v>0</v>
      </c>
      <c r="C207" s="155" t="b">
        <v>0</v>
      </c>
      <c r="D207" s="155" t="b">
        <v>1</v>
      </c>
      <c r="E207" s="65" t="s">
        <v>1904</v>
      </c>
      <c r="F207" s="65" t="s">
        <v>3146</v>
      </c>
      <c r="G207" s="65" t="s">
        <v>3145</v>
      </c>
      <c r="H207" s="65" t="s">
        <v>3145</v>
      </c>
      <c r="I207" s="65" t="b">
        <v>1</v>
      </c>
      <c r="J207" s="65" t="s">
        <v>3144</v>
      </c>
      <c r="K207" s="65" t="s">
        <v>5403</v>
      </c>
      <c r="L207" s="65" t="s">
        <v>3143</v>
      </c>
      <c r="M207" s="65" t="s">
        <v>984</v>
      </c>
      <c r="N207" s="65" t="str">
        <f>"&lt;div class="&amp;""""&amp;"hanging"&amp;""""&amp;"&gt;"&amp;K207&amp;"&lt;a href="&amp;""""&amp;L207&amp;""""&amp;" target="&amp;""""&amp;"_blank"&amp;""""&amp;"&gt;"&amp;L207&amp;"&lt;/a&gt;&lt;span style="&amp;""""&amp;"color:white"&amp;""""&amp;"&gt;[.]{#"&amp;F207&amp;"}}&lt;/span&gt;&lt;/div&gt;&lt;br&gt;"</f>
        <v>&lt;div class="hanging"&gt;Iijima, H. (2020). A Review of Wildlife Abundance Estimation Models: Comparison of Models for Correct Application. &lt;i&gt;Mammal Study, 45&lt;/i&gt;(3), 177.&lt;a href="https://doi.org/10.3106/ms2019-0082" target="_blank"&gt;https://doi.org/10.3106/ms2019-0082&lt;/a&gt;&lt;span style="color:white"&gt;[.]{#iijima_2020}}&lt;/span&gt;&lt;/div&gt;&lt;br&gt;</v>
      </c>
      <c r="O207" s="65" t="str">
        <f>"{{ rtxt_"&amp;F207&amp;" }}"</f>
        <v>{{ rtxt_iijima_2020 }}</v>
      </c>
      <c r="P207" s="65" t="str">
        <f>"{{ rbib_"&amp;F207&amp;" }}"</f>
        <v>{{ rbib_iijima_2020 }}</v>
      </c>
      <c r="Q207" s="65" t="str">
        <f>"    rtxt_"&amp;F207&amp;": "&amp;""""&amp;"&lt;a href=\"&amp;""""&amp;"/08_references.html#"&amp;F207&amp;"\"&amp;""""&amp;" target=\"&amp;""""&amp;"_blank\"&amp;""""&amp;"&gt;"&amp;G207&amp;"&lt;/a&gt;"&amp;""""</f>
        <v xml:space="preserve">    rtxt_iijima_2020: "&lt;a href=\"/08_references.html#iijima_2020\" target=\"_blank\"&gt;Iijima, 2020&lt;/a&gt;"</v>
      </c>
      <c r="R207" s="65" t="str">
        <f>"    rbib_"&amp;F207&amp;": "&amp;""""&amp;K207&amp;"&lt;a href=\"&amp;""""&amp;L207&amp;""""&amp;" target=\"&amp;""""&amp;"_blank\"&amp;""""&amp;"&gt;"&amp;L207&amp;"&lt;/a&gt;"&amp;""""</f>
        <v xml:space="preserve">    rbib_iijima_2020: "Iijima, H. (2020). A Review of Wildlife Abundance Estimation Models: Comparison of Models for Correct Application. &lt;i&gt;Mammal Study, 45&lt;/i&gt;(3), 177.&lt;a href=\"https://doi.org/10.3106/ms2019-0082" target=\"_blank\"&gt;https://doi.org/10.3106/ms2019-0082&lt;/a&gt;"</v>
      </c>
      <c r="S207" s="65" t="str">
        <f>"    rbib_"&amp;F207&amp;": "&amp;""""&amp;"&lt;div class=\"&amp;""""&amp;"hanging\"&amp;""""&amp;"&gt;"&amp;J207&amp;"&lt;/div&gt;"&amp;""""</f>
        <v xml:space="preserve">    rbib_iijima_2020: "&lt;div class=\"hanging\"&gt;Iijima, H. (2020). A Review of Wildlife Abundance Estimation Models: Comparison of Models for Correct Application. *Mammal Study, 45*(3), 177. &lt;https://doi.org/10.3106/ms2019-0082&gt;&lt;/div&gt;"</v>
      </c>
      <c r="T207" s="65"/>
    </row>
    <row r="208" spans="1:20" ht="15.75">
      <c r="A208" s="65"/>
      <c r="B208" s="155" t="b">
        <v>1</v>
      </c>
      <c r="C208" s="155" t="b">
        <v>0</v>
      </c>
      <c r="D208" s="155" t="b">
        <v>1</v>
      </c>
      <c r="E208" s="65" t="s">
        <v>1904</v>
      </c>
      <c r="F208" s="65" t="s">
        <v>3142</v>
      </c>
      <c r="G208" s="65" t="s">
        <v>3141</v>
      </c>
      <c r="H208" s="65" t="s">
        <v>3141</v>
      </c>
      <c r="I208" s="65" t="b">
        <v>1</v>
      </c>
      <c r="J208" s="65" t="s">
        <v>3140</v>
      </c>
      <c r="K208" s="65" t="s">
        <v>5241</v>
      </c>
      <c r="L208" s="65" t="s">
        <v>3139</v>
      </c>
      <c r="M208" s="65" t="s">
        <v>984</v>
      </c>
      <c r="N208" s="65" t="str">
        <f>"&lt;div class="&amp;""""&amp;"hanging"&amp;""""&amp;"&gt;"&amp;K208&amp;"&lt;a href="&amp;""""&amp;L208&amp;""""&amp;" target="&amp;""""&amp;"_blank"&amp;""""&amp;"&gt;"&amp;L208&amp;"&lt;/a&gt;&lt;span style="&amp;""""&amp;"color:white"&amp;""""&amp;"&gt;[.]{#"&amp;F208&amp;"}}&lt;/span&gt;&lt;/div&gt;&lt;br&gt;"</f>
        <v>&lt;div class="hanging"&gt;Iknayan, K. J., Tingley, M. W., Furnas, B. J., &amp; Beissinger, S. R. (2014). Detecting Diversity: Emerging Methods to Estimate Species Diversity. &lt;i&gt;Trends in Ecology &amp; Evolution, 29&lt;/i&gt;(2), 97-106.&lt;a href="https://doi.org/10.1016/j.tree.2013.10.012" target="_blank"&gt;https://doi.org/10.1016/j.tree.2013.10.012&lt;/a&gt;&lt;span style="color:white"&gt;[.]{#iknayan_et_al_2014}}&lt;/span&gt;&lt;/div&gt;&lt;br&gt;</v>
      </c>
      <c r="O208" s="65" t="str">
        <f>"{{ rtxt_"&amp;F208&amp;" }}"</f>
        <v>{{ rtxt_iknayan_et_al_2014 }}</v>
      </c>
      <c r="P208" s="65" t="str">
        <f>"{{ rbib_"&amp;F208&amp;" }}"</f>
        <v>{{ rbib_iknayan_et_al_2014 }}</v>
      </c>
      <c r="Q208" s="65" t="str">
        <f>"    rtxt_"&amp;F208&amp;": "&amp;""""&amp;"&lt;a href=\"&amp;""""&amp;"/08_references.html#"&amp;F208&amp;"\"&amp;""""&amp;" target=\"&amp;""""&amp;"_blank\"&amp;""""&amp;"&gt;"&amp;G208&amp;"&lt;/a&gt;"&amp;""""</f>
        <v xml:space="preserve">    rtxt_iknayan_et_al_2014: "&lt;a href=\"/08_references.html#iknayan_et_al_2014\" target=\"_blank\"&gt;Iknayan et al., 2014&lt;/a&gt;"</v>
      </c>
      <c r="R208" s="65" t="str">
        <f>"    rbib_"&amp;F208&amp;": "&amp;""""&amp;K208&amp;"&lt;a href=\"&amp;""""&amp;L208&amp;""""&amp;" target=\"&amp;""""&amp;"_blank\"&amp;""""&amp;"&gt;"&amp;L208&amp;"&lt;/a&gt;"&amp;""""</f>
        <v xml:space="preserve">    rbib_iknayan_et_al_2014: "Iknayan, K. J., Tingley, M. W., Furnas, B. J., &amp; Beissinger, S. R. (2014). Detecting Diversity: Emerging Methods to Estimate Species Diversity. &lt;i&gt;Trends in Ecology &amp; Evolution, 29&lt;/i&gt;(2), 97-106.&lt;a href=\"https://doi.org/10.1016/j.tree.2013.10.012" target=\"_blank\"&gt;https://doi.org/10.1016/j.tree.2013.10.012&lt;/a&gt;"</v>
      </c>
      <c r="S208" s="65" t="str">
        <f>"    rbib_"&amp;F208&amp;": "&amp;""""&amp;"&lt;div class=\"&amp;""""&amp;"hanging\"&amp;""""&amp;"&gt;"&amp;J208&amp;"&lt;/div&gt;"&amp;""""</f>
        <v xml:space="preserve">    rbib_iknayan_et_al_2014: "&lt;div class=\"hanging\"&gt;Iknayan, K. J., Tingley, M. W., Furnas, B. J., &amp; Beissinger, S. R. (2014). Detecting Diversity: Emerging Methods to Estimate Species Diversity. *Trends in Ecology &amp; Evolution, 29*(2), 97-106. &lt;https://doi.org/10.1016/j.tree.2013.10.012&gt;&lt;/div&gt;"</v>
      </c>
      <c r="T208" s="65"/>
    </row>
    <row r="209" spans="1:20" ht="15.75">
      <c r="A209" s="65"/>
      <c r="B209" s="155"/>
      <c r="C209" s="155"/>
      <c r="D209" s="155"/>
      <c r="E209" s="65" t="s">
        <v>2246</v>
      </c>
      <c r="F209" s="65" t="s">
        <v>3138</v>
      </c>
      <c r="G209" s="65" t="s">
        <v>3137</v>
      </c>
      <c r="H209" s="65" t="s">
        <v>3137</v>
      </c>
      <c r="I209" s="65" t="b">
        <v>1</v>
      </c>
      <c r="J209" s="65" t="s">
        <v>3956</v>
      </c>
      <c r="K209" s="65" t="s">
        <v>5123</v>
      </c>
      <c r="L209" s="65" t="s">
        <v>3136</v>
      </c>
      <c r="M209" s="65" t="s">
        <v>984</v>
      </c>
      <c r="N209" s="65" t="str">
        <f>"&lt;div class="&amp;""""&amp;"hanging"&amp;""""&amp;"&gt;"&amp;K209&amp;"&lt;a href="&amp;""""&amp;L209&amp;""""&amp;" target="&amp;""""&amp;"_blank"&amp;""""&amp;"&gt;"&amp;L209&amp;"&lt;/a&gt;&lt;span style="&amp;""""&amp;"color:white"&amp;""""&amp;"&gt;[.]{#"&amp;F209&amp;"}}&lt;/span&gt;&lt;/div&gt;&lt;br&gt;"</f>
        <v>&lt;div class="hanging"&gt;Jackman, (2024). &lt;i&gt;R package ’Pscl’&lt;/i&gt;. R package version 1.5.9.&lt;a href="https://cran.r-project.org/web/packages/pscl/index.html" target="_blank"&gt;https://cran.r-project.org/web/packages/pscl/index.html&lt;/a&gt;&lt;span style="color:white"&gt;[.]{#jackman_2024}}&lt;/span&gt;&lt;/div&gt;&lt;br&gt;</v>
      </c>
      <c r="O209" s="65" t="str">
        <f>"{{ rtxt_"&amp;F209&amp;" }}"</f>
        <v>{{ rtxt_jackman_2024 }}</v>
      </c>
      <c r="P209" s="65" t="str">
        <f>"{{ rbib_"&amp;F209&amp;" }}"</f>
        <v>{{ rbib_jackman_2024 }}</v>
      </c>
      <c r="Q209" s="65" t="str">
        <f>"    rtxt_"&amp;F209&amp;": "&amp;""""&amp;"&lt;a href=\"&amp;""""&amp;"/08_references.html#"&amp;F209&amp;"\"&amp;""""&amp;" target=\"&amp;""""&amp;"_blank\"&amp;""""&amp;"&gt;"&amp;G209&amp;"&lt;/a&gt;"&amp;""""</f>
        <v xml:space="preserve">    rtxt_jackman_2024: "&lt;a href=\"/08_references.html#jackman_2024\" target=\"_blank\"&gt;Jackman,  2024&lt;/a&gt;"</v>
      </c>
      <c r="R209" s="65" t="str">
        <f>"    rbib_"&amp;F209&amp;": "&amp;""""&amp;K209&amp;"&lt;a href=\"&amp;""""&amp;L209&amp;""""&amp;" target=\"&amp;""""&amp;"_blank\"&amp;""""&amp;"&gt;"&amp;L209&amp;"&lt;/a&gt;"&amp;""""</f>
        <v xml:space="preserve">    rbib_jackman_2024: "Jackman, (2024). &lt;i&gt;R package ’Pscl’&lt;/i&gt;. R package version 1.5.9.&lt;a href=\"https://cran.r-project.org/web/packages/pscl/index.html" target=\"_blank\"&gt;https://cran.r-project.org/web/packages/pscl/index.html&lt;/a&gt;"</v>
      </c>
      <c r="S209" s="65" t="str">
        <f>"    rbib_"&amp;F209&amp;": "&amp;""""&amp;"&lt;div class=\"&amp;""""&amp;"hanging\"&amp;""""&amp;"&gt;"&amp;J209&amp;"&lt;/div&gt;"&amp;""""</f>
        <v xml:space="preserve">    rbib_jackman_2024: "&lt;div class=\"hanging\"&gt;Jackman, (2024). *R package ’Pscl’*. R package version 1.5.9. &lt;https://cran.r-project.org/web/packages/pscl/index.html&gt;&lt;/div&gt;"</v>
      </c>
      <c r="T209" s="65"/>
    </row>
    <row r="210" spans="1:20" ht="15.75">
      <c r="A210" s="65"/>
      <c r="B210" s="155" t="b">
        <v>1</v>
      </c>
      <c r="C210" s="155" t="b">
        <v>0</v>
      </c>
      <c r="D210" s="155" t="b">
        <v>0</v>
      </c>
      <c r="E210" s="65" t="s">
        <v>1904</v>
      </c>
      <c r="F210" s="65" t="s">
        <v>3135</v>
      </c>
      <c r="G210" s="65" t="s">
        <v>3134</v>
      </c>
      <c r="H210" s="65" t="s">
        <v>3133</v>
      </c>
      <c r="I210" s="65" t="b">
        <v>1</v>
      </c>
      <c r="J210" s="65" t="s">
        <v>3132</v>
      </c>
      <c r="K210" s="65" t="s">
        <v>5246</v>
      </c>
      <c r="L210" s="65" t="s">
        <v>3131</v>
      </c>
      <c r="M210" s="65" t="s">
        <v>984</v>
      </c>
      <c r="N210" s="65" t="str">
        <f>"&lt;div class="&amp;""""&amp;"hanging"&amp;""""&amp;"&gt;"&amp;K210&amp;"&lt;a href="&amp;""""&amp;L210&amp;""""&amp;" target="&amp;""""&amp;"_blank"&amp;""""&amp;"&gt;"&amp;L210&amp;"&lt;/a&gt;&lt;span style="&amp;""""&amp;"color:white"&amp;""""&amp;"&gt;[.]{#"&amp;F210&amp;"}}&lt;/span&gt;&lt;/div&gt;&lt;br&gt;"</f>
        <v>&lt;div class="hanging"&gt;Jennelle, C. S., Runge, M. C., &amp; MacKenzie, D. I. (2002). The Use of Photographic Rates to Estimate Densities of Tigers and Other Cryptic Mammals: A Comment on Misleading Conclusions. &lt;i&gt;Animal Conservation, 5&lt;/i&gt;(2), 119-120.&lt;a href="https://doi.org/10.1017/s1367943002002160" target="_blank"&gt;https://doi.org/10.1017/s1367943002002160&lt;/a&gt;&lt;span style="color:white"&gt;[.]{#jennelle_et_al_2002}}&lt;/span&gt;&lt;/div&gt;&lt;br&gt;</v>
      </c>
      <c r="O210" s="65" t="str">
        <f>"{{ rtxt_"&amp;F210&amp;" }}"</f>
        <v>{{ rtxt_jennelle_et_al_2002 }}</v>
      </c>
      <c r="P210" s="65" t="str">
        <f>"{{ rbib_"&amp;F210&amp;" }}"</f>
        <v>{{ rbib_jennelle_et_al_2002 }}</v>
      </c>
      <c r="Q210" s="65" t="str">
        <f>"    rtxt_"&amp;F210&amp;": "&amp;""""&amp;"&lt;a href=\"&amp;""""&amp;"/08_references.html#"&amp;F210&amp;"\"&amp;""""&amp;" target=\"&amp;""""&amp;"_blank\"&amp;""""&amp;"&gt;"&amp;G210&amp;"&lt;/a&gt;"&amp;""""</f>
        <v xml:space="preserve">    rtxt_jennelle_et_al_2002: "&lt;a href=\"/08_references.html#jennelle_et_al_2002\" target=\"_blank\"&gt;Jennelle et al., 2002&lt;/a&gt;"</v>
      </c>
      <c r="R210" s="65" t="str">
        <f>"    rbib_"&amp;F210&amp;": "&amp;""""&amp;K210&amp;"&lt;a href=\"&amp;""""&amp;L210&amp;""""&amp;" target=\"&amp;""""&amp;"_blank\"&amp;""""&amp;"&gt;"&amp;L210&amp;"&lt;/a&gt;"&amp;""""</f>
        <v xml:space="preserve">    rbib_jennelle_et_al_2002: "Jennelle, C. S., Runge, M. C., &amp; MacKenzie, D. I. (2002). The Use of Photographic Rates to Estimate Densities of Tigers and Other Cryptic Mammals: A Comment on Misleading Conclusions. &lt;i&gt;Animal Conservation, 5&lt;/i&gt;(2), 119-120.&lt;a href=\"https://doi.org/10.1017/s1367943002002160" target=\"_blank\"&gt;https://doi.org/10.1017/s1367943002002160&lt;/a&gt;"</v>
      </c>
      <c r="S210" s="65" t="str">
        <f>"    rbib_"&amp;F210&amp;": "&amp;""""&amp;"&lt;div class=\"&amp;""""&amp;"hanging\"&amp;""""&amp;"&gt;"&amp;J210&amp;"&lt;/div&gt;"&amp;""""</f>
        <v xml:space="preserve">    rbib_jennelle_et_al_2002: "&lt;div class=\"hanging\"&gt;Jennelle, C. S., Runge, M. C., &amp; MacKenzie, D. I. (2002). The Use of Photographic Rates to Estimate Densities of Tigers and Other Cryptic Mammals: A Comment on Misleading Conclusions. *Animal Conservation, 5*(2), 119-120. &lt;https://doi.org/10.1017/s1367943002002160&gt;&lt;/div&gt;"</v>
      </c>
      <c r="T210" s="65"/>
    </row>
    <row r="211" spans="1:20" ht="15.75">
      <c r="A211" s="65"/>
      <c r="B211" s="155" t="b">
        <v>1</v>
      </c>
      <c r="C211" s="155" t="b">
        <v>0</v>
      </c>
      <c r="D211" s="155" t="b">
        <v>0</v>
      </c>
      <c r="E211" s="65" t="s">
        <v>1904</v>
      </c>
      <c r="F211" s="65" t="s">
        <v>3130</v>
      </c>
      <c r="G211" s="65" t="s">
        <v>3129</v>
      </c>
      <c r="H211" s="65" t="s">
        <v>3129</v>
      </c>
      <c r="I211" s="65" t="b">
        <v>1</v>
      </c>
      <c r="J211" s="65" t="s">
        <v>3128</v>
      </c>
      <c r="K211" s="65" t="s">
        <v>5424</v>
      </c>
      <c r="L211" s="65" t="s">
        <v>3127</v>
      </c>
      <c r="M211" s="65" t="s">
        <v>984</v>
      </c>
      <c r="N211" s="65" t="str">
        <f>"&lt;div class="&amp;""""&amp;"hanging"&amp;""""&amp;"&gt;"&amp;K211&amp;"&lt;a href="&amp;""""&amp;L211&amp;""""&amp;" target="&amp;""""&amp;"_blank"&amp;""""&amp;"&gt;"&amp;L211&amp;"&lt;/a&gt;&lt;span style="&amp;""""&amp;"color:white"&amp;""""&amp;"&gt;[.]{#"&amp;F211&amp;"}}&lt;/span&gt;&lt;/div&gt;&lt;br&gt;"</f>
        <v>&lt;div class="hanging"&gt;Jennrich, R. I., &amp; Turner, F. B. (1969). Measurement of non-circular home range. &lt;i&gt;Journal of Theoretical Biology, 22&lt;/i&gt;(2), 227-237.&lt;a href="https://doi.org/https://doi.org/10.1016/0022-5193(69)90002-2" target="_blank"&gt;https://doi.org/https://doi.org/10.1016/0022-5193(69)90002-2&lt;/a&gt;&lt;span style="color:white"&gt;[.]{#jennrich_turner_1969}}&lt;/span&gt;&lt;/div&gt;&lt;br&gt;</v>
      </c>
      <c r="O211" s="65" t="str">
        <f>"{{ rtxt_"&amp;F211&amp;" }}"</f>
        <v>{{ rtxt_jennrich_turner_1969 }}</v>
      </c>
      <c r="P211" s="65" t="str">
        <f>"{{ rbib_"&amp;F211&amp;" }}"</f>
        <v>{{ rbib_jennrich_turner_1969 }}</v>
      </c>
      <c r="Q211" s="65" t="str">
        <f>"    rtxt_"&amp;F211&amp;": "&amp;""""&amp;"&lt;a href=\"&amp;""""&amp;"/08_references.html#"&amp;F211&amp;"\"&amp;""""&amp;" target=\"&amp;""""&amp;"_blank\"&amp;""""&amp;"&gt;"&amp;G211&amp;"&lt;/a&gt;"&amp;""""</f>
        <v xml:space="preserve">    rtxt_jennrich_turner_1969: "&lt;a href=\"/08_references.html#jennrich_turner_1969\" target=\"_blank\"&gt;Jennrich &amp; Turner, 1969&lt;/a&gt;"</v>
      </c>
      <c r="R211" s="65" t="str">
        <f>"    rbib_"&amp;F211&amp;": "&amp;""""&amp;K211&amp;"&lt;a href=\"&amp;""""&amp;L211&amp;""""&amp;" target=\"&amp;""""&amp;"_blank\"&amp;""""&amp;"&gt;"&amp;L211&amp;"&lt;/a&gt;"&amp;""""</f>
        <v xml:space="preserve">    rbib_jennrich_turner_1969: "Jennrich, R. I., &amp; Turner, F. B. (1969). Measurement of non-circular home range. &lt;i&gt;Journal of Theoretical Biology, 22&lt;/i&gt;(2), 227-237.&lt;a href=\"https://doi.org/https://doi.org/10.1016/0022-5193(69)90002-2" target=\"_blank\"&gt;https://doi.org/https://doi.org/10.1016/0022-5193(69)90002-2&lt;/a&gt;"</v>
      </c>
      <c r="S211" s="65" t="str">
        <f>"    rbib_"&amp;F211&amp;": "&amp;""""&amp;"&lt;div class=\"&amp;""""&amp;"hanging\"&amp;""""&amp;"&gt;"&amp;J211&amp;"&lt;/div&gt;"&amp;""""</f>
        <v xml:space="preserve">    rbib_jennrich_turner_1969: "&lt;div class=\"hanging\"&gt;Jennrich, R. I., &amp; Turner, F. B. (1969). Measurement of non-circular home range. *Journal of Theoretical Biology, 22*(2), 227-237. &lt;https://doi.org/https://doi.org/10.1016/0022-5193(69)90002-2&gt;&lt;/div&gt;"</v>
      </c>
      <c r="T211" s="65"/>
    </row>
    <row r="212" spans="1:20" ht="15.75">
      <c r="A212" s="65"/>
      <c r="B212" s="155"/>
      <c r="C212" s="155"/>
      <c r="D212" s="155"/>
      <c r="E212" s="65" t="s">
        <v>1904</v>
      </c>
      <c r="F212" s="65" t="s">
        <v>3126</v>
      </c>
      <c r="G212" s="65" t="s">
        <v>3125</v>
      </c>
      <c r="H212" s="65" t="s">
        <v>3125</v>
      </c>
      <c r="I212" s="65" t="b">
        <v>1</v>
      </c>
      <c r="J212" s="65" t="s">
        <v>3124</v>
      </c>
      <c r="K212" s="65" t="s">
        <v>5329</v>
      </c>
      <c r="L212" s="65" t="s">
        <v>3123</v>
      </c>
      <c r="M212" s="65" t="s">
        <v>984</v>
      </c>
      <c r="N212" s="65" t="str">
        <f>"&lt;div class="&amp;""""&amp;"hanging"&amp;""""&amp;"&gt;"&amp;K212&amp;"&lt;a href="&amp;""""&amp;L212&amp;""""&amp;" target="&amp;""""&amp;"_blank"&amp;""""&amp;"&gt;"&amp;L212&amp;"&lt;/a&gt;&lt;span style="&amp;""""&amp;"color:white"&amp;""""&amp;"&gt;[.]{#"&amp;F212&amp;"}}&lt;/span&gt;&lt;/div&gt;&lt;br&gt;"</f>
        <v>&lt;div class="hanging"&gt;Jenny, D. (1996). Spatial organization of leopards Panthera pardus in Taï National Park, Ivory Coast: Is rainforest habitat a ‘tropical haven’? &lt;i&gt;Journal of Zoology, 240&lt;/i&gt;(3), 427-440.&lt;a href="https://doi.org/10.1111/j.1469-7998.1996.tb05296.x" target="_blank"&gt;https://doi.org/10.1111/j.1469-7998.1996.tb05296.x&lt;/a&gt;&lt;span style="color:white"&gt;[.]{#jenny_1996}}&lt;/span&gt;&lt;/div&gt;&lt;br&gt;</v>
      </c>
      <c r="O212" s="65" t="str">
        <f>"{{ rtxt_"&amp;F212&amp;" }}"</f>
        <v>{{ rtxt_jenny_1996 }}</v>
      </c>
      <c r="P212" s="65" t="str">
        <f>"{{ rbib_"&amp;F212&amp;" }}"</f>
        <v>{{ rbib_jenny_1996 }}</v>
      </c>
      <c r="Q212" s="65" t="str">
        <f>"    rtxt_"&amp;F212&amp;": "&amp;""""&amp;"&lt;a href=\"&amp;""""&amp;"/08_references.html#"&amp;F212&amp;"\"&amp;""""&amp;" target=\"&amp;""""&amp;"_blank\"&amp;""""&amp;"&gt;"&amp;G212&amp;"&lt;/a&gt;"&amp;""""</f>
        <v xml:space="preserve">    rtxt_jenny_1996: "&lt;a href=\"/08_references.html#jenny_1996\" target=\"_blank\"&gt;Jenny, 1996&lt;/a&gt;"</v>
      </c>
      <c r="R212" s="65" t="str">
        <f>"    rbib_"&amp;F212&amp;": "&amp;""""&amp;K212&amp;"&lt;a href=\"&amp;""""&amp;L212&amp;""""&amp;" target=\"&amp;""""&amp;"_blank\"&amp;""""&amp;"&gt;"&amp;L212&amp;"&lt;/a&gt;"&amp;""""</f>
        <v xml:space="preserve">    rbib_jenny_1996: "Jenny, D. (1996). Spatial organization of leopards Panthera pardus in Taï National Park, Ivory Coast: Is rainforest habitat a ‘tropical haven’? &lt;i&gt;Journal of Zoology, 240&lt;/i&gt;(3), 427-440.&lt;a href=\"https://doi.org/10.1111/j.1469-7998.1996.tb05296.x" target=\"_blank\"&gt;https://doi.org/10.1111/j.1469-7998.1996.tb05296.x&lt;/a&gt;"</v>
      </c>
      <c r="S212" s="65" t="str">
        <f>"    rbib_"&amp;F212&amp;": "&amp;""""&amp;"&lt;div class=\"&amp;""""&amp;"hanging\"&amp;""""&amp;"&gt;"&amp;J212&amp;"&lt;/div&gt;"&amp;""""</f>
        <v xml:space="preserve">    rbib_jenny_1996: "&lt;div class=\"hanging\"&gt;Jenny, D. (1996). Spatial organization of leopards Panthera pardus in Taï National Park, Ivory Coast: Is rainforest habitat a ‘tropical haven’? *Journal of Zoology, 240*(3), 427-440. &lt;https://doi.org/10.1111/j.1469-7998.1996.tb05296.x&gt;&lt;/div&gt;"</v>
      </c>
      <c r="T212" s="65"/>
    </row>
    <row r="213" spans="1:20" ht="15.75">
      <c r="A213" s="65"/>
      <c r="B213" s="155"/>
      <c r="C213" s="155"/>
      <c r="D213" s="155"/>
      <c r="E213" s="65" t="s">
        <v>1904</v>
      </c>
      <c r="F213" s="65" t="s">
        <v>3122</v>
      </c>
      <c r="G213" s="65" t="s">
        <v>3121</v>
      </c>
      <c r="H213" s="65" t="s">
        <v>3120</v>
      </c>
      <c r="I213" s="65" t="b">
        <v>1</v>
      </c>
      <c r="J213" s="65" t="s">
        <v>3119</v>
      </c>
      <c r="K213" s="65" t="s">
        <v>5263</v>
      </c>
      <c r="L213" s="65" t="s">
        <v>3118</v>
      </c>
      <c r="M213" s="65" t="s">
        <v>984</v>
      </c>
      <c r="N213" s="65" t="str">
        <f>"&lt;div class="&amp;""""&amp;"hanging"&amp;""""&amp;"&gt;"&amp;K213&amp;"&lt;a href="&amp;""""&amp;L213&amp;""""&amp;" target="&amp;""""&amp;"_blank"&amp;""""&amp;"&gt;"&amp;L213&amp;"&lt;/a&gt;&lt;span style="&amp;""""&amp;"color:white"&amp;""""&amp;"&gt;[.]{#"&amp;F213&amp;"}}&lt;/span&gt;&lt;/div&gt;&lt;br&gt;"</f>
        <v>&lt;div class="hanging"&gt;Jensen, P. O., Wirsing, A. J., &amp; Thornton, D. H. (2022). Using camera traps to estimate density of snowshoe hare ( Lepus americanus ): A keystone boreal forest herbivore. &lt;i&gt;Journal of Mammalogy, 103&lt;/i&gt;(3), 693-710.&lt;a href="https://doi.org/10.1093/jmammal/gyac009" target="_blank"&gt;https://doi.org/10.1093/jmammal/gyac009&lt;/a&gt;&lt;span style="color:white"&gt;[.]{#jensen_et_al_2022}}&lt;/span&gt;&lt;/div&gt;&lt;br&gt;</v>
      </c>
      <c r="O213" s="65" t="str">
        <f>"{{ rtxt_"&amp;F213&amp;" }}"</f>
        <v>{{ rtxt_jensen_et_al_2022 }}</v>
      </c>
      <c r="P213" s="65" t="str">
        <f>"{{ rbib_"&amp;F213&amp;" }}"</f>
        <v>{{ rbib_jensen_et_al_2022 }}</v>
      </c>
      <c r="Q213" s="65" t="str">
        <f>"    rtxt_"&amp;F213&amp;": "&amp;""""&amp;"&lt;a href=\"&amp;""""&amp;"/08_references.html#"&amp;F213&amp;"\"&amp;""""&amp;" target=\"&amp;""""&amp;"_blank\"&amp;""""&amp;"&gt;"&amp;G213&amp;"&lt;/a&gt;"&amp;""""</f>
        <v xml:space="preserve">    rtxt_jensen_et_al_2022: "&lt;a href=\"/08_references.html#jensen_et_al_2022\" target=\"_blank\"&gt;Jensen et al., 2022&lt;/a&gt;"</v>
      </c>
      <c r="R213" s="65" t="str">
        <f>"    rbib_"&amp;F213&amp;": "&amp;""""&amp;K213&amp;"&lt;a href=\"&amp;""""&amp;L213&amp;""""&amp;" target=\"&amp;""""&amp;"_blank\"&amp;""""&amp;"&gt;"&amp;L213&amp;"&lt;/a&gt;"&amp;""""</f>
        <v xml:space="preserve">    rbib_jensen_et_al_2022: "Jensen, P. O., Wirsing, A. J., &amp; Thornton, D. H. (2022). Using camera traps to estimate density of snowshoe hare ( Lepus americanus ): A keystone boreal forest herbivore. &lt;i&gt;Journal of Mammalogy, 103&lt;/i&gt;(3), 693-710.&lt;a href=\"https://doi.org/10.1093/jmammal/gyac009" target=\"_blank\"&gt;https://doi.org/10.1093/jmammal/gyac009&lt;/a&gt;"</v>
      </c>
      <c r="S213" s="65" t="str">
        <f>"    rbib_"&amp;F213&amp;": "&amp;""""&amp;"&lt;div class=\"&amp;""""&amp;"hanging\"&amp;""""&amp;"&gt;"&amp;J213&amp;"&lt;/div&gt;"&amp;""""</f>
        <v xml:space="preserve">    rbib_jensen_et_al_2022: "&lt;div class=\"hanging\"&gt;Jensen, P. O., Wirsing, A. J., &amp; Thornton, D. H. (2022). Using camera traps to estimate density of snowshoe hare ( Lepus americanus ): A keystone boreal forest herbivore. *Journal of Mammalogy, 103*(3), 693-710. &lt;https://doi.org/10.1093/jmammal/gyac009&gt;&lt;/div&gt;"</v>
      </c>
      <c r="T213" s="65"/>
    </row>
    <row r="214" spans="1:20" ht="15.75">
      <c r="A214" s="65"/>
      <c r="B214" s="155" t="b">
        <v>0</v>
      </c>
      <c r="C214" s="155" t="b">
        <v>0</v>
      </c>
      <c r="D214" s="155" t="s">
        <v>1993</v>
      </c>
      <c r="E214" s="65" t="s">
        <v>1904</v>
      </c>
      <c r="F214" s="65" t="s">
        <v>3117</v>
      </c>
      <c r="G214" s="65" t="s">
        <v>3116</v>
      </c>
      <c r="H214" s="65" t="s">
        <v>3116</v>
      </c>
      <c r="I214" s="65" t="b">
        <v>1</v>
      </c>
      <c r="J214" s="65" t="s">
        <v>3115</v>
      </c>
      <c r="K214" s="65" t="s">
        <v>5144</v>
      </c>
      <c r="L214" s="65" t="s">
        <v>3114</v>
      </c>
      <c r="M214" s="65" t="s">
        <v>984</v>
      </c>
      <c r="N214" s="65" t="str">
        <f>"&lt;div class="&amp;""""&amp;"hanging"&amp;""""&amp;"&gt;"&amp;K214&amp;"&lt;a href="&amp;""""&amp;L214&amp;""""&amp;" target="&amp;""""&amp;"_blank"&amp;""""&amp;"&gt;"&amp;L214&amp;"&lt;/a&gt;&lt;span style="&amp;""""&amp;"color:white"&amp;""""&amp;"&gt;[.]{#"&amp;F214&amp;"}}&lt;/span&gt;&lt;/div&gt;&lt;br&gt;"</f>
        <v>&lt;div class="hanging"&gt;Jiménez, J., C. Augustine, B., Linden, D. W., B. Chandler, R., &amp; Royle, J. A. (2021). Spatial capture-recapture with random thinning for unidentified encounters. &lt;i&gt;Ecology and Evolution, 11&lt;/i&gt;, 1187-1198.&lt;a href="https://doi.org/10.1002/ece3.7091" target="_blank"&gt;https://doi.org/10.1002/ece3.7091&lt;/a&gt;&lt;span style="color:white"&gt;[.]{#jimenez_et_al_2021}}&lt;/span&gt;&lt;/div&gt;&lt;br&gt;</v>
      </c>
      <c r="O214" s="65" t="str">
        <f>"{{ rtxt_"&amp;F214&amp;" }}"</f>
        <v>{{ rtxt_jimenez_et_al_2021 }}</v>
      </c>
      <c r="P214" s="65" t="str">
        <f>"{{ rbib_"&amp;F214&amp;" }}"</f>
        <v>{{ rbib_jimenez_et_al_2021 }}</v>
      </c>
      <c r="Q214" s="65" t="str">
        <f>"    rtxt_"&amp;F214&amp;": "&amp;""""&amp;"&lt;a href=\"&amp;""""&amp;"/08_references.html#"&amp;F214&amp;"\"&amp;""""&amp;" target=\"&amp;""""&amp;"_blank\"&amp;""""&amp;"&gt;"&amp;G214&amp;"&lt;/a&gt;"&amp;""""</f>
        <v xml:space="preserve">    rtxt_jimenez_et_al_2021: "&lt;a href=\"/08_references.html#jimenez_et_al_2021\" target=\"_blank\"&gt;Jiménez et al., 2021&lt;/a&gt;"</v>
      </c>
      <c r="R214" s="65" t="str">
        <f>"    rbib_"&amp;F214&amp;": "&amp;""""&amp;K214&amp;"&lt;a href=\"&amp;""""&amp;L214&amp;""""&amp;" target=\"&amp;""""&amp;"_blank\"&amp;""""&amp;"&gt;"&amp;L214&amp;"&lt;/a&gt;"&amp;""""</f>
        <v xml:space="preserve">    rbib_jimenez_et_al_2021: "Jiménez, J., C. Augustine, B., Linden, D. W., B. Chandler, R., &amp; Royle, J. A. (2021). Spatial capture-recapture with random thinning for unidentified encounters. &lt;i&gt;Ecology and Evolution, 11&lt;/i&gt;, 1187-1198.&lt;a href=\"https://doi.org/10.1002/ece3.7091" target=\"_blank\"&gt;https://doi.org/10.1002/ece3.7091&lt;/a&gt;"</v>
      </c>
      <c r="S214" s="65" t="str">
        <f>"    rbib_"&amp;F214&amp;": "&amp;""""&amp;"&lt;div class=\"&amp;""""&amp;"hanging\"&amp;""""&amp;"&gt;"&amp;J214&amp;"&lt;/div&gt;"&amp;""""</f>
        <v xml:space="preserve">    rbib_jimenez_et_al_2021: "&lt;div class=\"hanging\"&gt;Jiménez, J., C. Augustine, B., Linden, D. W., B. Chandler, R., &amp; Royle, J. A. (2021). Spatial capture-recapture with random thinning for unidentified encounters. *Ecology and Evolution, 11*, 1187-1198. &lt;https://doi.org/10.1002/ece3.7091&gt;&lt;/div&gt;"</v>
      </c>
      <c r="T214" s="65"/>
    </row>
    <row r="215" spans="1:20" ht="15.75">
      <c r="A215" s="65"/>
      <c r="B215" s="155" t="b">
        <v>0</v>
      </c>
      <c r="C215" s="155" t="b">
        <v>0</v>
      </c>
      <c r="D215" s="155"/>
      <c r="E215" s="65" t="s">
        <v>1945</v>
      </c>
      <c r="F215" s="65" t="s">
        <v>3113</v>
      </c>
      <c r="G215" s="65" t="s">
        <v>3112</v>
      </c>
      <c r="H215" s="65" t="s">
        <v>3112</v>
      </c>
      <c r="I215" s="65" t="b">
        <v>1</v>
      </c>
      <c r="J215" s="65" t="s">
        <v>3111</v>
      </c>
      <c r="K215" s="65" t="s">
        <v>5545</v>
      </c>
      <c r="L215" s="65" t="s">
        <v>3109</v>
      </c>
      <c r="M215" s="65" t="s">
        <v>3110</v>
      </c>
      <c r="N215" s="65" t="str">
        <f>"&lt;div class="&amp;""""&amp;"hanging"&amp;""""&amp;"&gt;"&amp;K215&amp;"&lt;a href="&amp;""""&amp;L215&amp;""""&amp;" target="&amp;""""&amp;"_blank"&amp;""""&amp;"&gt;"&amp;L215&amp;"&lt;/a&gt;&lt;span style="&amp;""""&amp;"color:white"&amp;""""&amp;"&gt;[.]{#"&amp;F215&amp;"}}&lt;/span&gt;&lt;/div&gt;&lt;br&gt;"</f>
        <v>&lt;div class="hanging"&gt;JNCC (2022, Mar 29). &lt;i&gt;Introduction to Distance Sampling Video 1&lt;/i&gt; [Video]. YouTube.&lt;a href="https://www.youtube.com/watch?v=u8crevEd3yI" target="_blank"&gt;https://www.youtube.com/watch?v=u8crevEd3yI&lt;/a&gt;&lt;span style="color:white"&gt;[.]{#jncc_2022}}&lt;/span&gt;&lt;/div&gt;&lt;br&gt;</v>
      </c>
      <c r="O215" s="65" t="str">
        <f>"{{ rtxt_"&amp;F215&amp;" }}"</f>
        <v>{{ rtxt_jncc_2022 }}</v>
      </c>
      <c r="P215" s="65" t="str">
        <f>"{{ rbib_"&amp;F215&amp;" }}"</f>
        <v>{{ rbib_jncc_2022 }}</v>
      </c>
      <c r="Q215" s="65" t="str">
        <f>"    rtxt_"&amp;F215&amp;": "&amp;""""&amp;"&lt;a href=\"&amp;""""&amp;"/08_references.html#"&amp;F215&amp;"\"&amp;""""&amp;" target=\"&amp;""""&amp;"_blank\"&amp;""""&amp;"&gt;"&amp;G215&amp;"&lt;/a&gt;"&amp;""""</f>
        <v xml:space="preserve">    rtxt_jncc_2022: "&lt;a href=\"/08_references.html#jncc_2022\" target=\"_blank\"&gt;JNCC, 2022&lt;/a&gt;"</v>
      </c>
      <c r="R215" s="65" t="str">
        <f>"    rbib_"&amp;F215&amp;": "&amp;""""&amp;K215&amp;"&lt;a href=\"&amp;""""&amp;L215&amp;""""&amp;" target=\"&amp;""""&amp;"_blank\"&amp;""""&amp;"&gt;"&amp;L215&amp;"&lt;/a&gt;"&amp;""""</f>
        <v xml:space="preserve">    rbib_jncc_2022: "JNCC (2022, Mar 29). &lt;i&gt;Introduction to Distance Sampling Video 1&lt;/i&gt; [Video]. YouTube.&lt;a href=\"https://www.youtube.com/watch?v=u8crevEd3yI" target=\"_blank\"&gt;https://www.youtube.com/watch?v=u8crevEd3yI&lt;/a&gt;"</v>
      </c>
      <c r="S215" s="65" t="str">
        <f>"    rbib_"&amp;F215&amp;": "&amp;""""&amp;"&lt;div class=\"&amp;""""&amp;"hanging\"&amp;""""&amp;"&gt;"&amp;J215&amp;"&lt;/div&gt;"&amp;""""</f>
        <v xml:space="preserve">    rbib_jncc_2022: "&lt;div class=\"hanging\"&gt;JNCC (2022, Mar 29). *Introduction to Distance Sampling Video 1* [Video]. YouTube. &lt;https://www.youtube.com/watch?v=u8crevEd3yI&gt;&lt;/div&gt;"</v>
      </c>
      <c r="T215" s="65"/>
    </row>
    <row r="216" spans="1:20" ht="15.75">
      <c r="A216" s="65"/>
      <c r="B216" s="155" t="b">
        <v>1</v>
      </c>
      <c r="C216" s="155" t="b">
        <v>0</v>
      </c>
      <c r="D216" s="155" t="b">
        <v>0</v>
      </c>
      <c r="E216" s="65" t="s">
        <v>1904</v>
      </c>
      <c r="F216" s="65" t="s">
        <v>3108</v>
      </c>
      <c r="G216" s="65" t="s">
        <v>3107</v>
      </c>
      <c r="H216" s="65" t="s">
        <v>3106</v>
      </c>
      <c r="I216" s="65" t="b">
        <v>1</v>
      </c>
      <c r="J216" s="65" t="s">
        <v>3105</v>
      </c>
      <c r="K216" s="65" t="s">
        <v>5415</v>
      </c>
      <c r="L216" s="65" t="s">
        <v>3104</v>
      </c>
      <c r="M216" s="65" t="s">
        <v>984</v>
      </c>
      <c r="N216" s="65" t="str">
        <f>"&lt;div class="&amp;""""&amp;"hanging"&amp;""""&amp;"&gt;"&amp;K216&amp;"&lt;a href="&amp;""""&amp;L216&amp;""""&amp;" target="&amp;""""&amp;"_blank"&amp;""""&amp;"&gt;"&amp;L216&amp;"&lt;/a&gt;&lt;span style="&amp;""""&amp;"color:white"&amp;""""&amp;"&gt;[.]{#"&amp;F216&amp;"}}&lt;/span&gt;&lt;/div&gt;&lt;br&gt;"</f>
        <v>&lt;div class="hanging"&gt;Johanns, P, Haucke, T., &amp; Steinhage, V. (2022) Automated Distance Estimation and Animal Tracking for Wildlife Camera Trapping. &lt;i&gt;Ecological Informatics, 70,&lt;/i&gt; arXiv:2202. 04613.&lt;a href="https://doi.org/10.48550/arXiv.2202.04613" target="_blank"&gt;https://doi.org/10.48550/arXiv.2202.04613&lt;/a&gt;&lt;span style="color:white"&gt;[.]{#johanns_et_al_2022}}&lt;/span&gt;&lt;/div&gt;&lt;br&gt;</v>
      </c>
      <c r="O216" s="65" t="str">
        <f>"{{ rtxt_"&amp;F216&amp;" }}"</f>
        <v>{{ rtxt_johanns_et_al_2022 }}</v>
      </c>
      <c r="P216" s="65" t="str">
        <f>"{{ rbib_"&amp;F216&amp;" }}"</f>
        <v>{{ rbib_johanns_et_al_2022 }}</v>
      </c>
      <c r="Q216" s="65" t="str">
        <f>"    rtxt_"&amp;F216&amp;": "&amp;""""&amp;"&lt;a href=\"&amp;""""&amp;"/08_references.html#"&amp;F216&amp;"\"&amp;""""&amp;" target=\"&amp;""""&amp;"_blank\"&amp;""""&amp;"&gt;"&amp;G216&amp;"&lt;/a&gt;"&amp;""""</f>
        <v xml:space="preserve">    rtxt_johanns_et_al_2022: "&lt;a href=\"/08_references.html#johanns_et_al_2022\" target=\"_blank\"&gt;Johanns et al., 2022&lt;/a&gt;"</v>
      </c>
      <c r="R216" s="65" t="str">
        <f>"    rbib_"&amp;F216&amp;": "&amp;""""&amp;K216&amp;"&lt;a href=\"&amp;""""&amp;L216&amp;""""&amp;" target=\"&amp;""""&amp;"_blank\"&amp;""""&amp;"&gt;"&amp;L216&amp;"&lt;/a&gt;"&amp;""""</f>
        <v xml:space="preserve">    rbib_johanns_et_al_2022: "Johanns, P, Haucke, T., &amp; Steinhage, V. (2022) Automated Distance Estimation and Animal Tracking for Wildlife Camera Trapping. &lt;i&gt;Ecological Informatics, 70,&lt;/i&gt; arXiv:2202. 04613.&lt;a href=\"https://doi.org/10.48550/arXiv.2202.04613" target=\"_blank\"&gt;https://doi.org/10.48550/arXiv.2202.04613&lt;/a&gt;"</v>
      </c>
      <c r="S216" s="65" t="str">
        <f>"    rbib_"&amp;F216&amp;": "&amp;""""&amp;"&lt;div class=\"&amp;""""&amp;"hanging\"&amp;""""&amp;"&gt;"&amp;J216&amp;"&lt;/div&gt;"&amp;""""</f>
        <v xml:space="preserve">    rbib_johanns_et_al_2022: "&lt;div class=\"hanging\"&gt;Johanns, P, Haucke, T., &amp; Steinhage, V. (2022) Automated Distance Estimation and Animal Tracking for Wildlife Camera Trapping. *Ecological Informatics, 70,* arXiv:2202. 04613. &lt;https://doi.org/10.48550/arXiv.2202.04613&gt;&lt;/div&gt;"</v>
      </c>
      <c r="T216" s="65"/>
    </row>
    <row r="217" spans="1:20" ht="15.75">
      <c r="A217" s="65"/>
      <c r="B217" s="155"/>
      <c r="C217" s="155"/>
      <c r="D217" s="155"/>
      <c r="E217" s="65" t="s">
        <v>1904</v>
      </c>
      <c r="F217" s="65" t="s">
        <v>3103</v>
      </c>
      <c r="G217" s="65" t="s">
        <v>3102</v>
      </c>
      <c r="H217" s="65" t="s">
        <v>3102</v>
      </c>
      <c r="I217" s="65" t="b">
        <v>1</v>
      </c>
      <c r="J217" s="65" t="s">
        <v>3101</v>
      </c>
      <c r="K217" s="65" t="s">
        <v>5395</v>
      </c>
      <c r="L217" s="65" t="s">
        <v>3100</v>
      </c>
      <c r="M217" s="65" t="s">
        <v>984</v>
      </c>
      <c r="N217" s="65" t="str">
        <f>"&lt;div class="&amp;""""&amp;"hanging"&amp;""""&amp;"&gt;"&amp;K217&amp;"&lt;a href="&amp;""""&amp;L217&amp;""""&amp;" target="&amp;""""&amp;"_blank"&amp;""""&amp;"&gt;"&amp;L217&amp;"&lt;/a&gt;&lt;span style="&amp;""""&amp;"color:white"&amp;""""&amp;"&gt;[.]{#"&amp;F217&amp;"}}&lt;/span&gt;&lt;/div&gt;&lt;br&gt;"</f>
        <v>&lt;div class="hanging"&gt;Johnson, D. H. (1980). The Comparison of Usage and Availability Measurements for Evaluating Resource Preference. &lt;i&gt;Ecology, 61&lt;/i&gt;(1), 65-71.&lt;a href="https://doi.org/10.2307/1937156" target="_blank"&gt;https://doi.org/10.2307/1937156&lt;/a&gt;&lt;span style="color:white"&gt;[.]{#johnson_2008}}&lt;/span&gt;&lt;/div&gt;&lt;br&gt;</v>
      </c>
      <c r="O217" s="65" t="str">
        <f>"{{ rtxt_"&amp;F217&amp;" }}"</f>
        <v>{{ rtxt_johnson_2008 }}</v>
      </c>
      <c r="P217" s="65" t="str">
        <f>"{{ rbib_"&amp;F217&amp;" }}"</f>
        <v>{{ rbib_johnson_2008 }}</v>
      </c>
      <c r="Q217" s="65" t="str">
        <f>"    rtxt_"&amp;F217&amp;": "&amp;""""&amp;"&lt;a href=\"&amp;""""&amp;"/08_references.html#"&amp;F217&amp;"\"&amp;""""&amp;" target=\"&amp;""""&amp;"_blank\"&amp;""""&amp;"&gt;"&amp;G217&amp;"&lt;/a&gt;"&amp;""""</f>
        <v xml:space="preserve">    rtxt_johnson_2008: "&lt;a href=\"/08_references.html#johnson_2008\" target=\"_blank\"&gt;Johnson, 1980&lt;/a&gt;"</v>
      </c>
      <c r="R217" s="65" t="str">
        <f>"    rbib_"&amp;F217&amp;": "&amp;""""&amp;K217&amp;"&lt;a href=\"&amp;""""&amp;L217&amp;""""&amp;" target=\"&amp;""""&amp;"_blank\"&amp;""""&amp;"&gt;"&amp;L217&amp;"&lt;/a&gt;"&amp;""""</f>
        <v xml:space="preserve">    rbib_johnson_2008: "Johnson, D. H. (1980). The Comparison of Usage and Availability Measurements for Evaluating Resource Preference. &lt;i&gt;Ecology, 61&lt;/i&gt;(1), 65-71.&lt;a href=\"https://doi.org/10.2307/1937156" target=\"_blank\"&gt;https://doi.org/10.2307/1937156&lt;/a&gt;"</v>
      </c>
      <c r="S217" s="65" t="str">
        <f>"    rbib_"&amp;F217&amp;": "&amp;""""&amp;"&lt;div class=\"&amp;""""&amp;"hanging\"&amp;""""&amp;"&gt;"&amp;J217&amp;"&lt;/div&gt;"&amp;""""</f>
        <v xml:space="preserve">    rbib_johnson_2008: "&lt;div class=\"hanging\"&gt;Johnson, D. H. (1980). The Comparison of Usage and Availability Measurements for Evaluating Resource Preference. *Ecology, 61*(1), 65-71. &lt;https://doi.org/10.2307/1937156&gt;&lt;/div&gt;"</v>
      </c>
      <c r="T217" s="65"/>
    </row>
    <row r="218" spans="1:20" ht="15.75">
      <c r="A218" s="65"/>
      <c r="B218" s="155"/>
      <c r="C218" s="155"/>
      <c r="D218" s="155"/>
      <c r="E218" s="65" t="s">
        <v>1904</v>
      </c>
      <c r="F218" s="65" t="s">
        <v>3099</v>
      </c>
      <c r="G218" s="65" t="s">
        <v>3098</v>
      </c>
      <c r="H218" s="65"/>
      <c r="I218" s="65" t="b">
        <v>1</v>
      </c>
      <c r="J218" s="65" t="s">
        <v>3097</v>
      </c>
      <c r="K218" s="65" t="s">
        <v>5384</v>
      </c>
      <c r="L218" s="65" t="s">
        <v>3096</v>
      </c>
      <c r="M218" s="65" t="s">
        <v>984</v>
      </c>
      <c r="N218" s="65" t="str">
        <f>"&lt;div class="&amp;""""&amp;"hanging"&amp;""""&amp;"&gt;"&amp;K218&amp;"&lt;a href="&amp;""""&amp;L218&amp;""""&amp;" target="&amp;""""&amp;"_blank"&amp;""""&amp;"&gt;"&amp;L218&amp;"&lt;/a&gt;&lt;span style="&amp;""""&amp;"color:white"&amp;""""&amp;"&gt;[.]{#"&amp;F218&amp;"}}&lt;/span&gt;&lt;/div&gt;&lt;br&gt;"</f>
        <v>&lt;div class="hanging"&gt;Jones,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&lt;i&gt;Ecology, 90&lt;/i&gt;(9), 2648-2648.&lt;a href="https://doi.org/10.1890/08-1494.1" target="_blank"&gt;https://doi.org/10.1890/08-1494.1&lt;/a&gt;&lt;span style="color:white"&gt;[.]{#jones_et_al_2009}}&lt;/span&gt;&lt;/div&gt;&lt;br&gt;</v>
      </c>
      <c r="O218" s="65" t="str">
        <f>"{{ rtxt_"&amp;F218&amp;" }}"</f>
        <v>{{ rtxt_jones_et_al_2009 }}</v>
      </c>
      <c r="P218" s="65" t="str">
        <f>"{{ rbib_"&amp;F218&amp;" }}"</f>
        <v>{{ rbib_jones_et_al_2009 }}</v>
      </c>
      <c r="Q218" s="65" t="str">
        <f>"    rtxt_"&amp;F218&amp;": "&amp;""""&amp;"&lt;a href=\"&amp;""""&amp;"/08_references.html#"&amp;F218&amp;"\"&amp;""""&amp;" target=\"&amp;""""&amp;"_blank\"&amp;""""&amp;"&gt;"&amp;G218&amp;"&lt;/a&gt;"&amp;""""</f>
        <v xml:space="preserve">    rtxt_jones_et_al_2009: "&lt;a href=\"/08_references.html#jones_et_al_2009\" target=\"_blank\"&gt;Jones et al., 2009&lt;/a&gt;"</v>
      </c>
      <c r="R218" s="65" t="str">
        <f>"    rbib_"&amp;F218&amp;": "&amp;""""&amp;K218&amp;"&lt;a href=\"&amp;""""&amp;L218&amp;""""&amp;" target=\"&amp;""""&amp;"_blank\"&amp;""""&amp;"&gt;"&amp;L218&amp;"&lt;/a&gt;"&amp;""""</f>
        <v xml:space="preserve">    rbib_jones_et_al_2009: "Jones,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&lt;i&gt;Ecology, 90&lt;/i&gt;(9), 2648-2648.&lt;a href=\"https://doi.org/10.1890/08-1494.1" target=\"_blank\"&gt;https://doi.org/10.1890/08-1494.1&lt;/a&gt;"</v>
      </c>
      <c r="S218" s="65" t="str">
        <f>"    rbib_"&amp;F218&amp;": "&amp;""""&amp;"&lt;div class=\"&amp;""""&amp;"hanging\"&amp;""""&amp;"&gt;"&amp;J218&amp;"&lt;/div&gt;"&amp;""""</f>
        <v xml:space="preserve">    rbib_jones_et_al_2009: "&lt;div class=\"hanging\"&gt;Jones,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&lt;https://doi.org/10.1890/08-1494.1&gt;&lt;/div&gt;"</v>
      </c>
      <c r="T218" s="65"/>
    </row>
    <row r="219" spans="1:20" ht="15.75">
      <c r="A219" s="65"/>
      <c r="B219" s="155" t="b">
        <v>1</v>
      </c>
      <c r="C219" s="155" t="b">
        <v>0</v>
      </c>
      <c r="D219" s="155" t="b">
        <v>0</v>
      </c>
      <c r="E219" s="65" t="s">
        <v>1939</v>
      </c>
      <c r="F219" s="65" t="s">
        <v>3095</v>
      </c>
      <c r="G219" s="65" t="s">
        <v>3094</v>
      </c>
      <c r="H219" s="65" t="s">
        <v>3094</v>
      </c>
      <c r="I219" s="65" t="b">
        <v>1</v>
      </c>
      <c r="J219" s="65" t="s">
        <v>3093</v>
      </c>
      <c r="K219" s="65" t="s">
        <v>5346</v>
      </c>
      <c r="L219" s="65" t="s">
        <v>3092</v>
      </c>
      <c r="M219" s="65" t="s">
        <v>984</v>
      </c>
      <c r="N219" s="65" t="str">
        <f>"&lt;div class="&amp;""""&amp;"hanging"&amp;""""&amp;"&gt;"&amp;K219&amp;"&lt;a href="&amp;""""&amp;L219&amp;""""&amp;" target="&amp;""""&amp;"_blank"&amp;""""&amp;"&gt;"&amp;L219&amp;"&lt;/a&gt;&lt;span style="&amp;""""&amp;"color:white"&amp;""""&amp;"&gt;[.]{#"&amp;F219&amp;"}}&lt;/span&gt;&lt;/div&gt;&lt;br&gt;"</f>
        <v>&lt;div class="hanging"&gt;Junker, J., Kühl, H., Orth, L., Smith, R., Petrovan, S., &amp; Sutherland, W. (2021). &lt;i&gt;7. Primate Conservation.&lt;/i&gt; (pp. 435-486).&lt;a href="https://doi.org/10.11647/obp.0267.07" target="_blank"&gt;https://doi.org/10.11647/obp.0267.07&lt;/a&gt;&lt;span style="color:white"&gt;[.]{#junker_et_al_2021}}&lt;/span&gt;&lt;/div&gt;&lt;br&gt;</v>
      </c>
      <c r="O219" s="65" t="str">
        <f>"{{ rtxt_"&amp;F219&amp;" }}"</f>
        <v>{{ rtxt_junker_et_al_2021 }}</v>
      </c>
      <c r="P219" s="65" t="str">
        <f>"{{ rbib_"&amp;F219&amp;" }}"</f>
        <v>{{ rbib_junker_et_al_2021 }}</v>
      </c>
      <c r="Q219" s="65" t="str">
        <f>"    rtxt_"&amp;F219&amp;": "&amp;""""&amp;"&lt;a href=\"&amp;""""&amp;"/08_references.html#"&amp;F219&amp;"\"&amp;""""&amp;" target=\"&amp;""""&amp;"_blank\"&amp;""""&amp;"&gt;"&amp;G219&amp;"&lt;/a&gt;"&amp;""""</f>
        <v xml:space="preserve">    rtxt_junker_et_al_2021: "&lt;a href=\"/08_references.html#junker_et_al_2021\" target=\"_blank\"&gt;Junker et al., 2021&lt;/a&gt;"</v>
      </c>
      <c r="R219" s="65" t="str">
        <f>"    rbib_"&amp;F219&amp;": "&amp;""""&amp;K219&amp;"&lt;a href=\"&amp;""""&amp;L219&amp;""""&amp;" target=\"&amp;""""&amp;"_blank\"&amp;""""&amp;"&gt;"&amp;L219&amp;"&lt;/a&gt;"&amp;""""</f>
        <v xml:space="preserve">    rbib_junker_et_al_2021: "Junker, J., Kühl, H., Orth, L., Smith, R., Petrovan, S., &amp; Sutherland, W. (2021). &lt;i&gt;7. Primate Conservation.&lt;/i&gt; (pp. 435-486).&lt;a href=\"https://doi.org/10.11647/obp.0267.07" target=\"_blank\"&gt;https://doi.org/10.11647/obp.0267.07&lt;/a&gt;"</v>
      </c>
      <c r="S219" s="65" t="str">
        <f>"    rbib_"&amp;F219&amp;": "&amp;""""&amp;"&lt;div class=\"&amp;""""&amp;"hanging\"&amp;""""&amp;"&gt;"&amp;J219&amp;"&lt;/div&gt;"&amp;""""</f>
        <v xml:space="preserve">    rbib_junker_et_al_2021: "&lt;div class=\"hanging\"&gt;Junker, J., Kühl, H., Orth, L., Smith, R., Petrovan, S., &amp; Sutherland, W. (2021). *7. Primate Conservation.* In (pp. 435-486). &lt;https://doi.org/10.11647/obp.0267.07&gt;&lt;/div&gt;"</v>
      </c>
      <c r="T219" s="65"/>
    </row>
    <row r="220" spans="1:20" ht="15.75">
      <c r="A220" s="65"/>
      <c r="B220" s="155" t="b">
        <v>1</v>
      </c>
      <c r="C220" s="155" t="b">
        <v>0</v>
      </c>
      <c r="D220" s="155" t="b">
        <v>0</v>
      </c>
      <c r="E220" s="65" t="s">
        <v>1904</v>
      </c>
      <c r="F220" s="65" t="s">
        <v>3091</v>
      </c>
      <c r="G220" s="65" t="s">
        <v>3090</v>
      </c>
      <c r="H220" s="65" t="s">
        <v>3090</v>
      </c>
      <c r="I220" s="65" t="b">
        <v>1</v>
      </c>
      <c r="J220" s="65" t="s">
        <v>3089</v>
      </c>
      <c r="K220" s="65" t="s">
        <v>5215</v>
      </c>
      <c r="L220" s="65" t="s">
        <v>3088</v>
      </c>
      <c r="M220" s="65" t="s">
        <v>984</v>
      </c>
      <c r="N220" s="65" t="str">
        <f>"&lt;div class="&amp;""""&amp;"hanging"&amp;""""&amp;"&gt;"&amp;K220&amp;"&lt;a href="&amp;""""&amp;L220&amp;""""&amp;" target="&amp;""""&amp;"_blank"&amp;""""&amp;"&gt;"&amp;L220&amp;"&lt;/a&gt;&lt;span style="&amp;""""&amp;"color:white"&amp;""""&amp;"&gt;[.]{#"&amp;F220&amp;"}}&lt;/span&gt;&lt;/div&gt;&lt;br&gt;"</f>
        <v>&lt;div class="hanging"&gt;Karanth, K. U. (1995). Estimating tiger Panthera tigris populations from camera-trap data using capture-recapture models. &lt;i&gt;Biological Conservation, 71&lt;/i&gt;(3), 333-338.&lt;a href="https://doi.org/10.1016/0006-3207(94)00057-W" target="_blank"&gt;https://doi.org/10.1016/0006-3207(94)00057-W&lt;/a&gt;&lt;span style="color:white"&gt;[.]{#karanth_1995}}&lt;/span&gt;&lt;/div&gt;&lt;br&gt;</v>
      </c>
      <c r="O220" s="65" t="str">
        <f>"{{ rtxt_"&amp;F220&amp;" }}"</f>
        <v>{{ rtxt_karanth_1995 }}</v>
      </c>
      <c r="P220" s="65" t="str">
        <f>"{{ rbib_"&amp;F220&amp;" }}"</f>
        <v>{{ rbib_karanth_1995 }}</v>
      </c>
      <c r="Q220" s="65" t="str">
        <f>"    rtxt_"&amp;F220&amp;": "&amp;""""&amp;"&lt;a href=\"&amp;""""&amp;"/08_references.html#"&amp;F220&amp;"\"&amp;""""&amp;" target=\"&amp;""""&amp;"_blank\"&amp;""""&amp;"&gt;"&amp;G220&amp;"&lt;/a&gt;"&amp;""""</f>
        <v xml:space="preserve">    rtxt_karanth_1995: "&lt;a href=\"/08_references.html#karanth_1995\" target=\"_blank\"&gt;Karanth, 1995&lt;/a&gt;"</v>
      </c>
      <c r="R220" s="65" t="str">
        <f>"    rbib_"&amp;F220&amp;": "&amp;""""&amp;K220&amp;"&lt;a href=\"&amp;""""&amp;L220&amp;""""&amp;" target=\"&amp;""""&amp;"_blank\"&amp;""""&amp;"&gt;"&amp;L220&amp;"&lt;/a&gt;"&amp;""""</f>
        <v xml:space="preserve">    rbib_karanth_1995: "Karanth, K. U. (1995). Estimating tiger Panthera tigris populations from camera-trap data using capture-recapture models. &lt;i&gt;Biological Conservation, 71&lt;/i&gt;(3), 333-338.&lt;a href=\"https://doi.org/10.1016/0006-3207(94)00057-W" target=\"_blank\"&gt;https://doi.org/10.1016/0006-3207(94)00057-W&lt;/a&gt;"</v>
      </c>
      <c r="S220" s="65" t="str">
        <f>"    rbib_"&amp;F220&amp;": "&amp;""""&amp;"&lt;div class=\"&amp;""""&amp;"hanging\"&amp;""""&amp;"&gt;"&amp;J220&amp;"&lt;/div&gt;"&amp;""""</f>
        <v xml:space="preserve">    rbib_karanth_1995: "&lt;div class=\"hanging\"&gt;Karanth, K. U. (1995). Estimating tiger Panthera tigris populations from camera-trap data using capture-recapture models. *Biological Conservation, 71*(3), 333-338. &lt;https://doi.org/10.1016/0006-3207(94)00057-W&gt;&lt;/div&gt;"</v>
      </c>
      <c r="T220" s="65"/>
    </row>
    <row r="221" spans="1:20" ht="15.75">
      <c r="A221" s="65"/>
      <c r="B221" s="155" t="b">
        <v>1</v>
      </c>
      <c r="C221" s="155" t="b">
        <v>0</v>
      </c>
      <c r="D221" s="155" t="b">
        <v>0</v>
      </c>
      <c r="E221" s="65" t="s">
        <v>1904</v>
      </c>
      <c r="F221" s="65" t="s">
        <v>3079</v>
      </c>
      <c r="G221" s="65" t="s">
        <v>3078</v>
      </c>
      <c r="H221" s="65" t="s">
        <v>3078</v>
      </c>
      <c r="I221" s="65" t="b">
        <v>1</v>
      </c>
      <c r="J221" s="65" t="s">
        <v>3077</v>
      </c>
      <c r="K221" s="65" t="s">
        <v>6080</v>
      </c>
      <c r="L221" s="65" t="s">
        <v>3076</v>
      </c>
      <c r="M221" s="65" t="s">
        <v>984</v>
      </c>
      <c r="N221" s="65" t="str">
        <f>"&lt;div class="&amp;""""&amp;"hanging"&amp;""""&amp;"&gt;"&amp;K221&amp;"&lt;a href="&amp;""""&amp;L221&amp;""""&amp;" target="&amp;""""&amp;"_blank"&amp;""""&amp;"&gt;"&amp;L221&amp;"&lt;/a&gt;&lt;span style="&amp;""""&amp;"color:white"&amp;""""&amp;"&gt;[.]{#"&amp;F221&amp;"}}&lt;/span&gt;&lt;/div&gt;&lt;br&gt;"</f>
        <v>&lt;div class="hanging"&gt;Karanth, K. U., &amp; Nichols, J. D. (1998). Estimation of tiger densities in India using photographic captures and recaptures. &lt;i&gt;Ecology, 79&lt;/i&gt;(8), 2852-2862.&lt;a href="https://doi.org/10.1890/0012-9658(1998)079[2852:EOTDII]2.0.CO;2" target="_blank"&gt;https://doi.org/10.1890/0012-9658(1998)079[2852:EOTDII]2.0.CO;2&lt;/a&gt;&lt;span style="color:white"&gt;[.]{#karanth_nichols_1998}}&lt;/span&gt;&lt;/div&gt;&lt;br&gt;</v>
      </c>
      <c r="O221" s="65" t="str">
        <f>"{{ rtxt_"&amp;F221&amp;" }}"</f>
        <v>{{ rtxt_karanth_nichols_1998 }}</v>
      </c>
      <c r="P221" s="65" t="str">
        <f>"{{ rbib_"&amp;F221&amp;" }}"</f>
        <v>{{ rbib_karanth_nichols_1998 }}</v>
      </c>
      <c r="Q221" s="65" t="str">
        <f>"    rtxt_"&amp;F221&amp;": "&amp;""""&amp;"&lt;a href=\"&amp;""""&amp;"/08_references.html#"&amp;F221&amp;"\"&amp;""""&amp;" target=\"&amp;""""&amp;"_blank\"&amp;""""&amp;"&gt;"&amp;G221&amp;"&lt;/a&gt;"&amp;""""</f>
        <v xml:space="preserve">    rtxt_karanth_nichols_1998: "&lt;a href=\"/08_references.html#karanth_nichols_1998\" target=\"_blank\"&gt;Karanth &amp; Nichols, 1998&lt;/a&gt;"</v>
      </c>
      <c r="R221" s="65" t="str">
        <f>"    rbib_"&amp;F221&amp;": "&amp;""""&amp;K221&amp;"&lt;a href=\"&amp;""""&amp;L221&amp;""""&amp;" target=\"&amp;""""&amp;"_blank\"&amp;""""&amp;"&gt;"&amp;L221&amp;"&lt;/a&gt;"&amp;""""</f>
        <v xml:space="preserve">    rbib_karanth_nichols_1998: "Karanth, K. U., &amp; Nichols, J. D. (1998). Estimation of tiger densities in India using photographic captures and recaptures. &lt;i&gt;Ecology, 79&lt;/i&gt;(8), 2852-2862.&lt;a href=\"https://doi.org/10.1890/0012-9658(1998)079[2852:EOTDII]2.0.CO;2" target=\"_blank\"&gt;https://doi.org/10.1890/0012-9658(1998)079[2852:EOTDII]2.0.CO;2&lt;/a&gt;"</v>
      </c>
      <c r="S221" s="65" t="str">
        <f>"    rbib_"&amp;F221&amp;": "&amp;""""&amp;"&lt;div class=\"&amp;""""&amp;"hanging\"&amp;""""&amp;"&gt;"&amp;J221&amp;"&lt;/div&gt;"&amp;""""</f>
        <v xml:space="preserve">    rbib_karanth_nichols_1998: "&lt;div class=\"hanging\"&gt;Karanth, K. U., &amp; Nichols, J. D. (1998). Estimation of tiger densities in India using photographic captures and recaptures. *Ecology, 79*(8), 2852-2862. &lt;https://doi.org/10.1890/0012-9658(1998)079[2852:EOTDII]2.0.CO;2&gt;&lt;/div&gt;"</v>
      </c>
      <c r="T221" s="65"/>
    </row>
    <row r="222" spans="1:20" ht="15.75">
      <c r="A222" s="65"/>
      <c r="B222" s="155" t="b">
        <v>1</v>
      </c>
      <c r="C222" s="155" t="b">
        <v>0</v>
      </c>
      <c r="D222" s="155" t="b">
        <v>0</v>
      </c>
      <c r="E222" s="65" t="s">
        <v>1904</v>
      </c>
      <c r="F222" s="65" t="s">
        <v>3083</v>
      </c>
      <c r="G222" s="65" t="s">
        <v>3082</v>
      </c>
      <c r="H222" s="65" t="s">
        <v>3081</v>
      </c>
      <c r="I222" s="65" t="b">
        <v>1</v>
      </c>
      <c r="J222" s="65" t="s">
        <v>3080</v>
      </c>
      <c r="K222" s="65" t="s">
        <v>5190</v>
      </c>
      <c r="L222" s="65" t="s">
        <v>2651</v>
      </c>
      <c r="M222" s="65" t="s">
        <v>984</v>
      </c>
      <c r="N222" s="65" t="str">
        <f>"&lt;div class="&amp;""""&amp;"hanging"&amp;""""&amp;"&gt;"&amp;K222&amp;"&lt;a href="&amp;""""&amp;L222&amp;""""&amp;" target="&amp;""""&amp;"_blank"&amp;""""&amp;"&gt;"&amp;L222&amp;"&lt;/a&gt;&lt;span style="&amp;""""&amp;"color:white"&amp;""""&amp;"&gt;[.]{#"&amp;F222&amp;"}}&lt;/span&gt;&lt;/div&gt;&lt;br&gt;"</f>
        <v>&lt;div class="hanging"&gt;Karanth, K. U., Nichols, J. D., &amp; Kumar, N. S. (2011). Estimating tiger abundance from camera trap data: field Surveys and analytical issues. In A. F. O'Connell, J. D. Nichols, &amp; K. U. Karanth (Eds.), &lt;i&gt;Camera Traps In Animal Ecology: Methods and Analyses&lt;/i&gt; (pp. 9-117). Springer.&lt;a href="https://doi.org/10.1007/978-4-431-99495-4" target="_blank"&gt;https://doi.org/10.1007/978-4-431-99495-4&lt;/a&gt;&lt;span style="color:white"&gt;[.]{#karanth_et_al_2011}}&lt;/span&gt;&lt;/div&gt;&lt;br&gt;</v>
      </c>
      <c r="O222" s="65" t="str">
        <f>"{{ rtxt_"&amp;F222&amp;" }}"</f>
        <v>{{ rtxt_karanth_et_al_2011 }}</v>
      </c>
      <c r="P222" s="65" t="str">
        <f>"{{ rbib_"&amp;F222&amp;" }}"</f>
        <v>{{ rbib_karanth_et_al_2011 }}</v>
      </c>
      <c r="Q222" s="65" t="str">
        <f>"    rtxt_"&amp;F222&amp;": "&amp;""""&amp;"&lt;a href=\"&amp;""""&amp;"/08_references.html#"&amp;F222&amp;"\"&amp;""""&amp;" target=\"&amp;""""&amp;"_blank\"&amp;""""&amp;"&gt;"&amp;G222&amp;"&lt;/a&gt;"&amp;""""</f>
        <v xml:space="preserve">    rtxt_karanth_et_al_2011: "&lt;a href=\"/08_references.html#karanth_et_al_2011\" target=\"_blank\"&gt;Karanth et al., 2011&lt;/a&gt;"</v>
      </c>
      <c r="R222" s="65" t="str">
        <f>"    rbib_"&amp;F222&amp;": "&amp;""""&amp;K222&amp;"&lt;a href=\"&amp;""""&amp;L222&amp;""""&amp;" target=\"&amp;""""&amp;"_blank\"&amp;""""&amp;"&gt;"&amp;L222&amp;"&lt;/a&gt;"&amp;""""</f>
        <v xml:space="preserve">    rbib_karanth_et_al_2011: "Karanth, K. U., Nichols, J. D., &amp; Kumar, N. S. (2011). Estimating tiger abundance from camera trap data: field Surveys and analytical issues. In A. F. O'Connell, J. D. Nichols, &amp; K. U. Karanth (Eds.), &lt;i&gt;Camera Traps In Animal Ecology: Methods and Analyses&lt;/i&gt; (pp. 9-117). Springer.&lt;a href=\"https://doi.org/10.1007/978-4-431-99495-4" target=\"_blank\"&gt;https://doi.org/10.1007/978-4-431-99495-4&lt;/a&gt;"</v>
      </c>
      <c r="S222" s="65" t="str">
        <f>"    rbib_"&amp;F222&amp;": "&amp;""""&amp;"&lt;div class=\"&amp;""""&amp;"hanging\"&amp;""""&amp;"&gt;"&amp;J222&amp;"&lt;/div&gt;"&amp;""""</f>
        <v xml:space="preserve">    rbib_karanth_et_al_2011: "&lt;div class=\"hanging\"&gt;Karanth, K. U., Nichols, J. D., &amp; Kumar, N. S. (2011). Estimating tiger abundance from camera trap data: field Surveys and analytical issues. In A. F. O'Connell, J. D. Nichols, &amp; K. U. Karanth (Eds.), *Camera Traps In Animal Ecology: Methods and Analyses* (pp. 9-117). Springer. &lt;https://doi.org/10.1007/978-4-431-99495-4&gt;&lt;/div&gt;"</v>
      </c>
      <c r="T222" s="65"/>
    </row>
    <row r="223" spans="1:20" ht="15.75">
      <c r="A223" s="65"/>
      <c r="B223" s="155" t="b">
        <v>1</v>
      </c>
      <c r="C223" s="155" t="b">
        <v>1</v>
      </c>
      <c r="D223" s="155" t="b">
        <v>0</v>
      </c>
      <c r="E223" s="65" t="s">
        <v>1904</v>
      </c>
      <c r="F223" s="65" t="s">
        <v>3087</v>
      </c>
      <c r="G223" s="65" t="s">
        <v>3086</v>
      </c>
      <c r="H223" s="65" t="s">
        <v>3086</v>
      </c>
      <c r="I223" s="65" t="b">
        <v>1</v>
      </c>
      <c r="J223" s="65" t="s">
        <v>3085</v>
      </c>
      <c r="K223" s="65" t="s">
        <v>5380</v>
      </c>
      <c r="L223" s="65" t="s">
        <v>3084</v>
      </c>
      <c r="M223" s="65" t="s">
        <v>984</v>
      </c>
      <c r="N223" s="65" t="str">
        <f>"&lt;div class="&amp;""""&amp;"hanging"&amp;""""&amp;"&gt;"&amp;K223&amp;"&lt;a href="&amp;""""&amp;L223&amp;""""&amp;" target="&amp;""""&amp;"_blank"&amp;""""&amp;"&gt;"&amp;L223&amp;"&lt;/a&gt;&lt;span style="&amp;""""&amp;"color:white"&amp;""""&amp;"&gt;[.]{#"&amp;F223&amp;"}}&lt;/span&gt;&lt;/div&gt;&lt;br&gt;"</f>
        <v>&lt;div class="hanging"&gt;Karanth, K. U., Nichols, J. D., Kumar, N. S., &amp; Hines, J. E. (2006). Assessing Tiger Population Dynamics Using Photographic Capture-Recapture Sampling. &lt;i&gt;Ecology, 87&lt;/i&gt;(11), 2925-2937.&lt;a href="https://doi.org/10.1890/0012-9658(2006)87[2925:ATPDUP]2.0.CO;2" target="_blank"&gt;https://doi.org/10.1890/0012-9658(2006)87[2925:ATPDUP]2.0.CO;2&lt;/a&gt;&lt;span style="color:white"&gt;[.]{#karanth_et_al_2006}}&lt;/span&gt;&lt;/div&gt;&lt;br&gt;</v>
      </c>
      <c r="O223" s="65" t="str">
        <f>"{{ rtxt_"&amp;F223&amp;" }}"</f>
        <v>{{ rtxt_karanth_et_al_2006 }}</v>
      </c>
      <c r="P223" s="65" t="str">
        <f>"{{ rbib_"&amp;F223&amp;" }}"</f>
        <v>{{ rbib_karanth_et_al_2006 }}</v>
      </c>
      <c r="Q223" s="65" t="str">
        <f>"    rtxt_"&amp;F223&amp;": "&amp;""""&amp;"&lt;a href=\"&amp;""""&amp;"/08_references.html#"&amp;F223&amp;"\"&amp;""""&amp;" target=\"&amp;""""&amp;"_blank\"&amp;""""&amp;"&gt;"&amp;G223&amp;"&lt;/a&gt;"&amp;""""</f>
        <v xml:space="preserve">    rtxt_karanth_et_al_2006: "&lt;a href=\"/08_references.html#karanth_et_al_2006\" target=\"_blank\"&gt;Karanth et al., 2006&lt;/a&gt;"</v>
      </c>
      <c r="R223" s="65" t="str">
        <f>"    rbib_"&amp;F223&amp;": "&amp;""""&amp;K223&amp;"&lt;a href=\"&amp;""""&amp;L223&amp;""""&amp;" target=\"&amp;""""&amp;"_blank\"&amp;""""&amp;"&gt;"&amp;L223&amp;"&lt;/a&gt;"&amp;""""</f>
        <v xml:space="preserve">    rbib_karanth_et_al_2006: "Karanth, K. U., Nichols, J. D., Kumar, N. S., &amp; Hines, J. E. (2006). Assessing Tiger Population Dynamics Using Photographic Capture-Recapture Sampling. &lt;i&gt;Ecology, 87&lt;/i&gt;(11), 2925-2937.&lt;a href=\"https://doi.org/10.1890/0012-9658(2006)87[2925:ATPDUP]2.0.CO;2" target=\"_blank\"&gt;https://doi.org/10.1890/0012-9658(2006)87[2925:ATPDUP]2.0.CO;2&lt;/a&gt;"</v>
      </c>
      <c r="S223" s="65" t="str">
        <f>"    rbib_"&amp;F223&amp;": "&amp;""""&amp;"&lt;div class=\"&amp;""""&amp;"hanging\"&amp;""""&amp;"&gt;"&amp;J223&amp;"&lt;/div&gt;"&amp;""""</f>
        <v xml:space="preserve">    rbib_karanth_et_al_2006: "&lt;div class=\"hanging\"&gt;Karanth, K. U., Nichols, J. D., Kumar, N. S., &amp; Hines, J. E. (2006). Assessing Tiger Population Dynamics Using Photographic Capture-Recapture Sampling. *Ecology, 87*(11), 2925-2937. &lt;https://doi.org/10.1890/0012-9658(2006)87[2925:ATPDUP]2.0.CO;2&gt;&lt;/div&gt;"</v>
      </c>
      <c r="T223" s="65"/>
    </row>
    <row r="224" spans="1:20" ht="15.75">
      <c r="A224" s="65"/>
      <c r="B224" s="155" t="b">
        <v>0</v>
      </c>
      <c r="C224" s="155" t="b">
        <v>0</v>
      </c>
      <c r="D224" s="155"/>
      <c r="E224" s="65" t="s">
        <v>1904</v>
      </c>
      <c r="F224" s="65" t="s">
        <v>3075</v>
      </c>
      <c r="G224" s="65" t="s">
        <v>3074</v>
      </c>
      <c r="H224" s="65" t="s">
        <v>3074</v>
      </c>
      <c r="I224" s="65" t="b">
        <v>1</v>
      </c>
      <c r="J224" s="65" t="s">
        <v>3073</v>
      </c>
      <c r="K224" s="65" t="s">
        <v>5205</v>
      </c>
      <c r="L224" s="65" t="s">
        <v>3072</v>
      </c>
      <c r="M224" s="65" t="s">
        <v>984</v>
      </c>
      <c r="N224" s="65" t="str">
        <f>"&lt;div class="&amp;""""&amp;"hanging"&amp;""""&amp;"&gt;"&amp;K224&amp;"&lt;a href="&amp;""""&amp;L224&amp;""""&amp;" target="&amp;""""&amp;"_blank"&amp;""""&amp;"&gt;"&amp;L224&amp;"&lt;/a&gt;&lt;span style="&amp;""""&amp;"color:white"&amp;""""&amp;"&gt;[.]{#"&amp;F224&amp;"}}&lt;/span&gt;&lt;/div&gt;&lt;br&gt;"</f>
        <v>&lt;div class="hanging"&gt;Kavčić, K., Palencia, P., Apollonio, M., Vicente, J., &amp; Šprem, N. (2021). Random encounter model to estimate density of mountain-dwelling ungulate. &lt;i&gt;European Journal of Wildlife Research, 67&lt;/i&gt;(5), 87.&lt;a href="https://doi.org/10.1007/s10344-021-01530-1" target="_blank"&gt;https://doi.org/10.1007/s10344-021-01530-1&lt;/a&gt;&lt;span style="color:white"&gt;[.]{#kavcic_et_al_2021}}&lt;/span&gt;&lt;/div&gt;&lt;br&gt;</v>
      </c>
      <c r="O224" s="65" t="str">
        <f>"{{ rtxt_"&amp;F224&amp;" }}"</f>
        <v>{{ rtxt_kavcic_et_al_2021 }}</v>
      </c>
      <c r="P224" s="65" t="str">
        <f>"{{ rbib_"&amp;F224&amp;" }}"</f>
        <v>{{ rbib_kavcic_et_al_2021 }}</v>
      </c>
      <c r="Q224" s="65" t="str">
        <f>"    rtxt_"&amp;F224&amp;": "&amp;""""&amp;"&lt;a href=\"&amp;""""&amp;"/08_references.html#"&amp;F224&amp;"\"&amp;""""&amp;" target=\"&amp;""""&amp;"_blank\"&amp;""""&amp;"&gt;"&amp;G224&amp;"&lt;/a&gt;"&amp;""""</f>
        <v xml:space="preserve">    rtxt_kavcic_et_al_2021: "&lt;a href=\"/08_references.html#kavcic_et_al_2021\" target=\"_blank\"&gt;Kavčić et al., 2021&lt;/a&gt;"</v>
      </c>
      <c r="R224" s="65" t="str">
        <f>"    rbib_"&amp;F224&amp;": "&amp;""""&amp;K224&amp;"&lt;a href=\"&amp;""""&amp;L224&amp;""""&amp;" target=\"&amp;""""&amp;"_blank\"&amp;""""&amp;"&gt;"&amp;L224&amp;"&lt;/a&gt;"&amp;""""</f>
        <v xml:space="preserve">    rbib_kavcic_et_al_2021: "Kavčić, K., Palencia, P., Apollonio, M., Vicente, J., &amp; Šprem, N. (2021). Random encounter model to estimate density of mountain-dwelling ungulate. &lt;i&gt;European Journal of Wildlife Research, 67&lt;/i&gt;(5), 87.&lt;a href=\"https://doi.org/10.1007/s10344-021-01530-1" target=\"_blank\"&gt;https://doi.org/10.1007/s10344-021-01530-1&lt;/a&gt;"</v>
      </c>
      <c r="S224" s="65" t="str">
        <f>"    rbib_"&amp;F224&amp;": "&amp;""""&amp;"&lt;div class=\"&amp;""""&amp;"hanging\"&amp;""""&amp;"&gt;"&amp;J224&amp;"&lt;/div&gt;"&amp;""""</f>
        <v xml:space="preserve">    rbib_kavcic_et_al_2021: "&lt;div class=\"hanging\"&gt;Kavčić, K., Palencia, P., Apollonio, M., Vicente, J., &amp; Šprem, N. (2021). Random encounter model to estimate density of mountain-dwelling ungulate. *European Journal of Wildlife Research, 67*(5), 87. &lt;https://doi.org/10.1007/s10344-021-01530-1&gt;&lt;/div&gt;"</v>
      </c>
      <c r="T224" s="65"/>
    </row>
    <row r="225" spans="1:20" ht="15.75">
      <c r="A225" s="65"/>
      <c r="B225" s="155" t="b">
        <v>1</v>
      </c>
      <c r="C225" s="155" t="b">
        <v>0</v>
      </c>
      <c r="D225" s="155" t="b">
        <v>1</v>
      </c>
      <c r="E225" s="65" t="s">
        <v>1904</v>
      </c>
      <c r="F225" s="65" t="s">
        <v>3063</v>
      </c>
      <c r="G225" s="65" t="s">
        <v>3062</v>
      </c>
      <c r="H225" s="65" t="s">
        <v>3062</v>
      </c>
      <c r="I225" s="65" t="b">
        <v>1</v>
      </c>
      <c r="J225" s="65" t="s">
        <v>3061</v>
      </c>
      <c r="K225" s="65" t="s">
        <v>6081</v>
      </c>
      <c r="L225" s="65" t="s">
        <v>3060</v>
      </c>
      <c r="M225" s="65" t="s">
        <v>984</v>
      </c>
      <c r="N225" s="65" t="str">
        <f>"&lt;div class="&amp;""""&amp;"hanging"&amp;""""&amp;"&gt;"&amp;K225&amp;"&lt;a href="&amp;""""&amp;L225&amp;""""&amp;" target="&amp;""""&amp;"_blank"&amp;""""&amp;"&gt;"&amp;L225&amp;"&lt;/a&gt;&lt;span style="&amp;""""&amp;"color:white"&amp;""""&amp;"&gt;[.]{#"&amp;F225&amp;"}}&lt;/span&gt;&lt;/div&gt;&lt;br&gt;"</f>
        <v>&lt;div class="hanging"&gt;Kays, R., Arbogast, B. S., Baker‐Whatton, M., Beirne, C., Boone, H. M., Bowler, M., Burneo, S. F., Cove, M. V., Ding, P., Espinosa, S., Gonçalves, A. L. S., Hansen, C. P., Jansen, P. A., Kolowski, J. M., Knowles, T. W., Lima, M. G. M., Millspaugh, J., McShea, W. J., Pacifici, K., &amp; Spironello, W. R. (2020). An Empirical Evaluation of Camera Trap Study Design: How Many, How Long and When? &lt;i&gt;Methods in Ecology and Evolution, 11&lt;/i&gt;(6), 700-713.&lt;a href="https://doi.org/10.1111/2041-210x.13370" target="_blank"&gt;https://doi.org/10.1111/2041-210x.13370&lt;/a&gt;&lt;span style="color:white"&gt;[.]{#kays_et_al_2020}}&lt;/span&gt;&lt;/div&gt;&lt;br&gt;</v>
      </c>
      <c r="O225" s="65" t="str">
        <f>"{{ rtxt_"&amp;F225&amp;" }}"</f>
        <v>{{ rtxt_kays_et_al_2020 }}</v>
      </c>
      <c r="P225" s="65" t="str">
        <f>"{{ rbib_"&amp;F225&amp;" }}"</f>
        <v>{{ rbib_kays_et_al_2020 }}</v>
      </c>
      <c r="Q225" s="65" t="str">
        <f>"    rtxt_"&amp;F225&amp;": "&amp;""""&amp;"&lt;a href=\"&amp;""""&amp;"/08_references.html#"&amp;F225&amp;"\"&amp;""""&amp;" target=\"&amp;""""&amp;"_blank\"&amp;""""&amp;"&gt;"&amp;G225&amp;"&lt;/a&gt;"&amp;""""</f>
        <v xml:space="preserve">    rtxt_kays_et_al_2020: "&lt;a href=\"/08_references.html#kays_et_al_2020\" target=\"_blank\"&gt;Kays et al., 2020&lt;/a&gt;"</v>
      </c>
      <c r="R225" s="65" t="str">
        <f>"    rbib_"&amp;F225&amp;": "&amp;""""&amp;K225&amp;"&lt;a href=\"&amp;""""&amp;L225&amp;""""&amp;" target=\"&amp;""""&amp;"_blank\"&amp;""""&amp;"&gt;"&amp;L225&amp;"&lt;/a&gt;"&amp;""""</f>
        <v xml:space="preserve">    rbib_kays_et_al_2020: "Kays, R., Arbogast, B. S., Baker‐Whatton, M., Beirne, C., Boone, H. M., Bowler, M., Burneo, S. F., Cove, M. V., Ding, P., Espinosa, S., Gonçalves, A. L. S., Hansen, C. P., Jansen, P. A., Kolowski, J. M., Knowles, T. W., Lima, M. G. M., Millspaugh, J., McShea, W. J., Pacifici, K., &amp; Spironello, W. R. (2020). An Empirical Evaluation of Camera Trap Study Design: How Many, How Long and When? &lt;i&gt;Methods in Ecology and Evolution, 11&lt;/i&gt;(6), 700-713.&lt;a href=\"https://doi.org/10.1111/2041-210x.13370" target=\"_blank\"&gt;https://doi.org/10.1111/2041-210x.13370&lt;/a&gt;"</v>
      </c>
      <c r="S225" s="65" t="str">
        <f>"    rbib_"&amp;F225&amp;": "&amp;""""&amp;"&lt;div class=\"&amp;""""&amp;"hanging\"&amp;""""&amp;"&gt;"&amp;J225&amp;"&lt;/div&gt;"&amp;""""</f>
        <v xml:space="preserve">    rbib_kays_et_al_2020: "&lt;div class=\"hanging\"&gt;Kays, R., Arbogast, B. S., Baker‐Whatton, M., Beirne, C., Boone, H. M., Bowler, M., Burneo, S. F., Cove, M. V., Ding, P., Espinosa, S., Gonçalves, A. L. S., Hansen, C. P., Jansen, P. A., Kolowski, J. M., Knowles, T. W., Lima, M. G. M., Millspaugh, J., McShea, W. J., Pacifici, K., &amp; Spironello, W. R. (2020). An Empirical Evaluation of Camera Trap Study Design: How Many, How Long and When? *Methods in Ecology and Evolution, 11*(6), 700-713. &lt;https://doi.org/10.1111/2041-210x.13370&gt;&lt;/div&gt;"</v>
      </c>
      <c r="T225" s="65"/>
    </row>
    <row r="226" spans="1:20" ht="15.75">
      <c r="A226" s="65"/>
      <c r="B226" s="155" t="b">
        <v>1</v>
      </c>
      <c r="C226" s="155" t="b">
        <v>0</v>
      </c>
      <c r="D226" s="155" t="b">
        <v>0</v>
      </c>
      <c r="E226" s="65" t="s">
        <v>1904</v>
      </c>
      <c r="F226" s="65" t="s">
        <v>3059</v>
      </c>
      <c r="G226" s="65" t="s">
        <v>3058</v>
      </c>
      <c r="H226" s="65" t="s">
        <v>3058</v>
      </c>
      <c r="I226" s="65" t="b">
        <v>1</v>
      </c>
      <c r="J226" s="65" t="s">
        <v>3057</v>
      </c>
      <c r="K226" s="65" t="s">
        <v>5349</v>
      </c>
      <c r="L226" s="65" t="s">
        <v>3056</v>
      </c>
      <c r="M226" s="65" t="s">
        <v>984</v>
      </c>
      <c r="N226" s="65" t="str">
        <f>"&lt;div class="&amp;""""&amp;"hanging"&amp;""""&amp;"&gt;"&amp;K226&amp;"&lt;a href="&amp;""""&amp;L226&amp;""""&amp;" target="&amp;""""&amp;"_blank"&amp;""""&amp;"&gt;"&amp;L226&amp;"&lt;/a&gt;&lt;span style="&amp;""""&amp;"color:white"&amp;""""&amp;"&gt;[.]{#"&amp;F226&amp;"}}&lt;/span&gt;&lt;/div&gt;&lt;br&gt;"</f>
        <v>&lt;div class="hanging"&gt;Kays, R., Hody, A., Jachowski, D. S., &amp; Parsons, A. W. (2021). Empirical Evaluation of the Spatial Scale and Detection Process of Camera Trap Surveys. &lt;i&gt;Movement Ecology, 9&lt;/i&gt;, 41.&lt;a href="https://doi.org/10.1186/s40462-021-00277-3." target="_blank"&gt;https://doi.org/10.1186/s40462-021-00277-3.&lt;/a&gt;&lt;span style="color:white"&gt;[.]{#kays_et_al_2021}}&lt;/span&gt;&lt;/div&gt;&lt;br&gt;</v>
      </c>
      <c r="O226" s="65" t="str">
        <f>"{{ rtxt_"&amp;F226&amp;" }}"</f>
        <v>{{ rtxt_kays_et_al_2021 }}</v>
      </c>
      <c r="P226" s="65" t="str">
        <f>"{{ rbib_"&amp;F226&amp;" }}"</f>
        <v>{{ rbib_kays_et_al_2021 }}</v>
      </c>
      <c r="Q226" s="65" t="str">
        <f>"    rtxt_"&amp;F226&amp;": "&amp;""""&amp;"&lt;a href=\"&amp;""""&amp;"/08_references.html#"&amp;F226&amp;"\"&amp;""""&amp;" target=\"&amp;""""&amp;"_blank\"&amp;""""&amp;"&gt;"&amp;G226&amp;"&lt;/a&gt;"&amp;""""</f>
        <v xml:space="preserve">    rtxt_kays_et_al_2021: "&lt;a href=\"/08_references.html#kays_et_al_2021\" target=\"_blank\"&gt;Kays et al., 2021&lt;/a&gt;"</v>
      </c>
      <c r="R226" s="65" t="str">
        <f>"    rbib_"&amp;F226&amp;": "&amp;""""&amp;K226&amp;"&lt;a href=\"&amp;""""&amp;L226&amp;""""&amp;" target=\"&amp;""""&amp;"_blank\"&amp;""""&amp;"&gt;"&amp;L226&amp;"&lt;/a&gt;"&amp;""""</f>
        <v xml:space="preserve">    rbib_kays_et_al_2021: "Kays, R., Hody, A., Jachowski, D. S., &amp; Parsons, A. W. (2021). Empirical Evaluation of the Spatial Scale and Detection Process of Camera Trap Surveys. &lt;i&gt;Movement Ecology, 9&lt;/i&gt;, 41.&lt;a href=\"https://doi.org/10.1186/s40462-021-00277-3." target=\"_blank\"&gt;https://doi.org/10.1186/s40462-021-00277-3.&lt;/a&gt;"</v>
      </c>
      <c r="S226" s="65" t="str">
        <f>"    rbib_"&amp;F226&amp;": "&amp;""""&amp;"&lt;div class=\"&amp;""""&amp;"hanging\"&amp;""""&amp;"&gt;"&amp;J226&amp;"&lt;/div&gt;"&amp;""""</f>
        <v xml:space="preserve">    rbib_kays_et_al_2021: "&lt;div class=\"hanging\"&gt;Kays, R., Hody, A., Jachowski, D. S., &amp; Parsons, A. W. (2021). Empirical Evaluation of the Spatial Scale and Detection Process of Camera Trap Surveys. *Movement Ecology, 9*, 41. &lt;https://doi.org/10.1186/s40462-021-00277-3.&gt;&lt;/div&gt;"</v>
      </c>
      <c r="T226" s="65"/>
    </row>
    <row r="227" spans="1:20" ht="15.75">
      <c r="A227" s="65"/>
      <c r="B227" s="155" t="b">
        <v>0</v>
      </c>
      <c r="C227" s="155" t="b">
        <v>0</v>
      </c>
      <c r="D227" s="155" t="s">
        <v>1993</v>
      </c>
      <c r="E227" s="65" t="s">
        <v>1904</v>
      </c>
      <c r="F227" s="65" t="s">
        <v>3071</v>
      </c>
      <c r="G227" s="65" t="s">
        <v>3070</v>
      </c>
      <c r="H227" s="65" t="s">
        <v>3070</v>
      </c>
      <c r="I227" s="65" t="b">
        <v>1</v>
      </c>
      <c r="J227" s="65" t="s">
        <v>3069</v>
      </c>
      <c r="K227" s="65" t="s">
        <v>5273</v>
      </c>
      <c r="L227" s="65" t="s">
        <v>3068</v>
      </c>
      <c r="M227" s="65" t="s">
        <v>984</v>
      </c>
      <c r="N227" s="65" t="str">
        <f>"&lt;div class="&amp;""""&amp;"hanging"&amp;""""&amp;"&gt;"&amp;K227&amp;"&lt;a href="&amp;""""&amp;L227&amp;""""&amp;" target="&amp;""""&amp;"_blank"&amp;""""&amp;"&gt;"&amp;L227&amp;"&lt;/a&gt;&lt;span style="&amp;""""&amp;"color:white"&amp;""""&amp;"&gt;[.]{#"&amp;F227&amp;"}}&lt;/span&gt;&lt;/div&gt;&lt;br&gt;"</f>
        <v>&lt;div class="hanging"&gt;Kays, R., Kranstauber, B., Jansen, P., Carbone, C., Rowcliffe, M., Fountain, T., &amp; Tilak, S. (2009). Camera traps as sensor networks for monitoring animal communities. &lt;i&gt;2009 IEEE 34th Conference on Local Computer Networks&lt;/i&gt;, 811-818.&lt;a href="https://doi.org/10.1109/lcn.2009.5355046" target="_blank"&gt;https://doi.org/10.1109/lcn.2009.5355046&lt;/a&gt;&lt;span style="color:white"&gt;[.]{#kays_et_al_2009}}&lt;/span&gt;&lt;/div&gt;&lt;br&gt;</v>
      </c>
      <c r="O227" s="65" t="str">
        <f>"{{ rtxt_"&amp;F227&amp;" }}"</f>
        <v>{{ rtxt_kays_et_al_2009 }}</v>
      </c>
      <c r="P227" s="65" t="str">
        <f>"{{ rbib_"&amp;F227&amp;" }}"</f>
        <v>{{ rbib_kays_et_al_2009 }}</v>
      </c>
      <c r="Q227" s="65" t="str">
        <f>"    rtxt_"&amp;F227&amp;": "&amp;""""&amp;"&lt;a href=\"&amp;""""&amp;"/08_references.html#"&amp;F227&amp;"\"&amp;""""&amp;" target=\"&amp;""""&amp;"_blank\"&amp;""""&amp;"&gt;"&amp;G227&amp;"&lt;/a&gt;"&amp;""""</f>
        <v xml:space="preserve">    rtxt_kays_et_al_2009: "&lt;a href=\"/08_references.html#kays_et_al_2009\" target=\"_blank\"&gt;Kays et al., 2009&lt;/a&gt;"</v>
      </c>
      <c r="R227" s="65" t="str">
        <f>"    rbib_"&amp;F227&amp;": "&amp;""""&amp;K227&amp;"&lt;a href=\"&amp;""""&amp;L227&amp;""""&amp;" target=\"&amp;""""&amp;"_blank\"&amp;""""&amp;"&gt;"&amp;L227&amp;"&lt;/a&gt;"&amp;""""</f>
        <v xml:space="preserve">    rbib_kays_et_al_2009: "Kays, R., Kranstauber, B., Jansen, P., Carbone, C., Rowcliffe, M., Fountain, T., &amp; Tilak, S. (2009). Camera traps as sensor networks for monitoring animal communities. &lt;i&gt;2009 IEEE 34th Conference on Local Computer Networks&lt;/i&gt;, 811-818.&lt;a href=\"https://doi.org/10.1109/lcn.2009.5355046" target=\"_blank\"&gt;https://doi.org/10.1109/lcn.2009.5355046&lt;/a&gt;"</v>
      </c>
      <c r="S227" s="65" t="str">
        <f>"    rbib_"&amp;F227&amp;": "&amp;""""&amp;"&lt;div class=\"&amp;""""&amp;"hanging\"&amp;""""&amp;"&gt;"&amp;J227&amp;"&lt;/div&gt;"&amp;""""</f>
        <v xml:space="preserve">    rbib_kays_et_al_2009: "&lt;div class=\"hanging\"&gt;Kays, R., Kranstauber, B., Jansen, P., Carbone, C., Rowcliffe, M., Fountain, T., &amp; Tilak, S. (2009). Camera traps as sensor networks for monitoring animal communities. *2009 IEEE 34th Conference on Local Computer Networks*, 811-818. &lt;https://doi.org/10.1109/lcn.2009.5355046&gt;&lt;/div&gt;"</v>
      </c>
      <c r="T227" s="65"/>
    </row>
    <row r="228" spans="1:20" ht="15.75">
      <c r="A228" s="65"/>
      <c r="B228" s="155" t="b">
        <v>1</v>
      </c>
      <c r="C228" s="155" t="b">
        <v>0</v>
      </c>
      <c r="D228" s="155" t="b">
        <v>0</v>
      </c>
      <c r="E228" s="65" t="s">
        <v>1904</v>
      </c>
      <c r="F228" s="65" t="s">
        <v>3067</v>
      </c>
      <c r="G228" s="65" t="s">
        <v>3066</v>
      </c>
      <c r="H228" s="65" t="s">
        <v>3066</v>
      </c>
      <c r="I228" s="65" t="b">
        <v>1</v>
      </c>
      <c r="J228" s="65" t="s">
        <v>3065</v>
      </c>
      <c r="K228" s="65" t="s">
        <v>5109</v>
      </c>
      <c r="L228" s="65" t="s">
        <v>3064</v>
      </c>
      <c r="M228" s="65" t="s">
        <v>984</v>
      </c>
      <c r="N228" s="65" t="str">
        <f>"&lt;div class="&amp;""""&amp;"hanging"&amp;""""&amp;"&gt;"&amp;K228&amp;"&lt;a href="&amp;""""&amp;L228&amp;""""&amp;" target="&amp;""""&amp;"_blank"&amp;""""&amp;"&gt;"&amp;L228&amp;"&lt;/a&gt;&lt;span style="&amp;""""&amp;"color:white"&amp;""""&amp;"&gt;[.]{#"&amp;F228&amp;"}}&lt;/span&gt;&lt;/div&gt;&lt;br&gt;"</f>
        <v>&lt;div class="hanging"&gt;Kays, R., Tilak, S., Kranstauber, B., Jansen, P. A., Carbone, C., Rowcliffe, M. J., &amp; He, Z. (2010). Monitoring wild animal communities with arrays of motion sensitive camera traps. &lt;i&gt;arXiv Preprint&lt;/i&gt;, arXiv:1009. 5718.&lt;a href="https://arxiv.org/pdf/1009.5718" target="_blank"&gt;https://arxiv.org/pdf/1009.5718&lt;/a&gt;&lt;span style="color:white"&gt;[.]{#kays_et_al_2010}}&lt;/span&gt;&lt;/div&gt;&lt;br&gt;</v>
      </c>
      <c r="O228" s="65" t="str">
        <f>"{{ rtxt_"&amp;F228&amp;" }}"</f>
        <v>{{ rtxt_kays_et_al_2010 }}</v>
      </c>
      <c r="P228" s="65" t="str">
        <f>"{{ rbib_"&amp;F228&amp;" }}"</f>
        <v>{{ rbib_kays_et_al_2010 }}</v>
      </c>
      <c r="Q228" s="65" t="str">
        <f>"    rtxt_"&amp;F228&amp;": "&amp;""""&amp;"&lt;a href=\"&amp;""""&amp;"/08_references.html#"&amp;F228&amp;"\"&amp;""""&amp;" target=\"&amp;""""&amp;"_blank\"&amp;""""&amp;"&gt;"&amp;G228&amp;"&lt;/a&gt;"&amp;""""</f>
        <v xml:space="preserve">    rtxt_kays_et_al_2010: "&lt;a href=\"/08_references.html#kays_et_al_2010\" target=\"_blank\"&gt;Kays et al., 2010&lt;/a&gt;"</v>
      </c>
      <c r="R228" s="65" t="str">
        <f>"    rbib_"&amp;F228&amp;": "&amp;""""&amp;K228&amp;"&lt;a href=\"&amp;""""&amp;L228&amp;""""&amp;" target=\"&amp;""""&amp;"_blank\"&amp;""""&amp;"&gt;"&amp;L228&amp;"&lt;/a&gt;"&amp;""""</f>
        <v xml:space="preserve">    rbib_kays_et_al_2010: "Kays, R., Tilak, S., Kranstauber, B., Jansen, P. A., Carbone, C., Rowcliffe, M. J., &amp; He, Z. (2010). Monitoring wild animal communities with arrays of motion sensitive camera traps. &lt;i&gt;arXiv Preprint&lt;/i&gt;, arXiv:1009. 5718.&lt;a href=\"https://arxiv.org/pdf/1009.5718" target=\"_blank\"&gt;https://arxiv.org/pdf/1009.5718&lt;/a&gt;"</v>
      </c>
      <c r="S228" s="65" t="str">
        <f>"    rbib_"&amp;F228&amp;": "&amp;""""&amp;"&lt;div class=\"&amp;""""&amp;"hanging\"&amp;""""&amp;"&gt;"&amp;J228&amp;"&lt;/div&gt;"&amp;""""</f>
        <v xml:space="preserve">    rbib_kays_et_al_2010: "&lt;div class=\"hanging\"&gt;Kays, R., Tilak, S., Kranstauber, B., Jansen, P. A., Carbone, C., Rowcliffe, M. J., &amp; He, Z. (2010). Monitoring wild animal communities with arrays of motion sensitive camera traps. *arXiv Preprint*, arXiv:1009. 5718. &lt;https://arxiv.org/pdf/1009.5718&gt;&lt;/div&gt;"</v>
      </c>
      <c r="T228" s="65"/>
    </row>
    <row r="229" spans="1:20" ht="15.75">
      <c r="A229" s="65"/>
      <c r="B229" s="155" t="b">
        <v>0</v>
      </c>
      <c r="C229" s="155" t="b">
        <v>0</v>
      </c>
      <c r="D229" s="155" t="b">
        <v>1</v>
      </c>
      <c r="E229" s="65" t="s">
        <v>1904</v>
      </c>
      <c r="F229" s="65" t="s">
        <v>3055</v>
      </c>
      <c r="G229" s="65" t="s">
        <v>3054</v>
      </c>
      <c r="H229" s="65" t="s">
        <v>3054</v>
      </c>
      <c r="I229" s="65" t="b">
        <v>1</v>
      </c>
      <c r="J229" s="65" t="s">
        <v>3053</v>
      </c>
      <c r="K229" s="65" t="s">
        <v>6082</v>
      </c>
      <c r="L229" s="65" t="s">
        <v>3052</v>
      </c>
      <c r="M229" s="65" t="s">
        <v>984</v>
      </c>
      <c r="N229" s="65" t="str">
        <f>"&lt;div class="&amp;""""&amp;"hanging"&amp;""""&amp;"&gt;"&amp;K229&amp;"&lt;a href="&amp;""""&amp;L229&amp;""""&amp;" target="&amp;""""&amp;"_blank"&amp;""""&amp;"&gt;"&amp;L229&amp;"&lt;/a&gt;&lt;span style="&amp;""""&amp;"color:white"&amp;""""&amp;"&gt;[.]{#"&amp;F229&amp;"}}&lt;/span&gt;&lt;/div&gt;&lt;br&gt;"</f>
        <v>&lt;div class="hanging"&gt;Keim, J. L., DeWitt, P. D., &amp; Lele, S. R. (2011). Predators choose prey over prey habitats: Evidence from a lynx-hare system. &lt;i&gt;Ecological Applications, 21&lt;/i&gt;(4), 1011-1016.&lt;a href="https://doi.org/10.1890/10-0949.1" target="_blank"&gt;https://doi.org/10.1890/10-0949.1&lt;/a&gt;&lt;span style="color:white"&gt;[.]{#keim_et_al_2011}}&lt;/span&gt;&lt;/div&gt;&lt;br&gt;</v>
      </c>
      <c r="O229" s="65" t="str">
        <f>"{{ rtxt_"&amp;F229&amp;" }}"</f>
        <v>{{ rtxt_keim_et_al_2011 }}</v>
      </c>
      <c r="P229" s="65" t="str">
        <f>"{{ rbib_"&amp;F229&amp;" }}"</f>
        <v>{{ rbib_keim_et_al_2011 }}</v>
      </c>
      <c r="Q229" s="65" t="str">
        <f>"    rtxt_"&amp;F229&amp;": "&amp;""""&amp;"&lt;a href=\"&amp;""""&amp;"/08_references.html#"&amp;F229&amp;"\"&amp;""""&amp;" target=\"&amp;""""&amp;"_blank\"&amp;""""&amp;"&gt;"&amp;G229&amp;"&lt;/a&gt;"&amp;""""</f>
        <v xml:space="preserve">    rtxt_keim_et_al_2011: "&lt;a href=\"/08_references.html#keim_et_al_2011\" target=\"_blank\"&gt;Keim et al., 2011&lt;/a&gt;"</v>
      </c>
      <c r="R229" s="65" t="str">
        <f>"    rbib_"&amp;F229&amp;": "&amp;""""&amp;K229&amp;"&lt;a href=\"&amp;""""&amp;L229&amp;""""&amp;" target=\"&amp;""""&amp;"_blank\"&amp;""""&amp;"&gt;"&amp;L229&amp;"&lt;/a&gt;"&amp;""""</f>
        <v xml:space="preserve">    rbib_keim_et_al_2011: "Keim, J. L., DeWitt, P. D., &amp; Lele, S. R. (2011). Predators choose prey over prey habitats: Evidence from a lynx-hare system. &lt;i&gt;Ecological Applications, 21&lt;/i&gt;(4), 1011-1016.&lt;a href=\"https://doi.org/10.1890/10-0949.1" target=\"_blank\"&gt;https://doi.org/10.1890/10-0949.1&lt;/a&gt;"</v>
      </c>
      <c r="S229" s="65" t="str">
        <f>"    rbib_"&amp;F229&amp;": "&amp;""""&amp;"&lt;div class=\"&amp;""""&amp;"hanging\"&amp;""""&amp;"&gt;"&amp;J229&amp;"&lt;/div&gt;"&amp;""""</f>
        <v xml:space="preserve">    rbib_keim_et_al_2011: "&lt;div class=\"hanging\"&gt;Keim, J. L., DeWitt, P. D., &amp; Lele, S. R. (2011). Predators choose prey over prey habitats: Evidence from a lynx-hare system. *Ecological Applications, 21*(4), 1011-1016. &lt;https://doi.org/10.1890/10-0949.1&gt;&lt;/div&gt;"</v>
      </c>
      <c r="T229" s="65"/>
    </row>
    <row r="230" spans="1:20" ht="15.75">
      <c r="A230" s="65"/>
      <c r="B230" s="155" t="b">
        <v>1</v>
      </c>
      <c r="C230" s="155" t="b">
        <v>0</v>
      </c>
      <c r="D230" s="155" t="b">
        <v>0</v>
      </c>
      <c r="E230" s="65" t="s">
        <v>1904</v>
      </c>
      <c r="F230" s="65" t="s">
        <v>3047</v>
      </c>
      <c r="G230" s="65" t="s">
        <v>3046</v>
      </c>
      <c r="H230" s="65" t="s">
        <v>3046</v>
      </c>
      <c r="I230" s="65" t="b">
        <v>1</v>
      </c>
      <c r="J230" s="65" t="s">
        <v>3045</v>
      </c>
      <c r="K230" s="65" t="s">
        <v>5429</v>
      </c>
      <c r="L230" s="65" t="s">
        <v>3044</v>
      </c>
      <c r="M230" s="65" t="s">
        <v>984</v>
      </c>
      <c r="N230" s="65" t="str">
        <f>"&lt;div class="&amp;""""&amp;"hanging"&amp;""""&amp;"&gt;"&amp;K230&amp;"&lt;a href="&amp;""""&amp;L230&amp;""""&amp;" target="&amp;""""&amp;"_blank"&amp;""""&amp;"&gt;"&amp;L230&amp;"&lt;/a&gt;&lt;span style="&amp;""""&amp;"color:white"&amp;""""&amp;"&gt;[.]{#"&amp;F230&amp;"}}&lt;/span&gt;&lt;/div&gt;&lt;br&gt;"</f>
        <v>&lt;div class="hanging"&gt;Keim, J. L., DeWitt, P. D., Wilson, S. F., Fitzpatrick, J. J., Jenni, N. S., &amp; Lele, S. R. (2021). Managing animal movement conserves predator-prey dynamics. &lt;i&gt;Frontiers in Ecology and the Environment, 19&lt;/i&gt;(7), 379-385.&lt;a href="https://esajournals.onlinelibrary.wiley.com/doi/10.1002/fee.2358" target="_blank"&gt;https://esajournals.onlinelibrary.wiley.com/doi/10.1002/fee.2358&lt;/a&gt;&lt;span style="color:white"&gt;[.]{#keim_et_al_2021}}&lt;/span&gt;&lt;/div&gt;&lt;br&gt;</v>
      </c>
      <c r="O230" s="65" t="str">
        <f>"{{ rtxt_"&amp;F230&amp;" }}"</f>
        <v>{{ rtxt_keim_et_al_2021 }}</v>
      </c>
      <c r="P230" s="65" t="str">
        <f>"{{ rbib_"&amp;F230&amp;" }}"</f>
        <v>{{ rbib_keim_et_al_2021 }}</v>
      </c>
      <c r="Q230" s="65" t="str">
        <f>"    rtxt_"&amp;F230&amp;": "&amp;""""&amp;"&lt;a href=\"&amp;""""&amp;"/08_references.html#"&amp;F230&amp;"\"&amp;""""&amp;" target=\"&amp;""""&amp;"_blank\"&amp;""""&amp;"&gt;"&amp;G230&amp;"&lt;/a&gt;"&amp;""""</f>
        <v xml:space="preserve">    rtxt_keim_et_al_2021: "&lt;a href=\"/08_references.html#keim_et_al_2021\" target=\"_blank\"&gt;Keim et al., 2021&lt;/a&gt;"</v>
      </c>
      <c r="R230" s="65" t="str">
        <f>"    rbib_"&amp;F230&amp;": "&amp;""""&amp;K230&amp;"&lt;a href=\"&amp;""""&amp;L230&amp;""""&amp;" target=\"&amp;""""&amp;"_blank\"&amp;""""&amp;"&gt;"&amp;L230&amp;"&lt;/a&gt;"&amp;""""</f>
        <v xml:space="preserve">    rbib_keim_et_al_2021: "Keim, J. L., DeWitt, P. D., Wilson, S. F., Fitzpatrick, J. J., Jenni, N. S., &amp; Lele, S. R. (2021). Managing animal movement conserves predator-prey dynamics. &lt;i&gt;Frontiers in Ecology and the Environment, 19&lt;/i&gt;(7), 379-385.&lt;a href=\"https://esajournals.onlinelibrary.wiley.com/doi/10.1002/fee.2358" target=\"_blank\"&gt;https://esajournals.onlinelibrary.wiley.com/doi/10.1002/fee.2358&lt;/a&gt;"</v>
      </c>
      <c r="S230" s="65" t="str">
        <f>"    rbib_"&amp;F230&amp;": "&amp;""""&amp;"&lt;div class=\"&amp;""""&amp;"hanging\"&amp;""""&amp;"&gt;"&amp;J230&amp;"&lt;/div&gt;"&amp;""""</f>
        <v xml:space="preserve">    rbib_keim_et_al_2021: "&lt;div class=\"hanging\"&gt;Keim, J. L., DeWitt, P. D., Wilson, S. F., Fitzpatrick, J. J., Jenni, N. S., &amp; Lele, S. R. (2021). Managing animal movement conserves predator-prey dynamics. *Frontiers in Ecology and the Environment, 19*(7), 379-385. &lt;https://esajournals.onlinelibrary.wiley.com/doi/10.1002/fee.2358&gt;&lt;/div&gt;"</v>
      </c>
      <c r="T230" s="65"/>
    </row>
    <row r="231" spans="1:20" ht="15.75">
      <c r="A231" s="65"/>
      <c r="B231" s="155" t="b">
        <v>1</v>
      </c>
      <c r="C231" s="155" t="b">
        <v>0</v>
      </c>
      <c r="D231" s="155" t="b">
        <v>1</v>
      </c>
      <c r="E231" s="65" t="s">
        <v>1904</v>
      </c>
      <c r="F231" s="65" t="s">
        <v>3051</v>
      </c>
      <c r="G231" s="65" t="s">
        <v>3050</v>
      </c>
      <c r="H231" s="65" t="s">
        <v>3050</v>
      </c>
      <c r="I231" s="65" t="b">
        <v>1</v>
      </c>
      <c r="J231" s="65" t="s">
        <v>3049</v>
      </c>
      <c r="K231" s="65" t="s">
        <v>5275</v>
      </c>
      <c r="L231" s="65" t="s">
        <v>3048</v>
      </c>
      <c r="M231" s="65" t="s">
        <v>984</v>
      </c>
      <c r="N231" s="65" t="str">
        <f>"&lt;div class="&amp;""""&amp;"hanging"&amp;""""&amp;"&gt;"&amp;K231&amp;"&lt;a href="&amp;""""&amp;L231&amp;""""&amp;" target="&amp;""""&amp;"_blank"&amp;""""&amp;"&gt;"&amp;L231&amp;"&lt;/a&gt;&lt;span style="&amp;""""&amp;"color:white"&amp;""""&amp;"&gt;[.]{#"&amp;F231&amp;"}}&lt;/span&gt;&lt;/div&gt;&lt;br&gt;"</f>
        <v>&lt;div class="hanging"&gt;Keim, J. L., Lele, S. R., DeWitt, P. D., Fitzpatrick, J. J., Jenni, N. S. (2019). Estimating the intensity of use by interacting predators and prey using camera traps. &lt;i&gt;Journal of Animal Ecology, 88&lt;/i&gt;, 690-701.&lt;a href="https://doi.org/10.1111/1365-2656.12960" target="_blank"&gt;https://doi.org/10.1111/1365-2656.12960&lt;/a&gt;&lt;span style="color:white"&gt;[.]{#keim_et_al_2019}}&lt;/span&gt;&lt;/div&gt;&lt;br&gt;</v>
      </c>
      <c r="O231" s="65" t="str">
        <f>"{{ rtxt_"&amp;F231&amp;" }}"</f>
        <v>{{ rtxt_keim_et_al_2019 }}</v>
      </c>
      <c r="P231" s="65" t="str">
        <f>"{{ rbib_"&amp;F231&amp;" }}"</f>
        <v>{{ rbib_keim_et_al_2019 }}</v>
      </c>
      <c r="Q231" s="65" t="str">
        <f>"    rtxt_"&amp;F231&amp;": "&amp;""""&amp;"&lt;a href=\"&amp;""""&amp;"/08_references.html#"&amp;F231&amp;"\"&amp;""""&amp;" target=\"&amp;""""&amp;"_blank\"&amp;""""&amp;"&gt;"&amp;G231&amp;"&lt;/a&gt;"&amp;""""</f>
        <v xml:space="preserve">    rtxt_keim_et_al_2019: "&lt;a href=\"/08_references.html#keim_et_al_2019\" target=\"_blank\"&gt;Keim et al., 2019&lt;/a&gt;"</v>
      </c>
      <c r="R231" s="65" t="str">
        <f>"    rbib_"&amp;F231&amp;": "&amp;""""&amp;K231&amp;"&lt;a href=\"&amp;""""&amp;L231&amp;""""&amp;" target=\"&amp;""""&amp;"_blank\"&amp;""""&amp;"&gt;"&amp;L231&amp;"&lt;/a&gt;"&amp;""""</f>
        <v xml:space="preserve">    rbib_keim_et_al_2019: "Keim, J. L., Lele, S. R., DeWitt, P. D., Fitzpatrick, J. J., Jenni, N. S. (2019). Estimating the intensity of use by interacting predators and prey using camera traps. &lt;i&gt;Journal of Animal Ecology, 88&lt;/i&gt;, 690-701.&lt;a href=\"https://doi.org/10.1111/1365-2656.12960" target=\"_blank\"&gt;https://doi.org/10.1111/1365-2656.12960&lt;/a&gt;"</v>
      </c>
      <c r="S231" s="65" t="str">
        <f>"    rbib_"&amp;F231&amp;": "&amp;""""&amp;"&lt;div class=\"&amp;""""&amp;"hanging\"&amp;""""&amp;"&gt;"&amp;J231&amp;"&lt;/div&gt;"&amp;""""</f>
        <v xml:space="preserve">    rbib_keim_et_al_2019: "&lt;div class=\"hanging\"&gt;Keim, J. L., Lele, S. R., DeWitt, P. D., Fitzpatrick, J. J., Jenni, N. S. (2019). Estimating the intensity of use by interacting predators and prey using camera traps. *Journal of Animal Ecology, 88*, 690-701. &lt;https://doi.org/10.1111/1365-2656.12960&gt;&lt;/div&gt;"</v>
      </c>
      <c r="T231" s="65"/>
    </row>
    <row r="232" spans="1:20" ht="15.75">
      <c r="A232" s="65"/>
      <c r="B232" s="155"/>
      <c r="C232" s="155"/>
      <c r="D232" s="155"/>
      <c r="E232" s="65" t="s">
        <v>1904</v>
      </c>
      <c r="F232" s="65" t="s">
        <v>3043</v>
      </c>
      <c r="G232" s="65" t="s">
        <v>3042</v>
      </c>
      <c r="H232" s="65"/>
      <c r="I232" s="65" t="b">
        <v>1</v>
      </c>
      <c r="J232" s="65" t="s">
        <v>3041</v>
      </c>
      <c r="K232" s="65" t="s">
        <v>5249</v>
      </c>
      <c r="L232" s="65" t="s">
        <v>3040</v>
      </c>
      <c r="M232" s="65" t="s">
        <v>984</v>
      </c>
      <c r="N232" s="65" t="str">
        <f>"&lt;div class="&amp;""""&amp;"hanging"&amp;""""&amp;"&gt;"&amp;K232&amp;"&lt;a href="&amp;""""&amp;L232&amp;""""&amp;" target="&amp;""""&amp;"_blank"&amp;""""&amp;"&gt;"&amp;L232&amp;"&lt;/a&gt;&lt;span style="&amp;""""&amp;"color:white"&amp;""""&amp;"&gt;[.]{#"&amp;F232&amp;"}}&lt;/span&gt;&lt;/div&gt;&lt;br&gt;"</f>
        <v>&lt;div class="hanging"&gt;Kelejian, H. H., &amp; Prucha, I. R. (1998). A Generalized Spatial Two-Stage Least Squares Procedure for Estimating a Spatial Autoregressive Model with Autoregressive Disturbances. &lt;i&gt;Journal of Real Estate Finance and Economics, 17&lt;/i&gt;, 99-121.&lt;a href="https://doi.org/10.1023/A:1007707430416" target="_blank"&gt;https://doi.org/10.1023/A:1007707430416&lt;/a&gt;&lt;span style="color:white"&gt;[.]{#kelejian_prucha_1998}}&lt;/span&gt;&lt;/div&gt;&lt;br&gt;</v>
      </c>
      <c r="O232" s="65" t="str">
        <f>"{{ rtxt_"&amp;F232&amp;" }}"</f>
        <v>{{ rtxt_kelejian_prucha_1998 }}</v>
      </c>
      <c r="P232" s="65" t="str">
        <f>"{{ rbib_"&amp;F232&amp;" }}"</f>
        <v>{{ rbib_kelejian_prucha_1998 }}</v>
      </c>
      <c r="Q232" s="65" t="str">
        <f>"    rtxt_"&amp;F232&amp;": "&amp;""""&amp;"&lt;a href=\"&amp;""""&amp;"/08_references.html#"&amp;F232&amp;"\"&amp;""""&amp;" target=\"&amp;""""&amp;"_blank\"&amp;""""&amp;"&gt;"&amp;G232&amp;"&lt;/a&gt;"&amp;""""</f>
        <v xml:space="preserve">    rtxt_kelejian_prucha_1998: "&lt;a href=\"/08_references.html#kelejian_prucha_1998\" target=\"_blank\"&gt;Kelejian &amp; Prucha, 1998&lt;/a&gt;"</v>
      </c>
      <c r="R232" s="65" t="str">
        <f>"    rbib_"&amp;F232&amp;": "&amp;""""&amp;K232&amp;"&lt;a href=\"&amp;""""&amp;L232&amp;""""&amp;" target=\"&amp;""""&amp;"_blank\"&amp;""""&amp;"&gt;"&amp;L232&amp;"&lt;/a&gt;"&amp;""""</f>
        <v xml:space="preserve">    rbib_kelejian_prucha_1998: "Kelejian, H. H., &amp; Prucha, I. R. (1998). A Generalized Spatial Two-Stage Least Squares Procedure for Estimating a Spatial Autoregressive Model with Autoregressive Disturbances. &lt;i&gt;Journal of Real Estate Finance and Economics, 17&lt;/i&gt;, 99-121.&lt;a href=\"https://doi.org/10.1023/A:1007707430416" target=\"_blank\"&gt;https://doi.org/10.1023/A:1007707430416&lt;/a&gt;"</v>
      </c>
      <c r="S232" s="65" t="str">
        <f>"    rbib_"&amp;F232&amp;": "&amp;""""&amp;"&lt;div class=\"&amp;""""&amp;"hanging\"&amp;""""&amp;"&gt;"&amp;J232&amp;"&lt;/div&gt;"&amp;""""</f>
        <v xml:space="preserve">    rbib_kelejian_prucha_1998: "&lt;div class=\"hanging\"&gt;Kelejian, H. H., &amp; Prucha, I. R. (1998). A Generalized Spatial Two-Stage Least Squares Procedure for Estimating a Spatial Autoregressive Model with Autoregressive Disturbances. *Journal of Real Estate Finance and Economics, 17*, 99-121. &lt;https://doi.org/10.1023/A:1007707430416&gt;&lt;/div&gt;"</v>
      </c>
      <c r="T232" s="65"/>
    </row>
    <row r="233" spans="1:20" ht="15.75">
      <c r="A233" s="65"/>
      <c r="B233" s="155"/>
      <c r="C233" s="155"/>
      <c r="D233" s="155"/>
      <c r="E233" s="65" t="s">
        <v>2246</v>
      </c>
      <c r="F233" s="65" t="s">
        <v>3393</v>
      </c>
      <c r="G233" s="65" t="s">
        <v>3392</v>
      </c>
      <c r="H233" s="65"/>
      <c r="I233" s="65" t="b">
        <v>1</v>
      </c>
      <c r="J233" s="65" t="s">
        <v>3391</v>
      </c>
      <c r="K233" s="65" t="s">
        <v>5488</v>
      </c>
      <c r="L233" s="65" t="s">
        <v>3390</v>
      </c>
      <c r="M233" s="65" t="s">
        <v>984</v>
      </c>
      <c r="N233" s="65" t="str">
        <f>"&lt;div class="&amp;""""&amp;"hanging"&amp;""""&amp;"&gt;"&amp;K233&amp;"&lt;a href="&amp;""""&amp;L233&amp;""""&amp;" target="&amp;""""&amp;"_blank"&amp;""""&amp;"&gt;"&amp;L233&amp;"&lt;/a&gt;&lt;span style="&amp;""""&amp;"color:white"&amp;""""&amp;"&gt;[.]{#"&amp;F233&amp;"}}&lt;/span&gt;&lt;/div&gt;&lt;br&gt;"</f>
        <v>&lt;div class="hanging"&gt;Kellner, K. F., Smith, A. D., Royle, J. A., Kery, M, Belant, J. L., &amp; Chandler, R. B. (2023). The unmarked R package: Twelve years of advances in occurrence and abundance modelling in ecology. &lt;i&gt;Methods in Ecology and Evolution, 14&lt;/i&gt; (6), 1408-1415.&lt;a href="https://www.jstatsoft.org/v43/i10/" target="_blank"&gt;https://www.jstatsoft.org/v43/i10/&lt;/a&gt;&lt;span style="color:white"&gt;[.]{#fiske_chandler_2011}}&lt;/span&gt;&lt;/div&gt;&lt;br&gt;</v>
      </c>
      <c r="O233" s="65" t="str">
        <f>"{{ rtxt_"&amp;F233&amp;" }}"</f>
        <v>{{ rtxt_fiske_chandler_2011 }}</v>
      </c>
      <c r="P233" s="65" t="str">
        <f>"{{ rbib_"&amp;F233&amp;" }}"</f>
        <v>{{ rbib_fiske_chandler_2011 }}</v>
      </c>
      <c r="Q233" s="65" t="str">
        <f>"    rtxt_"&amp;F233&amp;": "&amp;""""&amp;"&lt;a href=\"&amp;""""&amp;"/08_references.html#"&amp;F233&amp;"\"&amp;""""&amp;" target=\"&amp;""""&amp;"_blank\"&amp;""""&amp;"&gt;"&amp;G233&amp;"&lt;/a&gt;"&amp;""""</f>
        <v xml:space="preserve">    rtxt_fiske_chandler_2011: "&lt;a href=\"/08_references.html#fiske_chandler_2011\" target=\"_blank\"&gt;Fiske &amp; Chandler, 2011&lt;/a&gt;"</v>
      </c>
      <c r="R233" s="65" t="str">
        <f>"    rbib_"&amp;F233&amp;": "&amp;""""&amp;K233&amp;"&lt;a href=\"&amp;""""&amp;L233&amp;""""&amp;" target=\"&amp;""""&amp;"_blank\"&amp;""""&amp;"&gt;"&amp;L233&amp;"&lt;/a&gt;"&amp;""""</f>
        <v xml:space="preserve">    rbib_fiske_chandler_2011: "Kellner, K. F., Smith, A. D., Royle, J. A., Kery, M, Belant, J. L., &amp; Chandler, R. B. (2023). The unmarked R package: Twelve years of advances in occurrence and abundance modelling in ecology. &lt;i&gt;Methods in Ecology and Evolution, 14&lt;/i&gt; (6), 1408-1415.&lt;a href=\"https://www.jstatsoft.org/v43/i10/" target=\"_blank\"&gt;https://www.jstatsoft.org/v43/i10/&lt;/a&gt;"</v>
      </c>
      <c r="S233" s="65" t="str">
        <f>"    rbib_"&amp;F233&amp;": "&amp;""""&amp;"&lt;div class=\"&amp;""""&amp;"hanging\"&amp;""""&amp;"&gt;"&amp;J233&amp;"&lt;/div&gt;"&amp;""""</f>
        <v xml:space="preserve">    rbib_fiske_chandler_2011: "&lt;div class=\"hanging\"&gt;Kellner, K. F., Smith, A. D., Royle, J. A., Kery, M, Belant, J. L., &amp; Chandler, R. B. (2023). The unmarked R package: Twelve years of advances in occurrence and abundance modelling in ecology. *Methods in Ecology and Evolution, 14* (6), 1408-1415. &lt;https://www.jstatsoft.org/v43/i10/&gt;&lt;/div&gt;"</v>
      </c>
      <c r="T233" s="65"/>
    </row>
    <row r="234" spans="1:20" ht="15.75">
      <c r="A234" s="65"/>
      <c r="B234" s="155" t="b">
        <v>1</v>
      </c>
      <c r="C234" s="155" t="b">
        <v>0</v>
      </c>
      <c r="D234" s="155" t="b">
        <v>0</v>
      </c>
      <c r="E234" s="65" t="s">
        <v>1904</v>
      </c>
      <c r="F234" s="65" t="s">
        <v>3035</v>
      </c>
      <c r="G234" s="65" t="s">
        <v>3034</v>
      </c>
      <c r="H234" s="65" t="s">
        <v>3034</v>
      </c>
      <c r="I234" s="65" t="b">
        <v>1</v>
      </c>
      <c r="J234" s="65" t="s">
        <v>3033</v>
      </c>
      <c r="K234" s="65" t="s">
        <v>5371</v>
      </c>
      <c r="L234" s="65" t="s">
        <v>3032</v>
      </c>
      <c r="M234" s="65" t="s">
        <v>984</v>
      </c>
      <c r="N234" s="65" t="str">
        <f>"&lt;div class="&amp;""""&amp;"hanging"&amp;""""&amp;"&gt;"&amp;K234&amp;"&lt;a href="&amp;""""&amp;L234&amp;""""&amp;" target="&amp;""""&amp;"_blank"&amp;""""&amp;"&gt;"&amp;L234&amp;"&lt;/a&gt;&lt;span style="&amp;""""&amp;"color:white"&amp;""""&amp;"&gt;[.]{#"&amp;F234&amp;"}}&lt;/span&gt;&lt;/div&gt;&lt;br&gt;"</f>
        <v>&lt;div class="hanging"&gt;Kelly, M. J., Noss, A. J., Bitetti, M. S., Maffei, L., Arispe, R. L., Paviolo, A., Angelo, C. D. D., &amp; Di Blanco, Y. E. (2008). Estimating Puma Densities from Camera Trapping Across Three Study Sites: Bolivia, Argentina, And Belize. &lt;i&gt;Journal of Mammalogy, 89&lt;/i&gt;(2), 408-418.&lt;a href="https://doi.org/10.1644/06-MAMM-A-424R.1" target="_blank"&gt;https://doi.org/10.1644/06-MAMM-A-424R.1&lt;/a&gt;&lt;span style="color:white"&gt;[.]{#kelly_et_al_2008}}&lt;/span&gt;&lt;/div&gt;&lt;br&gt;</v>
      </c>
      <c r="O234" s="65" t="str">
        <f>"{{ rtxt_"&amp;F234&amp;" }}"</f>
        <v>{{ rtxt_kelly_et_al_2008 }}</v>
      </c>
      <c r="P234" s="65" t="str">
        <f>"{{ rbib_"&amp;F234&amp;" }}"</f>
        <v>{{ rbib_kelly_et_al_2008 }}</v>
      </c>
      <c r="Q234" s="65" t="str">
        <f>"    rtxt_"&amp;F234&amp;": "&amp;""""&amp;"&lt;a href=\"&amp;""""&amp;"/08_references.html#"&amp;F234&amp;"\"&amp;""""&amp;" target=\"&amp;""""&amp;"_blank\"&amp;""""&amp;"&gt;"&amp;G234&amp;"&lt;/a&gt;"&amp;""""</f>
        <v xml:space="preserve">    rtxt_kelly_et_al_2008: "&lt;a href=\"/08_references.html#kelly_et_al_2008\" target=\"_blank\"&gt;Kelly et al., 2008&lt;/a&gt;"</v>
      </c>
      <c r="R234" s="65" t="str">
        <f>"    rbib_"&amp;F234&amp;": "&amp;""""&amp;K234&amp;"&lt;a href=\"&amp;""""&amp;L234&amp;""""&amp;" target=\"&amp;""""&amp;"_blank\"&amp;""""&amp;"&gt;"&amp;L234&amp;"&lt;/a&gt;"&amp;""""</f>
        <v xml:space="preserve">    rbib_kelly_et_al_2008: "Kelly, M. J., Noss, A. J., Bitetti, M. S., Maffei, L., Arispe, R. L., Paviolo, A., Angelo, C. D. D., &amp; Di Blanco, Y. E. (2008). Estimating Puma Densities from Camera Trapping Across Three Study Sites: Bolivia, Argentina, And Belize. &lt;i&gt;Journal of Mammalogy, 89&lt;/i&gt;(2), 408-418.&lt;a href=\"https://doi.org/10.1644/06-MAMM-A-424R.1" target=\"_blank\"&gt;https://doi.org/10.1644/06-MAMM-A-424R.1&lt;/a&gt;"</v>
      </c>
      <c r="S234" s="65" t="str">
        <f>"    rbib_"&amp;F234&amp;": "&amp;""""&amp;"&lt;div class=\"&amp;""""&amp;"hanging\"&amp;""""&amp;"&gt;"&amp;J234&amp;"&lt;/div&gt;"&amp;""""</f>
        <v xml:space="preserve">    rbib_kelly_et_al_2008: "&lt;div class=\"hanging\"&gt;Kelly, M. J., Noss, A. J., Bitetti, M. S., Maffei, L., Arispe, R. L., Paviolo, A., Angelo, C. D. D., &amp; Di Blanco, Y. E. (2008). Estimating Puma Densities from Camera Trapping Across Three Study Sites: Bolivia, Argentina, And Belize. *Journal of Mammalogy, 89*(2), 408-418. &lt;https://doi.org/10.1644/06-MAMM-A-424R.1&gt;&lt;/div&gt;"</v>
      </c>
      <c r="T234" s="65"/>
    </row>
    <row r="235" spans="1:20" ht="15.75">
      <c r="A235" s="65"/>
      <c r="B235" s="155"/>
      <c r="C235" s="155"/>
      <c r="D235" s="155"/>
      <c r="E235" s="65" t="s">
        <v>2480</v>
      </c>
      <c r="F235" s="65" t="s">
        <v>651</v>
      </c>
      <c r="G235" s="65" t="s">
        <v>3031</v>
      </c>
      <c r="H235" s="65" t="s">
        <v>3031</v>
      </c>
      <c r="I235" s="65" t="b">
        <v>1</v>
      </c>
      <c r="J235" s="65" t="s">
        <v>3030</v>
      </c>
      <c r="K235" s="65" t="s">
        <v>5477</v>
      </c>
      <c r="L235" s="65" t="s">
        <v>3029</v>
      </c>
      <c r="M235" s="65" t="s">
        <v>984</v>
      </c>
      <c r="N235" s="65" t="str">
        <f>"&lt;div class="&amp;""""&amp;"hanging"&amp;""""&amp;"&gt;"&amp;K235&amp;"&lt;a href="&amp;""""&amp;L235&amp;""""&amp;" target="&amp;""""&amp;"_blank"&amp;""""&amp;"&gt;"&amp;L235&amp;"&lt;/a&gt;&lt;span style="&amp;""""&amp;"color:white"&amp;""""&amp;"&gt;[.]{#"&amp;F235&amp;"}}&lt;/span&gt;&lt;/div&gt;&lt;br&gt;"</f>
        <v>&lt;div class="hanging"&gt;Kemp, C., Yarchuk, K., Menzies, A., &amp; Popp, J. (2022). &lt;i&gt;A Guide to Using Wildlife Cameras for Ecological Monitoring in a Community-based Context&lt;/i&gt;. WISE Lab.&lt;a href="https://wildcams.ca/site/assets/files/1386/cbm_wildlife_camera_guide-_aug2022.pdf" target="_blank"&gt;https://wildcams.ca/site/assets/files/1386/cbm_wildlife_camera_guide-_aug2022.pdf&lt;/a&gt;&lt;span style="color:white"&gt;[.]{#kemp_et_al_2022}}&lt;/span&gt;&lt;/div&gt;&lt;br&gt;</v>
      </c>
      <c r="O235" s="65" t="str">
        <f>"{{ rtxt_"&amp;F235&amp;" }}"</f>
        <v>{{ rtxt_kemp_et_al_2022 }}</v>
      </c>
      <c r="P235" s="65" t="str">
        <f>"{{ rbib_"&amp;F235&amp;" }}"</f>
        <v>{{ rbib_kemp_et_al_2022 }}</v>
      </c>
      <c r="Q235" s="65" t="str">
        <f>"    rtxt_"&amp;F235&amp;": "&amp;""""&amp;"&lt;a href=\"&amp;""""&amp;"/08_references.html#"&amp;F235&amp;"\"&amp;""""&amp;" target=\"&amp;""""&amp;"_blank\"&amp;""""&amp;"&gt;"&amp;G235&amp;"&lt;/a&gt;"&amp;""""</f>
        <v xml:space="preserve">    rtxt_kemp_et_al_2022: "&lt;a href=\"/08_references.html#kemp_et_al_2022\" target=\"_blank\"&gt;Kemp et al., 2022&lt;/a&gt;"</v>
      </c>
      <c r="R235" s="65" t="str">
        <f>"    rbib_"&amp;F235&amp;": "&amp;""""&amp;K235&amp;"&lt;a href=\"&amp;""""&amp;L235&amp;""""&amp;" target=\"&amp;""""&amp;"_blank\"&amp;""""&amp;"&gt;"&amp;L235&amp;"&lt;/a&gt;"&amp;""""</f>
        <v xml:space="preserve">    rbib_kemp_et_al_2022: "Kemp, C., Yarchuk, K., Menzies, A., &amp; Popp, J. (2022). &lt;i&gt;A Guide to Using Wildlife Cameras for Ecological Monitoring in a Community-based Context&lt;/i&gt;. WISE Lab.&lt;a href=\"https://wildcams.ca/site/assets/files/1386/cbm_wildlife_camera_guide-_aug2022.pdf" target=\"_blank\"&gt;https://wildcams.ca/site/assets/files/1386/cbm_wildlife_camera_guide-_aug2022.pdf&lt;/a&gt;"</v>
      </c>
      <c r="S235" s="65" t="str">
        <f>"    rbib_"&amp;F235&amp;": "&amp;""""&amp;"&lt;div class=\"&amp;""""&amp;"hanging\"&amp;""""&amp;"&gt;"&amp;J235&amp;"&lt;/div&gt;"&amp;""""</f>
        <v xml:space="preserve">    rbib_kemp_et_al_2022: "&lt;div class=\"hanging\"&gt;Kemp, C., Yarchuk, K., Menzies, A., &amp; Popp, J. (2022). *A Guide to Using Wildlife Cameras for Ecological Monitoring in a Community-based Context*. WISE Lab. &lt;https://wildcams.ca/site/assets/files/1386/cbm_wildlife_camera_guide-_aug2022.pdf&gt;&lt;/div&gt;"</v>
      </c>
      <c r="T235" s="65"/>
    </row>
    <row r="236" spans="1:20" ht="15.75">
      <c r="A236" s="65"/>
      <c r="B236" s="155" t="b">
        <v>1</v>
      </c>
      <c r="C236" s="155" t="b">
        <v>0</v>
      </c>
      <c r="D236" s="155" t="b">
        <v>1</v>
      </c>
      <c r="E236" s="65" t="s">
        <v>984</v>
      </c>
      <c r="F236" s="65" t="s">
        <v>3028</v>
      </c>
      <c r="G236" s="65" t="s">
        <v>3027</v>
      </c>
      <c r="H236" s="65" t="s">
        <v>3027</v>
      </c>
      <c r="I236" s="65" t="b">
        <v>1</v>
      </c>
      <c r="J236" s="65" t="s">
        <v>3026</v>
      </c>
      <c r="K236" s="65" t="s">
        <v>5493</v>
      </c>
      <c r="L236" s="65" t="s">
        <v>2662</v>
      </c>
      <c r="M236" s="65" t="s">
        <v>984</v>
      </c>
      <c r="N236" s="65" t="str">
        <f>"&lt;div class="&amp;""""&amp;"hanging"&amp;""""&amp;"&gt;"&amp;K236&amp;"&lt;a href="&amp;""""&amp;L236&amp;""""&amp;" target="&amp;""""&amp;"_blank"&amp;""""&amp;"&gt;"&amp;L236&amp;"&lt;/a&gt;&lt;span style="&amp;""""&amp;"color:white"&amp;""""&amp;"&gt;[.]{#"&amp;F236&amp;"}}&lt;/span&gt;&lt;/div&gt;&lt;br&gt;"</f>
        <v>&lt;div class="hanging"&gt;Kinnaird, M. F., &amp; O'Brien, T. G. (2011). Density estimation of sympatric carnivores using spatially explicit capture-recapture methods and standard trapping grid. &lt;i&gt;Ecological Applications, 21&lt;/i&gt;(8), 2908-2916.&lt;a href="https://www.jstor.org/stable/41417102" target="_blank"&gt;https://www.jstor.org/stable/41417102&lt;/a&gt;&lt;span style="color:white"&gt;[.]{#kinnaird_obrien_2012}}&lt;/span&gt;&lt;/div&gt;&lt;br&gt;</v>
      </c>
      <c r="O236" s="65" t="str">
        <f>"{{ rtxt_"&amp;F236&amp;" }}"</f>
        <v>{{ rtxt_kinnaird_obrien_2012 }}</v>
      </c>
      <c r="P236" s="65" t="str">
        <f>"{{ rbib_"&amp;F236&amp;" }}"</f>
        <v>{{ rbib_kinnaird_obrien_2012 }}</v>
      </c>
      <c r="Q236" s="65" t="str">
        <f>"    rtxt_"&amp;F236&amp;": "&amp;""""&amp;"&lt;a href=\"&amp;""""&amp;"/08_references.html#"&amp;F236&amp;"\"&amp;""""&amp;" target=\"&amp;""""&amp;"_blank\"&amp;""""&amp;"&gt;"&amp;G236&amp;"&lt;/a&gt;"&amp;""""</f>
        <v xml:space="preserve">    rtxt_kinnaird_obrien_2012: "&lt;a href=\"/08_references.html#kinnaird_obrien_2012\" target=\"_blank\"&gt;Kinnaird &amp; O'Brien, 2012&lt;/a&gt;"</v>
      </c>
      <c r="R236" s="65" t="str">
        <f>"    rbib_"&amp;F236&amp;": "&amp;""""&amp;K236&amp;"&lt;a href=\"&amp;""""&amp;L236&amp;""""&amp;" target=\"&amp;""""&amp;"_blank\"&amp;""""&amp;"&gt;"&amp;L236&amp;"&lt;/a&gt;"&amp;""""</f>
        <v xml:space="preserve">    rbib_kinnaird_obrien_2012: "Kinnaird, M. F., &amp; O'Brien, T. G. (2011). Density estimation of sympatric carnivores using spatially explicit capture-recapture methods and standard trapping grid. &lt;i&gt;Ecological Applications, 21&lt;/i&gt;(8), 2908-2916.&lt;a href=\"https://www.jstor.org/stable/41417102" target=\"_blank\"&gt;https://www.jstor.org/stable/41417102&lt;/a&gt;"</v>
      </c>
      <c r="S236" s="65" t="str">
        <f>"    rbib_"&amp;F236&amp;": "&amp;""""&amp;"&lt;div class=\"&amp;""""&amp;"hanging\"&amp;""""&amp;"&gt;"&amp;J236&amp;"&lt;/div&gt;"&amp;""""</f>
        <v xml:space="preserve">    rbib_kinnaird_obrien_2012: "&lt;div class=\"hanging\"&gt;Kinnaird, M. F., &amp; O'Brien, T. G. (2011). Density estimation of sympatric carnivores using spatially explicit capture-recapture methods and standard trapping grid. *Ecological Applications, 21*(8), 2908-2916. &lt;https://www.jstor.org/stable/41417102&gt;&lt;/div&gt;"</v>
      </c>
      <c r="T236" s="65"/>
    </row>
    <row r="237" spans="1:20" ht="15.75">
      <c r="A237" s="65"/>
      <c r="B237" s="155" t="b">
        <v>1</v>
      </c>
      <c r="C237" s="155" t="b">
        <v>1</v>
      </c>
      <c r="D237" s="155" t="b">
        <v>1</v>
      </c>
      <c r="E237" s="65" t="s">
        <v>1904</v>
      </c>
      <c r="F237" s="65" t="s">
        <v>3025</v>
      </c>
      <c r="G237" s="65" t="s">
        <v>3024</v>
      </c>
      <c r="H237" s="65" t="s">
        <v>3024</v>
      </c>
      <c r="I237" s="65" t="b">
        <v>1</v>
      </c>
      <c r="J237" s="65" t="s">
        <v>3023</v>
      </c>
      <c r="K237" s="65" t="s">
        <v>5501</v>
      </c>
      <c r="L237" s="65" t="s">
        <v>3022</v>
      </c>
      <c r="M237" s="65" t="s">
        <v>984</v>
      </c>
      <c r="N237" s="65" t="str">
        <f>"&lt;div class="&amp;""""&amp;"hanging"&amp;""""&amp;"&gt;"&amp;K237&amp;"&lt;a href="&amp;""""&amp;L237&amp;""""&amp;" target="&amp;""""&amp;"_blank"&amp;""""&amp;"&gt;"&amp;L237&amp;"&lt;/a&gt;&lt;span style="&amp;""""&amp;"color:white"&amp;""""&amp;"&gt;[.]{#"&amp;F237&amp;"}}&lt;/span&gt;&lt;/div&gt;&lt;br&gt;"</f>
        <v>&lt;div class="hanging"&gt;Kitamura, S., Thong-Aree, S., Madsri, S., &amp; Poonswad, P. (2010). Mammal diversity and conservation in a small isolated forest of southern Thailand. &lt;i&gt;Raffles Bulletin of Zoology, 58&lt;/i&gt;(1), 145-156.&lt;a href="https://www.pangolinsg.org/wp-content/uploads/sites/4/2018/06/Kitamura-et-al._2010_Mammal-diversity-in-small-forest-of-Southern-Thailand.pdf" target="_blank"&gt;https://www.pangolinsg.org/wp-content/uploads/sites/4/2018/06/Kitamura-et-al._2010_Mammal-diversity-in-small-forest-of-Southern-Thailand.pdf&lt;/a&gt;&lt;span style="color:white"&gt;[.]{#kitamura_et_al_2010}}&lt;/span&gt;&lt;/div&gt;&lt;br&gt;</v>
      </c>
      <c r="O237" s="65" t="str">
        <f>"{{ rtxt_"&amp;F237&amp;" }}"</f>
        <v>{{ rtxt_kitamura_et_al_2010 }}</v>
      </c>
      <c r="P237" s="65" t="str">
        <f>"{{ rbib_"&amp;F237&amp;" }}"</f>
        <v>{{ rbib_kitamura_et_al_2010 }}</v>
      </c>
      <c r="Q237" s="65" t="str">
        <f>"    rtxt_"&amp;F237&amp;": "&amp;""""&amp;"&lt;a href=\"&amp;""""&amp;"/08_references.html#"&amp;F237&amp;"\"&amp;""""&amp;" target=\"&amp;""""&amp;"_blank\"&amp;""""&amp;"&gt;"&amp;G237&amp;"&lt;/a&gt;"&amp;""""</f>
        <v xml:space="preserve">    rtxt_kitamura_et_al_2010: "&lt;a href=\"/08_references.html#kitamura_et_al_2010\" target=\"_blank\"&gt;Kitamura et al., 2010&lt;/a&gt;"</v>
      </c>
      <c r="R237" s="65" t="str">
        <f>"    rbib_"&amp;F237&amp;": "&amp;""""&amp;K237&amp;"&lt;a href=\"&amp;""""&amp;L237&amp;""""&amp;" target=\"&amp;""""&amp;"_blank\"&amp;""""&amp;"&gt;"&amp;L237&amp;"&lt;/a&gt;"&amp;""""</f>
        <v xml:space="preserve">    rbib_kitamura_et_al_2010: "Kitamura, S., Thong-Aree, S., Madsri, S., &amp; Poonswad, P. (2010). Mammal diversity and conservation in a small isolated forest of southern Thailand. &lt;i&gt;Raffles Bulletin of Zoology, 58&lt;/i&gt;(1), 145-156.&lt;a href=\"https://www.pangolinsg.org/wp-content/uploads/sites/4/2018/06/Kitamura-et-al._2010_Mammal-diversity-in-small-forest-of-Southern-Thailand.pdf" target=\"_blank\"&gt;https://www.pangolinsg.org/wp-content/uploads/sites/4/2018/06/Kitamura-et-al._2010_Mammal-diversity-in-small-forest-of-Southern-Thailand.pdf&lt;/a&gt;"</v>
      </c>
      <c r="S237" s="65" t="str">
        <f>"    rbib_"&amp;F237&amp;": "&amp;""""&amp;"&lt;div class=\"&amp;""""&amp;"hanging\"&amp;""""&amp;"&gt;"&amp;J237&amp;"&lt;/div&gt;"&amp;""""</f>
        <v xml:space="preserve">    rbib_kitamura_et_al_2010: "&lt;div class=\"hanging\"&gt;Kitamura, S., Thong-Aree, S., Madsri, S., &amp; Poonswad, P. (2010). Mammal diversity and conservation in a small isolated forest of southern Thailand. *Raffles Bulletin of Zoology, 58*(1), 145-156. &lt;https://www.pangolinsg.org/wp-content/uploads/sites/4/2018/06/Kitamura-et-al._2010_Mammal-diversity-in-small-forest-of-Southern-Thailand.pdf&gt;&lt;/div&gt;"</v>
      </c>
      <c r="T237" s="65"/>
    </row>
    <row r="238" spans="1:20" ht="15.75">
      <c r="A238" s="65"/>
      <c r="B238" s="155" t="b">
        <v>0</v>
      </c>
      <c r="C238" s="155" t="b">
        <v>0</v>
      </c>
      <c r="D238" s="155" t="b">
        <v>1</v>
      </c>
      <c r="E238" s="65" t="s">
        <v>1904</v>
      </c>
      <c r="F238" s="65" t="s">
        <v>3021</v>
      </c>
      <c r="G238" s="65" t="s">
        <v>3020</v>
      </c>
      <c r="H238" s="65" t="s">
        <v>3020</v>
      </c>
      <c r="I238" s="65" t="b">
        <v>1</v>
      </c>
      <c r="J238" s="65" t="s">
        <v>3019</v>
      </c>
      <c r="K238" s="65" t="s">
        <v>5259</v>
      </c>
      <c r="L238" s="65" t="s">
        <v>3018</v>
      </c>
      <c r="M238" s="65" t="s">
        <v>984</v>
      </c>
      <c r="N238" s="65" t="str">
        <f>"&lt;div class="&amp;""""&amp;"hanging"&amp;""""&amp;"&gt;"&amp;K238&amp;"&lt;a href="&amp;""""&amp;L238&amp;""""&amp;" target="&amp;""""&amp;"_blank"&amp;""""&amp;"&gt;"&amp;L238&amp;"&lt;/a&gt;&lt;span style="&amp;""""&amp;"color:white"&amp;""""&amp;"&gt;[.]{#"&amp;F238&amp;"}}&lt;/span&gt;&lt;/div&gt;&lt;br&gt;"</f>
        <v>&lt;div class="hanging"&gt;Kleiber, C., &amp; Zeileis, A. (2016). Visualizing Count Data Regressions Using Rootograms. &lt;i&gt;The American Statistician, 70&lt;/i&gt;(3), 296-303.&lt;a href="https://doi.org/10.1080/00031305.2016.1173590" target="_blank"&gt;https://doi.org/10.1080/00031305.2016.1173590&lt;/a&gt;&lt;span style="color:white"&gt;[.]{#kleiber_zeileis_2016}}&lt;/span&gt;&lt;/div&gt;&lt;br&gt;</v>
      </c>
      <c r="O238" s="65" t="str">
        <f>"{{ rtxt_"&amp;F238&amp;" }}"</f>
        <v>{{ rtxt_kleiber_zeileis_2016 }}</v>
      </c>
      <c r="P238" s="65" t="str">
        <f>"{{ rbib_"&amp;F238&amp;" }}"</f>
        <v>{{ rbib_kleiber_zeileis_2016 }}</v>
      </c>
      <c r="Q238" s="65" t="str">
        <f>"    rtxt_"&amp;F238&amp;": "&amp;""""&amp;"&lt;a href=\"&amp;""""&amp;"/08_references.html#"&amp;F238&amp;"\"&amp;""""&amp;" target=\"&amp;""""&amp;"_blank\"&amp;""""&amp;"&gt;"&amp;G238&amp;"&lt;/a&gt;"&amp;""""</f>
        <v xml:space="preserve">    rtxt_kleiber_zeileis_2016: "&lt;a href=\"/08_references.html#kleiber_zeileis_2016\" target=\"_blank\"&gt;Kleiber &amp; Zeileis, 2016&lt;/a&gt;"</v>
      </c>
      <c r="R238" s="65" t="str">
        <f>"    rbib_"&amp;F238&amp;": "&amp;""""&amp;K238&amp;"&lt;a href=\"&amp;""""&amp;L238&amp;""""&amp;" target=\"&amp;""""&amp;"_blank\"&amp;""""&amp;"&gt;"&amp;L238&amp;"&lt;/a&gt;"&amp;""""</f>
        <v xml:space="preserve">    rbib_kleiber_zeileis_2016: "Kleiber, C., &amp; Zeileis, A. (2016). Visualizing Count Data Regressions Using Rootograms. &lt;i&gt;The American Statistician, 70&lt;/i&gt;(3), 296-303.&lt;a href=\"https://doi.org/10.1080/00031305.2016.1173590" target=\"_blank\"&gt;https://doi.org/10.1080/00031305.2016.1173590&lt;/a&gt;"</v>
      </c>
      <c r="S238" s="65" t="str">
        <f>"    rbib_"&amp;F238&amp;": "&amp;""""&amp;"&lt;div class=\"&amp;""""&amp;"hanging\"&amp;""""&amp;"&gt;"&amp;J238&amp;"&lt;/div&gt;"&amp;""""</f>
        <v xml:space="preserve">    rbib_kleiber_zeileis_2016: "&lt;div class=\"hanging\"&gt;Kleiber, C., &amp; Zeileis, A. (2016). Visualizing Count Data Regressions Using Rootograms. *The American Statistician, 70*(3), 296-303. &lt;https://doi.org/10.1080/00031305.2016.1173590&gt;&lt;/div&gt;"</v>
      </c>
      <c r="T238" s="65"/>
    </row>
    <row r="239" spans="1:20" ht="15.75">
      <c r="A239" s="65"/>
      <c r="B239" s="155" t="b">
        <v>1</v>
      </c>
      <c r="C239" s="155" t="b">
        <v>0</v>
      </c>
      <c r="D239" s="155" t="b">
        <v>0</v>
      </c>
      <c r="E239" s="65" t="s">
        <v>1904</v>
      </c>
      <c r="F239" s="65" t="s">
        <v>3013</v>
      </c>
      <c r="G239" s="65" t="s">
        <v>3012</v>
      </c>
      <c r="H239" s="65" t="s">
        <v>3012</v>
      </c>
      <c r="I239" s="65" t="b">
        <v>1</v>
      </c>
      <c r="J239" s="65" t="s">
        <v>3011</v>
      </c>
      <c r="K239" s="65" t="s">
        <v>5372</v>
      </c>
      <c r="L239" s="65" t="s">
        <v>3010</v>
      </c>
      <c r="M239" s="65" t="s">
        <v>984</v>
      </c>
      <c r="N239" s="65" t="str">
        <f>"&lt;div class="&amp;""""&amp;"hanging"&amp;""""&amp;"&gt;"&amp;K239&amp;"&lt;a href="&amp;""""&amp;L239&amp;""""&amp;" target="&amp;""""&amp;"_blank"&amp;""""&amp;"&gt;"&amp;L239&amp;"&lt;/a&gt;&lt;span style="&amp;""""&amp;"color:white"&amp;""""&amp;"&gt;[.]{#"&amp;F239&amp;"}}&lt;/span&gt;&lt;/div&gt;&lt;br&gt;"</f>
        <v>&lt;div class="hanging"&gt;Krebs, C. J., Boonstra, R., Gilbert, S., Reid, D., Kenney, A. J., Hofer, E. J., &amp; an Vuren, D. H. (2011). Density estimation for small mammals from livetrapping grids: rodents in northern Canada. &lt;i&gt;Journal of Mammalogy, 92&lt;/i&gt;(5), 974-981.&lt;a href="https://doi.org/10.1644/10-M" target="_blank"&gt;https://doi.org/10.1644/10-M&lt;/a&gt;&lt;span style="color:white"&gt;[.]{#krebs_et_al_2011}}&lt;/span&gt;&lt;/div&gt;&lt;br&gt;</v>
      </c>
      <c r="O239" s="65" t="str">
        <f>"{{ rtxt_"&amp;F239&amp;" }}"</f>
        <v>{{ rtxt_krebs_et_al_2011 }}</v>
      </c>
      <c r="P239" s="65" t="str">
        <f>"{{ rbib_"&amp;F239&amp;" }}"</f>
        <v>{{ rbib_krebs_et_al_2011 }}</v>
      </c>
      <c r="Q239" s="65" t="str">
        <f>"    rtxt_"&amp;F239&amp;": "&amp;""""&amp;"&lt;a href=\"&amp;""""&amp;"/08_references.html#"&amp;F239&amp;"\"&amp;""""&amp;" target=\"&amp;""""&amp;"_blank\"&amp;""""&amp;"&gt;"&amp;G239&amp;"&lt;/a&gt;"&amp;""""</f>
        <v xml:space="preserve">    rtxt_krebs_et_al_2011: "&lt;a href=\"/08_references.html#krebs_et_al_2011\" target=\"_blank\"&gt;Krebs et al., 2011&lt;/a&gt;"</v>
      </c>
      <c r="R239" s="65" t="str">
        <f>"    rbib_"&amp;F239&amp;": "&amp;""""&amp;K239&amp;"&lt;a href=\"&amp;""""&amp;L239&amp;""""&amp;" target=\"&amp;""""&amp;"_blank\"&amp;""""&amp;"&gt;"&amp;L239&amp;"&lt;/a&gt;"&amp;""""</f>
        <v xml:space="preserve">    rbib_krebs_et_al_2011: "Krebs, C. J., Boonstra, R., Gilbert, S., Reid, D., Kenney, A. J., Hofer, E. J., &amp; an Vuren, D. H. (2011). Density estimation for small mammals from livetrapping grids: rodents in northern Canada. &lt;i&gt;Journal of Mammalogy, 92&lt;/i&gt;(5), 974-981.&lt;a href=\"https://doi.org/10.1644/10-M" target=\"_blank\"&gt;https://doi.org/10.1644/10-M&lt;/a&gt;"</v>
      </c>
      <c r="S239" s="65" t="str">
        <f>"    rbib_"&amp;F239&amp;": "&amp;""""&amp;"&lt;div class=\"&amp;""""&amp;"hanging\"&amp;""""&amp;"&gt;"&amp;J239&amp;"&lt;/div&gt;"&amp;""""</f>
        <v xml:space="preserve">    rbib_krebs_et_al_2011: "&lt;div class=\"hanging\"&gt;Krebs, C. J., Boonstra, R., Gilbert, S., Reid, D., Kenney, A. J., Hofer, E. J., &amp; an Vuren, D. H. (2011). Density estimation for small mammals from livetrapping grids: rodents in northern Canada. *Journal of Mammalogy, 92*(5), 974-981. &lt;https://doi.org/10.1644/10-M&gt;&lt;/div&gt;"</v>
      </c>
      <c r="T239" s="65"/>
    </row>
    <row r="240" spans="1:20" ht="15.75">
      <c r="A240" s="65"/>
      <c r="B240" s="155"/>
      <c r="C240" s="155"/>
      <c r="D240" s="155"/>
      <c r="E240" s="65" t="s">
        <v>1904</v>
      </c>
      <c r="F240" s="65" t="s">
        <v>3017</v>
      </c>
      <c r="G240" s="65" t="s">
        <v>3016</v>
      </c>
      <c r="H240" s="65" t="s">
        <v>3016</v>
      </c>
      <c r="I240" s="65" t="b">
        <v>1</v>
      </c>
      <c r="J240" s="65" t="s">
        <v>3015</v>
      </c>
      <c r="K240" s="65" t="s">
        <v>5344</v>
      </c>
      <c r="L240" s="65" t="s">
        <v>3014</v>
      </c>
      <c r="M240" s="65" t="s">
        <v>984</v>
      </c>
      <c r="N240" s="65" t="str">
        <f>"&lt;div class="&amp;""""&amp;"hanging"&amp;""""&amp;"&gt;"&amp;K240&amp;"&lt;a href="&amp;""""&amp;L240&amp;""""&amp;" target="&amp;""""&amp;"_blank"&amp;""""&amp;"&gt;"&amp;L240&amp;"&lt;/a&gt;&lt;span style="&amp;""""&amp;"color:white"&amp;""""&amp;"&gt;[.]{#"&amp;F240&amp;"}}&lt;/span&gt;&lt;/div&gt;&lt;br&gt;"</f>
        <v>&lt;div class="hanging"&gt;Krebs, C. J., Gilbert, B. S., Boutin, S., &amp; Boonstra, R. (1987). Estimation of snowshoe hare population density from turd transects. &lt;i&gt;Canadian Journal of Zoology, 65&lt;/i&gt;(3), 565-567.&lt;a href="https://doi.org/10.1139/z87-087" target="_blank"&gt;https://doi.org/10.1139/z87-087&lt;/a&gt;&lt;span style="color:white"&gt;[.]{#krebs_et_al_1987}}&lt;/span&gt;&lt;/div&gt;&lt;br&gt;</v>
      </c>
      <c r="O240" s="65" t="str">
        <f>"{{ rtxt_"&amp;F240&amp;" }}"</f>
        <v>{{ rtxt_krebs_et_al_1987 }}</v>
      </c>
      <c r="P240" s="65" t="str">
        <f>"{{ rbib_"&amp;F240&amp;" }}"</f>
        <v>{{ rbib_krebs_et_al_1987 }}</v>
      </c>
      <c r="Q240" s="65" t="str">
        <f>"    rtxt_"&amp;F240&amp;": "&amp;""""&amp;"&lt;a href=\"&amp;""""&amp;"/08_references.html#"&amp;F240&amp;"\"&amp;""""&amp;" target=\"&amp;""""&amp;"_blank\"&amp;""""&amp;"&gt;"&amp;G240&amp;"&lt;/a&gt;"&amp;""""</f>
        <v xml:space="preserve">    rtxt_krebs_et_al_1987: "&lt;a href=\"/08_references.html#krebs_et_al_1987\" target=\"_blank\"&gt;Krebs et al., 1987&lt;/a&gt;"</v>
      </c>
      <c r="R240" s="65" t="str">
        <f>"    rbib_"&amp;F240&amp;": "&amp;""""&amp;K240&amp;"&lt;a href=\"&amp;""""&amp;L240&amp;""""&amp;" target=\"&amp;""""&amp;"_blank\"&amp;""""&amp;"&gt;"&amp;L240&amp;"&lt;/a&gt;"&amp;""""</f>
        <v xml:space="preserve">    rbib_krebs_et_al_1987: "Krebs, C. J., Gilbert, B. S., Boutin, S., &amp; Boonstra, R. (1987). Estimation of snowshoe hare population density from turd transects. &lt;i&gt;Canadian Journal of Zoology, 65&lt;/i&gt;(3), 565-567.&lt;a href=\"https://doi.org/10.1139/z87-087" target=\"_blank\"&gt;https://doi.org/10.1139/z87-087&lt;/a&gt;"</v>
      </c>
      <c r="S240" s="65" t="str">
        <f>"    rbib_"&amp;F240&amp;": "&amp;""""&amp;"&lt;div class=\"&amp;""""&amp;"hanging\"&amp;""""&amp;"&gt;"&amp;J240&amp;"&lt;/div&gt;"&amp;""""</f>
        <v xml:space="preserve">    rbib_krebs_et_al_1987: "&lt;div class=\"hanging\"&gt;Krebs, C. J., Gilbert, B. S., Boutin, S., &amp; Boonstra, R. (1987). Estimation of snowshoe hare population density from turd transects. *Canadian Journal of Zoology, 65*(3), 565-567. &lt;https://doi.org/10.1139/z87-087&gt;&lt;/div&gt;"</v>
      </c>
      <c r="T240" s="65"/>
    </row>
    <row r="241" spans="1:20" ht="15.75">
      <c r="A241" s="65"/>
      <c r="B241" s="155" t="b">
        <v>1</v>
      </c>
      <c r="C241" s="155" t="b">
        <v>1</v>
      </c>
      <c r="D241" s="155" t="b">
        <v>0</v>
      </c>
      <c r="E241" s="65" t="s">
        <v>1904</v>
      </c>
      <c r="F241" s="65" t="s">
        <v>3009</v>
      </c>
      <c r="G241" s="65" t="s">
        <v>3008</v>
      </c>
      <c r="H241" s="65" t="s">
        <v>3008</v>
      </c>
      <c r="I241" s="65" t="b">
        <v>1</v>
      </c>
      <c r="J241" s="65" t="s">
        <v>3007</v>
      </c>
      <c r="K241" s="65" t="s">
        <v>5203</v>
      </c>
      <c r="L241" s="65" t="s">
        <v>3006</v>
      </c>
      <c r="M241" s="65" t="s">
        <v>984</v>
      </c>
      <c r="N241" s="65" t="str">
        <f>"&lt;div class="&amp;""""&amp;"hanging"&amp;""""&amp;"&gt;"&amp;K241&amp;"&lt;a href="&amp;""""&amp;L241&amp;""""&amp;" target="&amp;""""&amp;"_blank"&amp;""""&amp;"&gt;"&amp;L241&amp;"&lt;/a&gt;&lt;span style="&amp;""""&amp;"color:white"&amp;""""&amp;"&gt;[.]{#"&amp;F241&amp;"}}&lt;/span&gt;&lt;/div&gt;&lt;br&gt;"</f>
        <v>&lt;div class="hanging"&gt;Kruger, H., Vaananen, V. -M., Holopainen, S., &amp; Nummi, P. (2018). The new faces of nest predation in agricultural landscapes - a camera trap Survey with artificial nests. European &lt;i&gt;Journal of Wildlife Research, 64&lt;/i&gt;(6), 76.&lt;a href="https://doi.org/10.1007/s10344-018-1233-7" target="_blank"&gt;https://doi.org/10.1007/s10344-018-1233-7&lt;/a&gt;&lt;span style="color:white"&gt;[.]{#kruger_et_al_2018}}&lt;/span&gt;&lt;/div&gt;&lt;br&gt;</v>
      </c>
      <c r="O241" s="65" t="str">
        <f>"{{ rtxt_"&amp;F241&amp;" }}"</f>
        <v>{{ rtxt_kruger_et_al_2018 }}</v>
      </c>
      <c r="P241" s="65" t="str">
        <f>"{{ rbib_"&amp;F241&amp;" }}"</f>
        <v>{{ rbib_kruger_et_al_2018 }}</v>
      </c>
      <c r="Q241" s="65" t="str">
        <f>"    rtxt_"&amp;F241&amp;": "&amp;""""&amp;"&lt;a href=\"&amp;""""&amp;"/08_references.html#"&amp;F241&amp;"\"&amp;""""&amp;" target=\"&amp;""""&amp;"_blank\"&amp;""""&amp;"&gt;"&amp;G241&amp;"&lt;/a&gt;"&amp;""""</f>
        <v xml:space="preserve">    rtxt_kruger_et_al_2018: "&lt;a href=\"/08_references.html#kruger_et_al_2018\" target=\"_blank\"&gt;Kruger et al., 2018&lt;/a&gt;"</v>
      </c>
      <c r="R241" s="65" t="str">
        <f>"    rbib_"&amp;F241&amp;": "&amp;""""&amp;K241&amp;"&lt;a href=\"&amp;""""&amp;L241&amp;""""&amp;" target=\"&amp;""""&amp;"_blank\"&amp;""""&amp;"&gt;"&amp;L241&amp;"&lt;/a&gt;"&amp;""""</f>
        <v xml:space="preserve">    rbib_kruger_et_al_2018: "Kruger, H., Vaananen, V. -M., Holopainen, S., &amp; Nummi, P. (2018). The new faces of nest predation in agricultural landscapes - a camera trap Survey with artificial nests. European &lt;i&gt;Journal of Wildlife Research, 64&lt;/i&gt;(6), 76.&lt;a href=\"https://doi.org/10.1007/s10344-018-1233-7" target=\"_blank\"&gt;https://doi.org/10.1007/s10344-018-1233-7&lt;/a&gt;"</v>
      </c>
      <c r="S241" s="65" t="str">
        <f>"    rbib_"&amp;F241&amp;": "&amp;""""&amp;"&lt;div class=\"&amp;""""&amp;"hanging\"&amp;""""&amp;"&gt;"&amp;J241&amp;"&lt;/div&gt;"&amp;""""</f>
        <v xml:space="preserve">    rbib_kruger_et_al_2018: "&lt;div class=\"hanging\"&gt;Kruger, H., Vaananen, V. -M., Holopainen, S., &amp; Nummi, P. (2018). The new faces of nest predation in agricultural landscapes - a camera trap Survey with artificial nests. European *Journal of Wildlife Research, 64*(6), 76. &lt;https://doi.org/10.1007/s10344-018-1233-7&gt;&lt;/div&gt;"</v>
      </c>
      <c r="T241" s="65"/>
    </row>
    <row r="242" spans="1:20" ht="15.75">
      <c r="A242" s="65"/>
      <c r="B242" s="155" t="b">
        <v>1</v>
      </c>
      <c r="C242" s="155" t="b">
        <v>0</v>
      </c>
      <c r="D242" s="155" t="b">
        <v>0</v>
      </c>
      <c r="E242" s="65" t="s">
        <v>1904</v>
      </c>
      <c r="F242" s="65" t="s">
        <v>3005</v>
      </c>
      <c r="G242" s="65" t="s">
        <v>3001</v>
      </c>
      <c r="H242" s="65" t="s">
        <v>3001</v>
      </c>
      <c r="I242" s="65" t="b">
        <v>1</v>
      </c>
      <c r="J242" s="65" t="s">
        <v>3004</v>
      </c>
      <c r="K242" s="65" t="s">
        <v>5192</v>
      </c>
      <c r="L242" s="65" t="s">
        <v>2647</v>
      </c>
      <c r="M242" s="65" t="s">
        <v>984</v>
      </c>
      <c r="N242" s="65" t="str">
        <f>"&lt;div class="&amp;""""&amp;"hanging"&amp;""""&amp;"&gt;"&amp;K242&amp;"&lt;a href="&amp;""""&amp;L242&amp;""""&amp;" target="&amp;""""&amp;"_blank"&amp;""""&amp;"&gt;"&amp;L242&amp;"&lt;/a&gt;&lt;span style="&amp;""""&amp;"color:white"&amp;""""&amp;"&gt;[.]{#"&amp;F242&amp;"}}&lt;/span&gt;&lt;/div&gt;&lt;br&gt;"</f>
        <v>&lt;div class="hanging"&gt;Kucera, T. E., &amp; R. H. Barrett. (2011). A History of Camera Trapping. In A. F. O'Connell, J. D. Nichols, &amp; K. U. Karanth (Eds.), &lt;i&gt;Camera Traps In Animal Ecology: Methods and Analyses&lt;/i&gt; (pp. 9-26). Springer.&lt;a href="https://doi.org/10.1007/978-4-431-99495-4_6" target="_blank"&gt;https://doi.org/10.1007/978-4-431-99495-4_6&lt;/a&gt;&lt;span style="color:white"&gt;[.]{#kucera_barrett._2011}}&lt;/span&gt;&lt;/div&gt;&lt;br&gt;</v>
      </c>
      <c r="O242" s="65" t="str">
        <f>"{{ rtxt_"&amp;F242&amp;" }}"</f>
        <v>{{ rtxt_kucera_barrett._2011 }}</v>
      </c>
      <c r="P242" s="65" t="str">
        <f>"{{ rbib_"&amp;F242&amp;" }}"</f>
        <v>{{ rbib_kucera_barrett._2011 }}</v>
      </c>
      <c r="Q242" s="65" t="str">
        <f>"    rtxt_"&amp;F242&amp;": "&amp;""""&amp;"&lt;a href=\"&amp;""""&amp;"/08_references.html#"&amp;F242&amp;"\"&amp;""""&amp;" target=\"&amp;""""&amp;"_blank\"&amp;""""&amp;"&gt;"&amp;G242&amp;"&lt;/a&gt;"&amp;""""</f>
        <v xml:space="preserve">    rtxt_kucera_barrett._2011: "&lt;a href=\"/08_references.html#kucera_barrett._2011\" target=\"_blank\"&gt;Kucera &amp; Barrett., 2011&lt;/a&gt;"</v>
      </c>
      <c r="R242" s="65" t="str">
        <f>"    rbib_"&amp;F242&amp;": "&amp;""""&amp;K242&amp;"&lt;a href=\"&amp;""""&amp;L242&amp;""""&amp;" target=\"&amp;""""&amp;"_blank\"&amp;""""&amp;"&gt;"&amp;L242&amp;"&lt;/a&gt;"&amp;""""</f>
        <v xml:space="preserve">    rbib_kucera_barrett._2011: "Kucera, T. E., &amp; R. H. Barrett. (2011). A History of Camera Trapping. In A. F. O'Connell, J. D. Nichols, &amp; K. U. Karanth (Eds.), &lt;i&gt;Camera Traps In Animal Ecology: Methods and Analyses&lt;/i&gt; (pp. 9-26). Springer.&lt;a href=\"https://doi.org/10.1007/978-4-431-99495-4_6" target=\"_blank\"&gt;https://doi.org/10.1007/978-4-431-99495-4_6&lt;/a&gt;"</v>
      </c>
      <c r="S242" s="65" t="str">
        <f>"    rbib_"&amp;F242&amp;": "&amp;""""&amp;"&lt;div class=\"&amp;""""&amp;"hanging\"&amp;""""&amp;"&gt;"&amp;J242&amp;"&lt;/div&gt;"&amp;""""</f>
        <v xml:space="preserve">    rbib_kucera_barrett._2011: "&lt;div class=\"hanging\"&gt;Kucera, T. E., &amp; R. H. Barrett. (2011). A History of Camera Trapping. In A. F. O'Connell, J. D. Nichols, &amp; K. U. Karanth (Eds.), *Camera Traps In Animal Ecology: Methods and Analyses* (pp. 9-26). Springer. &lt;https://doi.org/10.1007/978-4-431-99495-4_6&gt;&lt;/div&gt;"</v>
      </c>
      <c r="T242" s="65"/>
    </row>
    <row r="243" spans="1:20" ht="15.75">
      <c r="A243" s="65"/>
      <c r="B243" s="155" t="b">
        <v>0</v>
      </c>
      <c r="C243" s="155" t="b">
        <v>0</v>
      </c>
      <c r="D243" s="155"/>
      <c r="E243" s="65" t="s">
        <v>1939</v>
      </c>
      <c r="F243" s="65" t="s">
        <v>3003</v>
      </c>
      <c r="G243" s="65" t="s">
        <v>3002</v>
      </c>
      <c r="H243" s="65" t="s">
        <v>3001</v>
      </c>
      <c r="I243" s="65" t="b">
        <v>1</v>
      </c>
      <c r="J243" s="65" t="s">
        <v>3000</v>
      </c>
      <c r="K243" s="65" t="s">
        <v>5447</v>
      </c>
      <c r="L243" s="65" t="s">
        <v>2999</v>
      </c>
      <c r="M243" s="65" t="s">
        <v>984</v>
      </c>
      <c r="N243" s="65" t="str">
        <f>"&lt;div class="&amp;""""&amp;"hanging"&amp;""""&amp;"&gt;"&amp;K243&amp;"&lt;a href="&amp;""""&amp;L243&amp;""""&amp;" target="&amp;""""&amp;"_blank"&amp;""""&amp;"&gt;"&amp;L243&amp;"&lt;/a&gt;&lt;span style="&amp;""""&amp;"color:white"&amp;""""&amp;"&gt;[.]{#"&amp;F243&amp;"}}&lt;/span&gt;&lt;/div&gt;&lt;br&gt;"</f>
        <v>&lt;div class="hanging"&gt;Kunin, W. K. (1997). Introduction: on the causes and consequences of rare-common differences. In Kunin, W. K., &amp; Kevin, J. G. (Eds) &lt;i&gt;The Biology of Rarity. &lt;/i&gt; (pp. 3-4). Chapman &amp; Hall.&lt;a href="https://link.springer.com/book/10.1007/978-94-011-5874-9" target="_blank"&gt;https://link.springer.com/book/10.1007/978-94-011-5874-9&lt;/a&gt;&lt;span style="color:white"&gt;[.]{#kunin_1997}}&lt;/span&gt;&lt;/div&gt;&lt;br&gt;</v>
      </c>
      <c r="O243" s="65" t="str">
        <f>"{{ rtxt_"&amp;F243&amp;" }}"</f>
        <v>{{ rtxt_kunin_1997 }}</v>
      </c>
      <c r="P243" s="65" t="str">
        <f>"{{ rbib_"&amp;F243&amp;" }}"</f>
        <v>{{ rbib_kunin_1997 }}</v>
      </c>
      <c r="Q243" s="65" t="str">
        <f>"    rtxt_"&amp;F243&amp;": "&amp;""""&amp;"&lt;a href=\"&amp;""""&amp;"/08_references.html#"&amp;F243&amp;"\"&amp;""""&amp;" target=\"&amp;""""&amp;"_blank\"&amp;""""&amp;"&gt;"&amp;G243&amp;"&lt;/a&gt;"&amp;""""</f>
        <v xml:space="preserve">    rtxt_kunin_1997: "&lt;a href=\"/08_references.html#kunin_1997\" target=\"_blank\"&gt;Kunin, 1997&lt;/a&gt;"</v>
      </c>
      <c r="R243" s="65" t="str">
        <f>"    rbib_"&amp;F243&amp;": "&amp;""""&amp;K243&amp;"&lt;a href=\"&amp;""""&amp;L243&amp;""""&amp;" target=\"&amp;""""&amp;"_blank\"&amp;""""&amp;"&gt;"&amp;L243&amp;"&lt;/a&gt;"&amp;""""</f>
        <v xml:space="preserve">    rbib_kunin_1997: "Kunin, W. K. (1997). Introduction: on the causes and consequences of rare-common differences. In Kunin, W. K., &amp; Kevin, J. G. (Eds) &lt;i&gt;The Biology of Rarity. &lt;/i&gt; (pp. 3-4). Chapman &amp; Hall.&lt;a href=\"https://link.springer.com/book/10.1007/978-94-011-5874-9" target=\"_blank\"&gt;https://link.springer.com/book/10.1007/978-94-011-5874-9&lt;/a&gt;"</v>
      </c>
      <c r="S243" s="65" t="str">
        <f>"    rbib_"&amp;F243&amp;": "&amp;""""&amp;"&lt;div class=\"&amp;""""&amp;"hanging\"&amp;""""&amp;"&gt;"&amp;J243&amp;"&lt;/div&gt;"&amp;""""</f>
        <v xml:space="preserve">    rbib_kunin_1997: "&lt;div class=\"hanging\"&gt;Kunin, W. K. (1997). Introduction: on the causes and consequences of rare-common differences. In Kunin, W. K., &amp; Kevin, J. G. (Eds) *The Biology of Rarity. * (pp. 3-4). Chapman &amp; Hall. &lt;https://link.springer.com/book/10.1007/978-94-011-5874-9&gt;&lt;/div&gt;"</v>
      </c>
      <c r="T243" s="65"/>
    </row>
    <row r="244" spans="1:20" ht="15.75">
      <c r="A244" s="65"/>
      <c r="B244" s="155" t="b">
        <v>1</v>
      </c>
      <c r="C244" s="155" t="b">
        <v>0</v>
      </c>
      <c r="D244" s="155" t="b">
        <v>0</v>
      </c>
      <c r="E244" s="65" t="s">
        <v>1904</v>
      </c>
      <c r="F244" s="65" t="s">
        <v>2998</v>
      </c>
      <c r="G244" s="65" t="s">
        <v>2997</v>
      </c>
      <c r="H244" s="65" t="s">
        <v>2997</v>
      </c>
      <c r="I244" s="65" t="b">
        <v>1</v>
      </c>
      <c r="J244" s="65" t="s">
        <v>2996</v>
      </c>
      <c r="K244" s="65" t="s">
        <v>5309</v>
      </c>
      <c r="L244" s="65" t="s">
        <v>2995</v>
      </c>
      <c r="M244" s="65" t="s">
        <v>984</v>
      </c>
      <c r="N244" s="65" t="str">
        <f>"&lt;div class="&amp;""""&amp;"hanging"&amp;""""&amp;"&gt;"&amp;K244&amp;"&lt;a href="&amp;""""&amp;L244&amp;""""&amp;" target="&amp;""""&amp;"_blank"&amp;""""&amp;"&gt;"&amp;L244&amp;"&lt;/a&gt;&lt;span style="&amp;""""&amp;"color:white"&amp;""""&amp;"&gt;[.]{#"&amp;F244&amp;"}}&lt;/span&gt;&lt;/div&gt;&lt;br&gt;"</f>
        <v>&lt;div class="hanging"&gt;Kusi, N., Sillero‐Zubiri, C., Macdonald, D. W., Johnson, P. J., &amp; Werhahn, G. (2019). Perspectives of traditional Himalayan communities on fostering coexistence with Himalayan wolf and snow leopard. &lt;i&gt;Conservation Science and Practice, 2&lt;/i&gt;(3).&lt;a href="https://doi.org/10.1111/csp2.165" target="_blank"&gt;https://doi.org/10.1111/csp2.165&lt;/a&gt;&lt;span style="color:white"&gt;[.]{#kusi_et_al_2019}}&lt;/span&gt;&lt;/div&gt;&lt;br&gt;</v>
      </c>
      <c r="O244" s="65" t="str">
        <f>"{{ rtxt_"&amp;F244&amp;" }}"</f>
        <v>{{ rtxt_kusi_et_al_2019 }}</v>
      </c>
      <c r="P244" s="65" t="str">
        <f>"{{ rbib_"&amp;F244&amp;" }}"</f>
        <v>{{ rbib_kusi_et_al_2019 }}</v>
      </c>
      <c r="Q244" s="65" t="str">
        <f>"    rtxt_"&amp;F244&amp;": "&amp;""""&amp;"&lt;a href=\"&amp;""""&amp;"/08_references.html#"&amp;F244&amp;"\"&amp;""""&amp;" target=\"&amp;""""&amp;"_blank\"&amp;""""&amp;"&gt;"&amp;G244&amp;"&lt;/a&gt;"&amp;""""</f>
        <v xml:space="preserve">    rtxt_kusi_et_al_2019: "&lt;a href=\"/08_references.html#kusi_et_al_2019\" target=\"_blank\"&gt;Kusi et al., 2019&lt;/a&gt;"</v>
      </c>
      <c r="R244" s="65" t="str">
        <f>"    rbib_"&amp;F244&amp;": "&amp;""""&amp;K244&amp;"&lt;a href=\"&amp;""""&amp;L244&amp;""""&amp;" target=\"&amp;""""&amp;"_blank\"&amp;""""&amp;"&gt;"&amp;L244&amp;"&lt;/a&gt;"&amp;""""</f>
        <v xml:space="preserve">    rbib_kusi_et_al_2019: "Kusi, N., Sillero‐Zubiri, C., Macdonald, D. W., Johnson, P. J., &amp; Werhahn, G. (2019). Perspectives of traditional Himalayan communities on fostering coexistence with Himalayan wolf and snow leopard. &lt;i&gt;Conservation Science and Practice, 2&lt;/i&gt;(3).&lt;a href=\"https://doi.org/10.1111/csp2.165" target=\"_blank\"&gt;https://doi.org/10.1111/csp2.165&lt;/a&gt;"</v>
      </c>
      <c r="S244" s="65" t="str">
        <f>"    rbib_"&amp;F244&amp;": "&amp;""""&amp;"&lt;div class=\"&amp;""""&amp;"hanging\"&amp;""""&amp;"&gt;"&amp;J244&amp;"&lt;/div&gt;"&amp;""""</f>
        <v xml:space="preserve">    rbib_kusi_et_al_2019: "&lt;div class=\"hanging\"&gt;Kusi, N., Sillero‐Zubiri, C., Macdonald, D. W., Johnson, P. J., &amp; Werhahn, G. (2019). Perspectives of traditional Himalayan communities on fostering coexistence with Himalayan wolf and snow leopard. *Conservation Science and Practice, 2*(3). &lt;https://doi.org/10.1111/csp2.165&gt;&lt;/div&gt;"</v>
      </c>
      <c r="T244" s="65"/>
    </row>
    <row r="245" spans="1:20" ht="15.75">
      <c r="A245" s="65"/>
      <c r="B245" s="155"/>
      <c r="C245" s="155"/>
      <c r="D245" s="155"/>
      <c r="E245" s="65" t="s">
        <v>1904</v>
      </c>
      <c r="F245" s="65" t="s">
        <v>2994</v>
      </c>
      <c r="G245" s="65" t="s">
        <v>2993</v>
      </c>
      <c r="H245" s="65" t="s">
        <v>2993</v>
      </c>
      <c r="I245" s="65" t="b">
        <v>1</v>
      </c>
      <c r="J245" s="65" t="s">
        <v>2992</v>
      </c>
      <c r="K245" s="65" t="s">
        <v>5345</v>
      </c>
      <c r="L245" s="65" t="s">
        <v>2991</v>
      </c>
      <c r="M245" s="65" t="s">
        <v>984</v>
      </c>
      <c r="N245" s="65" t="str">
        <f>"&lt;div class="&amp;""""&amp;"hanging"&amp;""""&amp;"&gt;"&amp;K245&amp;"&lt;a href="&amp;""""&amp;L245&amp;""""&amp;" target="&amp;""""&amp;"_blank"&amp;""""&amp;"&gt;"&amp;L245&amp;"&lt;/a&gt;&lt;span style="&amp;""""&amp;"color:white"&amp;""""&amp;"&gt;[.]{#"&amp;F245&amp;"}}&lt;/span&gt;&lt;/div&gt;&lt;br&gt;"</f>
        <v>&lt;div class="hanging"&gt;LaBarbera, M. (2003). Analyzing Body Size as a Factor in Ecology and Evolution. &lt;i&gt;Annual Review of Ecology and Systematics, 20&lt;/i&gt;(1), 97-117.&lt;a href="https://doi.org/10.1146/annurev.es.20.110189.000525" target="_blank"&gt;https://doi.org/10.1146/annurev.es.20.110189.000525&lt;/a&gt;&lt;span style="color:white"&gt;[.]{#labarbera_1989}}&lt;/span&gt;&lt;/div&gt;&lt;br&gt;</v>
      </c>
      <c r="O245" s="65" t="str">
        <f>"{{ rtxt_"&amp;F245&amp;" }}"</f>
        <v>{{ rtxt_labarbera_1989 }}</v>
      </c>
      <c r="P245" s="65" t="str">
        <f>"{{ rbib_"&amp;F245&amp;" }}"</f>
        <v>{{ rbib_labarbera_1989 }}</v>
      </c>
      <c r="Q245" s="65" t="str">
        <f>"    rtxt_"&amp;F245&amp;": "&amp;""""&amp;"&lt;a href=\"&amp;""""&amp;"/08_references.html#"&amp;F245&amp;"\"&amp;""""&amp;" target=\"&amp;""""&amp;"_blank\"&amp;""""&amp;"&gt;"&amp;G245&amp;"&lt;/a&gt;"&amp;""""</f>
        <v xml:space="preserve">    rtxt_labarbera_1989: "&lt;a href=\"/08_references.html#labarbera_1989\" target=\"_blank\"&gt;LaBarbera, 2003&lt;/a&gt;"</v>
      </c>
      <c r="R245" s="65" t="str">
        <f>"    rbib_"&amp;F245&amp;": "&amp;""""&amp;K245&amp;"&lt;a href=\"&amp;""""&amp;L245&amp;""""&amp;" target=\"&amp;""""&amp;"_blank\"&amp;""""&amp;"&gt;"&amp;L245&amp;"&lt;/a&gt;"&amp;""""</f>
        <v xml:space="preserve">    rbib_labarbera_1989: "LaBarbera, M. (2003). Analyzing Body Size as a Factor in Ecology and Evolution. &lt;i&gt;Annual Review of Ecology and Systematics, 20&lt;/i&gt;(1), 97-117.&lt;a href=\"https://doi.org/10.1146/annurev.es.20.110189.000525" target=\"_blank\"&gt;https://doi.org/10.1146/annurev.es.20.110189.000525&lt;/a&gt;"</v>
      </c>
      <c r="S245" s="65" t="str">
        <f>"    rbib_"&amp;F245&amp;": "&amp;""""&amp;"&lt;div class=\"&amp;""""&amp;"hanging\"&amp;""""&amp;"&gt;"&amp;J245&amp;"&lt;/div&gt;"&amp;""""</f>
        <v xml:space="preserve">    rbib_labarbera_1989: "&lt;div class=\"hanging\"&gt;LaBarbera, M. (2003). Analyzing Body Size as a Factor in Ecology and Evolution. *Annual Review of Ecology and Systematics, 20*(1), 97-117. &lt;https://doi.org/10.1146/annurev.es.20.110189.000525&gt;&lt;/div&gt;"</v>
      </c>
      <c r="T245" s="65"/>
    </row>
    <row r="246" spans="1:20" ht="15.75">
      <c r="A246" s="65"/>
      <c r="B246" s="155"/>
      <c r="C246" s="155"/>
      <c r="D246" s="155"/>
      <c r="E246" s="65" t="s">
        <v>1904</v>
      </c>
      <c r="F246" s="65" t="s">
        <v>2990</v>
      </c>
      <c r="G246" s="65" t="s">
        <v>2989</v>
      </c>
      <c r="H246" s="65" t="s">
        <v>2989</v>
      </c>
      <c r="I246" s="65" t="b">
        <v>1</v>
      </c>
      <c r="J246" s="65" t="s">
        <v>2988</v>
      </c>
      <c r="K246" s="65" t="s">
        <v>5258</v>
      </c>
      <c r="L246" s="65" t="s">
        <v>2987</v>
      </c>
      <c r="M246" s="65" t="s">
        <v>984</v>
      </c>
      <c r="N246" s="65" t="str">
        <f>"&lt;div class="&amp;""""&amp;"hanging"&amp;""""&amp;"&gt;"&amp;K246&amp;"&lt;a href="&amp;""""&amp;L246&amp;""""&amp;" target="&amp;""""&amp;"_blank"&amp;""""&amp;"&gt;"&amp;L246&amp;"&lt;/a&gt;&lt;span style="&amp;""""&amp;"color:white"&amp;""""&amp;"&gt;[.]{#"&amp;F246&amp;"}}&lt;/span&gt;&lt;/div&gt;&lt;br&gt;"</f>
        <v>&lt;div class="hanging"&gt;Ladd, R., Meek, P., &amp; Leung, L. K.-P. (2022). The influence of camera-trap flash type on the behavioural response, detection rate and individual recognition of Eld's deer. &lt;i&gt;Wildlife Research, 50&lt;/i&gt;(6), 475-483.&lt;a href="https://doi.org/10.1071/WR22055" target="_blank"&gt;https://doi.org/10.1071/WR22055&lt;/a&gt;&lt;span style="color:white"&gt;[.]{#ladd_et_al_2022}}&lt;/span&gt;&lt;/div&gt;&lt;br&gt;</v>
      </c>
      <c r="O246" s="65" t="str">
        <f>"{{ rtxt_"&amp;F246&amp;" }}"</f>
        <v>{{ rtxt_ladd_et_al_2022 }}</v>
      </c>
      <c r="P246" s="65" t="str">
        <f>"{{ rbib_"&amp;F246&amp;" }}"</f>
        <v>{{ rbib_ladd_et_al_2022 }}</v>
      </c>
      <c r="Q246" s="65" t="str">
        <f>"    rtxt_"&amp;F246&amp;": "&amp;""""&amp;"&lt;a href=\"&amp;""""&amp;"/08_references.html#"&amp;F246&amp;"\"&amp;""""&amp;" target=\"&amp;""""&amp;"_blank\"&amp;""""&amp;"&gt;"&amp;G246&amp;"&lt;/a&gt;"&amp;""""</f>
        <v xml:space="preserve">    rtxt_ladd_et_al_2022: "&lt;a href=\"/08_references.html#ladd_et_al_2022\" target=\"_blank\"&gt;Ladd et al., 2022&lt;/a&gt;"</v>
      </c>
      <c r="R246" s="65" t="str">
        <f>"    rbib_"&amp;F246&amp;": "&amp;""""&amp;K246&amp;"&lt;a href=\"&amp;""""&amp;L246&amp;""""&amp;" target=\"&amp;""""&amp;"_blank\"&amp;""""&amp;"&gt;"&amp;L246&amp;"&lt;/a&gt;"&amp;""""</f>
        <v xml:space="preserve">    rbib_ladd_et_al_2022: "Ladd, R., Meek, P., &amp; Leung, L. K.-P. (2022). The influence of camera-trap flash type on the behavioural response, detection rate and individual recognition of Eld's deer. &lt;i&gt;Wildlife Research, 50&lt;/i&gt;(6), 475-483.&lt;a href=\"https://doi.org/10.1071/WR22055" target=\"_blank\"&gt;https://doi.org/10.1071/WR22055&lt;/a&gt;"</v>
      </c>
      <c r="S246" s="65" t="str">
        <f>"    rbib_"&amp;F246&amp;": "&amp;""""&amp;"&lt;div class=\"&amp;""""&amp;"hanging\"&amp;""""&amp;"&gt;"&amp;J246&amp;"&lt;/div&gt;"&amp;""""</f>
        <v xml:space="preserve">    rbib_ladd_et_al_2022: "&lt;div class=\"hanging\"&gt;Ladd, R., Meek, P., &amp; Leung, L. K.-P. (2022). The influence of camera-trap flash type on the behavioural response, detection rate and individual recognition of Eld's deer. *Wildlife Research, 50*(6), 475-483. &lt;https://doi.org/10.1071/WR22055&gt;&lt;/div&gt;"</v>
      </c>
      <c r="T246" s="65"/>
    </row>
    <row r="247" spans="1:20" ht="15.75">
      <c r="A247" s="65"/>
      <c r="B247" s="155" t="b">
        <v>1</v>
      </c>
      <c r="C247" s="155" t="b">
        <v>1</v>
      </c>
      <c r="D247" s="155" t="b">
        <v>0</v>
      </c>
      <c r="E247" s="65" t="s">
        <v>1904</v>
      </c>
      <c r="F247" s="65" t="s">
        <v>2986</v>
      </c>
      <c r="G247" s="65" t="s">
        <v>2985</v>
      </c>
      <c r="H247" s="65" t="s">
        <v>2985</v>
      </c>
      <c r="I247" s="65" t="b">
        <v>1</v>
      </c>
      <c r="J247" s="65" t="s">
        <v>2984</v>
      </c>
      <c r="K247" s="65" t="s">
        <v>5261</v>
      </c>
      <c r="L247" s="65" t="s">
        <v>2983</v>
      </c>
      <c r="M247" s="65" t="s">
        <v>984</v>
      </c>
      <c r="N247" s="65" t="str">
        <f>"&lt;div class="&amp;""""&amp;"hanging"&amp;""""&amp;"&gt;"&amp;K247&amp;"&lt;a href="&amp;""""&amp;L247&amp;""""&amp;" target="&amp;""""&amp;"_blank"&amp;""""&amp;"&gt;"&amp;L247&amp;"&lt;/a&gt;&lt;span style="&amp;""""&amp;"color:white"&amp;""""&amp;"&gt;[.]{#"&amp;F247&amp;"}}&lt;/span&gt;&lt;/div&gt;&lt;br&gt;"</f>
        <v>&lt;div class="hanging"&gt;Lahoz-Monfort, J. J., &amp; Magrath, M. J. L. (2021). A Comprehensive Overview of Technologies for Species and Habitat Monitoring and Conservation. &lt;i&gt;Bioscience, 71&lt;/i&gt;(10), 1038-1062.&lt;a href="https://doi.org/10.1093/biosci/biab073" target="_blank"&gt;https://doi.org/10.1093/biosci/biab073&lt;/a&gt;&lt;span style="color:white"&gt;[.]{#lahoz_monfort_magrath_2021}}&lt;/span&gt;&lt;/div&gt;&lt;br&gt;</v>
      </c>
      <c r="O247" s="65" t="str">
        <f>"{{ rtxt_"&amp;F247&amp;" }}"</f>
        <v>{{ rtxt_lahoz_monfort_magrath_2021 }}</v>
      </c>
      <c r="P247" s="65" t="str">
        <f>"{{ rbib_"&amp;F247&amp;" }}"</f>
        <v>{{ rbib_lahoz_monfort_magrath_2021 }}</v>
      </c>
      <c r="Q247" s="65" t="str">
        <f>"    rtxt_"&amp;F247&amp;": "&amp;""""&amp;"&lt;a href=\"&amp;""""&amp;"/08_references.html#"&amp;F247&amp;"\"&amp;""""&amp;" target=\"&amp;""""&amp;"_blank\"&amp;""""&amp;"&gt;"&amp;G247&amp;"&lt;/a&gt;"&amp;""""</f>
        <v xml:space="preserve">    rtxt_lahoz_monfort_magrath_2021: "&lt;a href=\"/08_references.html#lahoz_monfort_magrath_2021\" target=\"_blank\"&gt;Lahoz-Monfort &amp; Magrath, 2021&lt;/a&gt;"</v>
      </c>
      <c r="R247" s="65" t="str">
        <f>"    rbib_"&amp;F247&amp;": "&amp;""""&amp;K247&amp;"&lt;a href=\"&amp;""""&amp;L247&amp;""""&amp;" target=\"&amp;""""&amp;"_blank\"&amp;""""&amp;"&gt;"&amp;L247&amp;"&lt;/a&gt;"&amp;""""</f>
        <v xml:space="preserve">    rbib_lahoz_monfort_magrath_2021: "Lahoz-Monfort, J. J., &amp; Magrath, M. J. L. (2021). A Comprehensive Overview of Technologies for Species and Habitat Monitoring and Conservation. &lt;i&gt;Bioscience, 71&lt;/i&gt;(10), 1038-1062.&lt;a href=\"https://doi.org/10.1093/biosci/biab073" target=\"_blank\"&gt;https://doi.org/10.1093/biosci/biab073&lt;/a&gt;"</v>
      </c>
      <c r="S247" s="65" t="str">
        <f>"    rbib_"&amp;F247&amp;": "&amp;""""&amp;"&lt;div class=\"&amp;""""&amp;"hanging\"&amp;""""&amp;"&gt;"&amp;J247&amp;"&lt;/div&gt;"&amp;""""</f>
        <v xml:space="preserve">    rbib_lahoz_monfort_magrath_2021: "&lt;div class=\"hanging\"&gt;Lahoz-Monfort, J. J., &amp; Magrath, M. J. L. (2021). A Comprehensive Overview of Technologies for Species and Habitat Monitoring and Conservation. *Bioscience, 71*(10), 1038-1062. &lt;https://doi.org/10.1093/biosci/biab073&gt;&lt;/div&gt;"</v>
      </c>
      <c r="T247" s="65"/>
    </row>
    <row r="248" spans="1:20" ht="15.75">
      <c r="A248" s="65"/>
      <c r="B248" s="155" t="b">
        <v>1</v>
      </c>
      <c r="C248" s="155" t="b">
        <v>0</v>
      </c>
      <c r="D248" s="155" t="b">
        <v>0</v>
      </c>
      <c r="E248" s="65" t="s">
        <v>1904</v>
      </c>
      <c r="F248" s="65" t="s">
        <v>2982</v>
      </c>
      <c r="G248" s="65" t="s">
        <v>2981</v>
      </c>
      <c r="H248" s="65" t="s">
        <v>2981</v>
      </c>
      <c r="I248" s="65" t="b">
        <v>1</v>
      </c>
      <c r="J248" s="65" t="s">
        <v>2980</v>
      </c>
      <c r="K248" s="65" t="s">
        <v>5394</v>
      </c>
      <c r="L248" s="65" t="s">
        <v>2979</v>
      </c>
      <c r="M248" s="65" t="s">
        <v>984</v>
      </c>
      <c r="N248" s="65" t="str">
        <f>"&lt;div class="&amp;""""&amp;"hanging"&amp;""""&amp;"&gt;"&amp;K248&amp;"&lt;a href="&amp;""""&amp;L248&amp;""""&amp;" target="&amp;""""&amp;"_blank"&amp;""""&amp;"&gt;"&amp;L248&amp;"&lt;/a&gt;&lt;span style="&amp;""""&amp;"color:white"&amp;""""&amp;"&gt;[.]{#"&amp;F248&amp;"}}&lt;/span&gt;&lt;/div&gt;&lt;br&gt;"</f>
        <v>&lt;div class="hanging"&gt;Lambert, D. (1992). Zero-Inflated Poisson Regression, with an application to Defects in Manufacturing. &lt;i&gt;Technometrics, 34&lt;/i&gt;(1), 1-14.&lt;a href="https://doi.org/10.2307/1269547" target="_blank"&gt;https://doi.org/10.2307/1269547&lt;/a&gt;&lt;span style="color:white"&gt;[.]{#lambert_1992}}&lt;/span&gt;&lt;/div&gt;&lt;br&gt;</v>
      </c>
      <c r="O248" s="65" t="str">
        <f>"{{ rtxt_"&amp;F248&amp;" }}"</f>
        <v>{{ rtxt_lambert_1992 }}</v>
      </c>
      <c r="P248" s="65" t="str">
        <f>"{{ rbib_"&amp;F248&amp;" }}"</f>
        <v>{{ rbib_lambert_1992 }}</v>
      </c>
      <c r="Q248" s="65" t="str">
        <f>"    rtxt_"&amp;F248&amp;": "&amp;""""&amp;"&lt;a href=\"&amp;""""&amp;"/08_references.html#"&amp;F248&amp;"\"&amp;""""&amp;" target=\"&amp;""""&amp;"_blank\"&amp;""""&amp;"&gt;"&amp;G248&amp;"&lt;/a&gt;"&amp;""""</f>
        <v xml:space="preserve">    rtxt_lambert_1992: "&lt;a href=\"/08_references.html#lambert_1992\" target=\"_blank\"&gt;Lambert, 1992&lt;/a&gt;"</v>
      </c>
      <c r="R248" s="65" t="str">
        <f>"    rbib_"&amp;F248&amp;": "&amp;""""&amp;K248&amp;"&lt;a href=\"&amp;""""&amp;L248&amp;""""&amp;" target=\"&amp;""""&amp;"_blank\"&amp;""""&amp;"&gt;"&amp;L248&amp;"&lt;/a&gt;"&amp;""""</f>
        <v xml:space="preserve">    rbib_lambert_1992: "Lambert, D. (1992). Zero-Inflated Poisson Regression, with an application to Defects in Manufacturing. &lt;i&gt;Technometrics, 34&lt;/i&gt;(1), 1-14.&lt;a href=\"https://doi.org/10.2307/1269547" target=\"_blank\"&gt;https://doi.org/10.2307/1269547&lt;/a&gt;"</v>
      </c>
      <c r="S248" s="65" t="str">
        <f>"    rbib_"&amp;F248&amp;": "&amp;""""&amp;"&lt;div class=\"&amp;""""&amp;"hanging\"&amp;""""&amp;"&gt;"&amp;J248&amp;"&lt;/div&gt;"&amp;""""</f>
        <v xml:space="preserve">    rbib_lambert_1992: "&lt;div class=\"hanging\"&gt;Lambert, D. (1992). Zero-Inflated Poisson Regression, with an application to Defects in Manufacturing. *Technometrics, 34*(1), 1-14. &lt;https://doi.org/10.2307/1269547&gt;&lt;/div&gt;"</v>
      </c>
      <c r="T248" s="65"/>
    </row>
    <row r="249" spans="1:20" ht="15.75">
      <c r="A249" s="65"/>
      <c r="B249" s="155" t="b">
        <v>1</v>
      </c>
      <c r="C249" s="155" t="b">
        <v>1</v>
      </c>
      <c r="D249" s="155" t="b">
        <v>0</v>
      </c>
      <c r="E249" s="65" t="s">
        <v>1904</v>
      </c>
      <c r="F249" s="65" t="s">
        <v>2978</v>
      </c>
      <c r="G249" s="65" t="s">
        <v>2977</v>
      </c>
      <c r="H249" s="65" t="s">
        <v>2976</v>
      </c>
      <c r="I249" s="65" t="b">
        <v>1</v>
      </c>
      <c r="J249" s="65" t="s">
        <v>2975</v>
      </c>
      <c r="K249" s="65" t="s">
        <v>5391</v>
      </c>
      <c r="L249" s="65" t="s">
        <v>2974</v>
      </c>
      <c r="M249" s="65" t="s">
        <v>984</v>
      </c>
      <c r="N249" s="65" t="str">
        <f>"&lt;div class="&amp;""""&amp;"hanging"&amp;""""&amp;"&gt;"&amp;K249&amp;"&lt;a href="&amp;""""&amp;L249&amp;""""&amp;" target="&amp;""""&amp;"_blank"&amp;""""&amp;"&gt;"&amp;L249&amp;"&lt;/a&gt;&lt;span style="&amp;""""&amp;"color:white"&amp;""""&amp;"&gt;[.]{#"&amp;F249&amp;"}}&lt;/span&gt;&lt;/div&gt;&lt;br&gt;"</f>
        <v>&lt;div class="hanging"&gt;Lazenby, B. T., Mooney, N. J., &amp; Dickman, C. R. (2015). Detecting species interactions using remote cameras: Effects on small mammals of predators, conspecifics, and climate. &lt;i&gt;Ecosphere, 6&lt;/i&gt;(12), 1-18.&lt;a href="https://doi.org/10.1890/ES14-00522.1" target="_blank"&gt;https://doi.org/10.1890/ES14-00522.1&lt;/a&gt;&lt;span style="color:white"&gt;[.]{#lazenby_et_al_2015}}&lt;/span&gt;&lt;/div&gt;&lt;br&gt;</v>
      </c>
      <c r="O249" s="65" t="str">
        <f>"{{ rtxt_"&amp;F249&amp;" }}"</f>
        <v>{{ rtxt_lazenby_et_al_2015 }}</v>
      </c>
      <c r="P249" s="65" t="str">
        <f>"{{ rbib_"&amp;F249&amp;" }}"</f>
        <v>{{ rbib_lazenby_et_al_2015 }}</v>
      </c>
      <c r="Q249" s="65" t="str">
        <f>"    rtxt_"&amp;F249&amp;": "&amp;""""&amp;"&lt;a href=\"&amp;""""&amp;"/08_references.html#"&amp;F249&amp;"\"&amp;""""&amp;" target=\"&amp;""""&amp;"_blank\"&amp;""""&amp;"&gt;"&amp;G249&amp;"&lt;/a&gt;"&amp;""""</f>
        <v xml:space="preserve">    rtxt_lazenby_et_al_2015: "&lt;a href=\"/08_references.html#lazenby_et_al_2015\" target=\"_blank\"&gt;Lazenby et al., 2015&lt;/a&gt;"</v>
      </c>
      <c r="R249" s="65" t="str">
        <f>"    rbib_"&amp;F249&amp;": "&amp;""""&amp;K249&amp;"&lt;a href=\"&amp;""""&amp;L249&amp;""""&amp;" target=\"&amp;""""&amp;"_blank\"&amp;""""&amp;"&gt;"&amp;L249&amp;"&lt;/a&gt;"&amp;""""</f>
        <v xml:space="preserve">    rbib_lazenby_et_al_2015: "Lazenby, B. T., Mooney, N. J., &amp; Dickman, C. R. (2015). Detecting species interactions using remote cameras: Effects on small mammals of predators, conspecifics, and climate. &lt;i&gt;Ecosphere, 6&lt;/i&gt;(12), 1-18.&lt;a href=\"https://doi.org/10.1890/ES14-00522.1" target=\"_blank\"&gt;https://doi.org/10.1890/ES14-00522.1&lt;/a&gt;"</v>
      </c>
      <c r="S249" s="65" t="str">
        <f>"    rbib_"&amp;F249&amp;": "&amp;""""&amp;"&lt;div class=\"&amp;""""&amp;"hanging\"&amp;""""&amp;"&gt;"&amp;J249&amp;"&lt;/div&gt;"&amp;""""</f>
        <v xml:space="preserve">    rbib_lazenby_et_al_2015: "&lt;div class=\"hanging\"&gt;Lazenby, B. T., Mooney, N. J., &amp; Dickman, C. R. (2015). Detecting species interactions using remote cameras: Effects on small mammals of predators, conspecifics, and climate. *Ecosphere, 6*(12), 1-18. &lt;https://doi.org/10.1890/ES14-00522.1&gt;&lt;/div&gt;"</v>
      </c>
      <c r="T249" s="65"/>
    </row>
    <row r="250" spans="1:20" ht="15.75">
      <c r="A250" s="65"/>
      <c r="B250" s="155"/>
      <c r="C250" s="155"/>
      <c r="D250" s="155"/>
      <c r="E250" s="65" t="s">
        <v>1904</v>
      </c>
      <c r="F250" s="65" t="s">
        <v>2973</v>
      </c>
      <c r="G250" s="65" t="s">
        <v>2972</v>
      </c>
      <c r="H250" s="65" t="s">
        <v>2972</v>
      </c>
      <c r="I250" s="65" t="b">
        <v>1</v>
      </c>
      <c r="J250" s="65" t="s">
        <v>2971</v>
      </c>
      <c r="K250" s="65" t="s">
        <v>5397</v>
      </c>
      <c r="L250" s="65" t="s">
        <v>2970</v>
      </c>
      <c r="M250" s="65" t="s">
        <v>984</v>
      </c>
      <c r="N250" s="65" t="str">
        <f>"&lt;div class="&amp;""""&amp;"hanging"&amp;""""&amp;"&gt;"&amp;K250&amp;"&lt;a href="&amp;""""&amp;L250&amp;""""&amp;" target="&amp;""""&amp;"_blank"&amp;""""&amp;"&gt;"&amp;L250&amp;"&lt;/a&gt;&lt;span style="&amp;""""&amp;"color:white"&amp;""""&amp;"&gt;[.]{#"&amp;F250&amp;"}}&lt;/span&gt;&lt;/div&gt;&lt;br&gt;"</f>
        <v>&lt;div class="hanging"&gt;Le Cren, E. D. (1965). A Note on the History of Mark-Recapture Population Estimates. &lt;i&gt;The Journal of Animal Ecology, 34&lt;/i&gt;(2),453-54.&lt;a href="https://doi.org/10.2307/2661" target="_blank"&gt;https://doi.org/10.2307/2661&lt;/a&gt;&lt;span style="color:white"&gt;[.]{#lecren_1965}}&lt;/span&gt;&lt;/div&gt;&lt;br&gt;</v>
      </c>
      <c r="O250" s="65" t="str">
        <f>"{{ rtxt_"&amp;F250&amp;" }}"</f>
        <v>{{ rtxt_lecren_1965 }}</v>
      </c>
      <c r="P250" s="65" t="str">
        <f>"{{ rbib_"&amp;F250&amp;" }}"</f>
        <v>{{ rbib_lecren_1965 }}</v>
      </c>
      <c r="Q250" s="65" t="str">
        <f>"    rtxt_"&amp;F250&amp;": "&amp;""""&amp;"&lt;a href=\"&amp;""""&amp;"/08_references.html#"&amp;F250&amp;"\"&amp;""""&amp;" target=\"&amp;""""&amp;"_blank\"&amp;""""&amp;"&gt;"&amp;G250&amp;"&lt;/a&gt;"&amp;""""</f>
        <v xml:space="preserve">    rtxt_lecren_1965: "&lt;a href=\"/08_references.html#lecren_1965\" target=\"_blank\"&gt;Le Cren, 1965&lt;/a&gt;"</v>
      </c>
      <c r="R250" s="65" t="str">
        <f>"    rbib_"&amp;F250&amp;": "&amp;""""&amp;K250&amp;"&lt;a href=\"&amp;""""&amp;L250&amp;""""&amp;" target=\"&amp;""""&amp;"_blank\"&amp;""""&amp;"&gt;"&amp;L250&amp;"&lt;/a&gt;"&amp;""""</f>
        <v xml:space="preserve">    rbib_lecren_1965: "Le Cren, E. D. (1965). A Note on the History of Mark-Recapture Population Estimates. &lt;i&gt;The Journal of Animal Ecology, 34&lt;/i&gt;(2),453-54.&lt;a href=\"https://doi.org/10.2307/2661" target=\"_blank\"&gt;https://doi.org/10.2307/2661&lt;/a&gt;"</v>
      </c>
      <c r="S250" s="65" t="str">
        <f>"    rbib_"&amp;F250&amp;": "&amp;""""&amp;"&lt;div class=\"&amp;""""&amp;"hanging\"&amp;""""&amp;"&gt;"&amp;J250&amp;"&lt;/div&gt;"&amp;""""</f>
        <v xml:space="preserve">    rbib_lecren_1965: "&lt;div class=\"hanging\"&gt;Le Cren, E. D. (1965). A Note on the History of Mark-Recapture Population Estimates. *The Journal of Animal Ecology, 34*(2),453-54. &lt;https://doi.org/10.2307/2661&gt;&lt;/div&gt;"</v>
      </c>
      <c r="T250" s="65"/>
    </row>
    <row r="251" spans="1:20" ht="15.75">
      <c r="A251" s="65"/>
      <c r="B251" s="155" t="b">
        <v>0</v>
      </c>
      <c r="C251" s="155" t="b">
        <v>0</v>
      </c>
      <c r="D251" s="155" t="b">
        <v>1</v>
      </c>
      <c r="E251" s="65" t="s">
        <v>1904</v>
      </c>
      <c r="F251" s="65" t="s">
        <v>2969</v>
      </c>
      <c r="G251" s="65" t="s">
        <v>2968</v>
      </c>
      <c r="H251" s="65" t="s">
        <v>2968</v>
      </c>
      <c r="I251" s="65" t="b">
        <v>1</v>
      </c>
      <c r="J251" s="65" t="s">
        <v>2967</v>
      </c>
      <c r="K251" s="65" t="s">
        <v>5274</v>
      </c>
      <c r="L251" s="65" t="s">
        <v>2966</v>
      </c>
      <c r="M251" s="65" t="s">
        <v>984</v>
      </c>
      <c r="N251" s="65" t="str">
        <f>"&lt;div class="&amp;""""&amp;"hanging"&amp;""""&amp;"&gt;"&amp;K251&amp;"&lt;a href="&amp;""""&amp;L251&amp;""""&amp;" target="&amp;""""&amp;"_blank"&amp;""""&amp;"&gt;"&amp;L251&amp;"&lt;/a&gt;&lt;span style="&amp;""""&amp;"color:white"&amp;""""&amp;"&gt;[.]{#"&amp;F251&amp;"}}&lt;/span&gt;&lt;/div&gt;&lt;br&gt;"</f>
        <v>&lt;div class="hanging"&gt;Lele, S. R., Merrill, E. H., Keim, J., &amp; Boyce, M. S. (2013). Selection, use, choice and occupancy: Clarifying concepts in resource selection studies. &lt;i&gt;Journal of Animal Ecology, 82&lt;/i&gt;(6), 1183-1191.&lt;a href="https://doi.org/10.1111/1365-2656.12141" target="_blank"&gt;https://doi.org/10.1111/1365-2656.12141&lt;/a&gt;&lt;span style="color:white"&gt;[.]{#lele_et_al_2013}}&lt;/span&gt;&lt;/div&gt;&lt;br&gt;</v>
      </c>
      <c r="O251" s="65" t="str">
        <f>"{{ rtxt_"&amp;F251&amp;" }}"</f>
        <v>{{ rtxt_lele_et_al_2013 }}</v>
      </c>
      <c r="P251" s="65" t="str">
        <f>"{{ rbib_"&amp;F251&amp;" }}"</f>
        <v>{{ rbib_lele_et_al_2013 }}</v>
      </c>
      <c r="Q251" s="65" t="str">
        <f>"    rtxt_"&amp;F251&amp;": "&amp;""""&amp;"&lt;a href=\"&amp;""""&amp;"/08_references.html#"&amp;F251&amp;"\"&amp;""""&amp;" target=\"&amp;""""&amp;"_blank\"&amp;""""&amp;"&gt;"&amp;G251&amp;"&lt;/a&gt;"&amp;""""</f>
        <v xml:space="preserve">    rtxt_lele_et_al_2013: "&lt;a href=\"/08_references.html#lele_et_al_2013\" target=\"_blank\"&gt;Lele et al., 2013&lt;/a&gt;"</v>
      </c>
      <c r="R251" s="65" t="str">
        <f>"    rbib_"&amp;F251&amp;": "&amp;""""&amp;K251&amp;"&lt;a href=\"&amp;""""&amp;L251&amp;""""&amp;" target=\"&amp;""""&amp;"_blank\"&amp;""""&amp;"&gt;"&amp;L251&amp;"&lt;/a&gt;"&amp;""""</f>
        <v xml:space="preserve">    rbib_lele_et_al_2013: "Lele, S. R., Merrill, E. H., Keim, J., &amp; Boyce, M. S. (2013). Selection, use, choice and occupancy: Clarifying concepts in resource selection studies. &lt;i&gt;Journal of Animal Ecology, 82&lt;/i&gt;(6), 1183-1191.&lt;a href=\"https://doi.org/10.1111/1365-2656.12141" target=\"_blank\"&gt;https://doi.org/10.1111/1365-2656.12141&lt;/a&gt;"</v>
      </c>
      <c r="S251" s="65" t="str">
        <f>"    rbib_"&amp;F251&amp;": "&amp;""""&amp;"&lt;div class=\"&amp;""""&amp;"hanging\"&amp;""""&amp;"&gt;"&amp;J251&amp;"&lt;/div&gt;"&amp;""""</f>
        <v xml:space="preserve">    rbib_lele_et_al_2013: "&lt;div class=\"hanging\"&gt;Lele, S. R., Merrill, E. H., Keim, J., &amp; Boyce, M. S. (2013). Selection, use, choice and occupancy: Clarifying concepts in resource selection studies. *Journal of Animal Ecology, 82*(6), 1183-1191. &lt;https://doi.org/10.1111/1365-2656.12141&gt;&lt;/div&gt;"</v>
      </c>
      <c r="T251" s="65"/>
    </row>
    <row r="252" spans="1:20" ht="15.75">
      <c r="A252" s="65"/>
      <c r="B252" s="155"/>
      <c r="C252" s="155"/>
      <c r="D252" s="155"/>
      <c r="E252" s="65" t="s">
        <v>2246</v>
      </c>
      <c r="F252" s="65" t="s">
        <v>2965</v>
      </c>
      <c r="G252" s="65" t="s">
        <v>2964</v>
      </c>
      <c r="H252" s="65" t="s">
        <v>2964</v>
      </c>
      <c r="I252" s="65" t="b">
        <v>1</v>
      </c>
      <c r="J252" s="65" t="s">
        <v>2963</v>
      </c>
      <c r="K252" s="65" t="s">
        <v>5124</v>
      </c>
      <c r="L252" s="65" t="s">
        <v>2962</v>
      </c>
      <c r="M252" s="65" t="s">
        <v>984</v>
      </c>
      <c r="N252" s="65" t="str">
        <f>"&lt;div class="&amp;""""&amp;"hanging"&amp;""""&amp;"&gt;"&amp;K252&amp;"&lt;a href="&amp;""""&amp;L252&amp;""""&amp;" target="&amp;""""&amp;"_blank"&amp;""""&amp;"&gt;"&amp;L252&amp;"&lt;/a&gt;&lt;span style="&amp;""""&amp;"color:white"&amp;""""&amp;"&gt;[.]{#"&amp;F252&amp;"}}&lt;/span&gt;&lt;/div&gt;&lt;br&gt;"</f>
        <v>&lt;div class="hanging"&gt;Leroy, B. (2023). &lt;i&gt;Package ‘Rarity’: Calculation of Rarity Indices for Species and Assemblages of Species.&lt;/i&gt; R package version 1.3-8,&lt;a href="https://cran.r-project.org/web/packages/Rarity/" target="_blank"&gt;https://cran.r-project.org/web/packages/Rarity/&lt;/a&gt;&lt;span style="color:white"&gt;[.]{#leroy_2023}}&lt;/span&gt;&lt;/div&gt;&lt;br&gt;</v>
      </c>
      <c r="O252" s="65" t="str">
        <f>"{{ rtxt_"&amp;F252&amp;" }}"</f>
        <v>{{ rtxt_leroy_2023 }}</v>
      </c>
      <c r="P252" s="65" t="str">
        <f>"{{ rbib_"&amp;F252&amp;" }}"</f>
        <v>{{ rbib_leroy_2023 }}</v>
      </c>
      <c r="Q252" s="65" t="str">
        <f>"    rtxt_"&amp;F252&amp;": "&amp;""""&amp;"&lt;a href=\"&amp;""""&amp;"/08_references.html#"&amp;F252&amp;"\"&amp;""""&amp;" target=\"&amp;""""&amp;"_blank\"&amp;""""&amp;"&gt;"&amp;G252&amp;"&lt;/a&gt;"&amp;""""</f>
        <v xml:space="preserve">    rtxt_leroy_2023: "&lt;a href=\"/08_references.html#leroy_2023\" target=\"_blank\"&gt;Leroy, 2023&lt;/a&gt;"</v>
      </c>
      <c r="R252" s="65" t="str">
        <f>"    rbib_"&amp;F252&amp;": "&amp;""""&amp;K252&amp;"&lt;a href=\"&amp;""""&amp;L252&amp;""""&amp;" target=\"&amp;""""&amp;"_blank\"&amp;""""&amp;"&gt;"&amp;L252&amp;"&lt;/a&gt;"&amp;""""</f>
        <v xml:space="preserve">    rbib_leroy_2023: "Leroy, B. (2023). &lt;i&gt;Package ‘Rarity’: Calculation of Rarity Indices for Species and Assemblages of Species.&lt;/i&gt; R package version 1.3-8,&lt;a href=\"https://cran.r-project.org/web/packages/Rarity/" target=\"_blank\"&gt;https://cran.r-project.org/web/packages/Rarity/&lt;/a&gt;"</v>
      </c>
      <c r="S252" s="65" t="str">
        <f>"    rbib_"&amp;F252&amp;": "&amp;""""&amp;"&lt;div class=\"&amp;""""&amp;"hanging\"&amp;""""&amp;"&gt;"&amp;J252&amp;"&lt;/div&gt;"&amp;""""</f>
        <v xml:space="preserve">    rbib_leroy_2023: "&lt;div class=\"hanging\"&gt;Leroy, B. (2023). *Package ‘Rarity’: Calculation of Rarity Indices for Species and Assemblages of Species.* R package version 1.3-8, &lt;https://cran.r-project.org/web/packages/Rarity/&gt;&lt;/div&gt;"</v>
      </c>
      <c r="T252" s="65"/>
    </row>
    <row r="253" spans="1:20" ht="15.75">
      <c r="A253" s="65"/>
      <c r="B253" s="155"/>
      <c r="C253" s="155"/>
      <c r="D253" s="155"/>
      <c r="E253" s="65" t="s">
        <v>1950</v>
      </c>
      <c r="F253" s="65" t="s">
        <v>2961</v>
      </c>
      <c r="G253" s="65" t="s">
        <v>2960</v>
      </c>
      <c r="H253" s="65" t="s">
        <v>2960</v>
      </c>
      <c r="I253" s="65" t="b">
        <v>1</v>
      </c>
      <c r="J253" s="65" t="s">
        <v>2959</v>
      </c>
      <c r="K253" s="65" t="s">
        <v>5116</v>
      </c>
      <c r="L253" s="65" t="s">
        <v>2958</v>
      </c>
      <c r="M253" s="65" t="s">
        <v>984</v>
      </c>
      <c r="N253" s="65" t="str">
        <f>"&lt;div class="&amp;""""&amp;"hanging"&amp;""""&amp;"&gt;"&amp;K253&amp;"&lt;a href="&amp;""""&amp;L253&amp;""""&amp;" target="&amp;""""&amp;"_blank"&amp;""""&amp;"&gt;"&amp;L253&amp;"&lt;/a&gt;&lt;span style="&amp;""""&amp;"color:white"&amp;""""&amp;"&gt;[.]{#"&amp;F253&amp;"}}&lt;/span&gt;&lt;/div&gt;&lt;br&gt;"</f>
        <v>&lt;div class="hanging"&gt;Leroy, B. (2024). &lt;i&gt;Rarity Indices.&lt;/i&gt;&lt;a href="https://borisleroy.com/en/research/rarity-indices/" target="_blank"&gt;https://borisleroy.com/en/research/rarity-indices/&lt;/a&gt;&lt;span style="color:white"&gt;[.]{#leroy_2024}}&lt;/span&gt;&lt;/div&gt;&lt;br&gt;</v>
      </c>
      <c r="O253" s="65" t="str">
        <f>"{{ rtxt_"&amp;F253&amp;" }}"</f>
        <v>{{ rtxt_leroy_2024 }}</v>
      </c>
      <c r="P253" s="65" t="str">
        <f>"{{ rbib_"&amp;F253&amp;" }}"</f>
        <v>{{ rbib_leroy_2024 }}</v>
      </c>
      <c r="Q253" s="65" t="str">
        <f>"    rtxt_"&amp;F253&amp;": "&amp;""""&amp;"&lt;a href=\"&amp;""""&amp;"/08_references.html#"&amp;F253&amp;"\"&amp;""""&amp;" target=\"&amp;""""&amp;"_blank\"&amp;""""&amp;"&gt;"&amp;G253&amp;"&lt;/a&gt;"&amp;""""</f>
        <v xml:space="preserve">    rtxt_leroy_2024: "&lt;a href=\"/08_references.html#leroy_2024\" target=\"_blank\"&gt;Leroy, 2024&lt;/a&gt;"</v>
      </c>
      <c r="R253" s="65" t="str">
        <f>"    rbib_"&amp;F253&amp;": "&amp;""""&amp;K253&amp;"&lt;a href=\"&amp;""""&amp;L253&amp;""""&amp;" target=\"&amp;""""&amp;"_blank\"&amp;""""&amp;"&gt;"&amp;L253&amp;"&lt;/a&gt;"&amp;""""</f>
        <v xml:space="preserve">    rbib_leroy_2024: "Leroy, B. (2024). &lt;i&gt;Rarity Indices.&lt;/i&gt;&lt;a href=\"https://borisleroy.com/en/research/rarity-indices/" target=\"_blank\"&gt;https://borisleroy.com/en/research/rarity-indices/&lt;/a&gt;"</v>
      </c>
      <c r="S253" s="65" t="str">
        <f>"    rbib_"&amp;F253&amp;": "&amp;""""&amp;"&lt;div class=\"&amp;""""&amp;"hanging\"&amp;""""&amp;"&gt;"&amp;J253&amp;"&lt;/div&gt;"&amp;""""</f>
        <v xml:space="preserve">    rbib_leroy_2024: "&lt;div class=\"hanging\"&gt;Leroy, B. (2024). *Rarity Indices.* &lt;https://borisleroy.com/en/research/rarity-indices/&gt;&lt;/div&gt;"</v>
      </c>
      <c r="T253" s="65"/>
    </row>
    <row r="254" spans="1:20" ht="15.75">
      <c r="A254" s="65"/>
      <c r="B254" s="155"/>
      <c r="C254" s="155"/>
      <c r="D254" s="155"/>
      <c r="E254" s="65" t="s">
        <v>1904</v>
      </c>
      <c r="F254" s="65" t="s">
        <v>2957</v>
      </c>
      <c r="G254" s="65" t="s">
        <v>2956</v>
      </c>
      <c r="H254" s="65" t="s">
        <v>2956</v>
      </c>
      <c r="I254" s="65" t="b">
        <v>1</v>
      </c>
      <c r="J254" s="65" t="s">
        <v>2955</v>
      </c>
      <c r="K254" s="65" t="s">
        <v>5220</v>
      </c>
      <c r="L254" s="65" t="s">
        <v>2954</v>
      </c>
      <c r="M254" s="65" t="s">
        <v>984</v>
      </c>
      <c r="N254" s="65" t="str">
        <f>"&lt;div class="&amp;""""&amp;"hanging"&amp;""""&amp;"&gt;"&amp;K254&amp;"&lt;a href="&amp;""""&amp;L254&amp;""""&amp;" target="&amp;""""&amp;"_blank"&amp;""""&amp;"&gt;"&amp;L254&amp;"&lt;/a&gt;&lt;span style="&amp;""""&amp;"color:white"&amp;""""&amp;"&gt;[.]{#"&amp;F254&amp;"}}&lt;/span&gt;&lt;/div&gt;&lt;br&gt;"</f>
        <v>&lt;div class="hanging"&gt;Levitis, D. A., Lidicker, W. Z., &amp; Freund, G. (2009). Behavioural biologists don't agree on what constitutes behaviour. &lt;i&gt;Animal Behaviour, 78&lt;/i&gt;(1), 103-110.&lt;a href="https://doi.org/10.1016/j.anbehav.2009.03.018" target="_blank"&gt;https://doi.org/10.1016/j.anbehav.2009.03.018&lt;/a&gt;&lt;span style="color:white"&gt;[.]{#levitis_et_al_2009}}&lt;/span&gt;&lt;/div&gt;&lt;br&gt;</v>
      </c>
      <c r="O254" s="65" t="str">
        <f>"{{ rtxt_"&amp;F254&amp;" }}"</f>
        <v>{{ rtxt_levitis_et_al_2009 }}</v>
      </c>
      <c r="P254" s="65" t="str">
        <f>"{{ rbib_"&amp;F254&amp;" }}"</f>
        <v>{{ rbib_levitis_et_al_2009 }}</v>
      </c>
      <c r="Q254" s="65" t="str">
        <f>"    rtxt_"&amp;F254&amp;": "&amp;""""&amp;"&lt;a href=\"&amp;""""&amp;"/08_references.html#"&amp;F254&amp;"\"&amp;""""&amp;" target=\"&amp;""""&amp;"_blank\"&amp;""""&amp;"&gt;"&amp;G254&amp;"&lt;/a&gt;"&amp;""""</f>
        <v xml:space="preserve">    rtxt_levitis_et_al_2009: "&lt;a href=\"/08_references.html#levitis_et_al_2009\" target=\"_blank\"&gt;Levitis et al., 2009&lt;/a&gt;"</v>
      </c>
      <c r="R254" s="65" t="str">
        <f>"    rbib_"&amp;F254&amp;": "&amp;""""&amp;K254&amp;"&lt;a href=\"&amp;""""&amp;L254&amp;""""&amp;" target=\"&amp;""""&amp;"_blank\"&amp;""""&amp;"&gt;"&amp;L254&amp;"&lt;/a&gt;"&amp;""""</f>
        <v xml:space="preserve">    rbib_levitis_et_al_2009: "Levitis, D. A., Lidicker, W. Z., &amp; Freund, G. (2009). Behavioural biologists don't agree on what constitutes behaviour. &lt;i&gt;Animal Behaviour, 78&lt;/i&gt;(1), 103-110.&lt;a href=\"https://doi.org/10.1016/j.anbehav.2009.03.018" target=\"_blank\"&gt;https://doi.org/10.1016/j.anbehav.2009.03.018&lt;/a&gt;"</v>
      </c>
      <c r="S254" s="65" t="str">
        <f>"    rbib_"&amp;F254&amp;": "&amp;""""&amp;"&lt;div class=\"&amp;""""&amp;"hanging\"&amp;""""&amp;"&gt;"&amp;J254&amp;"&lt;/div&gt;"&amp;""""</f>
        <v xml:space="preserve">    rbib_levitis_et_al_2009: "&lt;div class=\"hanging\"&gt;Levitis, D. A., Lidicker, W. Z., &amp; Freund, G. (2009). Behavioural biologists don't agree on what constitutes behaviour. *Animal Behaviour, 78* (1), 103-110. &lt;https://doi.org/10.1016/j.anbehav.2009.03.018&gt;&lt;/div&gt;"</v>
      </c>
      <c r="T254" s="65"/>
    </row>
    <row r="255" spans="1:20" ht="15.75">
      <c r="A255" s="65"/>
      <c r="B255" s="155" t="b">
        <v>1</v>
      </c>
      <c r="C255" s="155" t="b">
        <v>0</v>
      </c>
      <c r="D255" s="155" t="b">
        <v>0</v>
      </c>
      <c r="E255" s="65" t="s">
        <v>1904</v>
      </c>
      <c r="F255" s="65" t="s">
        <v>2953</v>
      </c>
      <c r="G255" s="65" t="s">
        <v>2952</v>
      </c>
      <c r="H255" s="65" t="s">
        <v>2952</v>
      </c>
      <c r="I255" s="65" t="b">
        <v>1</v>
      </c>
      <c r="J255" s="65" t="s">
        <v>2951</v>
      </c>
      <c r="K255" s="65" t="s">
        <v>5182</v>
      </c>
      <c r="L255" s="65" t="s">
        <v>2950</v>
      </c>
      <c r="M255" s="65" t="s">
        <v>984</v>
      </c>
      <c r="N255" s="65" t="str">
        <f>"&lt;div class="&amp;""""&amp;"hanging"&amp;""""&amp;"&gt;"&amp;K255&amp;"&lt;a href="&amp;""""&amp;L255&amp;""""&amp;" target="&amp;""""&amp;"_blank"&amp;""""&amp;"&gt;"&amp;L255&amp;"&lt;/a&gt;&lt;span style="&amp;""""&amp;"color:white"&amp;""""&amp;"&gt;[.]{#"&amp;F255&amp;"}}&lt;/span&gt;&lt;/div&gt;&lt;br&gt;"</f>
        <v>&lt;div class="hanging"&gt;Li, S., McShea, W. J., Wang, D. J., Huang, J. Z., &amp; Shao, L. K. (2012). A Direct Comparison of Camera-Trapping and Sign Transects for Monitoring Wildlife in the Wanglang National Nature Reserve, China. &lt;i&gt;Wildlife Society Bulletin, 36&lt;/i&gt;(3), 538-545.&lt;a href="https://doi.org/10.1002/wsb.161" target="_blank"&gt;https://doi.org/10.1002/wsb.161&lt;/a&gt;&lt;span style="color:white"&gt;[.]{#li_et_al_2012}}&lt;/span&gt;&lt;/div&gt;&lt;br&gt;</v>
      </c>
      <c r="O255" s="65" t="str">
        <f>"{{ rtxt_"&amp;F255&amp;" }}"</f>
        <v>{{ rtxt_li_et_al_2012 }}</v>
      </c>
      <c r="P255" s="65" t="str">
        <f>"{{ rbib_"&amp;F255&amp;" }}"</f>
        <v>{{ rbib_li_et_al_2012 }}</v>
      </c>
      <c r="Q255" s="65" t="str">
        <f>"    rtxt_"&amp;F255&amp;": "&amp;""""&amp;"&lt;a href=\"&amp;""""&amp;"/08_references.html#"&amp;F255&amp;"\"&amp;""""&amp;" target=\"&amp;""""&amp;"_blank\"&amp;""""&amp;"&gt;"&amp;G255&amp;"&lt;/a&gt;"&amp;""""</f>
        <v xml:space="preserve">    rtxt_li_et_al_2012: "&lt;a href=\"/08_references.html#li_et_al_2012\" target=\"_blank\"&gt;Li et al., 2012&lt;/a&gt;"</v>
      </c>
      <c r="R255" s="65" t="str">
        <f>"    rbib_"&amp;F255&amp;": "&amp;""""&amp;K255&amp;"&lt;a href=\"&amp;""""&amp;L255&amp;""""&amp;" target=\"&amp;""""&amp;"_blank\"&amp;""""&amp;"&gt;"&amp;L255&amp;"&lt;/a&gt;"&amp;""""</f>
        <v xml:space="preserve">    rbib_li_et_al_2012: "Li, S., McShea, W. J., Wang, D. J., Huang, J. Z., &amp; Shao, L. K. (2012). A Direct Comparison of Camera-Trapping and Sign Transects for Monitoring Wildlife in the Wanglang National Nature Reserve, China. &lt;i&gt;Wildlife Society Bulletin, 36&lt;/i&gt;(3), 538-545.&lt;a href=\"https://doi.org/10.1002/wsb.161" target=\"_blank\"&gt;https://doi.org/10.1002/wsb.161&lt;/a&gt;"</v>
      </c>
      <c r="S255" s="65" t="str">
        <f>"    rbib_"&amp;F255&amp;": "&amp;""""&amp;"&lt;div class=\"&amp;""""&amp;"hanging\"&amp;""""&amp;"&gt;"&amp;J255&amp;"&lt;/div&gt;"&amp;""""</f>
        <v xml:space="preserve">    rbib_li_et_al_2012: "&lt;div class=\"hanging\"&gt;Li, S., McShea, W. J., Wang, D. J., Huang, J. Z., &amp; Shao, L. K. (2012). A Direct Comparison of Camera-Trapping and Sign Transects for Monitoring Wildlife in the Wanglang National Nature Reserve, China. *Wildlife Society Bulletin, 36*(3), 538-545. &lt;https://doi.org/10.1002/wsb.161&gt;&lt;/div&gt;"</v>
      </c>
      <c r="T255" s="65"/>
    </row>
    <row r="256" spans="1:20" ht="15.75">
      <c r="A256" s="65"/>
      <c r="B256" s="155" t="b">
        <v>1</v>
      </c>
      <c r="C256" s="155" t="b">
        <v>0</v>
      </c>
      <c r="D256" s="155" t="b">
        <v>0</v>
      </c>
      <c r="E256" s="65" t="s">
        <v>1904</v>
      </c>
      <c r="F256" s="65" t="s">
        <v>2949</v>
      </c>
      <c r="G256" s="65" t="s">
        <v>2948</v>
      </c>
      <c r="H256" s="65" t="s">
        <v>2948</v>
      </c>
      <c r="I256" s="65" t="b">
        <v>1</v>
      </c>
      <c r="J256" s="65" t="s">
        <v>2947</v>
      </c>
      <c r="K256" s="65" t="s">
        <v>5282</v>
      </c>
      <c r="L256" s="65" t="s">
        <v>2946</v>
      </c>
      <c r="M256" s="65" t="s">
        <v>984</v>
      </c>
      <c r="N256" s="65" t="str">
        <f>"&lt;div class="&amp;""""&amp;"hanging"&amp;""""&amp;"&gt;"&amp;K256&amp;"&lt;a href="&amp;""""&amp;L256&amp;""""&amp;" target="&amp;""""&amp;"_blank"&amp;""""&amp;"&gt;"&amp;L256&amp;"&lt;/a&gt;&lt;span style="&amp;""""&amp;"color:white"&amp;""""&amp;"&gt;[.]{#"&amp;F256&amp;"}}&lt;/span&gt;&lt;/div&gt;&lt;br&gt;"</f>
        <v>&lt;div class="hanging"&gt;Linden, D. W., Fuller, A. K., Royle, J. A., &amp; Hare, M. P. (2017). Examining the occupancy-Density relationship for a low‐Density carnivore. &lt;i&gt;Journal of Applied Ecology, 54&lt;/i&gt;(6), 2043-2052.&lt;a href="https://doi.org/10.1111/1365-2664.12883" target="_blank"&gt;https://doi.org/10.1111/1365-2664.12883&lt;/a&gt;&lt;span style="color:white"&gt;[.]{#linden_et_al_2017}}&lt;/span&gt;&lt;/div&gt;&lt;br&gt;</v>
      </c>
      <c r="O256" s="65" t="str">
        <f>"{{ rtxt_"&amp;F256&amp;" }}"</f>
        <v>{{ rtxt_linden_et_al_2017 }}</v>
      </c>
      <c r="P256" s="65" t="str">
        <f>"{{ rbib_"&amp;F256&amp;" }}"</f>
        <v>{{ rbib_linden_et_al_2017 }}</v>
      </c>
      <c r="Q256" s="65" t="str">
        <f>"    rtxt_"&amp;F256&amp;": "&amp;""""&amp;"&lt;a href=\"&amp;""""&amp;"/08_references.html#"&amp;F256&amp;"\"&amp;""""&amp;" target=\"&amp;""""&amp;"_blank\"&amp;""""&amp;"&gt;"&amp;G256&amp;"&lt;/a&gt;"&amp;""""</f>
        <v xml:space="preserve">    rtxt_linden_et_al_2017: "&lt;a href=\"/08_references.html#linden_et_al_2017\" target=\"_blank\"&gt;Linden et al., 2017&lt;/a&gt;"</v>
      </c>
      <c r="R256" s="65" t="str">
        <f>"    rbib_"&amp;F256&amp;": "&amp;""""&amp;K256&amp;"&lt;a href=\"&amp;""""&amp;L256&amp;""""&amp;" target=\"&amp;""""&amp;"_blank\"&amp;""""&amp;"&gt;"&amp;L256&amp;"&lt;/a&gt;"&amp;""""</f>
        <v xml:space="preserve">    rbib_linden_et_al_2017: "Linden, D. W., Fuller, A. K., Royle, J. A., &amp; Hare, M. P. (2017). Examining the occupancy-Density relationship for a low‐Density carnivore. &lt;i&gt;Journal of Applied Ecology, 54&lt;/i&gt;(6), 2043-2052.&lt;a href=\"https://doi.org/10.1111/1365-2664.12883" target=\"_blank\"&gt;https://doi.org/10.1111/1365-2664.12883&lt;/a&gt;"</v>
      </c>
      <c r="S256" s="65" t="str">
        <f>"    rbib_"&amp;F256&amp;": "&amp;""""&amp;"&lt;div class=\"&amp;""""&amp;"hanging\"&amp;""""&amp;"&gt;"&amp;J256&amp;"&lt;/div&gt;"&amp;""""</f>
        <v xml:space="preserve">    rbib_linden_et_al_2017: "&lt;div class=\"hanging\"&gt;Linden, D. W., Fuller, A. K., Royle, J. A., &amp; Hare, M. P. (2017). Examining the occupancy-Density relationship for a low‐Density carnivore. *Journal of Applied Ecology, 54*(6), 2043-2052. &lt;https://doi.org/10.1111/1365-2664.12883&gt;&lt;/div&gt;"</v>
      </c>
      <c r="T256" s="65"/>
    </row>
    <row r="257" spans="1:20" ht="15.75">
      <c r="A257" s="65"/>
      <c r="B257" s="155"/>
      <c r="C257" s="155"/>
      <c r="D257" s="155"/>
      <c r="E257" s="65" t="s">
        <v>2945</v>
      </c>
      <c r="F257" s="65" t="s">
        <v>2944</v>
      </c>
      <c r="G257" s="65" t="s">
        <v>2943</v>
      </c>
      <c r="H257" s="65" t="s">
        <v>2943</v>
      </c>
      <c r="I257" s="65" t="b">
        <v>1</v>
      </c>
      <c r="J257" s="65" t="s">
        <v>2942</v>
      </c>
      <c r="K257" s="65" t="s">
        <v>5467</v>
      </c>
      <c r="L257" s="65" t="s">
        <v>2941</v>
      </c>
      <c r="M257" s="65" t="s">
        <v>984</v>
      </c>
      <c r="N257" s="65" t="str">
        <f>"&lt;div class="&amp;""""&amp;"hanging"&amp;""""&amp;"&gt;"&amp;K257&amp;"&lt;a href="&amp;""""&amp;L257&amp;""""&amp;" target="&amp;""""&amp;"_blank"&amp;""""&amp;"&gt;"&amp;L257&amp;"&lt;/a&gt;&lt;span style="&amp;""""&amp;"color:white"&amp;""""&amp;"&gt;[.]{#"&amp;F257&amp;"}}&lt;/span&gt;&lt;/div&gt;&lt;br&gt;"</f>
        <v>&lt;div class="hanging"&gt;Loonam, K. E. (2019). &lt;i&gt;Assessing the Robustness of Time-to-Event Abundance Estimation&lt;/i&gt; [Thesis: Master of Science in Wildlife Biology, University of Montana].&lt;a href="https://scholarworks.umt.edu/cgi/viewcontent.cgi?article=12550&amp;context=etd" target="_blank"&gt;https://scholarworks.umt.edu/cgi/viewcontent.cgi?article=12550&amp;context=etd&lt;/a&gt;&lt;span style="color:white"&gt;[.]{#loonam_2019}}&lt;/span&gt;&lt;/div&gt;&lt;br&gt;</v>
      </c>
      <c r="O257" s="65" t="str">
        <f>"{{ rtxt_"&amp;F257&amp;" }}"</f>
        <v>{{ rtxt_loonam_2019 }}</v>
      </c>
      <c r="P257" s="65" t="str">
        <f>"{{ rbib_"&amp;F257&amp;" }}"</f>
        <v>{{ rbib_loonam_2019 }}</v>
      </c>
      <c r="Q257" s="65" t="str">
        <f>"    rtxt_"&amp;F257&amp;": "&amp;""""&amp;"&lt;a href=\"&amp;""""&amp;"/08_references.html#"&amp;F257&amp;"\"&amp;""""&amp;" target=\"&amp;""""&amp;"_blank\"&amp;""""&amp;"&gt;"&amp;G257&amp;"&lt;/a&gt;"&amp;""""</f>
        <v xml:space="preserve">    rtxt_loonam_2019: "&lt;a href=\"/08_references.html#loonam_2019\" target=\"_blank\"&gt;Loonam, 2019&lt;/a&gt;"</v>
      </c>
      <c r="R257" s="65" t="str">
        <f>"    rbib_"&amp;F257&amp;": "&amp;""""&amp;K257&amp;"&lt;a href=\"&amp;""""&amp;L257&amp;""""&amp;" target=\"&amp;""""&amp;"_blank\"&amp;""""&amp;"&gt;"&amp;L257&amp;"&lt;/a&gt;"&amp;""""</f>
        <v xml:space="preserve">    rbib_loonam_2019: "Loonam, K. E. (2019). &lt;i&gt;Assessing the Robustness of Time-to-Event Abundance Estimation&lt;/i&gt; [Thesis: Master of Science in Wildlife Biology, University of Montana].&lt;a href=\"https://scholarworks.umt.edu/cgi/viewcontent.cgi?article=12550&amp;context=etd" target=\"_blank\"&gt;https://scholarworks.umt.edu/cgi/viewcontent.cgi?article=12550&amp;context=etd&lt;/a&gt;"</v>
      </c>
      <c r="S257" s="65" t="str">
        <f>"    rbib_"&amp;F257&amp;": "&amp;""""&amp;"&lt;div class=\"&amp;""""&amp;"hanging\"&amp;""""&amp;"&gt;"&amp;J257&amp;"&lt;/div&gt;"&amp;""""</f>
        <v xml:space="preserve">    rbib_loonam_2019: "&lt;div class=\"hanging\"&gt;Loonam, K. E. (2019). *Assessing the Robustness of Time-to-Event Abundance Estimation* [Thesis: Master of Science in Wildlife Biology, University of Montana]. &lt;https://scholarworks.umt.edu/cgi/viewcontent.cgi?article=12550&amp;context=etd&gt;&lt;/div&gt;"</v>
      </c>
      <c r="T257" s="65"/>
    </row>
    <row r="258" spans="1:20" ht="15.75">
      <c r="A258" s="65"/>
      <c r="B258" s="155"/>
      <c r="C258" s="155"/>
      <c r="D258" s="155"/>
      <c r="E258" s="65" t="s">
        <v>1904</v>
      </c>
      <c r="F258" s="65" t="s">
        <v>2940</v>
      </c>
      <c r="G258" s="65" t="s">
        <v>2939</v>
      </c>
      <c r="H258" s="65" t="s">
        <v>2939</v>
      </c>
      <c r="I258" s="65" t="b">
        <v>1</v>
      </c>
      <c r="J258" s="65" t="s">
        <v>2938</v>
      </c>
      <c r="K258" s="65" t="s">
        <v>5161</v>
      </c>
      <c r="L258" s="65" t="s">
        <v>2937</v>
      </c>
      <c r="M258" s="65" t="s">
        <v>984</v>
      </c>
      <c r="N258" s="65" t="str">
        <f>"&lt;div class="&amp;""""&amp;"hanging"&amp;""""&amp;"&gt;"&amp;K258&amp;"&lt;a href="&amp;""""&amp;L258&amp;""""&amp;" target="&amp;""""&amp;"_blank"&amp;""""&amp;"&gt;"&amp;L258&amp;"&lt;/a&gt;&lt;span style="&amp;""""&amp;"color:white"&amp;""""&amp;"&gt;[.]{#"&amp;F258&amp;"}}&lt;/span&gt;&lt;/div&gt;&lt;br&gt;"</f>
        <v>&lt;div class="hanging"&gt;Loonam, K. E., Ausband, D. E., Lukacs, P. M., Mitchell, M. S., &amp; Robinson, H. S. (2021a). Estimating Abundance of an Unmarked, Low‐Density Species using Cameras. &lt;i&gt;The Journal of Wildlife Management, 85&lt;/i&gt;(1), 87-96.&lt;a href="https://doi.org/10.1002/jwmg.21950" target="_blank"&gt;https://doi.org/10.1002/jwmg.21950&lt;/a&gt;&lt;span style="color:white"&gt;[.]{#loonam_et_al_2021a}}&lt;/span&gt;&lt;/div&gt;&lt;br&gt;</v>
      </c>
      <c r="O258" s="65" t="str">
        <f>"{{ rtxt_"&amp;F258&amp;" }}"</f>
        <v>{{ rtxt_loonam_et_al_2021a }}</v>
      </c>
      <c r="P258" s="65" t="str">
        <f>"{{ rbib_"&amp;F258&amp;" }}"</f>
        <v>{{ rbib_loonam_et_al_2021a }}</v>
      </c>
      <c r="Q258" s="65" t="str">
        <f>"    rtxt_"&amp;F258&amp;": "&amp;""""&amp;"&lt;a href=\"&amp;""""&amp;"/08_references.html#"&amp;F258&amp;"\"&amp;""""&amp;" target=\"&amp;""""&amp;"_blank\"&amp;""""&amp;"&gt;"&amp;G258&amp;"&lt;/a&gt;"&amp;""""</f>
        <v xml:space="preserve">    rtxt_loonam_et_al_2021a: "&lt;a href=\"/08_references.html#loonam_et_al_2021a\" target=\"_blank\"&gt;Loonam et al., 2021a&lt;/a&gt;"</v>
      </c>
      <c r="R258" s="65" t="str">
        <f>"    rbib_"&amp;F258&amp;": "&amp;""""&amp;K258&amp;"&lt;a href=\"&amp;""""&amp;L258&amp;""""&amp;" target=\"&amp;""""&amp;"_blank\"&amp;""""&amp;"&gt;"&amp;L258&amp;"&lt;/a&gt;"&amp;""""</f>
        <v xml:space="preserve">    rbib_loonam_et_al_2021a: "Loonam, K. E., Ausband, D. E., Lukacs, P. M., Mitchell, M. S., &amp; Robinson, H. S. (2021a). Estimating Abundance of an Unmarked, Low‐Density Species using Cameras. &lt;i&gt;The Journal of Wildlife Management, 85&lt;/i&gt;(1), 87-96.&lt;a href=\"https://doi.org/10.1002/jwmg.21950" target=\"_blank\"&gt;https://doi.org/10.1002/jwmg.21950&lt;/a&gt;"</v>
      </c>
      <c r="S258" s="65" t="str">
        <f>"    rbib_"&amp;F258&amp;": "&amp;""""&amp;"&lt;div class=\"&amp;""""&amp;"hanging\"&amp;""""&amp;"&gt;"&amp;J258&amp;"&lt;/div&gt;"&amp;""""</f>
        <v xml:space="preserve">    rbib_loonam_et_al_2021a: "&lt;div class=\"hanging\"&gt;Loonam, K. E., Ausband, D. E., Lukacs, P. M., Mitchell, M. S., &amp; Robinson, H. S. (2021a). Estimating Abundance of an Unmarked, Low‐Density Species using Cameras. *The Journal of Wildlife Management, 85*(1), 87-96. &lt;https://doi.org/10.1002/jwmg.21950&gt;&lt;/div&gt;"</v>
      </c>
      <c r="T258" s="65"/>
    </row>
    <row r="259" spans="1:20" ht="15.75">
      <c r="A259" s="65"/>
      <c r="B259" s="155" t="b">
        <v>1</v>
      </c>
      <c r="C259" s="155" t="b">
        <v>0</v>
      </c>
      <c r="D259" s="155" t="b">
        <v>0</v>
      </c>
      <c r="E259" s="65" t="s">
        <v>1904</v>
      </c>
      <c r="F259" s="65" t="s">
        <v>2936</v>
      </c>
      <c r="G259" s="65" t="s">
        <v>2935</v>
      </c>
      <c r="H259" s="65" t="s">
        <v>2935</v>
      </c>
      <c r="I259" s="65" t="b">
        <v>1</v>
      </c>
      <c r="J259" s="65" t="s">
        <v>2934</v>
      </c>
      <c r="K259" s="65" t="s">
        <v>5135</v>
      </c>
      <c r="L259" s="65" t="s">
        <v>2933</v>
      </c>
      <c r="M259" s="65" t="s">
        <v>984</v>
      </c>
      <c r="N259" s="65" t="str">
        <f>"&lt;div class="&amp;""""&amp;"hanging"&amp;""""&amp;"&gt;"&amp;K259&amp;"&lt;a href="&amp;""""&amp;L259&amp;""""&amp;" target="&amp;""""&amp;"_blank"&amp;""""&amp;"&gt;"&amp;L259&amp;"&lt;/a&gt;&lt;span style="&amp;""""&amp;"color:white"&amp;""""&amp;"&gt;[.]{#"&amp;F259&amp;"}}&lt;/span&gt;&lt;/div&gt;&lt;br&gt;"</f>
        <v>&lt;div class="hanging"&gt;Loonam, K. E., Lukacs, P. M., Ausband, D. E., Mitchell, M. S., &amp; Robinson, H. S. (2021b). Assessing the robustness of time-to-event models for estimating unmarked wildlife abundance using remote cameras. &lt;i&gt;Ecological Applications, 31&lt;/i&gt;(6), Article e02388.&lt;a href="https://doi.org/10.1002/eap.2388" target="_blank"&gt;https://doi.org/10.1002/eap.2388&lt;/a&gt;&lt;span style="color:white"&gt;[.]{#loonam_et_al_2021b}}&lt;/span&gt;&lt;/div&gt;&lt;br&gt;</v>
      </c>
      <c r="O259" s="65" t="str">
        <f>"{{ rtxt_"&amp;F259&amp;" }}"</f>
        <v>{{ rtxt_loonam_et_al_2021b }}</v>
      </c>
      <c r="P259" s="65" t="str">
        <f>"{{ rbib_"&amp;F259&amp;" }}"</f>
        <v>{{ rbib_loonam_et_al_2021b }}</v>
      </c>
      <c r="Q259" s="65" t="str">
        <f>"    rtxt_"&amp;F259&amp;": "&amp;""""&amp;"&lt;a href=\"&amp;""""&amp;"/08_references.html#"&amp;F259&amp;"\"&amp;""""&amp;" target=\"&amp;""""&amp;"_blank\"&amp;""""&amp;"&gt;"&amp;G259&amp;"&lt;/a&gt;"&amp;""""</f>
        <v xml:space="preserve">    rtxt_loonam_et_al_2021b: "&lt;a href=\"/08_references.html#loonam_et_al_2021b\" target=\"_blank\"&gt;Loonam et al., 2021b&lt;/a&gt;"</v>
      </c>
      <c r="R259" s="65" t="str">
        <f>"    rbib_"&amp;F259&amp;": "&amp;""""&amp;K259&amp;"&lt;a href=\"&amp;""""&amp;L259&amp;""""&amp;" target=\"&amp;""""&amp;"_blank\"&amp;""""&amp;"&gt;"&amp;L259&amp;"&lt;/a&gt;"&amp;""""</f>
        <v xml:space="preserve">    rbib_loonam_et_al_2021b: "Loonam, K. E., Lukacs, P. M., Ausband, D. E., Mitchell, M. S., &amp; Robinson, H. S. (2021b). Assessing the robustness of time-to-event models for estimating unmarked wildlife abundance using remote cameras. &lt;i&gt;Ecological Applications, 31&lt;/i&gt;(6), Article e02388.&lt;a href=\"https://doi.org/10.1002/eap.2388" target=\"_blank\"&gt;https://doi.org/10.1002/eap.2388&lt;/a&gt;"</v>
      </c>
      <c r="S259" s="65" t="str">
        <f>"    rbib_"&amp;F259&amp;": "&amp;""""&amp;"&lt;div class=\"&amp;""""&amp;"hanging\"&amp;""""&amp;"&gt;"&amp;J259&amp;"&lt;/div&gt;"&amp;""""</f>
        <v xml:space="preserve">    rbib_loonam_et_al_2021b: "&lt;div class=\"hanging\"&gt;Loonam, K. E., Lukacs, P. M., Ausband, D. E., Mitchell, M. S., &amp; Robinson, H. S. (2021b). Assessing the robustness of time-to-event models for estimating unmarked wildlife abundance using remote cameras. *Ecological Applications, 31*(6), Article e02388. &lt;https://doi.org/10.1002/eap.2388&gt;&lt;/div&gt;"</v>
      </c>
      <c r="T259" s="65"/>
    </row>
    <row r="260" spans="1:20" ht="15.75">
      <c r="A260" s="65"/>
      <c r="B260" s="155" t="b">
        <v>0</v>
      </c>
      <c r="C260" s="155" t="b">
        <v>0</v>
      </c>
      <c r="D260" s="155"/>
      <c r="E260" s="65" t="s">
        <v>1939</v>
      </c>
      <c r="F260" s="65" t="s">
        <v>2932</v>
      </c>
      <c r="G260" s="65" t="s">
        <v>2931</v>
      </c>
      <c r="H260" s="65" t="s">
        <v>2931</v>
      </c>
      <c r="I260" s="65" t="b">
        <v>1</v>
      </c>
      <c r="J260" s="65" t="s">
        <v>2930</v>
      </c>
      <c r="K260" s="65" t="s">
        <v>5511</v>
      </c>
      <c r="L260" s="65" t="s">
        <v>2929</v>
      </c>
      <c r="M260" s="65" t="s">
        <v>984</v>
      </c>
      <c r="N260" s="65" t="str">
        <f>"&lt;div class="&amp;""""&amp;"hanging"&amp;""""&amp;"&gt;"&amp;K260&amp;"&lt;a href="&amp;""""&amp;L260&amp;""""&amp;" target="&amp;""""&amp;"_blank"&amp;""""&amp;"&gt;"&amp;L260&amp;"&lt;/a&gt;&lt;span style="&amp;""""&amp;"color:white"&amp;""""&amp;"&gt;[.]{#"&amp;F260&amp;"}}&lt;/span&gt;&lt;/div&gt;&lt;br&gt;"</f>
        <v>&lt;div class="hanging"&gt;Loreau, M. (2010). Estimating Species Richness Using Species Accumulation and Rarefaction Curves. In O. Kinne (Ed.), &lt;i&gt;The Challenges of Biodiversity Science&lt;/i&gt; (17th ed., Vol. 1, pp. 20-21). International Ecology Institute.&lt;a href="https://www.researchgate.net/publication/285953769_The_challenges_of_biodiversity_science" target="_blank"&gt;https://www.researchgate.net/publication/285953769_The_challenges_of_biodiversity_science&lt;/a&gt;&lt;span style="color:white"&gt;[.]{#loreau_2010}}&lt;/span&gt;&lt;/div&gt;&lt;br&gt;</v>
      </c>
      <c r="O260" s="65" t="str">
        <f>"{{ rtxt_"&amp;F260&amp;" }}"</f>
        <v>{{ rtxt_loreau_2010 }}</v>
      </c>
      <c r="P260" s="65" t="str">
        <f>"{{ rbib_"&amp;F260&amp;" }}"</f>
        <v>{{ rbib_loreau_2010 }}</v>
      </c>
      <c r="Q260" s="65" t="str">
        <f>"    rtxt_"&amp;F260&amp;": "&amp;""""&amp;"&lt;a href=\"&amp;""""&amp;"/08_references.html#"&amp;F260&amp;"\"&amp;""""&amp;" target=\"&amp;""""&amp;"_blank\"&amp;""""&amp;"&gt;"&amp;G260&amp;"&lt;/a&gt;"&amp;""""</f>
        <v xml:space="preserve">    rtxt_loreau_2010: "&lt;a href=\"/08_references.html#loreau_2010\" target=\"_blank\"&gt;Loreau, 2010&lt;/a&gt;"</v>
      </c>
      <c r="R260" s="65" t="str">
        <f>"    rbib_"&amp;F260&amp;": "&amp;""""&amp;K260&amp;"&lt;a href=\"&amp;""""&amp;L260&amp;""""&amp;" target=\"&amp;""""&amp;"_blank\"&amp;""""&amp;"&gt;"&amp;L260&amp;"&lt;/a&gt;"&amp;""""</f>
        <v xml:space="preserve">    rbib_loreau_2010: "Loreau, M. (2010). Estimating Species Richness Using Species Accumulation and Rarefaction Curves. In O. Kinne (Ed.), &lt;i&gt;The Challenges of Biodiversity Science&lt;/i&gt; (17th ed., Vol. 1, pp. 20-21). International Ecology Institute.&lt;a href=\"https://www.researchgate.net/publication/285953769_The_challenges_of_biodiversity_science" target=\"_blank\"&gt;https://www.researchgate.net/publication/285953769_The_challenges_of_biodiversity_science&lt;/a&gt;"</v>
      </c>
      <c r="S260" s="65" t="str">
        <f>"    rbib_"&amp;F260&amp;": "&amp;""""&amp;"&lt;div class=\"&amp;""""&amp;"hanging\"&amp;""""&amp;"&gt;"&amp;J260&amp;"&lt;/div&gt;"&amp;""""</f>
        <v xml:space="preserve">    rbib_loreau_2010: "&lt;div class=\"hanging\"&gt;Loreau, M. (2010). Estimating Species Richness Using Species Accumulation and Rarefaction Curves. In O. Kinne (Ed.), *The Challenges of Biodiversity Science* (17th ed., Vol. 1, pp. 20-21). International Ecology Institute. &lt;https://www.researchgate.net/publication/285953769_The_challenges_of_biodiversity_science&gt;&lt;/div&gt;"</v>
      </c>
      <c r="T260" s="65"/>
    </row>
    <row r="261" spans="1:20" ht="15.75">
      <c r="A261" s="65"/>
      <c r="B261" s="155"/>
      <c r="C261" s="155"/>
      <c r="D261" s="155"/>
      <c r="E261" s="65" t="s">
        <v>2928</v>
      </c>
      <c r="F261" s="65" t="s">
        <v>2927</v>
      </c>
      <c r="G261" s="65" t="s">
        <v>2926</v>
      </c>
      <c r="H261" s="65" t="s">
        <v>2926</v>
      </c>
      <c r="I261" s="65" t="b">
        <v>1</v>
      </c>
      <c r="J261" s="65" t="s">
        <v>3957</v>
      </c>
      <c r="K261" s="65" t="s">
        <v>5475</v>
      </c>
      <c r="L261" s="65" t="s">
        <v>2925</v>
      </c>
      <c r="M261" s="65" t="s">
        <v>984</v>
      </c>
      <c r="N261" s="65" t="str">
        <f>"&lt;div class="&amp;""""&amp;"hanging"&amp;""""&amp;"&gt;"&amp;K261&amp;"&lt;a href="&amp;""""&amp;L261&amp;""""&amp;" target="&amp;""""&amp;"_blank"&amp;""""&amp;"&gt;"&amp;L261&amp;"&lt;/a&gt;&lt;span style="&amp;""""&amp;"color:white"&amp;""""&amp;"&gt;[.]{#"&amp;F261&amp;"}}&lt;/span&gt;&lt;/div&gt;&lt;br&gt;"</f>
        <v>&lt;div class="hanging"&gt;Lukacs, P. M. (2021, Oct 26).&lt;i&gt;Animal Abundance from Camera Data: Pipe Dream to Main Stream.&lt;/i&gt; Presented at the FCFC Seminar.&lt;a href="https://umontana.zoom.us/rec/play/eY6_CAjDNUjCAfFrmRvJH8NtrL4J38I46T5idY4gO3i1YHqxBnDUrDeufvgAps-D-aFJFJ_F9AMuE6k.VjerQ5kRpa5HsybV" target="_blank"&gt;https://umontana.zoom.us/rec/play/eY6_CAjDNUjCAfFrmRvJH8NtrL4J38I46T5idY4gO3i1YHqxBnDUrDeufvgAps-D-aFJFJ_F9AMuE6k.VjerQ5kRpa5HsybV&lt;/a&gt;&lt;span style="color:white"&gt;[.]{#lukacs_2021}}&lt;/span&gt;&lt;/div&gt;&lt;br&gt;</v>
      </c>
      <c r="O261" s="65" t="str">
        <f>"{{ rtxt_"&amp;F261&amp;" }}"</f>
        <v>{{ rtxt_lukacs_2021 }}</v>
      </c>
      <c r="P261" s="65" t="str">
        <f>"{{ rbib_"&amp;F261&amp;" }}"</f>
        <v>{{ rbib_lukacs_2021 }}</v>
      </c>
      <c r="Q261" s="65" t="str">
        <f>"    rtxt_"&amp;F261&amp;": "&amp;""""&amp;"&lt;a href=\"&amp;""""&amp;"/08_references.html#"&amp;F261&amp;"\"&amp;""""&amp;" target=\"&amp;""""&amp;"_blank\"&amp;""""&amp;"&gt;"&amp;G261&amp;"&lt;/a&gt;"&amp;""""</f>
        <v xml:space="preserve">    rtxt_lukacs_2021: "&lt;a href=\"/08_references.html#lukacs_2021\" target=\"_blank\"&gt;Lukacs, 2021&lt;/a&gt;"</v>
      </c>
      <c r="R261" s="65" t="str">
        <f>"    rbib_"&amp;F261&amp;": "&amp;""""&amp;K261&amp;"&lt;a href=\"&amp;""""&amp;L261&amp;""""&amp;" target=\"&amp;""""&amp;"_blank\"&amp;""""&amp;"&gt;"&amp;L261&amp;"&lt;/a&gt;"&amp;""""</f>
        <v xml:space="preserve">    rbib_lukacs_2021: "Lukacs, P. M. (2021, Oct 26).&lt;i&gt;Animal Abundance from Camera Data: Pipe Dream to Main Stream.&lt;/i&gt; Presented at the FCFC Seminar.&lt;a href=\"https://umontana.zoom.us/rec/play/eY6_CAjDNUjCAfFrmRvJH8NtrL4J38I46T5idY4gO3i1YHqxBnDUrDeufvgAps-D-aFJFJ_F9AMuE6k.VjerQ5kRpa5HsybV" target=\"_blank\"&gt;https://umontana.zoom.us/rec/play/eY6_CAjDNUjCAfFrmRvJH8NtrL4J38I46T5idY4gO3i1YHqxBnDUrDeufvgAps-D-aFJFJ_F9AMuE6k.VjerQ5kRpa5HsybV&lt;/a&gt;"</v>
      </c>
      <c r="S261" s="65" t="str">
        <f>"    rbib_"&amp;F261&amp;": "&amp;""""&amp;"&lt;div class=\"&amp;""""&amp;"hanging\"&amp;""""&amp;"&gt;"&amp;J261&amp;"&lt;/div&gt;"&amp;""""</f>
        <v xml:space="preserve">    rbib_lukacs_2021: "&lt;div class=\"hanging\"&gt;Lukacs, P. M. (2021, Oct 26).*Animal Abundance from Camera Data:Pipe Dream to Main Stream.* Presented at the FCFC Seminar. &lt;https://umontana.zoom.us/rec/play/eY6_CAjDNUjCAfFrmRvJH8NtrL4J38I46T5idY4gO3i1YHqxBnDUrDeufvgAps-D-aFJFJ_F9AMuE6k.VjerQ5kRpa5HsybV&gt;&lt;/div&gt;"</v>
      </c>
      <c r="T261" s="65"/>
    </row>
    <row r="262" spans="1:20" ht="15.75">
      <c r="A262" s="65"/>
      <c r="B262" s="155" t="b">
        <v>1</v>
      </c>
      <c r="C262" s="155" t="b">
        <v>1</v>
      </c>
      <c r="D262" s="155" t="b">
        <v>0</v>
      </c>
      <c r="E262" s="65" t="s">
        <v>1904</v>
      </c>
      <c r="F262" s="65" t="s">
        <v>2924</v>
      </c>
      <c r="G262" s="65" t="s">
        <v>2923</v>
      </c>
      <c r="H262" s="65" t="s">
        <v>2922</v>
      </c>
      <c r="I262" s="65" t="b">
        <v>1</v>
      </c>
      <c r="J262" s="65" t="s">
        <v>2921</v>
      </c>
      <c r="K262" s="65" t="s">
        <v>5290</v>
      </c>
      <c r="L262" s="65" t="s">
        <v>2920</v>
      </c>
      <c r="M262" s="65" t="s">
        <v>984</v>
      </c>
      <c r="N262" s="65" t="str">
        <f>"&lt;div class="&amp;""""&amp;"hanging"&amp;""""&amp;"&gt;"&amp;K262&amp;"&lt;a href="&amp;""""&amp;L262&amp;""""&amp;" target="&amp;""""&amp;"_blank"&amp;""""&amp;"&gt;"&amp;L262&amp;"&lt;/a&gt;&lt;span style="&amp;""""&amp;"color:white"&amp;""""&amp;"&gt;[.]{#"&amp;F262&amp;"}}&lt;/span&gt;&lt;/div&gt;&lt;br&gt;"</f>
        <v>&lt;div class="hanging"&gt;Lynch, T. P., Alderman, R., &amp; Hobday, A. J. (2015). A high-resolution panorama camera system for monitoring colony-wide seabird nesting behaviour. &lt;i&gt;Methods in Ecology and Evolution, 6&lt;/i&gt;(5), 491-499.&lt;a href="https://doi.org/10.1111/2041-210X.12339" target="_blank"&gt;https://doi.org/10.1111/2041-210X.12339&lt;/a&gt;&lt;span style="color:white"&gt;[.]{#lynch_et_al_2015}}&lt;/span&gt;&lt;/div&gt;&lt;br&gt;</v>
      </c>
      <c r="O262" s="65" t="str">
        <f>"{{ rtxt_"&amp;F262&amp;" }}"</f>
        <v>{{ rtxt_lynch_et_al_2015 }}</v>
      </c>
      <c r="P262" s="65" t="str">
        <f>"{{ rbib_"&amp;F262&amp;" }}"</f>
        <v>{{ rbib_lynch_et_al_2015 }}</v>
      </c>
      <c r="Q262" s="65" t="str">
        <f>"    rtxt_"&amp;F262&amp;": "&amp;""""&amp;"&lt;a href=\"&amp;""""&amp;"/08_references.html#"&amp;F262&amp;"\"&amp;""""&amp;" target=\"&amp;""""&amp;"_blank\"&amp;""""&amp;"&gt;"&amp;G262&amp;"&lt;/a&gt;"&amp;""""</f>
        <v xml:space="preserve">    rtxt_lynch_et_al_2015: "&lt;a href=\"/08_references.html#lynch_et_al_2015\" target=\"_blank\"&gt;Lynch et al., 2015&lt;/a&gt;"</v>
      </c>
      <c r="R262" s="65" t="str">
        <f>"    rbib_"&amp;F262&amp;": "&amp;""""&amp;K262&amp;"&lt;a href=\"&amp;""""&amp;L262&amp;""""&amp;" target=\"&amp;""""&amp;"_blank\"&amp;""""&amp;"&gt;"&amp;L262&amp;"&lt;/a&gt;"&amp;""""</f>
        <v xml:space="preserve">    rbib_lynch_et_al_2015: "Lynch, T. P., Alderman, R., &amp; Hobday, A. J. (2015). A high-resolution panorama camera system for monitoring colony-wide seabird nesting behaviour. &lt;i&gt;Methods in Ecology and Evolution, 6&lt;/i&gt;(5), 491-499.&lt;a href=\"https://doi.org/10.1111/2041-210X.12339" target=\"_blank\"&gt;https://doi.org/10.1111/2041-210X.12339&lt;/a&gt;"</v>
      </c>
      <c r="S262" s="65" t="str">
        <f>"    rbib_"&amp;F262&amp;": "&amp;""""&amp;"&lt;div class=\"&amp;""""&amp;"hanging\"&amp;""""&amp;"&gt;"&amp;J262&amp;"&lt;/div&gt;"&amp;""""</f>
        <v xml:space="preserve">    rbib_lynch_et_al_2015: "&lt;div class=\"hanging\"&gt;Lynch, T. P., Alderman, R., &amp; Hobday, A. J. (2015). A high-resolution panorama camera system for monitoring colony-wide seabird nesting behaviour. *Methods in Ecology and Evolution, 6*(5), 491-499. &lt;https://doi.org/10.1111/2041-210X.12339&gt;&lt;/div&gt;"</v>
      </c>
      <c r="T262" s="65"/>
    </row>
    <row r="263" spans="1:20" ht="15.75">
      <c r="A263" s="65"/>
      <c r="B263" s="155" t="b">
        <v>1</v>
      </c>
      <c r="C263" s="155" t="b">
        <v>1</v>
      </c>
      <c r="D263" s="155" t="b">
        <v>1</v>
      </c>
      <c r="E263" s="65" t="s">
        <v>1904</v>
      </c>
      <c r="F263" s="65" t="s">
        <v>2898</v>
      </c>
      <c r="G263" s="65" t="s">
        <v>2897</v>
      </c>
      <c r="H263" s="65" t="s">
        <v>2897</v>
      </c>
      <c r="I263" s="65" t="b">
        <v>1</v>
      </c>
      <c r="J263" s="65" t="s">
        <v>2896</v>
      </c>
      <c r="K263" s="65" t="s">
        <v>5378</v>
      </c>
      <c r="L263" s="65" t="s">
        <v>2895</v>
      </c>
      <c r="M263" s="65" t="s">
        <v>984</v>
      </c>
      <c r="N263" s="65" t="str">
        <f>"&lt;div class="&amp;""""&amp;"hanging"&amp;""""&amp;"&gt;"&amp;K263&amp;"&lt;a href="&amp;""""&amp;L263&amp;""""&amp;" target="&amp;""""&amp;"_blank"&amp;""""&amp;"&gt;"&amp;L263&amp;"&lt;/a&gt;&lt;span style="&amp;""""&amp;"color:white"&amp;""""&amp;"&gt;[.]{#"&amp;F263&amp;"}}&lt;/span&gt;&lt;/div&gt;&lt;br&gt;"</f>
        <v>&lt;div class="hanging"&gt;MacKenzie, D. I., &amp; Kendall, W. L. (2002) How Should Detection Probability Be Incorporated into Estimates of Relative Abundance? &lt;i&gt;Ecology, 83&lt;/i&gt;(9), 2387-93.&lt;a href="https://doi.org/10.1890/0012-9658(2002)083[2387:HSDPBI]2.0.CO;2" target="_blank"&gt;https://doi.org/10.1890/0012-9658(2002)083[2387:HSDPBI]2.0.CO;2&lt;/a&gt;&lt;span style="color:white"&gt;[.]{#mackenzie_kendall_2002}}&lt;/span&gt;&lt;/div&gt;&lt;br&gt;</v>
      </c>
      <c r="O263" s="65" t="str">
        <f>"{{ rtxt_"&amp;F263&amp;" }}"</f>
        <v>{{ rtxt_mackenzie_kendall_2002 }}</v>
      </c>
      <c r="P263" s="65" t="str">
        <f>"{{ rbib_"&amp;F263&amp;" }}"</f>
        <v>{{ rbib_mackenzie_kendall_2002 }}</v>
      </c>
      <c r="Q263" s="65" t="str">
        <f>"    rtxt_"&amp;F263&amp;": "&amp;""""&amp;"&lt;a href=\"&amp;""""&amp;"/08_references.html#"&amp;F263&amp;"\"&amp;""""&amp;" target=\"&amp;""""&amp;"_blank\"&amp;""""&amp;"&gt;"&amp;G263&amp;"&lt;/a&gt;"&amp;""""</f>
        <v xml:space="preserve">    rtxt_mackenzie_kendall_2002: "&lt;a href=\"/08_references.html#mackenzie_kendall_2002\" target=\"_blank\"&gt;MacKenzie &amp; Kendall, 2002&lt;/a&gt;"</v>
      </c>
      <c r="R263" s="65" t="str">
        <f>"    rbib_"&amp;F263&amp;": "&amp;""""&amp;K263&amp;"&lt;a href=\"&amp;""""&amp;L263&amp;""""&amp;" target=\"&amp;""""&amp;"_blank\"&amp;""""&amp;"&gt;"&amp;L263&amp;"&lt;/a&gt;"&amp;""""</f>
        <v xml:space="preserve">    rbib_mackenzie_kendall_2002: "MacKenzie, D. I., &amp; Kendall, W. L. (2002) How Should Detection Probability Be Incorporated into Estimates of Relative Abundance? &lt;i&gt;Ecology, 83&lt;/i&gt;(9), 2387-93.&lt;a href=\"https://doi.org/10.1890/0012-9658(2002)083[2387:HSDPBI]2.0.CO;2" target=\"_blank\"&gt;https://doi.org/10.1890/0012-9658(2002)083[2387:HSDPBI]2.0.CO;2&lt;/a&gt;"</v>
      </c>
      <c r="S263" s="65" t="str">
        <f>"    rbib_"&amp;F263&amp;": "&amp;""""&amp;"&lt;div class=\"&amp;""""&amp;"hanging\"&amp;""""&amp;"&gt;"&amp;J263&amp;"&lt;/div&gt;"&amp;""""</f>
        <v xml:space="preserve">    rbib_mackenzie_kendall_2002: "&lt;div class=\"hanging\"&gt;MacKenzie, D. I., &amp; Kendall, W. L. (2002) How Should Detection Probability Be Incorporated into Estimates of Relative Abundance? *Ecology, 83*(9), 2387-93. &lt;https://doi.org/10.1890/0012-9658(2002)083[2387:HSDPBI]2.0.CO;2&gt;&lt;/div&gt;"</v>
      </c>
      <c r="T263" s="65"/>
    </row>
    <row r="264" spans="1:20" ht="15.75">
      <c r="A264" s="65"/>
      <c r="B264" s="155" t="b">
        <v>1</v>
      </c>
      <c r="C264" s="155" t="b">
        <v>0</v>
      </c>
      <c r="D264" s="155" t="b">
        <v>1</v>
      </c>
      <c r="E264" s="65" t="s">
        <v>1904</v>
      </c>
      <c r="F264" s="65" t="s">
        <v>2894</v>
      </c>
      <c r="G264" s="65" t="s">
        <v>2893</v>
      </c>
      <c r="H264" s="65" t="s">
        <v>2893</v>
      </c>
      <c r="I264" s="65" t="b">
        <v>1</v>
      </c>
      <c r="J264" s="65" t="s">
        <v>2892</v>
      </c>
      <c r="K264" s="65" t="s">
        <v>5319</v>
      </c>
      <c r="L264" s="65" t="s">
        <v>2891</v>
      </c>
      <c r="M264" s="65" t="s">
        <v>984</v>
      </c>
      <c r="N264" s="65" t="str">
        <f>"&lt;div class="&amp;""""&amp;"hanging"&amp;""""&amp;"&gt;"&amp;K264&amp;"&lt;a href="&amp;""""&amp;L264&amp;""""&amp;" target="&amp;""""&amp;"_blank"&amp;""""&amp;"&gt;"&amp;L264&amp;"&lt;/a&gt;&lt;span style="&amp;""""&amp;"color:white"&amp;""""&amp;"&gt;[.]{#"&amp;F264&amp;"}}&lt;/span&gt;&lt;/div&gt;&lt;br&gt;"</f>
        <v>&lt;div class="hanging"&gt;Mackenzie, D. I., &amp; Royle, J. A. (2005). Designing occupancy studies: general advice and allocating Survey effort. &lt;i&gt;Journal of Applied Ecology, 42&lt;/i&gt;, 1105-1114.&lt;a href="https://doi.org/10.1111/j.1365-2664.2005.01098.x" target="_blank"&gt;https://doi.org/10.1111/j.1365-2664.2005.01098.x&lt;/a&gt;&lt;span style="color:white"&gt;[.]{#mackenzie_royle_2005}}&lt;/span&gt;&lt;/div&gt;&lt;br&gt;</v>
      </c>
      <c r="O264" s="65" t="str">
        <f>"{{ rtxt_"&amp;F264&amp;" }}"</f>
        <v>{{ rtxt_mackenzie_royle_2005 }}</v>
      </c>
      <c r="P264" s="65" t="str">
        <f>"{{ rbib_"&amp;F264&amp;" }}"</f>
        <v>{{ rbib_mackenzie_royle_2005 }}</v>
      </c>
      <c r="Q264" s="65" t="str">
        <f>"    rtxt_"&amp;F264&amp;": "&amp;""""&amp;"&lt;a href=\"&amp;""""&amp;"/08_references.html#"&amp;F264&amp;"\"&amp;""""&amp;" target=\"&amp;""""&amp;"_blank\"&amp;""""&amp;"&gt;"&amp;G264&amp;"&lt;/a&gt;"&amp;""""</f>
        <v xml:space="preserve">    rtxt_mackenzie_royle_2005: "&lt;a href=\"/08_references.html#mackenzie_royle_2005\" target=\"_blank\"&gt;Mackenzie &amp; Royle, 2005&lt;/a&gt;"</v>
      </c>
      <c r="R264" s="65" t="str">
        <f>"    rbib_"&amp;F264&amp;": "&amp;""""&amp;K264&amp;"&lt;a href=\"&amp;""""&amp;L264&amp;""""&amp;" target=\"&amp;""""&amp;"_blank\"&amp;""""&amp;"&gt;"&amp;L264&amp;"&lt;/a&gt;"&amp;""""</f>
        <v xml:space="preserve">    rbib_mackenzie_royle_2005: "Mackenzie, D. I., &amp; Royle, J. A. (2005). Designing occupancy studies: general advice and allocating Survey effort. &lt;i&gt;Journal of Applied Ecology, 42&lt;/i&gt;, 1105-1114.&lt;a href=\"https://doi.org/10.1111/j.1365-2664.2005.01098.x" target=\"_blank\"&gt;https://doi.org/10.1111/j.1365-2664.2005.01098.x&lt;/a&gt;"</v>
      </c>
      <c r="S264" s="65" t="str">
        <f>"    rbib_"&amp;F264&amp;": "&amp;""""&amp;"&lt;div class=\"&amp;""""&amp;"hanging\"&amp;""""&amp;"&gt;"&amp;J264&amp;"&lt;/div&gt;"&amp;""""</f>
        <v xml:space="preserve">    rbib_mackenzie_royle_2005: "&lt;div class=\"hanging\"&gt;Mackenzie, D. I., &amp; Royle, J. A. (2005). Designing occupancy studies: general advice and allocating Survey effort. *Journal of Applied Ecology, 42*, 1105-1114. &lt;https://doi.org/10.1111/j.1365-2664.2005.01098.x&gt;&lt;/div&gt;"</v>
      </c>
      <c r="T264" s="65"/>
    </row>
    <row r="265" spans="1:20" ht="15.75">
      <c r="A265" s="65"/>
      <c r="B265" s="155" t="b">
        <v>1</v>
      </c>
      <c r="C265" s="155" t="b">
        <v>0</v>
      </c>
      <c r="D265" s="155" t="b">
        <v>0</v>
      </c>
      <c r="E265" s="65" t="s">
        <v>1904</v>
      </c>
      <c r="F265" s="65" t="s">
        <v>2911</v>
      </c>
      <c r="G265" s="65" t="s">
        <v>2910</v>
      </c>
      <c r="H265" s="65" t="s">
        <v>2909</v>
      </c>
      <c r="I265" s="65" t="b">
        <v>1</v>
      </c>
      <c r="J265" s="65" t="s">
        <v>2908</v>
      </c>
      <c r="K265" s="65" t="s">
        <v>5317</v>
      </c>
      <c r="L265" s="65" t="s">
        <v>2907</v>
      </c>
      <c r="M265" s="65" t="s">
        <v>984</v>
      </c>
      <c r="N265" s="65" t="str">
        <f>"&lt;div class="&amp;""""&amp;"hanging"&amp;""""&amp;"&gt;"&amp;K265&amp;"&lt;a href="&amp;""""&amp;L265&amp;""""&amp;" target="&amp;""""&amp;"_blank"&amp;""""&amp;"&gt;"&amp;L265&amp;"&lt;/a&gt;&lt;span style="&amp;""""&amp;"color:white"&amp;""""&amp;"&gt;[.]{#"&amp;F265&amp;"}}&lt;/span&gt;&lt;/div&gt;&lt;br&gt;"</f>
        <v>&lt;div class="hanging"&gt;MacKenzie, D. I., Bailey, L. L., &amp; Nichols, J. D. (2004). Investigating Species Co-Occurrence Patterns When Species Are Detected Imperfectly. &lt;i&gt;Journal of Animal Ecology, 73&lt;/i&gt;(3), 546-555.&lt;a href="https://doi.org/10.1111/j.0021-8790.2004.00828.x" target="_blank"&gt;https://doi.org/10.1111/j.0021-8790.2004.00828.x&lt;/a&gt;&lt;span style="color:white"&gt;[.]{#mackenzie_et_al_2004}}&lt;/span&gt;&lt;/div&gt;&lt;br&gt;</v>
      </c>
      <c r="O265" s="65" t="str">
        <f>"{{ rtxt_"&amp;F265&amp;" }}"</f>
        <v>{{ rtxt_mackenzie_et_al_2004 }}</v>
      </c>
      <c r="P265" s="65" t="str">
        <f>"{{ rbib_"&amp;F265&amp;" }}"</f>
        <v>{{ rbib_mackenzie_et_al_2004 }}</v>
      </c>
      <c r="Q265" s="65" t="str">
        <f>"    rtxt_"&amp;F265&amp;": "&amp;""""&amp;"&lt;a href=\"&amp;""""&amp;"/08_references.html#"&amp;F265&amp;"\"&amp;""""&amp;" target=\"&amp;""""&amp;"_blank\"&amp;""""&amp;"&gt;"&amp;G265&amp;"&lt;/a&gt;"&amp;""""</f>
        <v xml:space="preserve">    rtxt_mackenzie_et_al_2004: "&lt;a href=\"/08_references.html#mackenzie_et_al_2004\" target=\"_blank\"&gt;MacKenzie et al., 2004&lt;/a&gt;"</v>
      </c>
      <c r="R265" s="65" t="str">
        <f>"    rbib_"&amp;F265&amp;": "&amp;""""&amp;K265&amp;"&lt;a href=\"&amp;""""&amp;L265&amp;""""&amp;" target=\"&amp;""""&amp;"_blank\"&amp;""""&amp;"&gt;"&amp;L265&amp;"&lt;/a&gt;"&amp;""""</f>
        <v xml:space="preserve">    rbib_mackenzie_et_al_2004: "MacKenzie, D. I., Bailey, L. L., &amp; Nichols, J. D. (2004). Investigating Species Co-Occurrence Patterns When Species Are Detected Imperfectly. &lt;i&gt;Journal of Animal Ecology, 73&lt;/i&gt;(3), 546-555.&lt;a href=\"https://doi.org/10.1111/j.0021-8790.2004.00828.x" target=\"_blank\"&gt;https://doi.org/10.1111/j.0021-8790.2004.00828.x&lt;/a&gt;"</v>
      </c>
      <c r="S265" s="65" t="str">
        <f>"    rbib_"&amp;F265&amp;": "&amp;""""&amp;"&lt;div class=\"&amp;""""&amp;"hanging\"&amp;""""&amp;"&gt;"&amp;J265&amp;"&lt;/div&gt;"&amp;""""</f>
        <v xml:space="preserve">    rbib_mackenzie_et_al_2004: "&lt;div class=\"hanging\"&gt;MacKenzie, D. I., Bailey, L. L., &amp; Nichols, J. D. (2004). Investigating Species Co-Occurrence Patterns When Species Are Detected Imperfectly. *Journal of Animal Ecology, 73*(3), 546-555. &lt;https://doi.org/10.1111/j.0021-8790.2004.00828.x&gt;&lt;/div&gt;"</v>
      </c>
      <c r="T265" s="65"/>
    </row>
    <row r="266" spans="1:20" ht="15.75">
      <c r="A266" s="65"/>
      <c r="B266" s="155" t="b">
        <v>1</v>
      </c>
      <c r="C266" s="155" t="b">
        <v>0</v>
      </c>
      <c r="D266" s="155" t="b">
        <v>0</v>
      </c>
      <c r="E266" s="65" t="s">
        <v>1904</v>
      </c>
      <c r="F266" s="65" t="s">
        <v>2915</v>
      </c>
      <c r="G266" s="65" t="s">
        <v>2914</v>
      </c>
      <c r="H266" s="65" t="s">
        <v>2914</v>
      </c>
      <c r="I266" s="65" t="b">
        <v>1</v>
      </c>
      <c r="J266" s="65" t="s">
        <v>2913</v>
      </c>
      <c r="K266" s="65" t="s">
        <v>5381</v>
      </c>
      <c r="L266" s="65" t="s">
        <v>2912</v>
      </c>
      <c r="M266" s="65" t="s">
        <v>984</v>
      </c>
      <c r="N266" s="65" t="str">
        <f>"&lt;div class="&amp;""""&amp;"hanging"&amp;""""&amp;"&gt;"&amp;K266&amp;"&lt;a href="&amp;""""&amp;L266&amp;""""&amp;" target="&amp;""""&amp;"_blank"&amp;""""&amp;"&gt;"&amp;L266&amp;"&lt;/a&gt;&lt;span style="&amp;""""&amp;"color:white"&amp;""""&amp;"&gt;[.]{#"&amp;F266&amp;"}}&lt;/span&gt;&lt;/div&gt;&lt;br&gt;"</f>
        <v>&lt;div class="hanging"&gt;MacKenzie, D. I., Nichols, J. D., Hines, J. E., Knutson, M. G., &amp; Franklin, A. B. (2003). Estimating site occupancy, colonization, and local extinction when a species is detected imperfectly. &lt;i&gt;Ecology, 84&lt;/i&gt;(8), 2200-2207.&lt;a href="https://doi.org/10.1890/02-3090" target="_blank"&gt;https://doi.org/10.1890/02-3090&lt;/a&gt;&lt;span style="color:white"&gt;[.]{#mackenzie_et_al_2003}}&lt;/span&gt;&lt;/div&gt;&lt;br&gt;</v>
      </c>
      <c r="O266" s="65" t="str">
        <f>"{{ rtxt_"&amp;F266&amp;" }}"</f>
        <v>{{ rtxt_mackenzie_et_al_2003 }}</v>
      </c>
      <c r="P266" s="65" t="str">
        <f>"{{ rbib_"&amp;F266&amp;" }}"</f>
        <v>{{ rbib_mackenzie_et_al_2003 }}</v>
      </c>
      <c r="Q266" s="65" t="str">
        <f>"    rtxt_"&amp;F266&amp;": "&amp;""""&amp;"&lt;a href=\"&amp;""""&amp;"/08_references.html#"&amp;F266&amp;"\"&amp;""""&amp;" target=\"&amp;""""&amp;"_blank\"&amp;""""&amp;"&gt;"&amp;G266&amp;"&lt;/a&gt;"&amp;""""</f>
        <v xml:space="preserve">    rtxt_mackenzie_et_al_2003: "&lt;a href=\"/08_references.html#mackenzie_et_al_2003\" target=\"_blank\"&gt;MacKenzie et al., 2003&lt;/a&gt;"</v>
      </c>
      <c r="R266" s="65" t="str">
        <f>"    rbib_"&amp;F266&amp;": "&amp;""""&amp;K266&amp;"&lt;a href=\"&amp;""""&amp;L266&amp;""""&amp;" target=\"&amp;""""&amp;"_blank\"&amp;""""&amp;"&gt;"&amp;L266&amp;"&lt;/a&gt;"&amp;""""</f>
        <v xml:space="preserve">    rbib_mackenzie_et_al_2003: "MacKenzie, D. I., Nichols, J. D., Hines, J. E., Knutson, M. G., &amp; Franklin, A. B. (2003). Estimating site occupancy, colonization, and local extinction when a species is detected imperfectly. &lt;i&gt;Ecology, 84&lt;/i&gt;(8), 2200-2207.&lt;a href=\"https://doi.org/10.1890/02-3090" target=\"_blank\"&gt;https://doi.org/10.1890/02-3090&lt;/a&gt;"</v>
      </c>
      <c r="S266" s="65" t="str">
        <f>"    rbib_"&amp;F266&amp;": "&amp;""""&amp;"&lt;div class=\"&amp;""""&amp;"hanging\"&amp;""""&amp;"&gt;"&amp;J266&amp;"&lt;/div&gt;"&amp;""""</f>
        <v xml:space="preserve">    rbib_mackenzie_et_al_2003: "&lt;div class=\"hanging\"&gt;MacKenzie, D. I., Nichols, J. D., Hines, J. E., Knutson, M. G., &amp; Franklin, A. B. (2003). Estimating site occupancy, colonization, and local extinction when a species is detected imperfectly. *Ecology, 84*(8), 2200-2207. &lt;https://doi.org/10.1890/02-3090&gt;&lt;/div&gt;"</v>
      </c>
      <c r="T266" s="65"/>
    </row>
    <row r="267" spans="1:20" ht="15.75">
      <c r="A267" s="65"/>
      <c r="B267" s="155" t="b">
        <v>1</v>
      </c>
      <c r="C267" s="155" t="b">
        <v>0</v>
      </c>
      <c r="D267" s="155" t="b">
        <v>0</v>
      </c>
      <c r="E267" s="65" t="s">
        <v>1904</v>
      </c>
      <c r="F267" s="65" t="s">
        <v>2919</v>
      </c>
      <c r="G267" s="65" t="s">
        <v>2918</v>
      </c>
      <c r="H267" s="65" t="s">
        <v>2918</v>
      </c>
      <c r="I267" s="65" t="b">
        <v>1</v>
      </c>
      <c r="J267" s="65" t="s">
        <v>2917</v>
      </c>
      <c r="K267" s="65" t="s">
        <v>5399</v>
      </c>
      <c r="L267" s="65" t="s">
        <v>2916</v>
      </c>
      <c r="M267" s="65" t="s">
        <v>984</v>
      </c>
      <c r="N267" s="65" t="str">
        <f>"&lt;div class="&amp;""""&amp;"hanging"&amp;""""&amp;"&gt;"&amp;K267&amp;"&lt;a href="&amp;""""&amp;L267&amp;""""&amp;" target="&amp;""""&amp;"_blank"&amp;""""&amp;"&gt;"&amp;L267&amp;"&lt;/a&gt;&lt;span style="&amp;""""&amp;"color:white"&amp;""""&amp;"&gt;[.]{#"&amp;F267&amp;"}}&lt;/span&gt;&lt;/div&gt;&lt;br&gt;"</f>
        <v>&lt;div class="hanging"&gt;MacKenzie, D. I., Nichols, J. D., Lachman, G. B., Droege, S., Royle, J. A., &amp; Langtimm, C. A. (2002). Estimating Site Occupancy Rates When Detection Probabilities Are Less Than One. &lt;i&gt;Ecology, 83&lt;/i&gt;(8), 2248-2255.&lt;a href="https://doi.org/10.2307/3072056" target="_blank"&gt;https://doi.org/10.2307/3072056&lt;/a&gt;&lt;span style="color:white"&gt;[.]{#mackenzie_et_al_2002}}&lt;/span&gt;&lt;/div&gt;&lt;br&gt;</v>
      </c>
      <c r="O267" s="65" t="str">
        <f>"{{ rtxt_"&amp;F267&amp;" }}"</f>
        <v>{{ rtxt_mackenzie_et_al_2002 }}</v>
      </c>
      <c r="P267" s="65" t="str">
        <f>"{{ rbib_"&amp;F267&amp;" }}"</f>
        <v>{{ rbib_mackenzie_et_al_2002 }}</v>
      </c>
      <c r="Q267" s="65" t="str">
        <f>"    rtxt_"&amp;F267&amp;": "&amp;""""&amp;"&lt;a href=\"&amp;""""&amp;"/08_references.html#"&amp;F267&amp;"\"&amp;""""&amp;" target=\"&amp;""""&amp;"_blank\"&amp;""""&amp;"&gt;"&amp;G267&amp;"&lt;/a&gt;"&amp;""""</f>
        <v xml:space="preserve">    rtxt_mackenzie_et_al_2002: "&lt;a href=\"/08_references.html#mackenzie_et_al_2002\" target=\"_blank\"&gt;MacKenzie et al., 2002&lt;/a&gt;"</v>
      </c>
      <c r="R267" s="65" t="str">
        <f>"    rbib_"&amp;F267&amp;": "&amp;""""&amp;K267&amp;"&lt;a href=\"&amp;""""&amp;L267&amp;""""&amp;" target=\"&amp;""""&amp;"_blank\"&amp;""""&amp;"&gt;"&amp;L267&amp;"&lt;/a&gt;"&amp;""""</f>
        <v xml:space="preserve">    rbib_mackenzie_et_al_2002: "MacKenzie, D. I., Nichols, J. D., Lachman, G. B., Droege, S., Royle, J. A., &amp; Langtimm, C. A. (2002). Estimating Site Occupancy Rates When Detection Probabilities Are Less Than One. &lt;i&gt;Ecology, 83&lt;/i&gt;(8), 2248-2255.&lt;a href=\"https://doi.org/10.2307/3072056" target=\"_blank\"&gt;https://doi.org/10.2307/3072056&lt;/a&gt;"</v>
      </c>
      <c r="S267" s="65" t="str">
        <f>"    rbib_"&amp;F267&amp;": "&amp;""""&amp;"&lt;div class=\"&amp;""""&amp;"hanging\"&amp;""""&amp;"&gt;"&amp;J267&amp;"&lt;/div&gt;"&amp;""""</f>
        <v xml:space="preserve">    rbib_mackenzie_et_al_2002: "&lt;div class=\"hanging\"&gt;MacKenzie, D. I., Nichols, J. D., Lachman, G. B., Droege, S., Royle, J. A., &amp; Langtimm, C. A. (2002). Estimating Site Occupancy Rates When Detection Probabilities Are Less Than One. *Ecology, 83*(8), 2248-2255. &lt;https://doi.org/10.2307/3072056&gt;&lt;/div&gt;"</v>
      </c>
      <c r="T267" s="65"/>
    </row>
    <row r="268" spans="1:20" ht="15.75">
      <c r="A268" s="65"/>
      <c r="B268" s="155" t="b">
        <v>1</v>
      </c>
      <c r="C268" s="155" t="b">
        <v>0</v>
      </c>
      <c r="D268" s="155" t="b">
        <v>0</v>
      </c>
      <c r="E268" s="65" t="s">
        <v>1939</v>
      </c>
      <c r="F268" s="65" t="s">
        <v>2906</v>
      </c>
      <c r="G268" s="65" t="s">
        <v>2905</v>
      </c>
      <c r="H268" s="65" t="s">
        <v>2905</v>
      </c>
      <c r="I268" s="65" t="b">
        <v>1</v>
      </c>
      <c r="J268" s="65" t="s">
        <v>2904</v>
      </c>
      <c r="K268" s="65" t="s">
        <v>5514</v>
      </c>
      <c r="L268" s="65" t="s">
        <v>2903</v>
      </c>
      <c r="M268" s="65" t="s">
        <v>984</v>
      </c>
      <c r="N268" s="65" t="str">
        <f>"&lt;div class="&amp;""""&amp;"hanging"&amp;""""&amp;"&gt;"&amp;K268&amp;"&lt;a href="&amp;""""&amp;L268&amp;""""&amp;" target="&amp;""""&amp;"_blank"&amp;""""&amp;"&gt;"&amp;L268&amp;"&lt;/a&gt;&lt;span style="&amp;""""&amp;"color:white"&amp;""""&amp;"&gt;[.]{#"&amp;F268&amp;"}}&lt;/span&gt;&lt;/div&gt;&lt;br&gt;"</f>
        <v>&lt;div class="hanging"&gt;MacKenzie, D. I., Nichols, J. D., Royle, J. A., Pollock, K. H., Bailey, L. L., &amp; Hines, J. E. (2006). &lt;i&gt;Occupancy Estimation and Modeling: Inferring Patterns and Dynamics of Species Occurrence&lt;/i&gt;. Academic Press, USA.&lt;a href="https://www.sciencedirect.com/book/9780124071971/occupancy-estimation-and-modeling" target="_blank"&gt;https://www.sciencedirect.com/book/9780124071971/occupancy-estimation-and-modeling&lt;/a&gt;&lt;span style="color:white"&gt;[.]{#mackenzie_et_al_2006}}&lt;/span&gt;&lt;/div&gt;&lt;br&gt;</v>
      </c>
      <c r="O268" s="65" t="str">
        <f>"{{ rtxt_"&amp;F268&amp;" }}"</f>
        <v>{{ rtxt_mackenzie_et_al_2006 }}</v>
      </c>
      <c r="P268" s="65" t="str">
        <f>"{{ rbib_"&amp;F268&amp;" }}"</f>
        <v>{{ rbib_mackenzie_et_al_2006 }}</v>
      </c>
      <c r="Q268" s="65" t="str">
        <f>"    rtxt_"&amp;F268&amp;": "&amp;""""&amp;"&lt;a href=\"&amp;""""&amp;"/08_references.html#"&amp;F268&amp;"\"&amp;""""&amp;" target=\"&amp;""""&amp;"_blank\"&amp;""""&amp;"&gt;"&amp;G268&amp;"&lt;/a&gt;"&amp;""""</f>
        <v xml:space="preserve">    rtxt_mackenzie_et_al_2006: "&lt;a href=\"/08_references.html#mackenzie_et_al_2006\" target=\"_blank\"&gt;MacKenzie et al., 2006&lt;/a&gt;"</v>
      </c>
      <c r="R268" s="65" t="str">
        <f>"    rbib_"&amp;F268&amp;": "&amp;""""&amp;K268&amp;"&lt;a href=\"&amp;""""&amp;L268&amp;""""&amp;" target=\"&amp;""""&amp;"_blank\"&amp;""""&amp;"&gt;"&amp;L268&amp;"&lt;/a&gt;"&amp;""""</f>
        <v xml:space="preserve">    rbib_mackenzie_et_al_2006: "MacKenzie, D. I., Nichols, J. D., Royle, J. A., Pollock, K. H., Bailey, L. L., &amp; Hines, J. E. (2006). &lt;i&gt;Occupancy Estimation and Modeling: Inferring Patterns and Dynamics of Species Occurrence&lt;/i&gt;. Academic Press, USA.&lt;a href=\"https://www.sciencedirect.com/book/9780124071971/occupancy-estimation-and-modeling" target=\"_blank\"&gt;https://www.sciencedirect.com/book/9780124071971/occupancy-estimation-and-modeling&lt;/a&gt;"</v>
      </c>
      <c r="S268" s="65" t="str">
        <f>"    rbib_"&amp;F268&amp;": "&amp;""""&amp;"&lt;div class=\"&amp;""""&amp;"hanging\"&amp;""""&amp;"&gt;"&amp;J268&amp;"&lt;/div&gt;"&amp;""""</f>
        <v xml:space="preserve">    rbib_mackenzie_et_al_2006: "&lt;div class=\"hanging\"&gt;MacKenzie, D. I., Nichols, J. D., Royle, J. A., Pollock, K. H., Bailey, L. L., &amp; Hines, J. E. (2006). *Occupancy Estimation and Modeling: Inferring Patterns and Dynamics of Species Occurrence*. Academic Press, USA. &lt;https://www.sciencedirect.com/book/9780124071971/occupancy-estimation-and-modeling&gt;&lt;/div&gt;"</v>
      </c>
      <c r="T268" s="65"/>
    </row>
    <row r="269" spans="1:20" ht="15.75">
      <c r="A269" s="65"/>
      <c r="B269" s="155"/>
      <c r="C269" s="155"/>
      <c r="D269" s="155"/>
      <c r="E269" s="65" t="s">
        <v>1939</v>
      </c>
      <c r="F269" s="65" t="s">
        <v>2902</v>
      </c>
      <c r="G269" s="65" t="s">
        <v>2901</v>
      </c>
      <c r="H269" s="65" t="s">
        <v>2901</v>
      </c>
      <c r="I269" s="65" t="b">
        <v>1</v>
      </c>
      <c r="J269" s="65" t="s">
        <v>2900</v>
      </c>
      <c r="K269" s="65" t="s">
        <v>5515</v>
      </c>
      <c r="L269" s="65" t="s">
        <v>2899</v>
      </c>
      <c r="M269" s="65" t="s">
        <v>984</v>
      </c>
      <c r="N269" s="65" t="str">
        <f>"&lt;div class="&amp;""""&amp;"hanging"&amp;""""&amp;"&gt;"&amp;K269&amp;"&lt;a href="&amp;""""&amp;L269&amp;""""&amp;" target="&amp;""""&amp;"_blank"&amp;""""&amp;"&gt;"&amp;L269&amp;"&lt;/a&gt;&lt;span style="&amp;""""&amp;"color:white"&amp;""""&amp;"&gt;[.]{#"&amp;F269&amp;"}}&lt;/span&gt;&lt;/div&gt;&lt;br&gt;"</f>
        <v>&lt;div class="hanging"&gt;MacKenzie, D. I., Nichols, J. D., Royle, J. A., Pollock, K. H., Bailey, L. L., &amp; Hines, J. E. (2017). &lt;i&gt;Occupancy Estimation and Modeling: Inferring Patterns and Dynamics of Species Occurrence&lt;/i&gt;. 2nd ed. Academic Press, San Diego.&lt;a href="https://www.sciencedirect.com/book/9780124071971/occupancy-estimation-and-modeling." target="_blank"&gt;https://www.sciencedirect.com/book/9780124071971/occupancy-estimation-and-modeling.&lt;/a&gt;&lt;span style="color:white"&gt;[.]{#mackenzie_et_al_2017}}&lt;/span&gt;&lt;/div&gt;&lt;br&gt;</v>
      </c>
      <c r="O269" s="65" t="str">
        <f>"{{ rtxt_"&amp;F269&amp;" }}"</f>
        <v>{{ rtxt_mackenzie_et_al_2017 }}</v>
      </c>
      <c r="P269" s="65" t="str">
        <f>"{{ rbib_"&amp;F269&amp;" }}"</f>
        <v>{{ rbib_mackenzie_et_al_2017 }}</v>
      </c>
      <c r="Q269" s="65" t="str">
        <f>"    rtxt_"&amp;F269&amp;": "&amp;""""&amp;"&lt;a href=\"&amp;""""&amp;"/08_references.html#"&amp;F269&amp;"\"&amp;""""&amp;" target=\"&amp;""""&amp;"_blank\"&amp;""""&amp;"&gt;"&amp;G269&amp;"&lt;/a&gt;"&amp;""""</f>
        <v xml:space="preserve">    rtxt_mackenzie_et_al_2017: "&lt;a href=\"/08_references.html#mackenzie_et_al_2017\" target=\"_blank\"&gt;MacKenzie et al., 2017&lt;/a&gt;"</v>
      </c>
      <c r="R269" s="65" t="str">
        <f>"    rbib_"&amp;F269&amp;": "&amp;""""&amp;K269&amp;"&lt;a href=\"&amp;""""&amp;L269&amp;""""&amp;" target=\"&amp;""""&amp;"_blank\"&amp;""""&amp;"&gt;"&amp;L269&amp;"&lt;/a&gt;"&amp;""""</f>
        <v xml:space="preserve">    rbib_mackenzie_et_al_2017: "MacKenzie, D. I., Nichols, J. D., Royle, J. A., Pollock, K. H., Bailey, L. L., &amp; Hines, J. E. (2017). &lt;i&gt;Occupancy Estimation and Modeling: Inferring Patterns and Dynamics of Species Occurrence&lt;/i&gt;. 2nd ed. Academic Press, San Diego.&lt;a href=\"https://www.sciencedirect.com/book/9780124071971/occupancy-estimation-and-modeling." target=\"_blank\"&gt;https://www.sciencedirect.com/book/9780124071971/occupancy-estimation-and-modeling.&lt;/a&gt;"</v>
      </c>
      <c r="S269" s="65" t="str">
        <f>"    rbib_"&amp;F269&amp;": "&amp;""""&amp;"&lt;div class=\"&amp;""""&amp;"hanging\"&amp;""""&amp;"&gt;"&amp;J269&amp;"&lt;/div&gt;"&amp;""""</f>
        <v xml:space="preserve">    rbib_mackenzie_et_al_2017: "&lt;div class=\"hanging\"&gt;MacKenzie, D. I., Nichols, J. D., Royle, J. A., Pollock, K. H., Bailey, L. L., &amp; Hines, J. E. (2017). *Occupancy Estimation and Modeling: Inferring Patterns and Dynamics of Species Occurrence*. 2nd ed. Academic Press, San Diego. &lt;https://www.sciencedirect.com/book/9780124071971/occupancy-estimation-and-modeling&gt;.&lt;/div&gt;"</v>
      </c>
      <c r="T269" s="65"/>
    </row>
    <row r="270" spans="1:20" ht="15.75">
      <c r="A270" s="65"/>
      <c r="B270" s="155" t="b">
        <v>1</v>
      </c>
      <c r="C270" s="155" t="b">
        <v>0</v>
      </c>
      <c r="D270" s="155" t="b">
        <v>0</v>
      </c>
      <c r="E270" s="65" t="s">
        <v>1904</v>
      </c>
      <c r="F270" s="65" t="s">
        <v>2890</v>
      </c>
      <c r="G270" s="65" t="s">
        <v>2889</v>
      </c>
      <c r="H270" s="65" t="s">
        <v>2889</v>
      </c>
      <c r="I270" s="65" t="b">
        <v>1</v>
      </c>
      <c r="J270" s="65" t="s">
        <v>2888</v>
      </c>
      <c r="K270" s="65" t="s">
        <v>5334</v>
      </c>
      <c r="L270" s="65" t="s">
        <v>2887</v>
      </c>
      <c r="M270" s="65" t="s">
        <v>984</v>
      </c>
      <c r="N270" s="65" t="str">
        <f>"&lt;div class="&amp;""""&amp;"hanging"&amp;""""&amp;"&gt;"&amp;K270&amp;"&lt;a href="&amp;""""&amp;L270&amp;""""&amp;" target="&amp;""""&amp;"_blank"&amp;""""&amp;"&gt;"&amp;L270&amp;"&lt;/a&gt;&lt;span style="&amp;""""&amp;"color:white"&amp;""""&amp;"&gt;[.]{#"&amp;F270&amp;"}}&lt;/span&gt;&lt;/div&gt;&lt;br&gt;"</f>
        <v>&lt;div class="hanging"&gt;Maffei, L., &amp; Noss, A. J. (2008). How Small Is Too Small? Camera Trap Survey Areas and Density Estimates for Ocelots in the Bolivian Chaco. &lt;i&gt;Biotropica, 40&lt;/i&gt;(1), 71-75.&lt;a href="https://doi.org/10.1111/j.1744-7429.2007.00341.x" target="_blank"&gt;https://doi.org/10.1111/j.1744-7429.2007.00341.x&lt;/a&gt;&lt;span style="color:white"&gt;[.]{#maffei_noss_2008}}&lt;/span&gt;&lt;/div&gt;&lt;br&gt;</v>
      </c>
      <c r="O270" s="65" t="str">
        <f>"{{ rtxt_"&amp;F270&amp;" }}"</f>
        <v>{{ rtxt_maffei_noss_2008 }}</v>
      </c>
      <c r="P270" s="65" t="str">
        <f>"{{ rbib_"&amp;F270&amp;" }}"</f>
        <v>{{ rbib_maffei_noss_2008 }}</v>
      </c>
      <c r="Q270" s="65" t="str">
        <f>"    rtxt_"&amp;F270&amp;": "&amp;""""&amp;"&lt;a href=\"&amp;""""&amp;"/08_references.html#"&amp;F270&amp;"\"&amp;""""&amp;" target=\"&amp;""""&amp;"_blank\"&amp;""""&amp;"&gt;"&amp;G270&amp;"&lt;/a&gt;"&amp;""""</f>
        <v xml:space="preserve">    rtxt_maffei_noss_2008: "&lt;a href=\"/08_references.html#maffei_noss_2008\" target=\"_blank\"&gt;Maffei &amp; Noss, 2008&lt;/a&gt;"</v>
      </c>
      <c r="R270" s="65" t="str">
        <f>"    rbib_"&amp;F270&amp;": "&amp;""""&amp;K270&amp;"&lt;a href=\"&amp;""""&amp;L270&amp;""""&amp;" target=\"&amp;""""&amp;"_blank\"&amp;""""&amp;"&gt;"&amp;L270&amp;"&lt;/a&gt;"&amp;""""</f>
        <v xml:space="preserve">    rbib_maffei_noss_2008: "Maffei, L., &amp; Noss, A. J. (2008). How Small Is Too Small? Camera Trap Survey Areas and Density Estimates for Ocelots in the Bolivian Chaco. &lt;i&gt;Biotropica, 40&lt;/i&gt;(1), 71-75.&lt;a href=\"https://doi.org/10.1111/j.1744-7429.2007.00341.x" target=\"_blank\"&gt;https://doi.org/10.1111/j.1744-7429.2007.00341.x&lt;/a&gt;"</v>
      </c>
      <c r="S270" s="65" t="str">
        <f>"    rbib_"&amp;F270&amp;": "&amp;""""&amp;"&lt;div class=\"&amp;""""&amp;"hanging\"&amp;""""&amp;"&gt;"&amp;J270&amp;"&lt;/div&gt;"&amp;""""</f>
        <v xml:space="preserve">    rbib_maffei_noss_2008: "&lt;div class=\"hanging\"&gt;Maffei, L., &amp; Noss, A. J. (2008). How Small Is Too Small? Camera Trap Survey Areas and Density Estimates for Ocelots in the Bolivian Chaco. *Biotropica, 40*(1), 71-75. &lt;https://doi.org/10.1111/j.1744-7429.2007.00341.x&gt;&lt;/div&gt;"</v>
      </c>
      <c r="T270" s="65"/>
    </row>
    <row r="271" spans="1:20" ht="15.75">
      <c r="A271" s="65"/>
      <c r="B271" s="155" t="b">
        <v>1</v>
      </c>
      <c r="C271" s="155" t="b">
        <v>0</v>
      </c>
      <c r="D271" s="155" t="b">
        <v>0</v>
      </c>
      <c r="E271" s="65" t="s">
        <v>1939</v>
      </c>
      <c r="F271" s="65" t="s">
        <v>2886</v>
      </c>
      <c r="G271" s="65" t="s">
        <v>2885</v>
      </c>
      <c r="H271" s="65" t="s">
        <v>2884</v>
      </c>
      <c r="I271" s="65" t="b">
        <v>1</v>
      </c>
      <c r="J271" s="65" t="s">
        <v>2883</v>
      </c>
      <c r="K271" s="65" t="s">
        <v>5184</v>
      </c>
      <c r="L271" s="65" t="s">
        <v>2882</v>
      </c>
      <c r="M271" s="65" t="s">
        <v>984</v>
      </c>
      <c r="N271" s="65" t="str">
        <f>"&lt;div class="&amp;""""&amp;"hanging"&amp;""""&amp;"&gt;"&amp;K271&amp;"&lt;a href="&amp;""""&amp;L271&amp;""""&amp;" target="&amp;""""&amp;"_blank"&amp;""""&amp;"&gt;"&amp;L271&amp;"&lt;/a&gt;&lt;span style="&amp;""""&amp;"color:white"&amp;""""&amp;"&gt;[.]{#"&amp;F271&amp;"}}&lt;/span&gt;&lt;/div&gt;&lt;br&gt;"</f>
        <v>&lt;div class="hanging"&gt;Manly, B. F. J., McDonald, L. L., &amp; Thomas, D. L. (1993). &lt;i&gt;Resource Selection by Animals: Statistical Design and Analysis for Field Studies.&lt;/i&gt; Chapman &amp; Hall, London, p. 177.&lt;a href="https://doi.org/10.1007/0-306-48151-0" target="_blank"&gt;https://doi.org/10.1007/0-306-48151-0&lt;/a&gt;&lt;span style="color:white"&gt;[.]{#manly_et_al_1993}}&lt;/span&gt;&lt;/div&gt;&lt;br&gt;</v>
      </c>
      <c r="O271" s="65" t="str">
        <f>"{{ rtxt_"&amp;F271&amp;" }}"</f>
        <v>{{ rtxt_manly_et_al_1993 }}</v>
      </c>
      <c r="P271" s="65" t="str">
        <f>"{{ rbib_"&amp;F271&amp;" }}"</f>
        <v>{{ rbib_manly_et_al_1993 }}</v>
      </c>
      <c r="Q271" s="65" t="str">
        <f>"    rtxt_"&amp;F271&amp;": "&amp;""""&amp;"&lt;a href=\"&amp;""""&amp;"/08_references.html#"&amp;F271&amp;"\"&amp;""""&amp;" target=\"&amp;""""&amp;"_blank\"&amp;""""&amp;"&gt;"&amp;G271&amp;"&lt;/a&gt;"&amp;""""</f>
        <v xml:space="preserve">    rtxt_manly_et_al_1993: "&lt;a href=\"/08_references.html#manly_et_al_1993\" target=\"_blank\"&gt;Manly et al., 1993&lt;/a&gt;"</v>
      </c>
      <c r="R271" s="65" t="str">
        <f>"    rbib_"&amp;F271&amp;": "&amp;""""&amp;K271&amp;"&lt;a href=\"&amp;""""&amp;L271&amp;""""&amp;" target=\"&amp;""""&amp;"_blank\"&amp;""""&amp;"&gt;"&amp;L271&amp;"&lt;/a&gt;"&amp;""""</f>
        <v xml:space="preserve">    rbib_manly_et_al_1993: "Manly, B. F. J., McDonald, L. L., &amp; Thomas, D. L. (1993). &lt;i&gt;Resource Selection by Animals: Statistical Design and Analysis for Field Studies.&lt;/i&gt; Chapman &amp; Hall, London, p. 177.&lt;a href=\"https://doi.org/10.1007/0-306-48151-0" target=\"_blank\"&gt;https://doi.org/10.1007/0-306-48151-0&lt;/a&gt;"</v>
      </c>
      <c r="S271" s="65" t="str">
        <f>"    rbib_"&amp;F271&amp;": "&amp;""""&amp;"&lt;div class=\"&amp;""""&amp;"hanging\"&amp;""""&amp;"&gt;"&amp;J271&amp;"&lt;/div&gt;"&amp;""""</f>
        <v xml:space="preserve">    rbib_manly_et_al_1993: "&lt;div class=\"hanging\"&gt;Manly, B. F. J., McDonald, L. L., &amp; Thomas, D. L. (1993). *Resource Selection by Animals: Statistical Design and Analysis for Field Studies*. Chapman &amp; Hall, London, p. 177. &lt;https://doi.org/10.1007/0-306-48151-0&gt;&lt;/div&gt;"</v>
      </c>
      <c r="T271" s="65"/>
    </row>
    <row r="272" spans="1:20" ht="15.75">
      <c r="A272" s="65"/>
      <c r="B272" s="155"/>
      <c r="C272" s="155"/>
      <c r="D272" s="155"/>
      <c r="E272" s="65" t="s">
        <v>1945</v>
      </c>
      <c r="F272" s="65" t="s">
        <v>2881</v>
      </c>
      <c r="G272" s="65" t="s">
        <v>2880</v>
      </c>
      <c r="H272" s="65" t="s">
        <v>2880</v>
      </c>
      <c r="I272" s="65" t="b">
        <v>1</v>
      </c>
      <c r="J272" s="65" t="s">
        <v>2879</v>
      </c>
      <c r="K272" s="65" t="s">
        <v>5527</v>
      </c>
      <c r="L272" s="65" t="s">
        <v>2877</v>
      </c>
      <c r="M272" s="65" t="s">
        <v>2878</v>
      </c>
      <c r="N272" s="65" t="str">
        <f>"&lt;div class="&amp;""""&amp;"hanging"&amp;""""&amp;"&gt;"&amp;K272&amp;"&lt;a href="&amp;""""&amp;L272&amp;""""&amp;" target="&amp;""""&amp;"_blank"&amp;""""&amp;"&gt;"&amp;L272&amp;"&lt;/a&gt;&lt;span style="&amp;""""&amp;"color:white"&amp;""""&amp;"&gt;[.]{#"&amp;F272&amp;"}}&lt;/span&gt;&lt;/div&gt;&lt;br&gt;"</f>
        <v>&lt;div class="hanging"&gt;MarinStatsLectures-R Programming &amp; Statistics (2020a, Mar 17). &lt;i&gt;Poisson Regression Review.&lt;/i&gt; [Video]. YouTube.&lt;a href="https://www.youtube.com/watch?v=A8H6gc9Eq0w" target="_blank"&gt;https://www.youtube.com/watch?v=A8H6gc9Eq0w&lt;/a&gt;&lt;span style="color:white"&gt;[.]{#marinstats_2020a}}&lt;/span&gt;&lt;/div&gt;&lt;br&gt;</v>
      </c>
      <c r="O272" s="65" t="str">
        <f>"{{ rtxt_"&amp;F272&amp;" }}"</f>
        <v>{{ rtxt_marinstats_2020a }}</v>
      </c>
      <c r="P272" s="65" t="str">
        <f>"{{ rbib_"&amp;F272&amp;" }}"</f>
        <v>{{ rbib_marinstats_2020a }}</v>
      </c>
      <c r="Q272" s="65" t="str">
        <f>"    rtxt_"&amp;F272&amp;": "&amp;""""&amp;"&lt;a href=\"&amp;""""&amp;"/08_references.html#"&amp;F272&amp;"\"&amp;""""&amp;" target=\"&amp;""""&amp;"_blank\"&amp;""""&amp;"&gt;"&amp;G272&amp;"&lt;/a&gt;"&amp;""""</f>
        <v xml:space="preserve">    rtxt_marinstats_2020a: "&lt;a href=\"/08_references.html#marinstats_2020a\" target=\"_blank\"&gt;MarinStatsLectures-R Programming &amp; Statistics, 2020a&lt;/a&gt;"</v>
      </c>
      <c r="R272" s="65" t="str">
        <f>"    rbib_"&amp;F272&amp;": "&amp;""""&amp;K272&amp;"&lt;a href=\"&amp;""""&amp;L272&amp;""""&amp;" target=\"&amp;""""&amp;"_blank\"&amp;""""&amp;"&gt;"&amp;L272&amp;"&lt;/a&gt;"&amp;""""</f>
        <v xml:space="preserve">    rbib_marinstats_2020a: "MarinStatsLectures-R Programming &amp; Statistics (2020a, Mar 17). &lt;i&gt;Poisson Regression Review.&lt;/i&gt; [Video]. YouTube.&lt;a href=\"https://www.youtube.com/watch?v=A8H6gc9Eq0w" target=\"_blank\"&gt;https://www.youtube.com/watch?v=A8H6gc9Eq0w&lt;/a&gt;"</v>
      </c>
      <c r="S272" s="65" t="str">
        <f>"    rbib_"&amp;F272&amp;": "&amp;""""&amp;"&lt;div class=\"&amp;""""&amp;"hanging\"&amp;""""&amp;"&gt;"&amp;J272&amp;"&lt;/div&gt;"&amp;""""</f>
        <v xml:space="preserve">    rbib_marinstats_2020a: "&lt;div class=\"hanging\"&gt;MarinStatsLectures-R Programming &amp; Statistics (2020a, Mar 17). *Poisson Regression Review.* [Video]. YouTube. &lt;https://www.youtube.com/watch?v=A8H6gc9Eq0w&gt;&lt;/div&gt;"</v>
      </c>
      <c r="T272" s="65"/>
    </row>
    <row r="273" spans="1:20" ht="15.75">
      <c r="A273" s="65"/>
      <c r="B273" s="155"/>
      <c r="C273" s="155"/>
      <c r="D273" s="155"/>
      <c r="E273" s="65" t="s">
        <v>1945</v>
      </c>
      <c r="F273" s="65" t="s">
        <v>2876</v>
      </c>
      <c r="G273" s="65" t="s">
        <v>2875</v>
      </c>
      <c r="H273" s="65" t="s">
        <v>2875</v>
      </c>
      <c r="I273" s="65" t="b">
        <v>1</v>
      </c>
      <c r="J273" s="65" t="s">
        <v>2874</v>
      </c>
      <c r="K273" s="65" t="s">
        <v>5531</v>
      </c>
      <c r="L273" s="65" t="s">
        <v>2872</v>
      </c>
      <c r="M273" s="65" t="s">
        <v>2873</v>
      </c>
      <c r="N273" s="65" t="str">
        <f>"&lt;div class="&amp;""""&amp;"hanging"&amp;""""&amp;"&gt;"&amp;K273&amp;"&lt;a href="&amp;""""&amp;L273&amp;""""&amp;" target="&amp;""""&amp;"_blank"&amp;""""&amp;"&gt;"&amp;L273&amp;"&lt;/a&gt;&lt;span style="&amp;""""&amp;"color:white"&amp;""""&amp;"&gt;[.]{#"&amp;F273&amp;"}}&lt;/span&gt;&lt;/div&gt;&lt;br&gt;"</f>
        <v>&lt;div class="hanging"&gt;MarinStatsLectures-R Programming &amp; Statistics (2020b, Mar 17). &lt;i&gt;Poisson Regression: Zero Inflation (Excessive Zeros).&lt;/i&gt; [Video]. YouTube.&lt;a href="https://www.youtube.com/watch?v=eIY--zc5f24" target="_blank"&gt;https://www.youtube.com/watch?v=eIY--zc5f24&lt;/a&gt;&lt;span style="color:white"&gt;[.]{#marinstats_2020b}}&lt;/span&gt;&lt;/div&gt;&lt;br&gt;</v>
      </c>
      <c r="O273" s="65" t="str">
        <f>"{{ rtxt_"&amp;F273&amp;" }}"</f>
        <v>{{ rtxt_marinstats_2020b }}</v>
      </c>
      <c r="P273" s="65" t="str">
        <f>"{{ rbib_"&amp;F273&amp;" }}"</f>
        <v>{{ rbib_marinstats_2020b }}</v>
      </c>
      <c r="Q273" s="65" t="str">
        <f>"    rtxt_"&amp;F273&amp;": "&amp;""""&amp;"&lt;a href=\"&amp;""""&amp;"/08_references.html#"&amp;F273&amp;"\"&amp;""""&amp;" target=\"&amp;""""&amp;"_blank\"&amp;""""&amp;"&gt;"&amp;G273&amp;"&lt;/a&gt;"&amp;""""</f>
        <v xml:space="preserve">    rtxt_marinstats_2020b: "&lt;a href=\"/08_references.html#marinstats_2020b\" target=\"_blank\"&gt;MarinStatsLectures-R Programming &amp; Statistics, 2020b&lt;/a&gt;"</v>
      </c>
      <c r="R273" s="65" t="str">
        <f>"    rbib_"&amp;F273&amp;": "&amp;""""&amp;K273&amp;"&lt;a href=\"&amp;""""&amp;L273&amp;""""&amp;" target=\"&amp;""""&amp;"_blank\"&amp;""""&amp;"&gt;"&amp;L273&amp;"&lt;/a&gt;"&amp;""""</f>
        <v xml:space="preserve">    rbib_marinstats_2020b: "MarinStatsLectures-R Programming &amp; Statistics (2020b, Mar 17). &lt;i&gt;Poisson Regression: Zero Inflation (Excessive Zeros).&lt;/i&gt; [Video]. YouTube.&lt;a href=\"https://www.youtube.com/watch?v=eIY--zc5f24" target=\"_blank\"&gt;https://www.youtube.com/watch?v=eIY--zc5f24&lt;/a&gt;"</v>
      </c>
      <c r="S273" s="65" t="str">
        <f>"    rbib_"&amp;F273&amp;": "&amp;""""&amp;"&lt;div class=\"&amp;""""&amp;"hanging\"&amp;""""&amp;"&gt;"&amp;J273&amp;"&lt;/div&gt;"&amp;""""</f>
        <v xml:space="preserve">    rbib_marinstats_2020b: "&lt;div class=\"hanging\"&gt;MarinStatsLectures-R Programming &amp; Statistics (2020b, Mar 17). *Poisson Regression: Zero Inflation (Excessive Zeros).* [Video]. YouTube. &lt;https://www.youtube.com/watch?v=eIY--zc5f24&gt;&lt;/div&gt;"</v>
      </c>
      <c r="T273" s="65"/>
    </row>
    <row r="274" spans="1:20" ht="15.75">
      <c r="A274" s="65"/>
      <c r="B274" s="155" t="b">
        <v>0</v>
      </c>
      <c r="C274" s="155" t="b">
        <v>0</v>
      </c>
      <c r="D274" s="155" t="b">
        <v>1</v>
      </c>
      <c r="E274" s="65" t="s">
        <v>1904</v>
      </c>
      <c r="F274" s="65" t="s">
        <v>2871</v>
      </c>
      <c r="G274" s="65" t="s">
        <v>2870</v>
      </c>
      <c r="H274" s="65" t="s">
        <v>2870</v>
      </c>
      <c r="I274" s="65" t="b">
        <v>1</v>
      </c>
      <c r="J274" s="65" t="s">
        <v>2869</v>
      </c>
      <c r="K274" s="65" t="s">
        <v>5240</v>
      </c>
      <c r="L274" s="65" t="s">
        <v>2868</v>
      </c>
      <c r="M274" s="65" t="s">
        <v>984</v>
      </c>
      <c r="N274" s="65" t="str">
        <f>"&lt;div class="&amp;""""&amp;"hanging"&amp;""""&amp;"&gt;"&amp;K274&amp;"&lt;a href="&amp;""""&amp;L274&amp;""""&amp;" target="&amp;""""&amp;"_blank"&amp;""""&amp;"&gt;"&amp;L274&amp;"&lt;/a&gt;&lt;span style="&amp;""""&amp;"color:white"&amp;""""&amp;"&gt;[.]{#"&amp;F274&amp;"}}&lt;/span&gt;&lt;/div&gt;&lt;br&gt;"</f>
        <v>&lt;div class="hanging"&gt;Markle, D. F., Janik, A., Peterson, J. T., Choudhury, A., Simon, D. C., Tkach, V. V., Terwilliger, M. R., Sanders, J. L., &amp; Kent, M. L. (2020). Odds Ratios and Hurdle Models: A Long-Term Analysis of Parasite Infection Patterns in Endangered Young-Of-The-Year Suckers from Upper Klamath Lake, Oregon, USA. &lt;i&gt;International Journal for Parasitology, 50&lt;/i&gt;(4), 315-330.&lt;a href="https://doi.org/10.1016/j.ijpara.2020.02.001" target="_blank"&gt;https://doi.org/10.1016/j.ijpara.2020.02.001&lt;/a&gt;&lt;span style="color:white"&gt;[.]{#markle_et_al_2020}}&lt;/span&gt;&lt;/div&gt;&lt;br&gt;</v>
      </c>
      <c r="O274" s="65" t="str">
        <f>"{{ rtxt_"&amp;F274&amp;" }}"</f>
        <v>{{ rtxt_markle_et_al_2020 }}</v>
      </c>
      <c r="P274" s="65" t="str">
        <f>"{{ rbib_"&amp;F274&amp;" }}"</f>
        <v>{{ rbib_markle_et_al_2020 }}</v>
      </c>
      <c r="Q274" s="65" t="str">
        <f>"    rtxt_"&amp;F274&amp;": "&amp;""""&amp;"&lt;a href=\"&amp;""""&amp;"/08_references.html#"&amp;F274&amp;"\"&amp;""""&amp;" target=\"&amp;""""&amp;"_blank\"&amp;""""&amp;"&gt;"&amp;G274&amp;"&lt;/a&gt;"&amp;""""</f>
        <v xml:space="preserve">    rtxt_markle_et_al_2020: "&lt;a href=\"/08_references.html#markle_et_al_2020\" target=\"_blank\"&gt;Markle et al., 2020&lt;/a&gt;"</v>
      </c>
      <c r="R274" s="65" t="str">
        <f>"    rbib_"&amp;F274&amp;": "&amp;""""&amp;K274&amp;"&lt;a href=\"&amp;""""&amp;L274&amp;""""&amp;" target=\"&amp;""""&amp;"_blank\"&amp;""""&amp;"&gt;"&amp;L274&amp;"&lt;/a&gt;"&amp;""""</f>
        <v xml:space="preserve">    rbib_markle_et_al_2020: "Markle, D. F., Janik, A., Peterson, J. T., Choudhury, A., Simon, D. C., Tkach, V. V., Terwilliger, M. R., Sanders, J. L., &amp; Kent, M. L. (2020). Odds Ratios and Hurdle Models: A Long-Term Analysis of Parasite Infection Patterns in Endangered Young-Of-The-Year Suckers from Upper Klamath Lake, Oregon, USA. &lt;i&gt;International Journal for Parasitology, 50&lt;/i&gt;(4), 315-330.&lt;a href=\"https://doi.org/10.1016/j.ijpara.2020.02.001" target=\"_blank\"&gt;https://doi.org/10.1016/j.ijpara.2020.02.001&lt;/a&gt;"</v>
      </c>
      <c r="S274" s="65" t="str">
        <f>"    rbib_"&amp;F274&amp;": "&amp;""""&amp;"&lt;div class=\"&amp;""""&amp;"hanging\"&amp;""""&amp;"&gt;"&amp;J274&amp;"&lt;/div&gt;"&amp;""""</f>
        <v xml:space="preserve">    rbib_markle_et_al_2020: "&lt;div class=\"hanging\"&gt;Markle, D. F., Janik, A., Peterson, J. T., Choudhury, A., Simon, D. C., Tkach, V. V., Terwilliger, M. R., Sanders, J. L., &amp; Kent, M. L. (2020). Odds Ratios and Hurdle Models: A Long-Term Analysis of Parasite Infection Patterns in Endangered Young-Of-The-Year Suckers from Upper Klamath Lake, Oregon, USA. *International Journal for Parasitology, 50*(4), 315-330. &lt;https://doi.org/10.1016/j.ijpara.2020.02.001&gt;&lt;/div&gt;"</v>
      </c>
      <c r="T274" s="65"/>
    </row>
    <row r="275" spans="1:20" ht="15.75">
      <c r="A275" s="65"/>
      <c r="B275" s="155" t="b">
        <v>1</v>
      </c>
      <c r="C275" s="155" t="b">
        <v>0</v>
      </c>
      <c r="D275" s="155" t="b">
        <v>1</v>
      </c>
      <c r="E275" s="65" t="s">
        <v>1904</v>
      </c>
      <c r="F275" s="65" t="s">
        <v>2867</v>
      </c>
      <c r="G275" s="65" t="s">
        <v>2866</v>
      </c>
      <c r="H275" s="65" t="s">
        <v>2866</v>
      </c>
      <c r="I275" s="65" t="b">
        <v>1</v>
      </c>
      <c r="J275" s="65" t="s">
        <v>2865</v>
      </c>
      <c r="K275" s="65" t="s">
        <v>5322</v>
      </c>
      <c r="L275" s="65" t="s">
        <v>2864</v>
      </c>
      <c r="M275" s="65" t="s">
        <v>984</v>
      </c>
      <c r="N275" s="65" t="str">
        <f>"&lt;div class="&amp;""""&amp;"hanging"&amp;""""&amp;"&gt;"&amp;K275&amp;"&lt;a href="&amp;""""&amp;L275&amp;""""&amp;" target="&amp;""""&amp;"_blank"&amp;""""&amp;"&gt;"&amp;L275&amp;"&lt;/a&gt;&lt;span style="&amp;""""&amp;"color:white"&amp;""""&amp;"&gt;[.]{#"&amp;F275&amp;"}}&lt;/span&gt;&lt;/div&gt;&lt;br&gt;"</f>
        <v>&lt;div class="hanging"&gt;Martin, T. G., Wintle, B. A., Rhodes, J. R., Kuhnert, P. M., Field, S. A., Low-Choy, S. J., Tyre, A. J., &amp; Possingham, H. P. (2005). Zero Tolerance Ecology: Improving Ecological Inference by Modelling the Source of Zero Observations. &lt;i&gt;Ecology Letters, 8&lt;/i&gt;(11), 1235-1246.&lt;a href="https://doi.org/10.1111/j.1461-0248.2005.00826.x" target="_blank"&gt;https://doi.org/10.1111/j.1461-0248.2005.00826.x&lt;/a&gt;&lt;span style="color:white"&gt;[.]{#martin_et_al_2005}}&lt;/span&gt;&lt;/div&gt;&lt;br&gt;</v>
      </c>
      <c r="O275" s="65" t="str">
        <f>"{{ rtxt_"&amp;F275&amp;" }}"</f>
        <v>{{ rtxt_martin_et_al_2005 }}</v>
      </c>
      <c r="P275" s="65" t="str">
        <f>"{{ rbib_"&amp;F275&amp;" }}"</f>
        <v>{{ rbib_martin_et_al_2005 }}</v>
      </c>
      <c r="Q275" s="65" t="str">
        <f>"    rtxt_"&amp;F275&amp;": "&amp;""""&amp;"&lt;a href=\"&amp;""""&amp;"/08_references.html#"&amp;F275&amp;"\"&amp;""""&amp;" target=\"&amp;""""&amp;"_blank\"&amp;""""&amp;"&gt;"&amp;G275&amp;"&lt;/a&gt;"&amp;""""</f>
        <v xml:space="preserve">    rtxt_martin_et_al_2005: "&lt;a href=\"/08_references.html#martin_et_al_2005\" target=\"_blank\"&gt;Martin et al., 2005&lt;/a&gt;"</v>
      </c>
      <c r="R275" s="65" t="str">
        <f>"    rbib_"&amp;F275&amp;": "&amp;""""&amp;K275&amp;"&lt;a href=\"&amp;""""&amp;L275&amp;""""&amp;" target=\"&amp;""""&amp;"_blank\"&amp;""""&amp;"&gt;"&amp;L275&amp;"&lt;/a&gt;"&amp;""""</f>
        <v xml:space="preserve">    rbib_martin_et_al_2005: "Martin, T. G., Wintle, B. A., Rhodes, J. R., Kuhnert, P. M., Field, S. A., Low-Choy, S. J., Tyre, A. J., &amp; Possingham, H. P. (2005). Zero Tolerance Ecology: Improving Ecological Inference by Modelling the Source of Zero Observations. &lt;i&gt;Ecology Letters, 8&lt;/i&gt;(11), 1235-1246.&lt;a href=\"https://doi.org/10.1111/j.1461-0248.2005.00826.x" target=\"_blank\"&gt;https://doi.org/10.1111/j.1461-0248.2005.00826.x&lt;/a&gt;"</v>
      </c>
      <c r="S275" s="65" t="str">
        <f>"    rbib_"&amp;F275&amp;": "&amp;""""&amp;"&lt;div class=\"&amp;""""&amp;"hanging\"&amp;""""&amp;"&gt;"&amp;J275&amp;"&lt;/div&gt;"&amp;""""</f>
        <v xml:space="preserve">    rbib_martin_et_al_2005: "&lt;div class=\"hanging\"&gt;Martin, T. G., Wintle, B. A., Rhodes, J. R., Kuhnert, P. M., Field, S. A., Low-Choy, S. J., Tyre, A. J., &amp; Possingham, H. P. (2005). Zero Tolerance Ecology: Improving Ecological Inference by Modelling the Source of Zero Observations. *Ecology Letters, 8*(11), 1235-1246. &lt;https://doi.org/10.1111/j.1461-0248.2005.00826.x&gt;&lt;/div&gt;"</v>
      </c>
      <c r="T275" s="65"/>
    </row>
    <row r="276" spans="1:20" ht="15.75">
      <c r="A276" s="65"/>
      <c r="B276" s="155"/>
      <c r="C276" s="155"/>
      <c r="D276" s="155"/>
      <c r="E276" s="65" t="s">
        <v>1904</v>
      </c>
      <c r="F276" s="65" t="s">
        <v>2859</v>
      </c>
      <c r="G276" s="65" t="s">
        <v>2858</v>
      </c>
      <c r="H276" s="65" t="s">
        <v>2858</v>
      </c>
      <c r="I276" s="65" t="b">
        <v>1</v>
      </c>
      <c r="J276" s="65" t="s">
        <v>2857</v>
      </c>
      <c r="K276" s="65" t="s">
        <v>5139</v>
      </c>
      <c r="L276" s="65" t="s">
        <v>2856</v>
      </c>
      <c r="M276" s="65" t="s">
        <v>984</v>
      </c>
      <c r="N276" s="65" t="str">
        <f>"&lt;div class="&amp;""""&amp;"hanging"&amp;""""&amp;"&gt;"&amp;K276&amp;"&lt;a href="&amp;""""&amp;L276&amp;""""&amp;" target="&amp;""""&amp;"_blank"&amp;""""&amp;"&gt;"&amp;L276&amp;"&lt;/a&gt;&lt;span style="&amp;""""&amp;"color:white"&amp;""""&amp;"&gt;[.]{#"&amp;F276&amp;"}}&lt;/span&gt;&lt;/div&gt;&lt;br&gt;"</f>
        <v>&lt;div class="hanging"&gt;McClintock, B. T. (2015). multimark: An R package for analysis of capture-recapture data consisting of multiple 'noninvasive' marks. &lt;i&gt;Ecology and Evolution, 5&lt;/i&gt;(21), 4920-4931.&lt;a href="https://doi.org/10.1002/ece3.1676" target="_blank"&gt;https://doi.org/10.1002/ece3.1676&lt;/a&gt;&lt;span style="color:white"&gt;[.]{#mcclintock_et_al_2015}}&lt;/span&gt;&lt;/div&gt;&lt;br&gt;</v>
      </c>
      <c r="O276" s="65" t="str">
        <f>"{{ rtxt_"&amp;F276&amp;" }}"</f>
        <v>{{ rtxt_mcclintock_et_al_2015 }}</v>
      </c>
      <c r="P276" s="65" t="str">
        <f>"{{ rbib_"&amp;F276&amp;" }}"</f>
        <v>{{ rbib_mcclintock_et_al_2015 }}</v>
      </c>
      <c r="Q276" s="65" t="str">
        <f>"    rtxt_"&amp;F276&amp;": "&amp;""""&amp;"&lt;a href=\"&amp;""""&amp;"/08_references.html#"&amp;F276&amp;"\"&amp;""""&amp;" target=\"&amp;""""&amp;"_blank\"&amp;""""&amp;"&gt;"&amp;G276&amp;"&lt;/a&gt;"&amp;""""</f>
        <v xml:space="preserve">    rtxt_mcclintock_et_al_2015: "&lt;a href=\"/08_references.html#mcclintock_et_al_2015\" target=\"_blank\"&gt;McClintock et al., 2015&lt;/a&gt;"</v>
      </c>
      <c r="R276" s="65" t="str">
        <f>"    rbib_"&amp;F276&amp;": "&amp;""""&amp;K276&amp;"&lt;a href=\"&amp;""""&amp;L276&amp;""""&amp;" target=\"&amp;""""&amp;"_blank\"&amp;""""&amp;"&gt;"&amp;L276&amp;"&lt;/a&gt;"&amp;""""</f>
        <v xml:space="preserve">    rbib_mcclintock_et_al_2015: "McClintock, B. T. (2015). multimark: An R package for analysis of capture-recapture data consisting of multiple 'noninvasive' marks. &lt;i&gt;Ecology and Evolution, 5&lt;/i&gt;(21), 4920-4931.&lt;a href=\"https://doi.org/10.1002/ece3.1676" target=\"_blank\"&gt;https://doi.org/10.1002/ece3.1676&lt;/a&gt;"</v>
      </c>
      <c r="S276" s="65" t="str">
        <f>"    rbib_"&amp;F276&amp;": "&amp;""""&amp;"&lt;div class=\"&amp;""""&amp;"hanging\"&amp;""""&amp;"&gt;"&amp;J276&amp;"&lt;/div&gt;"&amp;""""</f>
        <v xml:space="preserve">    rbib_mcclintock_et_al_2015: "&lt;div class=\"hanging\"&gt;McClintock, B. T. (2015). multimark: An R package for analysis of capture-recapture data consisting of multiple 'noninvasive' marks. *Ecology and Evolution, 5*(21), 4920-4931. &lt;https://doi.org/10.1002/ece3.1676&gt;&lt;/div&gt;"</v>
      </c>
      <c r="T276" s="65"/>
    </row>
    <row r="277" spans="1:20" ht="15.75">
      <c r="A277" s="65"/>
      <c r="B277" s="155" t="b">
        <v>1</v>
      </c>
      <c r="C277" s="155" t="b">
        <v>0</v>
      </c>
      <c r="D277" s="155" t="b">
        <v>0</v>
      </c>
      <c r="E277" s="65" t="s">
        <v>1904</v>
      </c>
      <c r="F277" s="65" t="s">
        <v>2863</v>
      </c>
      <c r="G277" s="65" t="s">
        <v>2862</v>
      </c>
      <c r="H277" s="65" t="s">
        <v>2862</v>
      </c>
      <c r="I277" s="65" t="b">
        <v>1</v>
      </c>
      <c r="J277" s="65" t="s">
        <v>2861</v>
      </c>
      <c r="K277" s="65" t="s">
        <v>5333</v>
      </c>
      <c r="L277" s="65" t="s">
        <v>2860</v>
      </c>
      <c r="M277" s="65" t="s">
        <v>984</v>
      </c>
      <c r="N277" s="65" t="str">
        <f>"&lt;div class="&amp;""""&amp;"hanging"&amp;""""&amp;"&gt;"&amp;K277&amp;"&lt;a href="&amp;""""&amp;L277&amp;""""&amp;" target="&amp;""""&amp;"_blank"&amp;""""&amp;"&gt;"&amp;L277&amp;"&lt;/a&gt;&lt;span style="&amp;""""&amp;"color:white"&amp;""""&amp;"&gt;[.]{#"&amp;F277&amp;"}}&lt;/span&gt;&lt;/div&gt;&lt;br&gt;"</f>
        <v>&lt;div class="hanging"&gt;McClintock, B. T., White, G. C., Antolin, M. F., &amp; Tripp, D. W. (2009). Estimating abundance using mark-resight when sampling is with replacement or the number of marked individuals is unknown. &lt;i&gt;Biometrics, 65&lt;/i&gt;(1), 237-246.&lt;a href="https://doi.org/10.1111/j.1541-0420.2008.01047.x" target="_blank"&gt;https://doi.org/10.1111/j.1541-0420.2008.01047.x&lt;/a&gt;&lt;span style="color:white"&gt;[.]{#mcclintock_et_al_2009}}&lt;/span&gt;&lt;/div&gt;&lt;br&gt;</v>
      </c>
      <c r="O277" s="65" t="str">
        <f>"{{ rtxt_"&amp;F277&amp;" }}"</f>
        <v>{{ rtxt_mcclintock_et_al_2009 }}</v>
      </c>
      <c r="P277" s="65" t="str">
        <f>"{{ rbib_"&amp;F277&amp;" }}"</f>
        <v>{{ rbib_mcclintock_et_al_2009 }}</v>
      </c>
      <c r="Q277" s="65" t="str">
        <f>"    rtxt_"&amp;F277&amp;": "&amp;""""&amp;"&lt;a href=\"&amp;""""&amp;"/08_references.html#"&amp;F277&amp;"\"&amp;""""&amp;" target=\"&amp;""""&amp;"_blank\"&amp;""""&amp;"&gt;"&amp;G277&amp;"&lt;/a&gt;"&amp;""""</f>
        <v xml:space="preserve">    rtxt_mcclintock_et_al_2009: "&lt;a href=\"/08_references.html#mcclintock_et_al_2009\" target=\"_blank\"&gt;McClintock et al., 2009&lt;/a&gt;"</v>
      </c>
      <c r="R277" s="65" t="str">
        <f>"    rbib_"&amp;F277&amp;": "&amp;""""&amp;K277&amp;"&lt;a href=\"&amp;""""&amp;L277&amp;""""&amp;" target=\"&amp;""""&amp;"_blank\"&amp;""""&amp;"&gt;"&amp;L277&amp;"&lt;/a&gt;"&amp;""""</f>
        <v xml:space="preserve">    rbib_mcclintock_et_al_2009: "McClintock, B. T., White, G. C., Antolin, M. F., &amp; Tripp, D. W. (2009). Estimating abundance using mark-resight when sampling is with replacement or the number of marked individuals is unknown. &lt;i&gt;Biometrics, 65&lt;/i&gt;(1), 237-246.&lt;a href=\"https://doi.org/10.1111/j.1541-0420.2008.01047.x" target=\"_blank\"&gt;https://doi.org/10.1111/j.1541-0420.2008.01047.x&lt;/a&gt;"</v>
      </c>
      <c r="S277" s="65" t="str">
        <f>"    rbib_"&amp;F277&amp;": "&amp;""""&amp;"&lt;div class=\"&amp;""""&amp;"hanging\"&amp;""""&amp;"&gt;"&amp;J277&amp;"&lt;/div&gt;"&amp;""""</f>
        <v xml:space="preserve">    rbib_mcclintock_et_al_2009: "&lt;div class=\"hanging\"&gt;McClintock, B. T., White, G. C., Antolin, M. F., &amp; Tripp, D. W. (2009). Estimating abundance using mark-resight when sampling is with replacement or the number of marked individuals is unknown. *Biometrics, 65*(1), 237-246. &lt;https://doi.org/10.1111/j.1541-0420.2008.01047.x&gt;&lt;/div&gt;"</v>
      </c>
      <c r="T277" s="65"/>
    </row>
    <row r="278" spans="1:20" ht="15.75">
      <c r="A278" s="65"/>
      <c r="B278" s="155" t="b">
        <v>0</v>
      </c>
      <c r="C278" s="155" t="b">
        <v>0</v>
      </c>
      <c r="D278" s="155" t="s">
        <v>1993</v>
      </c>
      <c r="E278" s="65" t="s">
        <v>2480</v>
      </c>
      <c r="F278" s="65" t="s">
        <v>2855</v>
      </c>
      <c r="G278" s="65" t="s">
        <v>2854</v>
      </c>
      <c r="H278" s="65" t="s">
        <v>2853</v>
      </c>
      <c r="I278" s="65" t="b">
        <v>1</v>
      </c>
      <c r="J278" s="65" t="s">
        <v>2852</v>
      </c>
      <c r="K278" s="65" t="s">
        <v>5459</v>
      </c>
      <c r="L278" s="65" t="s">
        <v>2851</v>
      </c>
      <c r="M278" s="65" t="s">
        <v>984</v>
      </c>
      <c r="N278" s="65" t="str">
        <f>"&lt;div class="&amp;""""&amp;"hanging"&amp;""""&amp;"&gt;"&amp;K278&amp;"&lt;a href="&amp;""""&amp;L278&amp;""""&amp;" target="&amp;""""&amp;"_blank"&amp;""""&amp;"&gt;"&amp;L278&amp;"&lt;/a&gt;&lt;span style="&amp;""""&amp;"color:white"&amp;""""&amp;"&gt;[.]{#"&amp;F278&amp;"}}&lt;/span&gt;&lt;/div&gt;&lt;br&gt;"</f>
        <v>&lt;div class="hanging"&gt;Mccomb, B., Vesely, D., &amp; Jordan, C. (2010). &lt;i&gt;Monitoring Animal Populations and Their Habitats: A Practitioner’s Guide&lt;/i&gt;. Oregon State University.&lt;a href="https://openlibrary-repo.ecampusontario.ca/xmlui/bitstream/handle/123456789/850/Monitoring-Animal-Populations-and-Their-Habitats-A-Practitioner039s-Guide-1598474504._print.pdf?sequence=4&amp;isAllowed=y" target="_blank"&gt;https://openlibrary-repo.ecampusontario.ca/xmlui/bitstream/handle/123456789/850/Monitoring-Animal-Populations-and-Their-Habitats-A-Practitioner039s-Guide-1598474504._print.pdf?sequence=4&amp;isAllowed=y&lt;/a&gt;&lt;span style="color:white"&gt;[.]{#mccomb_et_al_2010}}&lt;/span&gt;&lt;/div&gt;&lt;br&gt;</v>
      </c>
      <c r="O278" s="65" t="str">
        <f>"{{ rtxt_"&amp;F278&amp;" }}"</f>
        <v>{{ rtxt_mccomb_et_al_2010 }}</v>
      </c>
      <c r="P278" s="65" t="str">
        <f>"{{ rbib_"&amp;F278&amp;" }}"</f>
        <v>{{ rbib_mccomb_et_al_2010 }}</v>
      </c>
      <c r="Q278" s="65" t="str">
        <f>"    rtxt_"&amp;F278&amp;": "&amp;""""&amp;"&lt;a href=\"&amp;""""&amp;"/08_references.html#"&amp;F278&amp;"\"&amp;""""&amp;" target=\"&amp;""""&amp;"_blank\"&amp;""""&amp;"&gt;"&amp;G278&amp;"&lt;/a&gt;"&amp;""""</f>
        <v xml:space="preserve">    rtxt_mccomb_et_al_2010: "&lt;a href=\"/08_references.html#mccomb_et_al_2010\" target=\"_blank\"&gt;Mccomb et al., 2010&lt;/a&gt;"</v>
      </c>
      <c r="R278" s="65" t="str">
        <f>"    rbib_"&amp;F278&amp;": "&amp;""""&amp;K278&amp;"&lt;a href=\"&amp;""""&amp;L278&amp;""""&amp;" target=\"&amp;""""&amp;"_blank\"&amp;""""&amp;"&gt;"&amp;L278&amp;"&lt;/a&gt;"&amp;""""</f>
        <v xml:space="preserve">    rbib_mccomb_et_al_2010: "Mccomb, B., Vesely, D., &amp; Jordan, C. (2010). &lt;i&gt;Monitoring Animal Populations and Their Habitats: A Practitioner’s Guide&lt;/i&gt;. Oregon State University.&lt;a href=\"https://openlibrary-repo.ecampusontario.ca/xmlui/bitstream/handle/123456789/850/Monitoring-Animal-Populations-and-Their-Habitats-A-Practitioner039s-Guide-1598474504._print.pdf?sequence=4&amp;isAllowed=y" target=\"_blank\"&gt;https://openlibrary-repo.ecampusontario.ca/xmlui/bitstream/handle/123456789/850/Monitoring-Animal-Populations-and-Their-Habitats-A-Practitioner039s-Guide-1598474504._print.pdf?sequence=4&amp;isAllowed=y&lt;/a&gt;"</v>
      </c>
      <c r="S278" s="65" t="str">
        <f>"    rbib_"&amp;F278&amp;": "&amp;""""&amp;"&lt;div class=\"&amp;""""&amp;"hanging\"&amp;""""&amp;"&gt;"&amp;J278&amp;"&lt;/div&gt;"&amp;""""</f>
        <v xml:space="preserve">    rbib_mccomb_et_al_2010: "&lt;div class=\"hanging\"&gt;Mccomb, B., Vesely, D., &amp; Jordan, C. (2010). *Monitoring Animal Populations and Their Habitats: A Practitioner’s Guide*. Oregon State University. &lt;https://openlibrary-repo.ecampusontario.ca/xmlui/bitstream/handle/123456789/850/Monitoring-Animal-Populations-and-Their-Habitats-A-Practitioner039s-Guide-1598474504._print.pdf?sequence=4&amp;isAllowed=y&gt;&lt;/div&gt;"</v>
      </c>
      <c r="T278" s="65"/>
    </row>
    <row r="279" spans="1:20" ht="15.75">
      <c r="A279" s="65"/>
      <c r="B279" s="155" t="b">
        <v>1</v>
      </c>
      <c r="C279" s="155" t="b">
        <v>0</v>
      </c>
      <c r="D279" s="155" t="b">
        <v>0</v>
      </c>
      <c r="E279" s="65" t="s">
        <v>1939</v>
      </c>
      <c r="F279" s="65" t="s">
        <v>2850</v>
      </c>
      <c r="G279" s="65" t="s">
        <v>2849</v>
      </c>
      <c r="H279" s="65" t="s">
        <v>2849</v>
      </c>
      <c r="I279" s="65" t="b">
        <v>1</v>
      </c>
      <c r="J279" s="65" t="s">
        <v>2848</v>
      </c>
      <c r="K279" s="65" t="s">
        <v>5098</v>
      </c>
      <c r="L279" s="65" t="s">
        <v>2847</v>
      </c>
      <c r="M279" s="65" t="s">
        <v>984</v>
      </c>
      <c r="N279" s="65" t="str">
        <f>"&lt;div class="&amp;""""&amp;"hanging"&amp;""""&amp;"&gt;"&amp;K279&amp;"&lt;a href="&amp;""""&amp;L279&amp;""""&amp;" target="&amp;""""&amp;"_blank"&amp;""""&amp;"&gt;"&amp;L279&amp;"&lt;/a&gt;&lt;span style="&amp;""""&amp;"color:white"&amp;""""&amp;"&gt;[.]{#"&amp;F279&amp;"}}&lt;/span&gt;&lt;/div&gt;&lt;br&gt;"</f>
        <v>&lt;div class="hanging"&gt;McCullagh, P., &amp; Nelder, J. A. (1989). &lt;i&gt;Generalised Linear Models,&lt;/i&gt; 2nd edn. Chapman and Hall, London.&lt;a href="http://dx.doi.org/10.1007/978-1-4899-3242-6" target="_blank"&gt;http://dx.doi.org/10.1007/978-1-4899-3242-6&lt;/a&gt;&lt;span style="color:white"&gt;[.]{#mccullagh_nelder_1989}}&lt;/span&gt;&lt;/div&gt;&lt;br&gt;</v>
      </c>
      <c r="O279" s="65" t="str">
        <f>"{{ rtxt_"&amp;F279&amp;" }}"</f>
        <v>{{ rtxt_mccullagh_nelder_1989 }}</v>
      </c>
      <c r="P279" s="65" t="str">
        <f>"{{ rbib_"&amp;F279&amp;" }}"</f>
        <v>{{ rbib_mccullagh_nelder_1989 }}</v>
      </c>
      <c r="Q279" s="65" t="str">
        <f>"    rtxt_"&amp;F279&amp;": "&amp;""""&amp;"&lt;a href=\"&amp;""""&amp;"/08_references.html#"&amp;F279&amp;"\"&amp;""""&amp;" target=\"&amp;""""&amp;"_blank\"&amp;""""&amp;"&gt;"&amp;G279&amp;"&lt;/a&gt;"&amp;""""</f>
        <v xml:space="preserve">    rtxt_mccullagh_nelder_1989: "&lt;a href=\"/08_references.html#mccullagh_nelder_1989\" target=\"_blank\"&gt;McCullagh &amp; Nelder, 1989&lt;/a&gt;"</v>
      </c>
      <c r="R279" s="65" t="str">
        <f>"    rbib_"&amp;F279&amp;": "&amp;""""&amp;K279&amp;"&lt;a href=\"&amp;""""&amp;L279&amp;""""&amp;" target=\"&amp;""""&amp;"_blank\"&amp;""""&amp;"&gt;"&amp;L279&amp;"&lt;/a&gt;"&amp;""""</f>
        <v xml:space="preserve">    rbib_mccullagh_nelder_1989: "McCullagh, P., &amp; Nelder, J. A. (1989). &lt;i&gt;Generalised Linear Models,&lt;/i&gt; 2nd edn. Chapman and Hall, London.&lt;a href=\"http://dx.doi.org/10.1007/978-1-4899-3242-6" target=\"_blank\"&gt;http://dx.doi.org/10.1007/978-1-4899-3242-6&lt;/a&gt;"</v>
      </c>
      <c r="S279" s="65" t="str">
        <f>"    rbib_"&amp;F279&amp;": "&amp;""""&amp;"&lt;div class=\"&amp;""""&amp;"hanging\"&amp;""""&amp;"&gt;"&amp;J279&amp;"&lt;/div&gt;"&amp;""""</f>
        <v xml:space="preserve">    rbib_mccullagh_nelder_1989: "&lt;div class=\"hanging\"&gt;McCullagh, P., &amp; Nelder, J. A. (1989). *Generalised Linear Models,* 2nd edn. Chapman and Hall, London. &lt;http://dx.doi.org/10.1007/978-1-4899-3242-6&gt;&lt;/div&gt;"</v>
      </c>
      <c r="T279" s="65"/>
    </row>
    <row r="280" spans="1:20" ht="15.75">
      <c r="A280" s="65"/>
      <c r="B280" s="155"/>
      <c r="C280" s="155"/>
      <c r="D280" s="155"/>
      <c r="E280" s="65" t="s">
        <v>1904</v>
      </c>
      <c r="F280" s="65" t="s">
        <v>2846</v>
      </c>
      <c r="G280" s="65" t="s">
        <v>2845</v>
      </c>
      <c r="H280" s="65" t="s">
        <v>2845</v>
      </c>
      <c r="I280" s="65" t="b">
        <v>1</v>
      </c>
      <c r="J280" s="65" t="s">
        <v>2844</v>
      </c>
      <c r="K280" s="65" t="s">
        <v>5143</v>
      </c>
      <c r="L280" s="65" t="s">
        <v>2843</v>
      </c>
      <c r="M280" s="65" t="s">
        <v>984</v>
      </c>
      <c r="N280" s="65" t="str">
        <f>"&lt;div class="&amp;""""&amp;"hanging"&amp;""""&amp;"&gt;"&amp;K280&amp;"&lt;a href="&amp;""""&amp;L280&amp;""""&amp;" target="&amp;""""&amp;"_blank"&amp;""""&amp;"&gt;"&amp;L280&amp;"&lt;/a&gt;&lt;span style="&amp;""""&amp;"color:white"&amp;""""&amp;"&gt;[.]{#"&amp;F280&amp;"}}&lt;/span&gt;&lt;/div&gt;&lt;br&gt;"</f>
        <v>&lt;div class="hanging"&gt;McFarlane, S., Manseau, M., Steenweg, R., Hervieux, D., Hegel, T., Slater, S., &amp; Wilson, P. J. (2020). An assessment of sampling designs using SCR analyses to estimate abundance of boreal caribou. &lt;i&gt;Ecology and Evolution, 10&lt;/i&gt;(20), 11631-11642.&lt;a href="https://doi.org/10.1002/ece3.6797" target="_blank"&gt;https://doi.org/10.1002/ece3.6797&lt;/a&gt;&lt;span style="color:white"&gt;[.]{#mcfarlane_et_al_2020}}&lt;/span&gt;&lt;/div&gt;&lt;br&gt;</v>
      </c>
      <c r="O280" s="65" t="str">
        <f>"{{ rtxt_"&amp;F280&amp;" }}"</f>
        <v>{{ rtxt_mcfarlane_et_al_2020 }}</v>
      </c>
      <c r="P280" s="65" t="str">
        <f>"{{ rbib_"&amp;F280&amp;" }}"</f>
        <v>{{ rbib_mcfarlane_et_al_2020 }}</v>
      </c>
      <c r="Q280" s="65" t="str">
        <f>"    rtxt_"&amp;F280&amp;": "&amp;""""&amp;"&lt;a href=\"&amp;""""&amp;"/08_references.html#"&amp;F280&amp;"\"&amp;""""&amp;" target=\"&amp;""""&amp;"_blank\"&amp;""""&amp;"&gt;"&amp;G280&amp;"&lt;/a&gt;"&amp;""""</f>
        <v xml:space="preserve">    rtxt_mcfarlane_et_al_2020: "&lt;a href=\"/08_references.html#mcfarlane_et_al_2020\" target=\"_blank\"&gt;McFarlane et al., 2020&lt;/a&gt;"</v>
      </c>
      <c r="R280" s="65" t="str">
        <f>"    rbib_"&amp;F280&amp;": "&amp;""""&amp;K280&amp;"&lt;a href=\"&amp;""""&amp;L280&amp;""""&amp;" target=\"&amp;""""&amp;"_blank\"&amp;""""&amp;"&gt;"&amp;L280&amp;"&lt;/a&gt;"&amp;""""</f>
        <v xml:space="preserve">    rbib_mcfarlane_et_al_2020: "McFarlane, S., Manseau, M., Steenweg, R., Hervieux, D., Hegel, T., Slater, S., &amp; Wilson, P. J. (2020). An assessment of sampling designs using SCR analyses to estimate abundance of boreal caribou. &lt;i&gt;Ecology and Evolution, 10&lt;/i&gt;(20), 11631-11642.&lt;a href=\"https://doi.org/10.1002/ece3.6797" target=\"_blank\"&gt;https://doi.org/10.1002/ece3.6797&lt;/a&gt;"</v>
      </c>
      <c r="S280" s="65" t="str">
        <f>"    rbib_"&amp;F280&amp;": "&amp;""""&amp;"&lt;div class=\"&amp;""""&amp;"hanging\"&amp;""""&amp;"&gt;"&amp;J280&amp;"&lt;/div&gt;"&amp;""""</f>
        <v xml:space="preserve">    rbib_mcfarlane_et_al_2020: "&lt;div class=\"hanging\"&gt;McFarlane, S., Manseau, M., Steenweg, R., Hervieux, D., Hegel, T., Slater, S., &amp; Wilson, P. J. (2020). An assessment of sampling designs using SCR analyses to estimate abundance of boreal caribou. *Ecology and Evolution, 10*(20), 11631-11642. &lt;https://doi.org/10.1002/ece3.6797&gt;&lt;/div&gt;"</v>
      </c>
      <c r="T280" s="65"/>
    </row>
    <row r="281" spans="1:20" ht="15.75">
      <c r="A281" s="65"/>
      <c r="B281" s="155"/>
      <c r="C281" s="155"/>
      <c r="D281" s="155"/>
      <c r="E281" s="65" t="s">
        <v>1904</v>
      </c>
      <c r="F281" s="65" t="s">
        <v>2842</v>
      </c>
      <c r="G281" s="65" t="s">
        <v>2841</v>
      </c>
      <c r="H281" s="65" t="s">
        <v>2841</v>
      </c>
      <c r="I281" s="65" t="b">
        <v>1</v>
      </c>
      <c r="J281" s="65" t="s">
        <v>2840</v>
      </c>
      <c r="K281" s="65" t="s">
        <v>5181</v>
      </c>
      <c r="L281" s="65" t="s">
        <v>2839</v>
      </c>
      <c r="M281" s="65" t="s">
        <v>984</v>
      </c>
      <c r="N281" s="65" t="str">
        <f>"&lt;div class="&amp;""""&amp;"hanging"&amp;""""&amp;"&gt;"&amp;K281&amp;"&lt;a href="&amp;""""&amp;L281&amp;""""&amp;" target="&amp;""""&amp;"_blank"&amp;""""&amp;"&gt;"&amp;L281&amp;"&lt;/a&gt;&lt;span style="&amp;""""&amp;"color:white"&amp;""""&amp;"&gt;[.]{#"&amp;F281&amp;"}}&lt;/span&gt;&lt;/div&gt;&lt;br&gt;"</f>
        <v>&lt;div class="hanging"&gt;McMurry, S., Moeller, A. K., Goerz, J., &amp; Robinson, H. S. (2023). Using space to event modeling to estimate density of multiple species in northeastern Washington. &lt;i&gt;Wildlife Society Bulletin, 47&lt;/i&gt;(1).&lt;a href="https://doi.org/10.1002/wsb.1390" target="_blank"&gt;https://doi.org/10.1002/wsb.1390&lt;/a&gt;&lt;span style="color:white"&gt;[.]{#mcmurray_et_al_2023}}&lt;/span&gt;&lt;/div&gt;&lt;br&gt;</v>
      </c>
      <c r="O281" s="65" t="str">
        <f>"{{ rtxt_"&amp;F281&amp;" }}"</f>
        <v>{{ rtxt_mcmurray_et_al_2023 }}</v>
      </c>
      <c r="P281" s="65" t="str">
        <f>"{{ rbib_"&amp;F281&amp;" }}"</f>
        <v>{{ rbib_mcmurray_et_al_2023 }}</v>
      </c>
      <c r="Q281" s="65" t="str">
        <f>"    rtxt_"&amp;F281&amp;": "&amp;""""&amp;"&lt;a href=\"&amp;""""&amp;"/08_references.html#"&amp;F281&amp;"\"&amp;""""&amp;" target=\"&amp;""""&amp;"_blank\"&amp;""""&amp;"&gt;"&amp;G281&amp;"&lt;/a&gt;"&amp;""""</f>
        <v xml:space="preserve">    rtxt_mcmurray_et_al_2023: "&lt;a href=\"/08_references.html#mcmurray_et_al_2023\" target=\"_blank\"&gt;McMurry et al., 2023&lt;/a&gt;"</v>
      </c>
      <c r="R281" s="65" t="str">
        <f>"    rbib_"&amp;F281&amp;": "&amp;""""&amp;K281&amp;"&lt;a href=\"&amp;""""&amp;L281&amp;""""&amp;" target=\"&amp;""""&amp;"_blank\"&amp;""""&amp;"&gt;"&amp;L281&amp;"&lt;/a&gt;"&amp;""""</f>
        <v xml:space="preserve">    rbib_mcmurray_et_al_2023: "McMurry, S., Moeller, A. K., Goerz, J., &amp; Robinson, H. S. (2023). Using space to event modeling to estimate density of multiple species in northeastern Washington. &lt;i&gt;Wildlife Society Bulletin, 47&lt;/i&gt;(1).&lt;a href=\"https://doi.org/10.1002/wsb.1390" target=\"_blank\"&gt;https://doi.org/10.1002/wsb.1390&lt;/a&gt;"</v>
      </c>
      <c r="S281" s="65" t="str">
        <f>"    rbib_"&amp;F281&amp;": "&amp;""""&amp;"&lt;div class=\"&amp;""""&amp;"hanging\"&amp;""""&amp;"&gt;"&amp;J281&amp;"&lt;/div&gt;"&amp;""""</f>
        <v xml:space="preserve">    rbib_mcmurray_et_al_2023: "&lt;div class=\"hanging\"&gt;McMurry, S., Moeller, A. K., Goerz, J., &amp; Robinson, H. S. (2023). Using space to event modeling to estimate density of multiple species in northeastern Washington. *Wildlife Society Bulletin, 47*(1). &lt;https://doi.org/10.1002/wsb.1390&gt;&lt;/div&gt;"</v>
      </c>
      <c r="T281" s="65"/>
    </row>
    <row r="282" spans="1:20" ht="15.75">
      <c r="A282" s="65"/>
      <c r="B282" s="155"/>
      <c r="C282" s="155"/>
      <c r="D282" s="155"/>
      <c r="E282" s="65" t="s">
        <v>1950</v>
      </c>
      <c r="F282" s="65" t="s">
        <v>2838</v>
      </c>
      <c r="G282" s="65" t="s">
        <v>2837</v>
      </c>
      <c r="H282" s="65" t="s">
        <v>2837</v>
      </c>
      <c r="I282" s="65" t="b">
        <v>1</v>
      </c>
      <c r="J282" s="65" t="s">
        <v>2836</v>
      </c>
      <c r="K282" s="65" t="s">
        <v>5128</v>
      </c>
      <c r="L282" s="65" t="s">
        <v>2835</v>
      </c>
      <c r="M282" s="65" t="s">
        <v>984</v>
      </c>
      <c r="N282" s="65" t="str">
        <f>"&lt;div class="&amp;""""&amp;"hanging"&amp;""""&amp;"&gt;"&amp;K282&amp;"&lt;a href="&amp;""""&amp;L282&amp;""""&amp;" target="&amp;""""&amp;"_blank"&amp;""""&amp;"&gt;"&amp;L282&amp;"&lt;/a&gt;&lt;span style="&amp;""""&amp;"color:white"&amp;""""&amp;"&gt;[.]{#"&amp;F282&amp;"}}&lt;/span&gt;&lt;/div&gt;&lt;br&gt;"</f>
        <v>&lt;div class="hanging"&gt;McNeil, D. (n.d.). &lt;i&gt;Multi-season Occupancy Models&lt;/i&gt;.&lt;a href="https://darinjmcneil.weebly.com/multi-season-occupancy.html" target="_blank"&gt;https://darinjmcneil.weebly.com/multi-season-occupancy.html&lt;/a&gt;&lt;span style="color:white"&gt;[.]{#mcneil_nd}}&lt;/span&gt;&lt;/div&gt;&lt;br&gt;</v>
      </c>
      <c r="O282" s="65" t="str">
        <f>"{{ rtxt_"&amp;F282&amp;" }}"</f>
        <v>{{ rtxt_mcneil_nd }}</v>
      </c>
      <c r="P282" s="65" t="str">
        <f>"{{ rbib_"&amp;F282&amp;" }}"</f>
        <v>{{ rbib_mcneil_nd }}</v>
      </c>
      <c r="Q282" s="65" t="str">
        <f>"    rtxt_"&amp;F282&amp;": "&amp;""""&amp;"&lt;a href=\"&amp;""""&amp;"/08_references.html#"&amp;F282&amp;"\"&amp;""""&amp;" target=\"&amp;""""&amp;"_blank\"&amp;""""&amp;"&gt;"&amp;G282&amp;"&lt;/a&gt;"&amp;""""</f>
        <v xml:space="preserve">    rtxt_mcneil_nd: "&lt;a href=\"/08_references.html#mcneil_nd\" target=\"_blank\"&gt;McNeil (n.d.)&lt;/a&gt;"</v>
      </c>
      <c r="R282" s="65" t="str">
        <f>"    rbib_"&amp;F282&amp;": "&amp;""""&amp;K282&amp;"&lt;a href=\"&amp;""""&amp;L282&amp;""""&amp;" target=\"&amp;""""&amp;"_blank\"&amp;""""&amp;"&gt;"&amp;L282&amp;"&lt;/a&gt;"&amp;""""</f>
        <v xml:space="preserve">    rbib_mcneil_nd: "McNeil, D. (n.d.). &lt;i&gt;Multi-season Occupancy Models&lt;/i&gt;.&lt;a href=\"https://darinjmcneil.weebly.com/multi-season-occupancy.html" target=\"_blank\"&gt;https://darinjmcneil.weebly.com/multi-season-occupancy.html&lt;/a&gt;"</v>
      </c>
      <c r="S282" s="65" t="str">
        <f>"    rbib_"&amp;F282&amp;": "&amp;""""&amp;"&lt;div class=\"&amp;""""&amp;"hanging\"&amp;""""&amp;"&gt;"&amp;J282&amp;"&lt;/div&gt;"&amp;""""</f>
        <v xml:space="preserve">    rbib_mcneil_nd: "&lt;div class=\"hanging\"&gt;McNeil, D. (n.d.). *Multi-season Occupancy Models*. &lt;https://darinjmcneil.weebly.com/multi-season-occupancy.html&gt;&lt;/div&gt;"</v>
      </c>
      <c r="T282" s="65"/>
    </row>
    <row r="283" spans="1:20" ht="15.75">
      <c r="A283" s="65"/>
      <c r="B283" s="155" t="b">
        <v>1</v>
      </c>
      <c r="C283" s="155" t="b">
        <v>1</v>
      </c>
      <c r="D283" s="155" t="b">
        <v>0</v>
      </c>
      <c r="E283" s="65" t="s">
        <v>1904</v>
      </c>
      <c r="F283" s="65" t="s">
        <v>2834</v>
      </c>
      <c r="G283" s="65" t="s">
        <v>2833</v>
      </c>
      <c r="H283" s="65" t="s">
        <v>2833</v>
      </c>
      <c r="I283" s="65" t="b">
        <v>1</v>
      </c>
      <c r="J283" s="65" t="s">
        <v>2832</v>
      </c>
      <c r="K283" s="65" t="s">
        <v>5209</v>
      </c>
      <c r="L283" s="65" t="s">
        <v>2831</v>
      </c>
      <c r="M283" s="65" t="s">
        <v>984</v>
      </c>
      <c r="N283" s="65" t="str">
        <f>"&lt;div class="&amp;""""&amp;"hanging"&amp;""""&amp;"&gt;"&amp;K283&amp;"&lt;a href="&amp;""""&amp;L283&amp;""""&amp;" target="&amp;""""&amp;"_blank"&amp;""""&amp;"&gt;"&amp;L283&amp;"&lt;/a&gt;&lt;span style="&amp;""""&amp;"color:white"&amp;""""&amp;"&gt;[.]{#"&amp;F283&amp;"}}&lt;/span&gt;&lt;/div&gt;&lt;br&gt;"</f>
        <v>&lt;div class="hanging"&gt;McShea, W. J., Forrester, T., Costello, R., He, Z., &amp; Kays, R. (2015). Volunteer-Run Cameras as Distributed Sensors for Macrosystem Mammal Research. &lt;i&gt;Landscape Ecology, 31,&lt;/i&gt; 1-13.&lt;a href="https://doi.org/10.1007/s10980-015-0262-9" target="_blank"&gt;https://doi.org/10.1007/s10980-015-0262-9&lt;/a&gt;&lt;span style="color:white"&gt;[.]{#mcshea_et_al_2015}}&lt;/span&gt;&lt;/div&gt;&lt;br&gt;</v>
      </c>
      <c r="O283" s="65" t="str">
        <f>"{{ rtxt_"&amp;F283&amp;" }}"</f>
        <v>{{ rtxt_mcshea_et_al_2015 }}</v>
      </c>
      <c r="P283" s="65" t="str">
        <f>"{{ rbib_"&amp;F283&amp;" }}"</f>
        <v>{{ rbib_mcshea_et_al_2015 }}</v>
      </c>
      <c r="Q283" s="65" t="str">
        <f>"    rtxt_"&amp;F283&amp;": "&amp;""""&amp;"&lt;a href=\"&amp;""""&amp;"/08_references.html#"&amp;F283&amp;"\"&amp;""""&amp;" target=\"&amp;""""&amp;"_blank\"&amp;""""&amp;"&gt;"&amp;G283&amp;"&lt;/a&gt;"&amp;""""</f>
        <v xml:space="preserve">    rtxt_mcshea_et_al_2015: "&lt;a href=\"/08_references.html#mcshea_et_al_2015\" target=\"_blank\"&gt;McShea et al., 2015&lt;/a&gt;"</v>
      </c>
      <c r="R283" s="65" t="str">
        <f>"    rbib_"&amp;F283&amp;": "&amp;""""&amp;K283&amp;"&lt;a href=\"&amp;""""&amp;L283&amp;""""&amp;" target=\"&amp;""""&amp;"_blank\"&amp;""""&amp;"&gt;"&amp;L283&amp;"&lt;/a&gt;"&amp;""""</f>
        <v xml:space="preserve">    rbib_mcshea_et_al_2015: "McShea, W. J., Forrester, T., Costello, R., He, Z., &amp; Kays, R. (2015). Volunteer-Run Cameras as Distributed Sensors for Macrosystem Mammal Research. &lt;i&gt;Landscape Ecology, 31,&lt;/i&gt; 1-13.&lt;a href=\"https://doi.org/10.1007/s10980-015-0262-9" target=\"_blank\"&gt;https://doi.org/10.1007/s10980-015-0262-9&lt;/a&gt;"</v>
      </c>
      <c r="S283" s="65" t="str">
        <f>"    rbib_"&amp;F283&amp;": "&amp;""""&amp;"&lt;div class=\"&amp;""""&amp;"hanging\"&amp;""""&amp;"&gt;"&amp;J283&amp;"&lt;/div&gt;"&amp;""""</f>
        <v xml:space="preserve">    rbib_mcshea_et_al_2015: "&lt;div class=\"hanging\"&gt;McShea, W. J., Forrester, T., Costello, R., He, Z., &amp; Kays, R. (2015). Volunteer-Run Cameras as Distributed Sensors for Macrosystem Mammal Research. *Landscape Ecology, 31,* 1-13. &lt;https://doi.org/10.1007/s10980-015-0262-9&gt;&lt;/div&gt;"</v>
      </c>
      <c r="T283" s="65"/>
    </row>
    <row r="284" spans="1:20" ht="15.75">
      <c r="A284" s="65"/>
      <c r="B284" s="155" t="b">
        <v>0</v>
      </c>
      <c r="C284" s="155" t="b">
        <v>0</v>
      </c>
      <c r="D284" s="155"/>
      <c r="E284" s="65" t="s">
        <v>1945</v>
      </c>
      <c r="F284" s="65" t="s">
        <v>2830</v>
      </c>
      <c r="G284" s="65" t="s">
        <v>2829</v>
      </c>
      <c r="H284" s="65" t="s">
        <v>2829</v>
      </c>
      <c r="I284" s="65" t="b">
        <v>1</v>
      </c>
      <c r="J284" s="65" t="s">
        <v>2828</v>
      </c>
      <c r="K284" s="65" t="s">
        <v>5523</v>
      </c>
      <c r="L284" s="65" t="s">
        <v>2827</v>
      </c>
      <c r="M284" s="65" t="s">
        <v>984</v>
      </c>
      <c r="N284" s="65" t="str">
        <f>"&lt;div class="&amp;""""&amp;"hanging"&amp;""""&amp;"&gt;"&amp;K284&amp;"&lt;a href="&amp;""""&amp;L284&amp;""""&amp;" target="&amp;""""&amp;"_blank"&amp;""""&amp;"&gt;"&amp;L284&amp;"&lt;/a&gt;&lt;span style="&amp;""""&amp;"color:white"&amp;""""&amp;"&gt;[.]{#"&amp;F284&amp;"}}&lt;/span&gt;&lt;/div&gt;&lt;br&gt;"</f>
        <v>&lt;div class="hanging"&gt;mecks100 (2018, Feb 7). &lt;i&gt;Species accumulation and rarefaction curves&lt;/i&gt; [Video]. YouTube.&lt;a href="https://www.youtube.com/watch?v=4gcmAUpo9TU" target="_blank"&gt;https://www.youtube.com/watch?v=4gcmAUpo9TU&lt;/a&gt;&lt;span style="color:white"&gt;[.]{#mecks100_2018}}&lt;/span&gt;&lt;/div&gt;&lt;br&gt;</v>
      </c>
      <c r="O284" s="65" t="str">
        <f>"{{ rtxt_"&amp;F284&amp;" }}"</f>
        <v>{{ rtxt_mecks100_2018 }}</v>
      </c>
      <c r="P284" s="65" t="str">
        <f>"{{ rbib_"&amp;F284&amp;" }}"</f>
        <v>{{ rbib_mecks100_2018 }}</v>
      </c>
      <c r="Q284" s="65" t="str">
        <f>"    rtxt_"&amp;F284&amp;": "&amp;""""&amp;"&lt;a href=\"&amp;""""&amp;"/08_references.html#"&amp;F284&amp;"\"&amp;""""&amp;" target=\"&amp;""""&amp;"_blank\"&amp;""""&amp;"&gt;"&amp;G284&amp;"&lt;/a&gt;"&amp;""""</f>
        <v xml:space="preserve">    rtxt_mecks100_2018: "&lt;a href=\"/08_references.html#mecks100_2018\" target=\"_blank\"&gt;mecks100, 2018&lt;/a&gt;"</v>
      </c>
      <c r="R284" s="65" t="str">
        <f>"    rbib_"&amp;F284&amp;": "&amp;""""&amp;K284&amp;"&lt;a href=\"&amp;""""&amp;L284&amp;""""&amp;" target=\"&amp;""""&amp;"_blank\"&amp;""""&amp;"&gt;"&amp;L284&amp;"&lt;/a&gt;"&amp;""""</f>
        <v xml:space="preserve">    rbib_mecks100_2018: "mecks100 (2018, Feb 7). &lt;i&gt;Species accumulation and rarefaction curves&lt;/i&gt; [Video]. YouTube.&lt;a href=\"https://www.youtube.com/watch?v=4gcmAUpo9TU" target=\"_blank\"&gt;https://www.youtube.com/watch?v=4gcmAUpo9TU&lt;/a&gt;"</v>
      </c>
      <c r="S284" s="65" t="str">
        <f>"    rbib_"&amp;F284&amp;": "&amp;""""&amp;"&lt;div class=\"&amp;""""&amp;"hanging\"&amp;""""&amp;"&gt;"&amp;J284&amp;"&lt;/div&gt;"&amp;""""</f>
        <v xml:space="preserve">    rbib_mecks100_2018: "&lt;div class=\"hanging\"&gt;mecks100 (2018, Feb 7). *Species accumulation and rarefaction curves* [Video]. YouTube. &lt;https://www.youtube.com/watch?v=4gcmAUpo9TU&gt;&lt;/div&gt;"</v>
      </c>
      <c r="T284" s="65"/>
    </row>
    <row r="285" spans="1:20" ht="15.75">
      <c r="A285" s="65"/>
      <c r="B285" s="155" t="b">
        <v>1</v>
      </c>
      <c r="C285" s="155" t="b">
        <v>0</v>
      </c>
      <c r="D285" s="155" t="b">
        <v>0</v>
      </c>
      <c r="E285" s="65" t="s">
        <v>1904</v>
      </c>
      <c r="F285" s="65" t="s">
        <v>2818</v>
      </c>
      <c r="G285" s="65" t="s">
        <v>2817</v>
      </c>
      <c r="H285" s="65" t="s">
        <v>2816</v>
      </c>
      <c r="I285" s="65" t="b">
        <v>1</v>
      </c>
      <c r="J285" s="65" t="s">
        <v>2815</v>
      </c>
      <c r="K285" s="65" t="s">
        <v>5172</v>
      </c>
      <c r="L285" s="65" t="s">
        <v>2814</v>
      </c>
      <c r="M285" s="65" t="s">
        <v>984</v>
      </c>
      <c r="N285" s="65" t="str">
        <f>"&lt;div class="&amp;""""&amp;"hanging"&amp;""""&amp;"&gt;"&amp;K285&amp;"&lt;a href="&amp;""""&amp;L285&amp;""""&amp;" target="&amp;""""&amp;"_blank"&amp;""""&amp;"&gt;"&amp;L285&amp;"&lt;/a&gt;&lt;span style="&amp;""""&amp;"color:white"&amp;""""&amp;"&gt;[.]{#"&amp;F285&amp;"}}&lt;/span&gt;&lt;/div&gt;&lt;br&gt;"</f>
        <v>&lt;div class="hanging"&gt;Meek, P. D., Ballard, G. A., &amp; Falzon, G. (2016). The Higher You Go the Less You Will Know: Placing Camera Traps High to Avoid Theft Will Affect Detection. &lt;i&gt;Remote Sensing in Ecology and Conservation, 2&lt;/i&gt;(4), 204-211.&lt;a href="https://doi.org/10.1002/rse2.28" target="_blank"&gt;https://doi.org/10.1002/rse2.28&lt;/a&gt;&lt;span style="color:white"&gt;[.]{#meek_et_al_2016}}&lt;/span&gt;&lt;/div&gt;&lt;br&gt;</v>
      </c>
      <c r="O285" s="65" t="str">
        <f>"{{ rtxt_"&amp;F285&amp;" }}"</f>
        <v>{{ rtxt_meek_et_al_2016 }}</v>
      </c>
      <c r="P285" s="65" t="str">
        <f>"{{ rbib_"&amp;F285&amp;" }}"</f>
        <v>{{ rbib_meek_et_al_2016 }}</v>
      </c>
      <c r="Q285" s="65" t="str">
        <f>"    rtxt_"&amp;F285&amp;": "&amp;""""&amp;"&lt;a href=\"&amp;""""&amp;"/08_references.html#"&amp;F285&amp;"\"&amp;""""&amp;" target=\"&amp;""""&amp;"_blank\"&amp;""""&amp;"&gt;"&amp;G285&amp;"&lt;/a&gt;"&amp;""""</f>
        <v xml:space="preserve">    rtxt_meek_et_al_2016: "&lt;a href=\"/08_references.html#meek_et_al_2016\" target=\"_blank\"&gt;Meek et al., 2016&lt;/a&gt;"</v>
      </c>
      <c r="R285" s="65" t="str">
        <f>"    rbib_"&amp;F285&amp;": "&amp;""""&amp;K285&amp;"&lt;a href=\"&amp;""""&amp;L285&amp;""""&amp;" target=\"&amp;""""&amp;"_blank\"&amp;""""&amp;"&gt;"&amp;L285&amp;"&lt;/a&gt;"&amp;""""</f>
        <v xml:space="preserve">    rbib_meek_et_al_2016: "Meek, P. D., Ballard, G. A., &amp; Falzon, G. (2016). The Higher You Go the Less You Will Know: Placing Camera Traps High to Avoid Theft Will Affect Detection. &lt;i&gt;Remote Sensing in Ecology and Conservation, 2&lt;/i&gt;(4), 204-211.&lt;a href=\"https://doi.org/10.1002/rse2.28" target=\"_blank\"&gt;https://doi.org/10.1002/rse2.28&lt;/a&gt;"</v>
      </c>
      <c r="S285" s="65" t="str">
        <f>"    rbib_"&amp;F285&amp;": "&amp;""""&amp;"&lt;div class=\"&amp;""""&amp;"hanging\"&amp;""""&amp;"&gt;"&amp;J285&amp;"&lt;/div&gt;"&amp;""""</f>
        <v xml:space="preserve">    rbib_meek_et_al_2016: "&lt;div class=\"hanging\"&gt;Meek, P. D., Ballard, G. A., &amp; Falzon, G. (2016). The Higher You Go the Less You Will Know: Placing Camera Traps High to Avoid Theft Will Affect Detection. *Remote Sensing in Ecology and Conservation, 2*(4), 204-211. &lt;https://doi.org/10.1002/rse2.28&gt;&lt;/div&gt;"</v>
      </c>
      <c r="T285" s="65"/>
    </row>
    <row r="286" spans="1:20" ht="15.75">
      <c r="A286" s="65"/>
      <c r="B286" s="155" t="b">
        <v>1</v>
      </c>
      <c r="C286" s="155" t="b">
        <v>0</v>
      </c>
      <c r="D286" s="155" t="b">
        <v>1</v>
      </c>
      <c r="E286" s="65" t="s">
        <v>1904</v>
      </c>
      <c r="F286" s="65" t="s">
        <v>2822</v>
      </c>
      <c r="G286" s="65" t="s">
        <v>2821</v>
      </c>
      <c r="H286" s="65" t="s">
        <v>2821</v>
      </c>
      <c r="I286" s="65" t="b">
        <v>1</v>
      </c>
      <c r="J286" s="65" t="s">
        <v>2820</v>
      </c>
      <c r="K286" s="65" t="s">
        <v>6083</v>
      </c>
      <c r="L286" s="65" t="s">
        <v>2819</v>
      </c>
      <c r="M286" s="65" t="s">
        <v>984</v>
      </c>
      <c r="N286" s="65" t="str">
        <f>"&lt;div class="&amp;""""&amp;"hanging"&amp;""""&amp;"&gt;"&amp;K286&amp;"&lt;a href="&amp;""""&amp;L286&amp;""""&amp;" target="&amp;""""&amp;"_blank"&amp;""""&amp;"&gt;"&amp;L286&amp;"&lt;/a&gt;&lt;span style="&amp;""""&amp;"color:white"&amp;""""&amp;"&gt;[.]{#"&amp;F286&amp;"}}&lt;/span&gt;&lt;/div&gt;&lt;br&gt;"</f>
        <v>&lt;div class="hanging"&gt;Meek, P. D., Ballard, G. A., Fleming, P. J. S., Schaefer, M., Williams, W., &amp; Falzon, G. (2014a). Camera Traps Can Be Heard and Seen by Animals. &lt;i&gt;PLoS One, 9&lt;/i&gt;(10), e110832.&lt;a href="https://doi.org/10.1371/journal.pone.0110832" target="_blank"&gt;https://doi.org/10.1371/journal.pone.0110832&lt;/a&gt;&lt;span style="color:white"&gt;[.]{#meek_et_al_2014b}}&lt;/span&gt;&lt;/div&gt;&lt;br&gt;</v>
      </c>
      <c r="O286" s="65" t="str">
        <f>"{{ rtxt_"&amp;F286&amp;" }}"</f>
        <v>{{ rtxt_meek_et_al_2014b }}</v>
      </c>
      <c r="P286" s="65" t="str">
        <f>"{{ rbib_"&amp;F286&amp;" }}"</f>
        <v>{{ rbib_meek_et_al_2014b }}</v>
      </c>
      <c r="Q286" s="65" t="str">
        <f>"    rtxt_"&amp;F286&amp;": "&amp;""""&amp;"&lt;a href=\"&amp;""""&amp;"/08_references.html#"&amp;F286&amp;"\"&amp;""""&amp;" target=\"&amp;""""&amp;"_blank\"&amp;""""&amp;"&gt;"&amp;G286&amp;"&lt;/a&gt;"&amp;""""</f>
        <v xml:space="preserve">    rtxt_meek_et_al_2014b: "&lt;a href=\"/08_references.html#meek_et_al_2014b\" target=\"_blank\"&gt;Meek et al., 2014b&lt;/a&gt;"</v>
      </c>
      <c r="R286" s="65" t="str">
        <f>"    rbib_"&amp;F286&amp;": "&amp;""""&amp;K286&amp;"&lt;a href=\"&amp;""""&amp;L286&amp;""""&amp;" target=\"&amp;""""&amp;"_blank\"&amp;""""&amp;"&gt;"&amp;L286&amp;"&lt;/a&gt;"&amp;""""</f>
        <v xml:space="preserve">    rbib_meek_et_al_2014b: "Meek, P. D., Ballard, G. A., Fleming, P. J. S., Schaefer, M., Williams, W., &amp; Falzon, G. (2014a). Camera Traps Can Be Heard and Seen by Animals. &lt;i&gt;PLoS One, 9&lt;/i&gt;(10), e110832.&lt;a href=\"https://doi.org/10.1371/journal.pone.0110832" target=\"_blank\"&gt;https://doi.org/10.1371/journal.pone.0110832&lt;/a&gt;"</v>
      </c>
      <c r="S286" s="65" t="str">
        <f>"    rbib_"&amp;F286&amp;": "&amp;""""&amp;"&lt;div class=\"&amp;""""&amp;"hanging\"&amp;""""&amp;"&gt;"&amp;J286&amp;"&lt;/div&gt;"&amp;""""</f>
        <v xml:space="preserve">    rbib_meek_et_al_2014b: "&lt;div class=\"hanging\"&gt;Meek, P. D., Ballard, G. A., Fleming, P. J. S., Schaefer, M., Williams, W., &amp; Falzon, G. (2014a). Camera Traps Can Be Heard and Seen by Animals. *PLoS One, 9*(10), e110832. &lt;https://doi.org/10.1371/journal.pone.0110832&gt;&lt;/div&gt;"</v>
      </c>
      <c r="T286" s="65"/>
    </row>
    <row r="287" spans="1:20" ht="15.75">
      <c r="A287" s="65"/>
      <c r="B287" s="155" t="b">
        <v>1</v>
      </c>
      <c r="C287" s="155" t="b">
        <v>1</v>
      </c>
      <c r="D287" s="155" t="b">
        <v>0</v>
      </c>
      <c r="E287" s="65" t="s">
        <v>1904</v>
      </c>
      <c r="F287" s="65" t="s">
        <v>2826</v>
      </c>
      <c r="G287" s="65" t="s">
        <v>2825</v>
      </c>
      <c r="H287" s="65" t="s">
        <v>2825</v>
      </c>
      <c r="I287" s="65" t="b">
        <v>1</v>
      </c>
      <c r="J287" s="65" t="s">
        <v>2824</v>
      </c>
      <c r="K287" s="65" t="s">
        <v>5207</v>
      </c>
      <c r="L287" s="65" t="s">
        <v>2823</v>
      </c>
      <c r="M287" s="65" t="s">
        <v>984</v>
      </c>
      <c r="N287" s="65" t="str">
        <f>"&lt;div class="&amp;""""&amp;"hanging"&amp;""""&amp;"&gt;"&amp;K287&amp;"&lt;a href="&amp;""""&amp;L287&amp;""""&amp;" target="&amp;""""&amp;"_blank"&amp;""""&amp;"&gt;"&amp;L287&amp;"&lt;/a&gt;&lt;span style="&amp;""""&amp;"color:white"&amp;""""&amp;"&gt;[.]{#"&amp;F287&amp;"}}&lt;/span&gt;&lt;/div&gt;&lt;br&gt;"</f>
        <v>&lt;div class="hanging"&gt;Meek, P. D., Ballard, G., Claridge, A., Kays, R., Moseby, K., O'Brien, T., O'Connell, A., Sanderson, J., Swann, D. E., Tobler, M., &amp; Townsend, S. (2014a). Recommended Guiding Principles for Reporting on Camera trap Trapping Research. &lt;i&gt;Biodiversity and Conservation, 23&lt;/i&gt;(9), 2321-2343.&lt;a href="https://doi.org/10.1007/s10531-014-0712-8" target="_blank"&gt;https://doi.org/10.1007/s10531-014-0712-8&lt;/a&gt;&lt;span style="color:white"&gt;[.]{#meek_et_al_2014a}}&lt;/span&gt;&lt;/div&gt;&lt;br&gt;</v>
      </c>
      <c r="O287" s="65" t="str">
        <f>"{{ rtxt_"&amp;F287&amp;" }}"</f>
        <v>{{ rtxt_meek_et_al_2014a }}</v>
      </c>
      <c r="P287" s="65" t="str">
        <f>"{{ rbib_"&amp;F287&amp;" }}"</f>
        <v>{{ rbib_meek_et_al_2014a }}</v>
      </c>
      <c r="Q287" s="65" t="str">
        <f>"    rtxt_"&amp;F287&amp;": "&amp;""""&amp;"&lt;a href=\"&amp;""""&amp;"/08_references.html#"&amp;F287&amp;"\"&amp;""""&amp;" target=\"&amp;""""&amp;"_blank\"&amp;""""&amp;"&gt;"&amp;G287&amp;"&lt;/a&gt;"&amp;""""</f>
        <v xml:space="preserve">    rtxt_meek_et_al_2014a: "&lt;a href=\"/08_references.html#meek_et_al_2014a\" target=\"_blank\"&gt;Meek et al., 2014a&lt;/a&gt;"</v>
      </c>
      <c r="R287" s="65" t="str">
        <f>"    rbib_"&amp;F287&amp;": "&amp;""""&amp;K287&amp;"&lt;a href=\"&amp;""""&amp;L287&amp;""""&amp;" target=\"&amp;""""&amp;"_blank\"&amp;""""&amp;"&gt;"&amp;L287&amp;"&lt;/a&gt;"&amp;""""</f>
        <v xml:space="preserve">    rbib_meek_et_al_2014a: "Meek, P. D., Ballard, G., Claridge, A., Kays, R., Moseby, K., O'Brien, T., O'Connell, A., Sanderson, J., Swann, D. E., Tobler, M., &amp; Townsend, S. (2014a). Recommended Guiding Principles for Reporting on Camera trap Trapping Research. &lt;i&gt;Biodiversity and Conservation, 23&lt;/i&gt;(9), 2321-2343.&lt;a href=\"https://doi.org/10.1007/s10531-014-0712-8" target=\"_blank\"&gt;https://doi.org/10.1007/s10531-014-0712-8&lt;/a&gt;"</v>
      </c>
      <c r="S287" s="65" t="str">
        <f>"    rbib_"&amp;F287&amp;": "&amp;""""&amp;"&lt;div class=\"&amp;""""&amp;"hanging\"&amp;""""&amp;"&gt;"&amp;J287&amp;"&lt;/div&gt;"&amp;""""</f>
        <v xml:space="preserve">    rbib_meek_et_al_2014a: "&lt;div class=\"hanging\"&gt;Meek, P. D., Ballard, G., Claridge, A., Kays, R., Moseby, K., O'Brien, T., O'Connell, A., Sanderson, J., Swann, D. E., Tobler, M., &amp; Townsend, S. (2014a). Recommended Guiding Principles for Reporting on Camera trap Trapping Research. *Biodiversity and Conservation, 23*(9), 2321-2343. &lt;https://doi.org/10.1007/s10531-014-0712-8&gt;&lt;/div&gt;"</v>
      </c>
      <c r="T287" s="65"/>
    </row>
    <row r="288" spans="1:20" ht="15.75">
      <c r="A288" s="65"/>
      <c r="B288" s="155" t="b">
        <v>0</v>
      </c>
      <c r="C288" s="155" t="b">
        <v>0</v>
      </c>
      <c r="D288" s="155"/>
      <c r="E288" s="65" t="s">
        <v>2138</v>
      </c>
      <c r="F288" s="65" t="s">
        <v>2813</v>
      </c>
      <c r="G288" s="65" t="s">
        <v>2812</v>
      </c>
      <c r="H288" s="65" t="s">
        <v>2812</v>
      </c>
      <c r="I288" s="65" t="b">
        <v>1</v>
      </c>
      <c r="J288" s="65" t="s">
        <v>2811</v>
      </c>
      <c r="K288" s="65" t="s">
        <v>6063</v>
      </c>
      <c r="L288" s="65" t="s">
        <v>2809</v>
      </c>
      <c r="M288" s="65" t="s">
        <v>2810</v>
      </c>
      <c r="N288" s="65" t="str">
        <f>"&lt;div class="&amp;""""&amp;"hanging"&amp;""""&amp;"&gt;"&amp;K288&amp;"&lt;a href="&amp;""""&amp;L288&amp;""""&amp;" target="&amp;""""&amp;"_blank"&amp;""""&amp;"&gt;"&amp;L288&amp;"&lt;/a&gt;&lt;span style="&amp;""""&amp;"color:white"&amp;""""&amp;"&gt;[.]{#"&amp;F288&amp;"}}&lt;/span&gt;&lt;/div&gt;&lt;br&gt;"</f>
        <v>&lt;div class="hanging"&gt;Mikkelä, A. (2024). &lt;i&gt;Probabilistic detection calculator (online application).&lt;/i&gt; R shiny version v2.&lt;a href="https://detcal-shiny.2.rahtiapp.fi/" target="_blank"&gt;https://detcal-shiny.2.rahtiapp.fi/&lt;/a&gt;&lt;span style="color:white"&gt;[.]{#mikkela_2024}}&lt;/span&gt;&lt;/div&gt;&lt;br&gt;</v>
      </c>
      <c r="O288" s="65" t="str">
        <f>"{{ rtxt_"&amp;F288&amp;" }}"</f>
        <v>{{ rtxt_mikkela_2024 }}</v>
      </c>
      <c r="P288" s="65" t="str">
        <f>"{{ rbib_"&amp;F288&amp;" }}"</f>
        <v>{{ rbib_mikkela_2024 }}</v>
      </c>
      <c r="Q288" s="65" t="str">
        <f>"    rtxt_"&amp;F288&amp;": "&amp;""""&amp;"&lt;a href=\"&amp;""""&amp;"/08_references.html#"&amp;F288&amp;"\"&amp;""""&amp;" target=\"&amp;""""&amp;"_blank\"&amp;""""&amp;"&gt;"&amp;G288&amp;"&lt;/a&gt;"&amp;""""</f>
        <v xml:space="preserve">    rtxt_mikkela_2024: "&lt;a href=\"/08_references.html#mikkela_2024\" target=\"_blank\"&gt;Mikkelä, 2024&lt;/a&gt;"</v>
      </c>
      <c r="R288" s="65" t="str">
        <f>"    rbib_"&amp;F288&amp;": "&amp;""""&amp;K288&amp;"&lt;a href=\"&amp;""""&amp;L288&amp;""""&amp;" target=\"&amp;""""&amp;"_blank\"&amp;""""&amp;"&gt;"&amp;L288&amp;"&lt;/a&gt;"&amp;""""</f>
        <v xml:space="preserve">    rbib_mikkela_2024: "Mikkelä, A. (2024). &lt;i&gt;Probabilistic detection calculator (online application).&lt;/i&gt; R shiny version v2.&lt;a href=\"https://detcal-shiny.2.rahtiapp.fi/" target=\"_blank\"&gt;https://detcal-shiny.2.rahtiapp.fi/&lt;/a&gt;"</v>
      </c>
      <c r="S288" s="65" t="str">
        <f>"    rbib_"&amp;F288&amp;": "&amp;""""&amp;"&lt;div class=\"&amp;""""&amp;"hanging\"&amp;""""&amp;"&gt;"&amp;J288&amp;"&lt;/div&gt;"&amp;""""</f>
        <v xml:space="preserve">    rbib_mikkela_2024: "&lt;div class=\"hanging\"&gt;Mikkelä, A. (2024). *Probabilistic detection calculator (online application).* R shiny version v2. &lt;https://detcal-shiny.2.rahtiapp.fi/&gt;&lt;/div&gt;"</v>
      </c>
      <c r="T288" s="65"/>
    </row>
    <row r="289" spans="1:20" ht="15.75">
      <c r="A289" s="65"/>
      <c r="B289" s="155" t="b">
        <v>1</v>
      </c>
      <c r="C289" s="155" t="b">
        <v>1</v>
      </c>
      <c r="D289" s="155" t="b">
        <v>0</v>
      </c>
      <c r="E289" s="65" t="s">
        <v>1904</v>
      </c>
      <c r="F289" s="65" t="s">
        <v>2808</v>
      </c>
      <c r="G289" s="65" t="s">
        <v>2807</v>
      </c>
      <c r="H289" s="65" t="s">
        <v>2806</v>
      </c>
      <c r="I289" s="65" t="b">
        <v>1</v>
      </c>
      <c r="J289" s="65" t="s">
        <v>2805</v>
      </c>
      <c r="K289" s="65" t="s">
        <v>5362</v>
      </c>
      <c r="L289" s="65" t="s">
        <v>2804</v>
      </c>
      <c r="M289" s="65" t="s">
        <v>984</v>
      </c>
      <c r="N289" s="65" t="str">
        <f>"&lt;div class="&amp;""""&amp;"hanging"&amp;""""&amp;"&gt;"&amp;K289&amp;"&lt;a href="&amp;""""&amp;L289&amp;""""&amp;" target="&amp;""""&amp;"_blank"&amp;""""&amp;"&gt;"&amp;L289&amp;"&lt;/a&gt;&lt;span style="&amp;""""&amp;"color:white"&amp;""""&amp;"&gt;[.]{#"&amp;F289&amp;"}}&lt;/span&gt;&lt;/div&gt;&lt;br&gt;"</f>
        <v>&lt;div class="hanging"&gt;Mills, C. A., Godley, B. J., &amp; Hodgson, D. J. (2016). Take Only Photographs, Leave Only Footprints: Novel Applications of Non-Invasive Survey Methods for Rapid Detection of Small, Arboreal Animals. &lt;i&gt;PloS One, 11&lt;/i&gt;(1), e0146142.&lt;a href="https://doi.org/10.1371/journal.pone.0146142" target="_blank"&gt;https://doi.org/10.1371/journal.pone.0146142&lt;/a&gt;&lt;span style="color:white"&gt;[.]{#mills_et_al_2016}}&lt;/span&gt;&lt;/div&gt;&lt;br&gt;</v>
      </c>
      <c r="O289" s="65" t="str">
        <f>"{{ rtxt_"&amp;F289&amp;" }}"</f>
        <v>{{ rtxt_mills_et_al_2016 }}</v>
      </c>
      <c r="P289" s="65" t="str">
        <f>"{{ rbib_"&amp;F289&amp;" }}"</f>
        <v>{{ rbib_mills_et_al_2016 }}</v>
      </c>
      <c r="Q289" s="65" t="str">
        <f>"    rtxt_"&amp;F289&amp;": "&amp;""""&amp;"&lt;a href=\"&amp;""""&amp;"/08_references.html#"&amp;F289&amp;"\"&amp;""""&amp;" target=\"&amp;""""&amp;"_blank\"&amp;""""&amp;"&gt;"&amp;G289&amp;"&lt;/a&gt;"&amp;""""</f>
        <v xml:space="preserve">    rtxt_mills_et_al_2016: "&lt;a href=\"/08_references.html#mills_et_al_2016\" target=\"_blank\"&gt;Mills et al., 2016&lt;/a&gt;"</v>
      </c>
      <c r="R289" s="65" t="str">
        <f>"    rbib_"&amp;F289&amp;": "&amp;""""&amp;K289&amp;"&lt;a href=\"&amp;""""&amp;L289&amp;""""&amp;" target=\"&amp;""""&amp;"_blank\"&amp;""""&amp;"&gt;"&amp;L289&amp;"&lt;/a&gt;"&amp;""""</f>
        <v xml:space="preserve">    rbib_mills_et_al_2016: "Mills, C. A., Godley, B. J., &amp; Hodgson, D. J. (2016). Take Only Photographs, Leave Only Footprints: Novel Applications of Non-Invasive Survey Methods for Rapid Detection of Small, Arboreal Animals. &lt;i&gt;PloS One, 11&lt;/i&gt;(1), e0146142.&lt;a href=\"https://doi.org/10.1371/journal.pone.0146142" target=\"_blank\"&gt;https://doi.org/10.1371/journal.pone.0146142&lt;/a&gt;"</v>
      </c>
      <c r="S289" s="65" t="str">
        <f>"    rbib_"&amp;F289&amp;": "&amp;""""&amp;"&lt;div class=\"&amp;""""&amp;"hanging\"&amp;""""&amp;"&gt;"&amp;J289&amp;"&lt;/div&gt;"&amp;""""</f>
        <v xml:space="preserve">    rbib_mills_et_al_2016: "&lt;div class=\"hanging\"&gt;Mills, C. A., Godley, B. J., &amp; Hodgson, D. J. (2016). Take Only Photographs, Leave Only Footprints: Novel Applications of Non-Invasive Survey Methods for Rapid Detection of Small, Arboreal Animals. *PloS One, 11*(1), e0146142. &lt;https://doi.org/10.1371/journal.pone.0146142&gt;&lt;/div&gt;"</v>
      </c>
      <c r="T289" s="65"/>
    </row>
    <row r="290" spans="1:20" ht="15.75">
      <c r="A290" s="65"/>
      <c r="B290" s="155" t="b">
        <v>1</v>
      </c>
      <c r="C290" s="155" t="b">
        <v>0</v>
      </c>
      <c r="D290" s="155" t="b">
        <v>0</v>
      </c>
      <c r="E290" s="65" t="s">
        <v>1904</v>
      </c>
      <c r="F290" s="65" t="s">
        <v>2803</v>
      </c>
      <c r="G290" s="65" t="s">
        <v>2802</v>
      </c>
      <c r="H290" s="65" t="s">
        <v>2802</v>
      </c>
      <c r="I290" s="65" t="b">
        <v>1</v>
      </c>
      <c r="J290" s="65" t="s">
        <v>2801</v>
      </c>
      <c r="K290" s="65" t="s">
        <v>5368</v>
      </c>
      <c r="L290" s="65" t="s">
        <v>2800</v>
      </c>
      <c r="M290" s="65" t="s">
        <v>984</v>
      </c>
      <c r="N290" s="65" t="str">
        <f>"&lt;div class="&amp;""""&amp;"hanging"&amp;""""&amp;"&gt;"&amp;K290&amp;"&lt;a href="&amp;""""&amp;L290&amp;""""&amp;" target="&amp;""""&amp;"_blank"&amp;""""&amp;"&gt;"&amp;L290&amp;"&lt;/a&gt;&lt;span style="&amp;""""&amp;"color:white"&amp;""""&amp;"&gt;[.]{#"&amp;F290&amp;"}}&lt;/span&gt;&lt;/div&gt;&lt;br&gt;"</f>
        <v>&lt;div class="hanging"&gt;Mills, D., Fattebert, J., Hunter, L., &amp; Slotow, R. (2019). Maximising camera trap data: Using attractants to improve detection of elusive species in multi-species Surveys. &lt;i&gt;PLoS ONE, 14&lt;/i&gt;(5), e0216447.&lt;a href="https://doi.org/10.1371/journal.pone.0216447" target="_blank"&gt;https://doi.org/10.1371/journal.pone.0216447&lt;/a&gt;&lt;span style="color:white"&gt;[.]{#mills_et_al_2019}}&lt;/span&gt;&lt;/div&gt;&lt;br&gt;</v>
      </c>
      <c r="O290" s="65" t="str">
        <f>"{{ rtxt_"&amp;F290&amp;" }}"</f>
        <v>{{ rtxt_mills_et_al_2019 }}</v>
      </c>
      <c r="P290" s="65" t="str">
        <f>"{{ rbib_"&amp;F290&amp;" }}"</f>
        <v>{{ rbib_mills_et_al_2019 }}</v>
      </c>
      <c r="Q290" s="65" t="str">
        <f>"    rtxt_"&amp;F290&amp;": "&amp;""""&amp;"&lt;a href=\"&amp;""""&amp;"/08_references.html#"&amp;F290&amp;"\"&amp;""""&amp;" target=\"&amp;""""&amp;"_blank\"&amp;""""&amp;"&gt;"&amp;G290&amp;"&lt;/a&gt;"&amp;""""</f>
        <v xml:space="preserve">    rtxt_mills_et_al_2019: "&lt;a href=\"/08_references.html#mills_et_al_2019\" target=\"_blank\"&gt;Mills et al., 2019&lt;/a&gt;"</v>
      </c>
      <c r="R290" s="65" t="str">
        <f>"    rbib_"&amp;F290&amp;": "&amp;""""&amp;K290&amp;"&lt;a href=\"&amp;""""&amp;L290&amp;""""&amp;" target=\"&amp;""""&amp;"_blank\"&amp;""""&amp;"&gt;"&amp;L290&amp;"&lt;/a&gt;"&amp;""""</f>
        <v xml:space="preserve">    rbib_mills_et_al_2019: "Mills, D., Fattebert, J., Hunter, L., &amp; Slotow, R. (2019). Maximising camera trap data: Using attractants to improve detection of elusive species in multi-species Surveys. &lt;i&gt;PLoS ONE, 14&lt;/i&gt;(5), e0216447.&lt;a href=\"https://doi.org/10.1371/journal.pone.0216447" target=\"_blank\"&gt;https://doi.org/10.1371/journal.pone.0216447&lt;/a&gt;"</v>
      </c>
      <c r="S290" s="65" t="str">
        <f>"    rbib_"&amp;F290&amp;": "&amp;""""&amp;"&lt;div class=\"&amp;""""&amp;"hanging\"&amp;""""&amp;"&gt;"&amp;J290&amp;"&lt;/div&gt;"&amp;""""</f>
        <v xml:space="preserve">    rbib_mills_et_al_2019: "&lt;div class=\"hanging\"&gt;Mills, D., Fattebert, J., Hunter, L., &amp; Slotow, R. (2019). Maximising camera trap data: Using attractants to improve detection of elusive species in multi-species Surveys. *PLoS ONE, 14(5)*, e0216447. &lt;https://doi.org/10.1371/journal.pone.0216447&gt;&lt;/div&gt;"</v>
      </c>
      <c r="T290" s="65"/>
    </row>
    <row r="291" spans="1:20" ht="15.75">
      <c r="A291" s="65"/>
      <c r="B291" s="155" t="b">
        <v>1</v>
      </c>
      <c r="C291" s="155" t="b">
        <v>1</v>
      </c>
      <c r="D291" s="155" t="b">
        <v>0</v>
      </c>
      <c r="E291" s="65" t="s">
        <v>1904</v>
      </c>
      <c r="F291" s="65" t="s">
        <v>2799</v>
      </c>
      <c r="G291" s="65" t="s">
        <v>2798</v>
      </c>
      <c r="H291" s="65" t="s">
        <v>2797</v>
      </c>
      <c r="I291" s="65" t="b">
        <v>1</v>
      </c>
      <c r="J291" s="65" t="s">
        <v>2796</v>
      </c>
      <c r="K291" s="65" t="s">
        <v>5150</v>
      </c>
      <c r="L291" s="65" t="s">
        <v>2795</v>
      </c>
      <c r="M291" s="65" t="s">
        <v>984</v>
      </c>
      <c r="N291" s="65" t="str">
        <f>"&lt;div class="&amp;""""&amp;"hanging"&amp;""""&amp;"&gt;"&amp;K291&amp;"&lt;a href="&amp;""""&amp;L291&amp;""""&amp;" target="&amp;""""&amp;"_blank"&amp;""""&amp;"&gt;"&amp;L291&amp;"&lt;/a&gt;&lt;span style="&amp;""""&amp;"color:white"&amp;""""&amp;"&gt;[.]{#"&amp;F291&amp;"}}&lt;/span&gt;&lt;/div&gt;&lt;br&gt;"</f>
        <v>&lt;div class="hanging"&gt;Moeller, A. K., Lukacs, P. M., &amp; Horne, J. S. (2018). Three Novel Methods to Estimate Abundance of Unmarked Animals using Remote Cameras. &lt;i&gt;Ecosphere, 9&lt;/i&gt;(8), Article e02331.&lt;a href="https://doi.org/10.1002/ecs2.2331" target="_blank"&gt;https://doi.org/10.1002/ecs2.2331&lt;/a&gt;&lt;span style="color:white"&gt;[.]{#moeller_et_al_2018}}&lt;/span&gt;&lt;/div&gt;&lt;br&gt;</v>
      </c>
      <c r="O291" s="65" t="str">
        <f>"{{ rtxt_"&amp;F291&amp;" }}"</f>
        <v>{{ rtxt_moeller_et_al_2018 }}</v>
      </c>
      <c r="P291" s="65" t="str">
        <f>"{{ rbib_"&amp;F291&amp;" }}"</f>
        <v>{{ rbib_moeller_et_al_2018 }}</v>
      </c>
      <c r="Q291" s="65" t="str">
        <f>"    rtxt_"&amp;F291&amp;": "&amp;""""&amp;"&lt;a href=\"&amp;""""&amp;"/08_references.html#"&amp;F291&amp;"\"&amp;""""&amp;" target=\"&amp;""""&amp;"_blank\"&amp;""""&amp;"&gt;"&amp;G291&amp;"&lt;/a&gt;"&amp;""""</f>
        <v xml:space="preserve">    rtxt_moeller_et_al_2018: "&lt;a href=\"/08_references.html#moeller_et_al_2018\" target=\"_blank\"&gt;Moeller et al., 2018&lt;/a&gt;"</v>
      </c>
      <c r="R291" s="65" t="str">
        <f>"    rbib_"&amp;F291&amp;": "&amp;""""&amp;K291&amp;"&lt;a href=\"&amp;""""&amp;L291&amp;""""&amp;" target=\"&amp;""""&amp;"_blank\"&amp;""""&amp;"&gt;"&amp;L291&amp;"&lt;/a&gt;"&amp;""""</f>
        <v xml:space="preserve">    rbib_moeller_et_al_2018: "Moeller, A. K., Lukacs, P. M., &amp; Horne, J. S. (2018). Three Novel Methods to Estimate Abundance of Unmarked Animals using Remote Cameras. &lt;i&gt;Ecosphere, 9&lt;/i&gt;(8), Article e02331.&lt;a href=\"https://doi.org/10.1002/ecs2.2331" target=\"_blank\"&gt;https://doi.org/10.1002/ecs2.2331&lt;/a&gt;"</v>
      </c>
      <c r="S291" s="65" t="str">
        <f>"    rbib_"&amp;F291&amp;": "&amp;""""&amp;"&lt;div class=\"&amp;""""&amp;"hanging\"&amp;""""&amp;"&gt;"&amp;J291&amp;"&lt;/div&gt;"&amp;""""</f>
        <v xml:space="preserve">    rbib_moeller_et_al_2018: "&lt;div class=\"hanging\"&gt;Moeller, A. K., Lukacs, P. M., &amp; Horne, J. S. (2018). Three Novel Methods to Estimate Abundance of Unmarked Animals using Remote Cameras. *Ecosphere, 9*(8), Article e02331. &lt;https://doi.org/10.1002/ecs2.2331&gt;&lt;/div&gt;"</v>
      </c>
      <c r="T291" s="65"/>
    </row>
    <row r="292" spans="1:20" ht="15.75">
      <c r="A292" s="65"/>
      <c r="B292" s="155" t="b">
        <v>1</v>
      </c>
      <c r="C292" s="155" t="b">
        <v>0</v>
      </c>
      <c r="D292" s="155" t="b">
        <v>0</v>
      </c>
      <c r="E292" s="65" t="s">
        <v>1904</v>
      </c>
      <c r="F292" s="65" t="s">
        <v>2794</v>
      </c>
      <c r="G292" s="65" t="s">
        <v>2793</v>
      </c>
      <c r="H292" s="65" t="s">
        <v>2793</v>
      </c>
      <c r="I292" s="65" t="b">
        <v>1</v>
      </c>
      <c r="J292" s="65" t="s">
        <v>2792</v>
      </c>
      <c r="K292" s="65" t="s">
        <v>5173</v>
      </c>
      <c r="L292" s="65" t="s">
        <v>2791</v>
      </c>
      <c r="M292" s="65" t="s">
        <v>984</v>
      </c>
      <c r="N292" s="65" t="str">
        <f>"&lt;div class="&amp;""""&amp;"hanging"&amp;""""&amp;"&gt;"&amp;K292&amp;"&lt;a href="&amp;""""&amp;L292&amp;""""&amp;" target="&amp;""""&amp;"_blank"&amp;""""&amp;"&gt;"&amp;L292&amp;"&lt;/a&gt;&lt;span style="&amp;""""&amp;"color:white"&amp;""""&amp;"&gt;[.]{#"&amp;F292&amp;"}}&lt;/span&gt;&lt;/div&gt;&lt;br&gt;"</f>
        <v>&lt;div class="hanging"&gt;Moeller, A. K., Waller, S. J., DeCesare, N. J., Chitwood, M. C., &amp; Lukacs, P. M. (2023). Best practices to account for capture probability and viewable area in camera‐based abundance estimation. &lt;i&gt;Remote Sensing in Ecology and Conservation.&lt;/i&gt;&lt;a href="https://doi.org/10.1002/rse2.300" target="_blank"&gt;https://doi.org/10.1002/rse2.300&lt;/a&gt;&lt;span style="color:white"&gt;[.]{#moeller_et_al_2023}}&lt;/span&gt;&lt;/div&gt;&lt;br&gt;</v>
      </c>
      <c r="O292" s="65" t="str">
        <f>"{{ rtxt_"&amp;F292&amp;" }}"</f>
        <v>{{ rtxt_moeller_et_al_2023 }}</v>
      </c>
      <c r="P292" s="65" t="str">
        <f>"{{ rbib_"&amp;F292&amp;" }}"</f>
        <v>{{ rbib_moeller_et_al_2023 }}</v>
      </c>
      <c r="Q292" s="65" t="str">
        <f>"    rtxt_"&amp;F292&amp;": "&amp;""""&amp;"&lt;a href=\"&amp;""""&amp;"/08_references.html#"&amp;F292&amp;"\"&amp;""""&amp;" target=\"&amp;""""&amp;"_blank\"&amp;""""&amp;"&gt;"&amp;G292&amp;"&lt;/a&gt;"&amp;""""</f>
        <v xml:space="preserve">    rtxt_moeller_et_al_2023: "&lt;a href=\"/08_references.html#moeller_et_al_2023\" target=\"_blank\"&gt;Moeller et al., 2023&lt;/a&gt;"</v>
      </c>
      <c r="R292" s="65" t="str">
        <f>"    rbib_"&amp;F292&amp;": "&amp;""""&amp;K292&amp;"&lt;a href=\"&amp;""""&amp;L292&amp;""""&amp;" target=\"&amp;""""&amp;"_blank\"&amp;""""&amp;"&gt;"&amp;L292&amp;"&lt;/a&gt;"&amp;""""</f>
        <v xml:space="preserve">    rbib_moeller_et_al_2023: "Moeller, A. K., Waller, S. J., DeCesare, N. J., Chitwood, M. C., &amp; Lukacs, P. M. (2023). Best practices to account for capture probability and viewable area in camera‐based abundance estimation. &lt;i&gt;Remote Sensing in Ecology and Conservation.&lt;/i&gt;&lt;a href=\"https://doi.org/10.1002/rse2.300" target=\"_blank\"&gt;https://doi.org/10.1002/rse2.300&lt;/a&gt;"</v>
      </c>
      <c r="S292" s="65" t="str">
        <f>"    rbib_"&amp;F292&amp;": "&amp;""""&amp;"&lt;div class=\"&amp;""""&amp;"hanging\"&amp;""""&amp;"&gt;"&amp;J292&amp;"&lt;/div&gt;"&amp;""""</f>
        <v xml:space="preserve">    rbib_moeller_et_al_2023: "&lt;div class=\"hanging\"&gt;Moeller, A. K., Waller, S. J., DeCesare, N. J., Chitwood, M. C., &amp; Lukacs, P. M. (2023). Best practices to account for capture probability and viewable area in camera‐based abundance estimation. *Remote Sensing in Ecology and Conservation.* &lt;https://doi.org/10.1002/rse2.300&gt;&lt;/div&gt;"</v>
      </c>
      <c r="T292" s="65"/>
    </row>
    <row r="293" spans="1:20" ht="15.75">
      <c r="A293" s="65"/>
      <c r="B293" s="155" t="b">
        <v>0</v>
      </c>
      <c r="C293" s="155" t="b">
        <v>0</v>
      </c>
      <c r="D293" s="155"/>
      <c r="E293" s="65" t="s">
        <v>1904</v>
      </c>
      <c r="F293" s="65" t="s">
        <v>1896</v>
      </c>
      <c r="G293" s="65" t="s">
        <v>2790</v>
      </c>
      <c r="H293" s="65" t="s">
        <v>2790</v>
      </c>
      <c r="I293" s="65" t="b">
        <v>1</v>
      </c>
      <c r="J293" s="65" t="s">
        <v>3958</v>
      </c>
      <c r="K293" s="65" t="s">
        <v>5214</v>
      </c>
      <c r="L293" s="65" t="s">
        <v>2789</v>
      </c>
      <c r="M293" s="65" t="s">
        <v>984</v>
      </c>
      <c r="N293" s="65" t="str">
        <f>"&lt;div class="&amp;""""&amp;"hanging"&amp;""""&amp;"&gt;"&amp;K293&amp;"&lt;a href="&amp;""""&amp;L293&amp;""""&amp;" target="&amp;""""&amp;"_blank"&amp;""""&amp;"&gt;"&amp;L293&amp;"&lt;/a&gt;&lt;span style="&amp;""""&amp;"color:white"&amp;""""&amp;"&gt;[.]{#"&amp;F293&amp;"}}&lt;/span&gt;&lt;/div&gt;&lt;br&gt;"</f>
        <v>&lt;div class="hanging"&gt;Moeller, A. K.,&amp; Lukacs, P. M. (2021) spaceNtime: an R package for estimating abundance of unmarked animals using camera-trap photographs. &lt;i&gt;Mammalian Biology, 102&lt;/i&gt;, 581-590.&lt;a href="https://doi.org/10.1007/s42991-021-00181-8" target="_blank"&gt;https://doi.org/10.1007/s42991-021-00181-8&lt;/a&gt;&lt;span style="color:white"&gt;[.]{#moeller_lukacs_2021}}&lt;/span&gt;&lt;/div&gt;&lt;br&gt;</v>
      </c>
      <c r="O293" s="65" t="str">
        <f>"{{ rtxt_"&amp;F293&amp;" }}"</f>
        <v>{{ rtxt_moeller_lukacs_2021 }}</v>
      </c>
      <c r="P293" s="65" t="str">
        <f>"{{ rbib_"&amp;F293&amp;" }}"</f>
        <v>{{ rbib_moeller_lukacs_2021 }}</v>
      </c>
      <c r="Q293" s="65" t="str">
        <f>"    rtxt_"&amp;F293&amp;": "&amp;""""&amp;"&lt;a href=\"&amp;""""&amp;"/08_references.html#"&amp;F293&amp;"\"&amp;""""&amp;" target=\"&amp;""""&amp;"_blank\"&amp;""""&amp;"&gt;"&amp;G293&amp;"&lt;/a&gt;"&amp;""""</f>
        <v xml:space="preserve">    rtxt_moeller_lukacs_2021: "&lt;a href=\"/08_references.html#moeller_lukacs_2021\" target=\"_blank\"&gt;Moeller &amp; Lukacs, 2021&lt;/a&gt;"</v>
      </c>
      <c r="R293" s="65" t="str">
        <f>"    rbib_"&amp;F293&amp;": "&amp;""""&amp;K293&amp;"&lt;a href=\"&amp;""""&amp;L293&amp;""""&amp;" target=\"&amp;""""&amp;"_blank\"&amp;""""&amp;"&gt;"&amp;L293&amp;"&lt;/a&gt;"&amp;""""</f>
        <v xml:space="preserve">    rbib_moeller_lukacs_2021: "Moeller, A. K.,&amp; Lukacs, P. M. (2021) spaceNtime: an R package for estimating abundance of unmarked animals using camera-trap photographs. &lt;i&gt;Mammalian Biology, 102&lt;/i&gt;, 581-590.&lt;a href=\"https://doi.org/10.1007/s42991-021-00181-8" target=\"_blank\"&gt;https://doi.org/10.1007/s42991-021-00181-8&lt;/a&gt;"</v>
      </c>
      <c r="S293" s="65" t="str">
        <f>"    rbib_"&amp;F293&amp;": "&amp;""""&amp;"&lt;div class=\"&amp;""""&amp;"hanging\"&amp;""""&amp;"&gt;"&amp;J293&amp;"&lt;/div&gt;"&amp;""""</f>
        <v xml:space="preserve">    rbib_moeller_lukacs_2021: "&lt;div class=\"hanging\"&gt;Moeller, A. K.,&amp; Lukacs, P. M. (2021) spaceNtime: an R package for estimating abundance of unmarked animals using camera-trap photographs. *Mammalian Biology, 102*, 581-590. &lt;https://doi.org/10.1007/s42991-021-00181-8&gt;&lt;/div&gt;"</v>
      </c>
      <c r="T293" s="65"/>
    </row>
    <row r="294" spans="1:20" ht="15.75">
      <c r="A294" s="65"/>
      <c r="B294" s="155" t="b">
        <v>1</v>
      </c>
      <c r="C294" s="155" t="b">
        <v>0</v>
      </c>
      <c r="D294" s="155" t="b">
        <v>0</v>
      </c>
      <c r="E294" s="65" t="s">
        <v>1904</v>
      </c>
      <c r="F294" s="65" t="s">
        <v>2788</v>
      </c>
      <c r="G294" s="65" t="s">
        <v>2787</v>
      </c>
      <c r="H294" s="65" t="s">
        <v>2787</v>
      </c>
      <c r="I294" s="65" t="b">
        <v>1</v>
      </c>
      <c r="J294" s="65" t="s">
        <v>2786</v>
      </c>
      <c r="K294" s="65" t="s">
        <v>5257</v>
      </c>
      <c r="L294" s="65" t="s">
        <v>2785</v>
      </c>
      <c r="M294" s="65" t="s">
        <v>984</v>
      </c>
      <c r="N294" s="65" t="str">
        <f>"&lt;div class="&amp;""""&amp;"hanging"&amp;""""&amp;"&gt;"&amp;K294&amp;"&lt;a href="&amp;""""&amp;L294&amp;""""&amp;" target="&amp;""""&amp;"_blank"&amp;""""&amp;"&gt;"&amp;L294&amp;"&lt;/a&gt;&lt;span style="&amp;""""&amp;"color:white"&amp;""""&amp;"&gt;[.]{#"&amp;F294&amp;"}}&lt;/span&gt;&lt;/div&gt;&lt;br&gt;"</f>
        <v>&lt;div class="hanging"&gt;Moll, R. J., Ortiz-Calo, W., Cepek, J. D., Lorch, P. D., Dennis, P. M., Robison, T., &amp; Montgomery, R. A. (2020). The effect of camera-trap viewshed obstruction on wildlife detection: implications for inference. &lt;i&gt;Wildlife Research, 47&lt;/i&gt;(2).&lt;a href="https://doi.org/10.1071/wr19004" target="_blank"&gt;https://doi.org/10.1071/wr19004&lt;/a&gt;&lt;span style="color:white"&gt;[.]{#moll_et_al_2020}}&lt;/span&gt;&lt;/div&gt;&lt;br&gt;</v>
      </c>
      <c r="O294" s="65" t="str">
        <f>"{{ rtxt_"&amp;F294&amp;" }}"</f>
        <v>{{ rtxt_moll_et_al_2020 }}</v>
      </c>
      <c r="P294" s="65" t="str">
        <f>"{{ rbib_"&amp;F294&amp;" }}"</f>
        <v>{{ rbib_moll_et_al_2020 }}</v>
      </c>
      <c r="Q294" s="65" t="str">
        <f>"    rtxt_"&amp;F294&amp;": "&amp;""""&amp;"&lt;a href=\"&amp;""""&amp;"/08_references.html#"&amp;F294&amp;"\"&amp;""""&amp;" target=\"&amp;""""&amp;"_blank\"&amp;""""&amp;"&gt;"&amp;G294&amp;"&lt;/a&gt;"&amp;""""</f>
        <v xml:space="preserve">    rtxt_moll_et_al_2020: "&lt;a href=\"/08_references.html#moll_et_al_2020\" target=\"_blank\"&gt;Moll et al., 2020&lt;/a&gt;"</v>
      </c>
      <c r="R294" s="65" t="str">
        <f>"    rbib_"&amp;F294&amp;": "&amp;""""&amp;K294&amp;"&lt;a href=\"&amp;""""&amp;L294&amp;""""&amp;" target=\"&amp;""""&amp;"_blank\"&amp;""""&amp;"&gt;"&amp;L294&amp;"&lt;/a&gt;"&amp;""""</f>
        <v xml:space="preserve">    rbib_moll_et_al_2020: "Moll, R. J., Ortiz-Calo, W., Cepek, J. D., Lorch, P. D., Dennis, P. M., Robison, T., &amp; Montgomery, R. A. (2020). The effect of camera-trap viewshed obstruction on wildlife detection: implications for inference. &lt;i&gt;Wildlife Research, 47&lt;/i&gt;(2).&lt;a href=\"https://doi.org/10.1071/wr19004" target=\"_blank\"&gt;https://doi.org/10.1071/wr19004&lt;/a&gt;"</v>
      </c>
      <c r="S294" s="65" t="str">
        <f>"    rbib_"&amp;F294&amp;": "&amp;""""&amp;"&lt;div class=\"&amp;""""&amp;"hanging\"&amp;""""&amp;"&gt;"&amp;J294&amp;"&lt;/div&gt;"&amp;""""</f>
        <v xml:space="preserve">    rbib_moll_et_al_2020: "&lt;div class=\"hanging\"&gt;Moll, R. J., Ortiz-Calo, W., Cepek, J. D., Lorch, P. D., Dennis, P. M., Robison, T., &amp; Montgomery, R. A. (2020). The effect of camera-trap viewshed obstruction on wildlife detection: implications for inference. *Wildlife Research, 47*(2). &lt;https://doi.org/10.1071/wr19004&gt;&lt;/div&gt;"</v>
      </c>
      <c r="T294" s="65"/>
    </row>
    <row r="295" spans="1:20" ht="15.75">
      <c r="A295" s="65"/>
      <c r="B295" s="155" t="b">
        <v>0</v>
      </c>
      <c r="C295" s="155" t="b">
        <v>0</v>
      </c>
      <c r="D295" s="155" t="s">
        <v>1993</v>
      </c>
      <c r="E295" s="65" t="s">
        <v>1904</v>
      </c>
      <c r="F295" s="65" t="s">
        <v>2784</v>
      </c>
      <c r="G295" s="65" t="s">
        <v>2783</v>
      </c>
      <c r="H295" s="65" t="s">
        <v>2783</v>
      </c>
      <c r="I295" s="65" t="b">
        <v>1</v>
      </c>
      <c r="J295" s="65" t="s">
        <v>2782</v>
      </c>
      <c r="K295" s="65" t="s">
        <v>5354</v>
      </c>
      <c r="L295" s="65" t="s">
        <v>2781</v>
      </c>
      <c r="M295" s="65" t="s">
        <v>984</v>
      </c>
      <c r="N295" s="65" t="str">
        <f>"&lt;div class="&amp;""""&amp;"hanging"&amp;""""&amp;"&gt;"&amp;K295&amp;"&lt;a href="&amp;""""&amp;L295&amp;""""&amp;" target="&amp;""""&amp;"_blank"&amp;""""&amp;"&gt;"&amp;L295&amp;"&lt;/a&gt;&lt;span style="&amp;""""&amp;"color:white"&amp;""""&amp;"&gt;[.]{#"&amp;F295&amp;"}}&lt;/span&gt;&lt;/div&gt;&lt;br&gt;"</f>
        <v>&lt;div class="hanging"&gt;Molloy, S. W. (2018). &lt;i&gt;A Practical Guide to Using Camera Traps for Wildlife Monitoring in Natural Resource Management Projects&lt;/i&gt;.&lt;a href="https://doi.org/10.13140/RG.2.2.28025.57449" target="_blank"&gt;https://doi.org/10.13140/RG.2.2.28025.57449&lt;/a&gt;&lt;span style="color:white"&gt;[.]{#molloy_2018}}&lt;/span&gt;&lt;/div&gt;&lt;br&gt;</v>
      </c>
      <c r="O295" s="65" t="str">
        <f>"{{ rtxt_"&amp;F295&amp;" }}"</f>
        <v>{{ rtxt_molloy_2018 }}</v>
      </c>
      <c r="P295" s="65" t="str">
        <f>"{{ rbib_"&amp;F295&amp;" }}"</f>
        <v>{{ rbib_molloy_2018 }}</v>
      </c>
      <c r="Q295" s="65" t="str">
        <f>"    rtxt_"&amp;F295&amp;": "&amp;""""&amp;"&lt;a href=\"&amp;""""&amp;"/08_references.html#"&amp;F295&amp;"\"&amp;""""&amp;" target=\"&amp;""""&amp;"_blank\"&amp;""""&amp;"&gt;"&amp;G295&amp;"&lt;/a&gt;"&amp;""""</f>
        <v xml:space="preserve">    rtxt_molloy_2018: "&lt;a href=\"/08_references.html#molloy_2018\" target=\"_blank\"&gt;Molloy, 2018&lt;/a&gt;"</v>
      </c>
      <c r="R295" s="65" t="str">
        <f>"    rbib_"&amp;F295&amp;": "&amp;""""&amp;K295&amp;"&lt;a href=\"&amp;""""&amp;L295&amp;""""&amp;" target=\"&amp;""""&amp;"_blank\"&amp;""""&amp;"&gt;"&amp;L295&amp;"&lt;/a&gt;"&amp;""""</f>
        <v xml:space="preserve">    rbib_molloy_2018: "Molloy, S. W. (2018). &lt;i&gt;A Practical Guide to Using Camera Traps for Wildlife Monitoring in Natural Resource Management Projects&lt;/i&gt;.&lt;a href=\"https://doi.org/10.13140/RG.2.2.28025.57449" target=\"_blank\"&gt;https://doi.org/10.13140/RG.2.2.28025.57449&lt;/a&gt;"</v>
      </c>
      <c r="S295" s="65" t="str">
        <f>"    rbib_"&amp;F295&amp;": "&amp;""""&amp;"&lt;div class=\"&amp;""""&amp;"hanging\"&amp;""""&amp;"&gt;"&amp;J295&amp;"&lt;/div&gt;"&amp;""""</f>
        <v xml:space="preserve">    rbib_molloy_2018: "&lt;div class=\"hanging\"&gt;Molloy, S. W. (2018). *A Practical Guide to Using Camera Traps for Wildlife Monitoring in Natural Resource Management Projects*. &lt;https://doi.org/10.13140/RG.2.2.28025.57449&gt;&lt;/div&gt;"</v>
      </c>
      <c r="T295" s="65"/>
    </row>
    <row r="296" spans="1:20" ht="15.75">
      <c r="A296" s="65"/>
      <c r="B296" s="155" t="b">
        <v>1</v>
      </c>
      <c r="C296" s="155" t="b">
        <v>0</v>
      </c>
      <c r="D296" s="155" t="b">
        <v>0</v>
      </c>
      <c r="E296" s="65" t="s">
        <v>1904</v>
      </c>
      <c r="F296" s="65" t="s">
        <v>2780</v>
      </c>
      <c r="G296" s="65" t="s">
        <v>2779</v>
      </c>
      <c r="H296" s="65" t="s">
        <v>2779</v>
      </c>
      <c r="I296" s="65" t="b">
        <v>1</v>
      </c>
      <c r="J296" s="65" t="s">
        <v>2778</v>
      </c>
      <c r="K296" s="65" t="s">
        <v>5210</v>
      </c>
      <c r="L296" s="65" t="s">
        <v>2777</v>
      </c>
      <c r="M296" s="65" t="s">
        <v>984</v>
      </c>
      <c r="N296" s="65" t="str">
        <f>"&lt;div class="&amp;""""&amp;"hanging"&amp;""""&amp;"&gt;"&amp;K296&amp;"&lt;a href="&amp;""""&amp;L296&amp;""""&amp;" target="&amp;""""&amp;"_blank"&amp;""""&amp;"&gt;"&amp;L296&amp;"&lt;/a&gt;&lt;span style="&amp;""""&amp;"color:white"&amp;""""&amp;"&gt;[.]{#"&amp;F296&amp;"}}&lt;/span&gt;&lt;/div&gt;&lt;br&gt;"</f>
        <v>&lt;div class="hanging"&gt;Moqanaki, E. S., Milleret, C., Tourani, M., Dupont, P., &amp; Bischof, R. (2021). Consequences of ignoring variable and spatially autocorrelated detection probability in spatial capture- recapture. &lt;i&gt;Landscape Ecology, 36&lt;/i&gt;, 2879-2895.&lt;a href="https://doi.org/10.1007/s10980-021-01283-x" target="_blank"&gt;https://doi.org/10.1007/s10980-021-01283-x&lt;/a&gt;&lt;span style="color:white"&gt;[.]{#moqanaki_et_al_2021}}&lt;/span&gt;&lt;/div&gt;&lt;br&gt;</v>
      </c>
      <c r="O296" s="65" t="str">
        <f>"{{ rtxt_"&amp;F296&amp;" }}"</f>
        <v>{{ rtxt_moqanaki_et_al_2021 }}</v>
      </c>
      <c r="P296" s="65" t="str">
        <f>"{{ rbib_"&amp;F296&amp;" }}"</f>
        <v>{{ rbib_moqanaki_et_al_2021 }}</v>
      </c>
      <c r="Q296" s="65" t="str">
        <f>"    rtxt_"&amp;F296&amp;": "&amp;""""&amp;"&lt;a href=\"&amp;""""&amp;"/08_references.html#"&amp;F296&amp;"\"&amp;""""&amp;" target=\"&amp;""""&amp;"_blank\"&amp;""""&amp;"&gt;"&amp;G296&amp;"&lt;/a&gt;"&amp;""""</f>
        <v xml:space="preserve">    rtxt_moqanaki_et_al_2021: "&lt;a href=\"/08_references.html#moqanaki_et_al_2021\" target=\"_blank\"&gt;Moqanaki et al., 2021&lt;/a&gt;"</v>
      </c>
      <c r="R296" s="65" t="str">
        <f>"    rbib_"&amp;F296&amp;": "&amp;""""&amp;K296&amp;"&lt;a href=\"&amp;""""&amp;L296&amp;""""&amp;" target=\"&amp;""""&amp;"_blank\"&amp;""""&amp;"&gt;"&amp;L296&amp;"&lt;/a&gt;"&amp;""""</f>
        <v xml:space="preserve">    rbib_moqanaki_et_al_2021: "Moqanaki, E. S., Milleret, C., Tourani, M., Dupont, P., &amp; Bischof, R. (2021). Consequences of ignoring variable and spatially autocorrelated detection probability in spatial capture- recapture. &lt;i&gt;Landscape Ecology, 36&lt;/i&gt;, 2879-2895.&lt;a href=\"https://doi.org/10.1007/s10980-021-01283-x" target=\"_blank\"&gt;https://doi.org/10.1007/s10980-021-01283-x&lt;/a&gt;"</v>
      </c>
      <c r="S296" s="65" t="str">
        <f>"    rbib_"&amp;F296&amp;": "&amp;""""&amp;"&lt;div class=\"&amp;""""&amp;"hanging\"&amp;""""&amp;"&gt;"&amp;J296&amp;"&lt;/div&gt;"&amp;""""</f>
        <v xml:space="preserve">    rbib_moqanaki_et_al_2021: "&lt;div class=\"hanging\"&gt;Moqanaki, E. S., Milleret, C., Tourani, M., Dupont, P., &amp; Bischof, R. (2021). Consequences of ignoring variable and spatially autocorrelated detection probability in spatial capture- recapture. *Landscape Ecology, 36, 2879-2895*. &lt;https://doi.org/10.1007/s10980-021-01283-x&gt;&lt;/div&gt;"</v>
      </c>
      <c r="T296" s="65"/>
    </row>
    <row r="297" spans="1:20" ht="15.75">
      <c r="A297" s="65"/>
      <c r="B297" s="155" t="b">
        <v>1</v>
      </c>
      <c r="C297" s="155" t="b">
        <v>0</v>
      </c>
      <c r="D297" s="155" t="b">
        <v>0</v>
      </c>
      <c r="E297" s="65" t="s">
        <v>1904</v>
      </c>
      <c r="F297" s="65" t="s">
        <v>2776</v>
      </c>
      <c r="G297" s="65" t="s">
        <v>2775</v>
      </c>
      <c r="H297" s="65" t="s">
        <v>2775</v>
      </c>
      <c r="I297" s="65" t="b">
        <v>1</v>
      </c>
      <c r="J297" s="65" t="s">
        <v>2774</v>
      </c>
      <c r="K297" s="65" t="s">
        <v>5236</v>
      </c>
      <c r="L297" s="65" t="s">
        <v>2773</v>
      </c>
      <c r="M297" s="65" t="s">
        <v>984</v>
      </c>
      <c r="N297" s="65" t="str">
        <f>"&lt;div class="&amp;""""&amp;"hanging"&amp;""""&amp;"&gt;"&amp;K297&amp;"&lt;a href="&amp;""""&amp;L297&amp;""""&amp;" target="&amp;""""&amp;"_blank"&amp;""""&amp;"&gt;"&amp;L297&amp;"&lt;/a&gt;&lt;span style="&amp;""""&amp;"color:white"&amp;""""&amp;"&gt;[.]{#"&amp;F297&amp;"}}&lt;/span&gt;&lt;/div&gt;&lt;br&gt;"</f>
        <v>&lt;div class="hanging"&gt;Morin, D. J., Boulanger, J., Bischof, R., Lee, D. C., Ngoprasert, D., Fuller, A. K., McLellan, B., Steinmetz, R., Sharma, S., Garshelis, D., Gopalaswamy, A., Nawaz, M. A., &amp; Karanth, U. (2022).comparison of methods for estimating Density and population trends for low-Density Asian bears. &lt;i&gt;Global Ecology and Conservation, 35&lt;/i&gt;, e02058&lt;a href="https://doi.org/10.1016/j.gecco.2022.e02058" target="_blank"&gt;https://doi.org/10.1016/j.gecco.2022.e02058&lt;/a&gt;&lt;span style="color:white"&gt;[.]{#morin_et_al_2022}}&lt;/span&gt;&lt;/div&gt;&lt;br&gt;</v>
      </c>
      <c r="O297" s="65" t="str">
        <f>"{{ rtxt_"&amp;F297&amp;" }}"</f>
        <v>{{ rtxt_morin_et_al_2022 }}</v>
      </c>
      <c r="P297" s="65" t="str">
        <f>"{{ rbib_"&amp;F297&amp;" }}"</f>
        <v>{{ rbib_morin_et_al_2022 }}</v>
      </c>
      <c r="Q297" s="65" t="str">
        <f>"    rtxt_"&amp;F297&amp;": "&amp;""""&amp;"&lt;a href=\"&amp;""""&amp;"/08_references.html#"&amp;F297&amp;"\"&amp;""""&amp;" target=\"&amp;""""&amp;"_blank\"&amp;""""&amp;"&gt;"&amp;G297&amp;"&lt;/a&gt;"&amp;""""</f>
        <v xml:space="preserve">    rtxt_morin_et_al_2022: "&lt;a href=\"/08_references.html#morin_et_al_2022\" target=\"_blank\"&gt;Morin et al., 2022&lt;/a&gt;"</v>
      </c>
      <c r="R297" s="65" t="str">
        <f>"    rbib_"&amp;F297&amp;": "&amp;""""&amp;K297&amp;"&lt;a href=\"&amp;""""&amp;L297&amp;""""&amp;" target=\"&amp;""""&amp;"_blank\"&amp;""""&amp;"&gt;"&amp;L297&amp;"&lt;/a&gt;"&amp;""""</f>
        <v xml:space="preserve">    rbib_morin_et_al_2022: "Morin, D. J., Boulanger, J., Bischof, R., Lee, D. C., Ngoprasert, D., Fuller, A. K., McLellan, B., Steinmetz, R., Sharma, S., Garshelis, D., Gopalaswamy, A., Nawaz, M. A., &amp; Karanth, U. (2022).comparison of methods for estimating Density and population trends for low-Density Asian bears. &lt;i&gt;Global Ecology and Conservation, 35&lt;/i&gt;, e02058&lt;a href=\"https://doi.org/10.1016/j.gecco.2022.e02058" target=\"_blank\"&gt;https://doi.org/10.1016/j.gecco.2022.e02058&lt;/a&gt;"</v>
      </c>
      <c r="S297" s="65" t="str">
        <f>"    rbib_"&amp;F297&amp;": "&amp;""""&amp;"&lt;div class=\"&amp;""""&amp;"hanging\"&amp;""""&amp;"&gt;"&amp;J297&amp;"&lt;/div&gt;"&amp;""""</f>
        <v xml:space="preserve">    rbib_morin_et_al_2022: "&lt;div class=\"hanging\"&gt;Morin, D. J., Boulanger, J., Bischof, R., Lee, D. C., Ngoprasert, D., Fuller, A. K., McLellan, B., Steinmetz, R., Sharma, S., Garshelis, D., Gopalaswamy, A., Nawaz, M. A., &amp; Karanth, U. (2022).comparison of methods for estimating Density and population trends for low-Density Asian bears. *Global Ecology and Conservation, 35*, e02058 &lt;https://doi.org/10.1016/j.gecco.2022.e02058&gt;&lt;/div&gt;"</v>
      </c>
      <c r="T297" s="65"/>
    </row>
    <row r="298" spans="1:20" ht="15.75">
      <c r="A298" s="65"/>
      <c r="B298" s="155" t="b">
        <v>1</v>
      </c>
      <c r="C298" s="155" t="b">
        <v>0</v>
      </c>
      <c r="D298" s="155" t="b">
        <v>0</v>
      </c>
      <c r="E298" s="65" t="s">
        <v>1950</v>
      </c>
      <c r="F298" s="65" t="s">
        <v>2772</v>
      </c>
      <c r="G298" s="65" t="s">
        <v>2771</v>
      </c>
      <c r="H298" s="65" t="s">
        <v>2771</v>
      </c>
      <c r="I298" s="65" t="b">
        <v>1</v>
      </c>
      <c r="J298" s="65" t="s">
        <v>2770</v>
      </c>
      <c r="K298" s="65" t="s">
        <v>5108</v>
      </c>
      <c r="L298" s="65" t="s">
        <v>2769</v>
      </c>
      <c r="M298" s="65" t="s">
        <v>984</v>
      </c>
      <c r="N298" s="65" t="str">
        <f>"&lt;div class="&amp;""""&amp;"hanging"&amp;""""&amp;"&gt;"&amp;K298&amp;"&lt;a href="&amp;""""&amp;L298&amp;""""&amp;" target="&amp;""""&amp;"_blank"&amp;""""&amp;"&gt;"&amp;L298&amp;"&lt;/a&gt;&lt;span style="&amp;""""&amp;"color:white"&amp;""""&amp;"&gt;[.]{#"&amp;F298&amp;"}}&lt;/span&gt;&lt;/div&gt;&lt;br&gt;"</f>
        <v>&lt;div class="hanging"&gt;Morris, D. (2022). &lt;i&gt;Everything I know about machine learning and camera traps.&lt;/i&gt;&lt;a href="https://agentmorris.github.io/camera-trap-ml-Survey/" target="_blank"&gt;https://agentmorris.github.io/camera-trap-ml-Survey/&lt;/a&gt;&lt;span style="color:white"&gt;[.]{#morris_2022}}&lt;/span&gt;&lt;/div&gt;&lt;br&gt;</v>
      </c>
      <c r="O298" s="65" t="str">
        <f>"{{ rtxt_"&amp;F298&amp;" }}"</f>
        <v>{{ rtxt_morris_2022 }}</v>
      </c>
      <c r="P298" s="65" t="str">
        <f>"{{ rbib_"&amp;F298&amp;" }}"</f>
        <v>{{ rbib_morris_2022 }}</v>
      </c>
      <c r="Q298" s="65" t="str">
        <f>"    rtxt_"&amp;F298&amp;": "&amp;""""&amp;"&lt;a href=\"&amp;""""&amp;"/08_references.html#"&amp;F298&amp;"\"&amp;""""&amp;" target=\"&amp;""""&amp;"_blank\"&amp;""""&amp;"&gt;"&amp;G298&amp;"&lt;/a&gt;"&amp;""""</f>
        <v xml:space="preserve">    rtxt_morris_2022: "&lt;a href=\"/08_references.html#morris_2022\" target=\"_blank\"&gt;Morris, 2022&lt;/a&gt;"</v>
      </c>
      <c r="R298" s="65" t="str">
        <f>"    rbib_"&amp;F298&amp;": "&amp;""""&amp;K298&amp;"&lt;a href=\"&amp;""""&amp;L298&amp;""""&amp;" target=\"&amp;""""&amp;"_blank\"&amp;""""&amp;"&gt;"&amp;L298&amp;"&lt;/a&gt;"&amp;""""</f>
        <v xml:space="preserve">    rbib_morris_2022: "Morris, D. (2022). &lt;i&gt;Everything I know about machine learning and camera traps.&lt;/i&gt;&lt;a href=\"https://agentmorris.github.io/camera-trap-ml-Survey/" target=\"_blank\"&gt;https://agentmorris.github.io/camera-trap-ml-Survey/&lt;/a&gt;"</v>
      </c>
      <c r="S298" s="65" t="str">
        <f>"    rbib_"&amp;F298&amp;": "&amp;""""&amp;"&lt;div class=\"&amp;""""&amp;"hanging\"&amp;""""&amp;"&gt;"&amp;J298&amp;"&lt;/div&gt;"&amp;""""</f>
        <v xml:space="preserve">    rbib_morris_2022: "&lt;div class=\"hanging\"&gt;Morris, D. (2022). *Everything I know about machine learning and camera traps.* &lt;https://agentmorris.github.io/camera-trap-ml-Survey/&gt;&lt;/div&gt;"</v>
      </c>
      <c r="T298" s="65"/>
    </row>
    <row r="299" spans="1:20" ht="15.75">
      <c r="A299" s="65"/>
      <c r="B299" s="155" t="b">
        <v>0</v>
      </c>
      <c r="C299" s="155" t="b">
        <v>0</v>
      </c>
      <c r="D299" s="155" t="s">
        <v>1993</v>
      </c>
      <c r="E299" s="65" t="s">
        <v>1904</v>
      </c>
      <c r="F299" s="65" t="s">
        <v>2768</v>
      </c>
      <c r="G299" s="65" t="s">
        <v>2767</v>
      </c>
      <c r="H299" s="65" t="s">
        <v>2767</v>
      </c>
      <c r="I299" s="65" t="b">
        <v>1</v>
      </c>
      <c r="J299" s="65" t="s">
        <v>2766</v>
      </c>
      <c r="K299" s="65" t="s">
        <v>5185</v>
      </c>
      <c r="L299" s="65" t="s">
        <v>2765</v>
      </c>
      <c r="M299" s="65" t="s">
        <v>984</v>
      </c>
      <c r="N299" s="65" t="str">
        <f>"&lt;div class="&amp;""""&amp;"hanging"&amp;""""&amp;"&gt;"&amp;K299&amp;"&lt;a href="&amp;""""&amp;L299&amp;""""&amp;" target="&amp;""""&amp;"_blank"&amp;""""&amp;"&gt;"&amp;L299&amp;"&lt;/a&gt;&lt;span style="&amp;""""&amp;"color:white"&amp;""""&amp;"&gt;[.]{#"&amp;F299&amp;"}}&lt;/span&gt;&lt;/div&gt;&lt;br&gt;"</f>
        <v>&lt;div class="hanging"&gt;Morrison, M. L., Block, W. M., Strickland, M. D., Collier, B. A. &amp; Peterson, M. J. (2008). &lt;i&gt;Wildlife Study Design&lt;/i&gt;. Springer, New York.&lt;a href="https://doi.org/10.1007/978-0-387-75528-1" target="_blank"&gt;https://doi.org/10.1007/978-0-387-75528-1&lt;/a&gt;&lt;span style="color:white"&gt;[.]{#morrison_et_al_2018}}&lt;/span&gt;&lt;/div&gt;&lt;br&gt;</v>
      </c>
      <c r="O299" s="65" t="str">
        <f>"{{ rtxt_"&amp;F299&amp;" }}"</f>
        <v>{{ rtxt_morrison_et_al_2018 }}</v>
      </c>
      <c r="P299" s="65" t="str">
        <f>"{{ rbib_"&amp;F299&amp;" }}"</f>
        <v>{{ rbib_morrison_et_al_2018 }}</v>
      </c>
      <c r="Q299" s="65" t="str">
        <f>"    rtxt_"&amp;F299&amp;": "&amp;""""&amp;"&lt;a href=\"&amp;""""&amp;"/08_references.html#"&amp;F299&amp;"\"&amp;""""&amp;" target=\"&amp;""""&amp;"_blank\"&amp;""""&amp;"&gt;"&amp;G299&amp;"&lt;/a&gt;"&amp;""""</f>
        <v xml:space="preserve">    rtxt_morrison_et_al_2018: "&lt;a href=\"/08_references.html#morrison_et_al_2018\" target=\"_blank\"&gt;Morrison et al., 2018&lt;/a&gt;"</v>
      </c>
      <c r="R299" s="65" t="str">
        <f>"    rbib_"&amp;F299&amp;": "&amp;""""&amp;K299&amp;"&lt;a href=\"&amp;""""&amp;L299&amp;""""&amp;" target=\"&amp;""""&amp;"_blank\"&amp;""""&amp;"&gt;"&amp;L299&amp;"&lt;/a&gt;"&amp;""""</f>
        <v xml:space="preserve">    rbib_morrison_et_al_2018: "Morrison, M. L., Block, W. M., Strickland, M. D., Collier, B. A. &amp; Peterson, M. J. (2008). &lt;i&gt;Wildlife Study Design&lt;/i&gt;. Springer, New York.&lt;a href=\"https://doi.org/10.1007/978-0-387-75528-1" target=\"_blank\"&gt;https://doi.org/10.1007/978-0-387-75528-1&lt;/a&gt;"</v>
      </c>
      <c r="S299" s="65" t="str">
        <f>"    rbib_"&amp;F299&amp;": "&amp;""""&amp;"&lt;div class=\"&amp;""""&amp;"hanging\"&amp;""""&amp;"&gt;"&amp;J299&amp;"&lt;/div&gt;"&amp;""""</f>
        <v xml:space="preserve">    rbib_morrison_et_al_2018: "&lt;div class=\"hanging\"&gt;Morrison, M. L., Block, W. M., Strickland, M. D., Collier, B. A. &amp; Peterson, M. J. (2008). *Wildlife Study Design*. Springer, New York. &lt;https://doi.org/10.1007/978-0-387-75528-1&gt;&lt;/div&gt;"</v>
      </c>
      <c r="T299" s="65"/>
    </row>
    <row r="300" spans="1:20" ht="15.75">
      <c r="A300" s="65"/>
      <c r="B300" s="155" t="b">
        <v>0</v>
      </c>
      <c r="C300" s="155" t="b">
        <v>1</v>
      </c>
      <c r="D300" s="155" t="b">
        <v>0</v>
      </c>
      <c r="E300" s="65" t="s">
        <v>1904</v>
      </c>
      <c r="F300" s="65" t="s">
        <v>2764</v>
      </c>
      <c r="G300" s="65" t="s">
        <v>2763</v>
      </c>
      <c r="H300" s="65" t="s">
        <v>2763</v>
      </c>
      <c r="I300" s="65" t="b">
        <v>1</v>
      </c>
      <c r="J300" s="65" t="s">
        <v>2762</v>
      </c>
      <c r="K300" s="65" t="s">
        <v>5355</v>
      </c>
      <c r="L300" s="65" t="s">
        <v>2761</v>
      </c>
      <c r="M300" s="65" t="s">
        <v>984</v>
      </c>
      <c r="N300" s="65" t="str">
        <f>"&lt;div class="&amp;""""&amp;"hanging"&amp;""""&amp;"&gt;"&amp;K300&amp;"&lt;a href="&amp;""""&amp;L300&amp;""""&amp;" target="&amp;""""&amp;"_blank"&amp;""""&amp;"&gt;"&amp;L300&amp;"&lt;/a&gt;&lt;span style="&amp;""""&amp;"color:white"&amp;""""&amp;"&gt;[.]{#"&amp;F300&amp;"}}&lt;/span&gt;&lt;/div&gt;&lt;br&gt;"</f>
        <v>&lt;div class="hanging"&gt;Muhly, T. B., Semeniuk, C., Massolo, A., Hickman, L., &amp; Musiani, M. (2011). Human activity helps prey win the predator-prey space race. &lt;i&gt;PloS One, 6&lt;/i&gt;(3), e17050.&lt;a href="https://doi.org/10.1371/journal.pone.0017050" target="_blank"&gt;https://doi.org/10.1371/journal.pone.0017050&lt;/a&gt;&lt;span style="color:white"&gt;[.]{#muhly_et_al_2011}}&lt;/span&gt;&lt;/div&gt;&lt;br&gt;</v>
      </c>
      <c r="O300" s="65" t="str">
        <f>"{{ rtxt_"&amp;F300&amp;" }}"</f>
        <v>{{ rtxt_muhly_et_al_2011 }}</v>
      </c>
      <c r="P300" s="65" t="str">
        <f>"{{ rbib_"&amp;F300&amp;" }}"</f>
        <v>{{ rbib_muhly_et_al_2011 }}</v>
      </c>
      <c r="Q300" s="65" t="str">
        <f>"    rtxt_"&amp;F300&amp;": "&amp;""""&amp;"&lt;a href=\"&amp;""""&amp;"/08_references.html#"&amp;F300&amp;"\"&amp;""""&amp;" target=\"&amp;""""&amp;"_blank\"&amp;""""&amp;"&gt;"&amp;G300&amp;"&lt;/a&gt;"&amp;""""</f>
        <v xml:space="preserve">    rtxt_muhly_et_al_2011: "&lt;a href=\"/08_references.html#muhly_et_al_2011\" target=\"_blank\"&gt;Muhly et al., 2011&lt;/a&gt;"</v>
      </c>
      <c r="R300" s="65" t="str">
        <f>"    rbib_"&amp;F300&amp;": "&amp;""""&amp;K300&amp;"&lt;a href=\"&amp;""""&amp;L300&amp;""""&amp;" target=\"&amp;""""&amp;"_blank\"&amp;""""&amp;"&gt;"&amp;L300&amp;"&lt;/a&gt;"&amp;""""</f>
        <v xml:space="preserve">    rbib_muhly_et_al_2011: "Muhly, T. B., Semeniuk, C., Massolo, A., Hickman, L., &amp; Musiani, M. (2011). Human activity helps prey win the predator-prey space race. &lt;i&gt;PloS One, 6&lt;/i&gt;(3), e17050.&lt;a href=\"https://doi.org/10.1371/journal.pone.0017050" target=\"_blank\"&gt;https://doi.org/10.1371/journal.pone.0017050&lt;/a&gt;"</v>
      </c>
      <c r="S300" s="65" t="str">
        <f>"    rbib_"&amp;F300&amp;": "&amp;""""&amp;"&lt;div class=\"&amp;""""&amp;"hanging\"&amp;""""&amp;"&gt;"&amp;J300&amp;"&lt;/div&gt;"&amp;""""</f>
        <v xml:space="preserve">    rbib_muhly_et_al_2011: "&lt;div class=\"hanging\"&gt;Muhly, T. B., Semeniuk, C., Massolo, A., Hickman, L., &amp; Musiani, M. (2011). Human activity helps prey win the predator-prey space race. *PloS One, 6*(3), e17050. &lt;https://doi.org/10.1371/journal.pone.0017050&gt;&lt;/div&gt;"</v>
      </c>
      <c r="T300" s="65"/>
    </row>
    <row r="301" spans="1:20" ht="15.75">
      <c r="A301" s="65"/>
      <c r="B301" s="155" t="b">
        <v>0</v>
      </c>
      <c r="C301" s="155" t="b">
        <v>1</v>
      </c>
      <c r="D301" s="155" t="b">
        <v>0</v>
      </c>
      <c r="E301" s="65" t="s">
        <v>1904</v>
      </c>
      <c r="F301" s="65" t="s">
        <v>2760</v>
      </c>
      <c r="G301" s="65" t="s">
        <v>2759</v>
      </c>
      <c r="H301" s="65" t="s">
        <v>2759</v>
      </c>
      <c r="I301" s="65" t="b">
        <v>1</v>
      </c>
      <c r="J301" s="65" t="s">
        <v>2758</v>
      </c>
      <c r="K301" s="65" t="s">
        <v>5361</v>
      </c>
      <c r="L301" s="65" t="s">
        <v>2757</v>
      </c>
      <c r="M301" s="65" t="s">
        <v>984</v>
      </c>
      <c r="N301" s="65" t="str">
        <f>"&lt;div class="&amp;""""&amp;"hanging"&amp;""""&amp;"&gt;"&amp;K301&amp;"&lt;a href="&amp;""""&amp;L301&amp;""""&amp;" target="&amp;""""&amp;"_blank"&amp;""""&amp;"&gt;"&amp;L301&amp;"&lt;/a&gt;&lt;span style="&amp;""""&amp;"color:white"&amp;""""&amp;"&gt;[.]{#"&amp;F301&amp;"}}&lt;/span&gt;&lt;/div&gt;&lt;br&gt;"</f>
        <v>&lt;div class="hanging"&gt;Muhly, T., Serrouya, R., Neilson, E., Li, H., &amp; Boutin, S. (2015). Influence of In-Situ Oil Sands Development on Caribou (Rangifer tarandus) Movement. &lt;i&gt;PloS One, 10&lt;/i&gt;(9), e0136933.&lt;a href="https://doi.org/10.1371/journal.pone.0136933" target="_blank"&gt;https://doi.org/10.1371/journal.pone.0136933&lt;/a&gt;&lt;span style="color:white"&gt;[.]{#muhly_et_al_2015}}&lt;/span&gt;&lt;/div&gt;&lt;br&gt;</v>
      </c>
      <c r="O301" s="65" t="str">
        <f>"{{ rtxt_"&amp;F301&amp;" }}"</f>
        <v>{{ rtxt_muhly_et_al_2015 }}</v>
      </c>
      <c r="P301" s="65" t="str">
        <f>"{{ rbib_"&amp;F301&amp;" }}"</f>
        <v>{{ rbib_muhly_et_al_2015 }}</v>
      </c>
      <c r="Q301" s="65" t="str">
        <f>"    rtxt_"&amp;F301&amp;": "&amp;""""&amp;"&lt;a href=\"&amp;""""&amp;"/08_references.html#"&amp;F301&amp;"\"&amp;""""&amp;" target=\"&amp;""""&amp;"_blank\"&amp;""""&amp;"&gt;"&amp;G301&amp;"&lt;/a&gt;"&amp;""""</f>
        <v xml:space="preserve">    rtxt_muhly_et_al_2015: "&lt;a href=\"/08_references.html#muhly_et_al_2015\" target=\"_blank\"&gt;Muhly et al., 2015&lt;/a&gt;"</v>
      </c>
      <c r="R301" s="65" t="str">
        <f>"    rbib_"&amp;F301&amp;": "&amp;""""&amp;K301&amp;"&lt;a href=\"&amp;""""&amp;L301&amp;""""&amp;" target=\"&amp;""""&amp;"_blank\"&amp;""""&amp;"&gt;"&amp;L301&amp;"&lt;/a&gt;"&amp;""""</f>
        <v xml:space="preserve">    rbib_muhly_et_al_2015: "Muhly, T., Serrouya, R., Neilson, E., Li, H., &amp; Boutin, S. (2015). Influence of In-Situ Oil Sands Development on Caribou (Rangifer tarandus) Movement. &lt;i&gt;PloS One, 10&lt;/i&gt;(9), e0136933.&lt;a href=\"https://doi.org/10.1371/journal.pone.0136933" target=\"_blank\"&gt;https://doi.org/10.1371/journal.pone.0136933&lt;/a&gt;"</v>
      </c>
      <c r="S301" s="65" t="str">
        <f>"    rbib_"&amp;F301&amp;": "&amp;""""&amp;"&lt;div class=\"&amp;""""&amp;"hanging\"&amp;""""&amp;"&gt;"&amp;J301&amp;"&lt;/div&gt;"&amp;""""</f>
        <v xml:space="preserve">    rbib_muhly_et_al_2015: "&lt;div class=\"hanging\"&gt;Muhly, T., Serrouya, R., Neilson, E., Li, H., &amp; Boutin, S. (2015). Influence of In-Situ Oil Sands Development on Caribou (*Rangifer tarandus*) Movement. *PloS One, 10*(9), e0136933. &lt;https://doi.org/10.1371/journal.pone.0136933&gt;&lt;/div&gt;"</v>
      </c>
      <c r="T301" s="65"/>
    </row>
    <row r="302" spans="1:20" ht="15.75">
      <c r="A302" s="65"/>
      <c r="B302" s="155" t="b">
        <v>1</v>
      </c>
      <c r="C302" s="155" t="b">
        <v>0</v>
      </c>
      <c r="D302" s="155" t="b">
        <v>1</v>
      </c>
      <c r="E302" s="65" t="s">
        <v>1904</v>
      </c>
      <c r="F302" s="65" t="s">
        <v>2756</v>
      </c>
      <c r="G302" s="65" t="s">
        <v>2755</v>
      </c>
      <c r="H302" s="65" t="s">
        <v>2755</v>
      </c>
      <c r="I302" s="65" t="b">
        <v>1</v>
      </c>
      <c r="J302" s="65" t="s">
        <v>2754</v>
      </c>
      <c r="K302" s="65" t="s">
        <v>5216</v>
      </c>
      <c r="L302" s="65" t="s">
        <v>2753</v>
      </c>
      <c r="M302" s="65" t="s">
        <v>984</v>
      </c>
      <c r="N302" s="65" t="str">
        <f>"&lt;div class="&amp;""""&amp;"hanging"&amp;""""&amp;"&gt;"&amp;K302&amp;"&lt;a href="&amp;""""&amp;L302&amp;""""&amp;" target="&amp;""""&amp;"_blank"&amp;""""&amp;"&gt;"&amp;L302&amp;"&lt;/a&gt;&lt;span style="&amp;""""&amp;"color:white"&amp;""""&amp;"&gt;[.]{#"&amp;F302&amp;"}}&lt;/span&gt;&lt;/div&gt;&lt;br&gt;"</f>
        <v>&lt;div class="hanging"&gt;Mullahy, J. (1986). Specification and Testing of Some Modified Count Data Models. &lt;i&gt;Journal of Econometrics, 33&lt;/i&gt;(3), 341-365.&lt;a href="https://doi.org/10.1016/0304-4076(86)90002-3" target="_blank"&gt;https://doi.org/10.1016/0304-4076(86)90002-3&lt;/a&gt;&lt;span style="color:white"&gt;[.]{#mullahy_1986}}&lt;/span&gt;&lt;/div&gt;&lt;br&gt;</v>
      </c>
      <c r="O302" s="65" t="str">
        <f>"{{ rtxt_"&amp;F302&amp;" }}"</f>
        <v>{{ rtxt_mullahy_1986 }}</v>
      </c>
      <c r="P302" s="65" t="str">
        <f>"{{ rbib_"&amp;F302&amp;" }}"</f>
        <v>{{ rbib_mullahy_1986 }}</v>
      </c>
      <c r="Q302" s="65" t="str">
        <f>"    rtxt_"&amp;F302&amp;": "&amp;""""&amp;"&lt;a href=\"&amp;""""&amp;"/08_references.html#"&amp;F302&amp;"\"&amp;""""&amp;" target=\"&amp;""""&amp;"_blank\"&amp;""""&amp;"&gt;"&amp;G302&amp;"&lt;/a&gt;"&amp;""""</f>
        <v xml:space="preserve">    rtxt_mullahy_1986: "&lt;a href=\"/08_references.html#mullahy_1986\" target=\"_blank\"&gt;Mullahy, 1986&lt;/a&gt;"</v>
      </c>
      <c r="R302" s="65" t="str">
        <f>"    rbib_"&amp;F302&amp;": "&amp;""""&amp;K302&amp;"&lt;a href=\"&amp;""""&amp;L302&amp;""""&amp;" target=\"&amp;""""&amp;"_blank\"&amp;""""&amp;"&gt;"&amp;L302&amp;"&lt;/a&gt;"&amp;""""</f>
        <v xml:space="preserve">    rbib_mullahy_1986: "Mullahy, J. (1986). Specification and Testing of Some Modified Count Data Models. &lt;i&gt;Journal of Econometrics, 33&lt;/i&gt;(3), 341-365.&lt;a href=\"https://doi.org/10.1016/0304-4076(86)90002-3" target=\"_blank\"&gt;https://doi.org/10.1016/0304-4076(86)90002-3&lt;/a&gt;"</v>
      </c>
      <c r="S302" s="65" t="str">
        <f>"    rbib_"&amp;F302&amp;": "&amp;""""&amp;"&lt;div class=\"&amp;""""&amp;"hanging\"&amp;""""&amp;"&gt;"&amp;J302&amp;"&lt;/div&gt;"&amp;""""</f>
        <v xml:space="preserve">    rbib_mullahy_1986: "&lt;div class=\"hanging\"&gt;Mullahy, J. (1986). Specification and Testing of Some Modified Count Data Models. *Journal of Econometrics, 3*3(3), 341-365. &lt;https://doi.org/10.1016/0304-4076(86)90002-3&gt;&lt;/div&gt;"</v>
      </c>
      <c r="T302" s="65"/>
    </row>
    <row r="303" spans="1:20" ht="15.75">
      <c r="A303" s="65"/>
      <c r="B303" s="155" t="b">
        <v>0</v>
      </c>
      <c r="C303" s="155" t="b">
        <v>0</v>
      </c>
      <c r="D303" s="155" t="s">
        <v>1993</v>
      </c>
      <c r="E303" s="65" t="s">
        <v>1904</v>
      </c>
      <c r="F303" s="65" t="s">
        <v>2748</v>
      </c>
      <c r="G303" s="65" t="s">
        <v>2747</v>
      </c>
      <c r="H303" s="65" t="s">
        <v>2747</v>
      </c>
      <c r="I303" s="65" t="b">
        <v>1</v>
      </c>
      <c r="J303" s="65" t="s">
        <v>2746</v>
      </c>
      <c r="K303" s="65" t="s">
        <v>5278</v>
      </c>
      <c r="L303" s="65" t="s">
        <v>2745</v>
      </c>
      <c r="M303" s="65" t="s">
        <v>984</v>
      </c>
      <c r="N303" s="65" t="str">
        <f>"&lt;div class="&amp;""""&amp;"hanging"&amp;""""&amp;"&gt;"&amp;K303&amp;"&lt;a href="&amp;""""&amp;L303&amp;""""&amp;" target="&amp;""""&amp;"_blank"&amp;""""&amp;"&gt;"&amp;L303&amp;"&lt;/a&gt;&lt;span style="&amp;""""&amp;"color:white"&amp;""""&amp;"&gt;[.]{#"&amp;F303&amp;"}}&lt;/span&gt;&lt;/div&gt;&lt;br&gt;"</f>
        <v>&lt;div class="hanging"&gt;Murray, M. H., Fidino, M., Lehrer, E. W., Simonis, J. L., &amp; Magle, S. B. (2021). A multi-state occupancy model to non-invasively monitor visible signs of wildlife health with camera traps that accounts for image quality. &lt;i&gt;Journal of Animal Ecology, 90&lt;/i&gt;(8), 1973-1984.&lt;a href="https://doi.org/10.1111/1365-2656.13515" target="_blank"&gt;https://doi.org/10.1111/1365-2656.13515&lt;/a&gt;&lt;span style="color:white"&gt;[.]{#murray_et_al_2021}}&lt;/span&gt;&lt;/div&gt;&lt;br&gt;</v>
      </c>
      <c r="O303" s="65" t="str">
        <f>"{{ rtxt_"&amp;F303&amp;" }}"</f>
        <v>{{ rtxt_murray_et_al_2021 }}</v>
      </c>
      <c r="P303" s="65" t="str">
        <f>"{{ rbib_"&amp;F303&amp;" }}"</f>
        <v>{{ rbib_murray_et_al_2021 }}</v>
      </c>
      <c r="Q303" s="65" t="str">
        <f>"    rtxt_"&amp;F303&amp;": "&amp;""""&amp;"&lt;a href=\"&amp;""""&amp;"/08_references.html#"&amp;F303&amp;"\"&amp;""""&amp;" target=\"&amp;""""&amp;"_blank\"&amp;""""&amp;"&gt;"&amp;G303&amp;"&lt;/a&gt;"&amp;""""</f>
        <v xml:space="preserve">    rtxt_murray_et_al_2021: "&lt;a href=\"/08_references.html#murray_et_al_2021\" target=\"_blank\"&gt;Murray et al., 2021&lt;/a&gt;"</v>
      </c>
      <c r="R303" s="65" t="str">
        <f>"    rbib_"&amp;F303&amp;": "&amp;""""&amp;K303&amp;"&lt;a href=\"&amp;""""&amp;L303&amp;""""&amp;" target=\"&amp;""""&amp;"_blank\"&amp;""""&amp;"&gt;"&amp;L303&amp;"&lt;/a&gt;"&amp;""""</f>
        <v xml:space="preserve">    rbib_murray_et_al_2021: "Murray, M. H., Fidino, M., Lehrer, E. W., Simonis, J. L., &amp; Magle, S. B. (2021). A multi-state occupancy model to non-invasively monitor visible signs of wildlife health with camera traps that accounts for image quality. &lt;i&gt;Journal of Animal Ecology, 90&lt;/i&gt;(8), 1973-1984.&lt;a href=\"https://doi.org/10.1111/1365-2656.13515" target=\"_blank\"&gt;https://doi.org/10.1111/1365-2656.13515&lt;/a&gt;"</v>
      </c>
      <c r="S303" s="65" t="str">
        <f>"    rbib_"&amp;F303&amp;": "&amp;""""&amp;"&lt;div class=\"&amp;""""&amp;"hanging\"&amp;""""&amp;"&gt;"&amp;J303&amp;"&lt;/div&gt;"&amp;""""</f>
        <v xml:space="preserve">    rbib_murray_et_al_2021: "&lt;div class=\"hanging\"&gt;Murray, M. H., Fidino, M., Lehrer, E. W., Simonis, J. L., &amp; Magle, S. B. (2021). A multi-state occupancy model to non-invasively monitor visible signs of wildlife health with camera traps that accounts for image quality. *Journal of Animal Ecology, 90*(8), 1973-1984. &lt;https://doi.org/10.1111/1365-2656.13515&gt;&lt;/div&gt;"</v>
      </c>
      <c r="T303" s="65"/>
    </row>
    <row r="304" spans="1:20" ht="15.75">
      <c r="A304" s="65"/>
      <c r="B304" s="155" t="b">
        <v>1</v>
      </c>
      <c r="C304" s="155" t="b">
        <v>1</v>
      </c>
      <c r="D304" s="155" t="b">
        <v>0</v>
      </c>
      <c r="E304" s="65" t="s">
        <v>1904</v>
      </c>
      <c r="F304" s="65" t="s">
        <v>2752</v>
      </c>
      <c r="G304" s="65" t="s">
        <v>2751</v>
      </c>
      <c r="H304" s="65" t="s">
        <v>2751</v>
      </c>
      <c r="I304" s="65" t="b">
        <v>1</v>
      </c>
      <c r="J304" s="65" t="s">
        <v>2750</v>
      </c>
      <c r="K304" s="65" t="s">
        <v>5499</v>
      </c>
      <c r="L304" s="65" t="s">
        <v>2749</v>
      </c>
      <c r="M304" s="65" t="s">
        <v>984</v>
      </c>
      <c r="N304" s="65" t="str">
        <f>"&lt;div class="&amp;""""&amp;"hanging"&amp;""""&amp;"&gt;"&amp;K304&amp;"&lt;a href="&amp;""""&amp;L304&amp;""""&amp;" target="&amp;""""&amp;"_blank"&amp;""""&amp;"&gt;"&amp;L304&amp;"&lt;/a&gt;&lt;span style="&amp;""""&amp;"color:white"&amp;""""&amp;"&gt;[.]{#"&amp;F304&amp;"}}&lt;/span&gt;&lt;/div&gt;&lt;br&gt;"</f>
        <v>&lt;div class="hanging"&gt;Murray, M. H., Hill, J., Whyte, P., &amp; St Clair, C. C. (2016) Urban Compost Attracts Coyotes, Contains Toxins, and may Promote Disease in Urban-Adapted Wildlife. &lt;i&gt;EcoHealth, 13&lt;/i&gt;(2):285-92.&lt;a href="https://www.ncbi.nlm.nih.gov/pubmed/27106524" target="_blank"&gt;https://www.ncbi.nlm.nih.gov/pubmed/27106524&lt;/a&gt;&lt;span style="color:white"&gt;[.]{#murray_et_al_2016}}&lt;/span&gt;&lt;/div&gt;&lt;br&gt;</v>
      </c>
      <c r="O304" s="65" t="str">
        <f>"{{ rtxt_"&amp;F304&amp;" }}"</f>
        <v>{{ rtxt_murray_et_al_2016 }}</v>
      </c>
      <c r="P304" s="65" t="str">
        <f>"{{ rbib_"&amp;F304&amp;" }}"</f>
        <v>{{ rbib_murray_et_al_2016 }}</v>
      </c>
      <c r="Q304" s="65" t="str">
        <f>"    rtxt_"&amp;F304&amp;": "&amp;""""&amp;"&lt;a href=\"&amp;""""&amp;"/08_references.html#"&amp;F304&amp;"\"&amp;""""&amp;" target=\"&amp;""""&amp;"_blank\"&amp;""""&amp;"&gt;"&amp;G304&amp;"&lt;/a&gt;"&amp;""""</f>
        <v xml:space="preserve">    rtxt_murray_et_al_2016: "&lt;a href=\"/08_references.html#murray_et_al_2016\" target=\"_blank\"&gt;Murray et al., 2016&lt;/a&gt;"</v>
      </c>
      <c r="R304" s="65" t="str">
        <f>"    rbib_"&amp;F304&amp;": "&amp;""""&amp;K304&amp;"&lt;a href=\"&amp;""""&amp;L304&amp;""""&amp;" target=\"&amp;""""&amp;"_blank\"&amp;""""&amp;"&gt;"&amp;L304&amp;"&lt;/a&gt;"&amp;""""</f>
        <v xml:space="preserve">    rbib_murray_et_al_2016: "Murray, M. H., Hill, J., Whyte, P., &amp; St Clair, C. C. (2016) Urban Compost Attracts Coyotes, Contains Toxins, and may Promote Disease in Urban-Adapted Wildlife. &lt;i&gt;EcoHealth, 13&lt;/i&gt;(2):285-92.&lt;a href=\"https://www.ncbi.nlm.nih.gov/pubmed/27106524" target=\"_blank\"&gt;https://www.ncbi.nlm.nih.gov/pubmed/27106524&lt;/a&gt;"</v>
      </c>
      <c r="S304" s="65" t="str">
        <f>"    rbib_"&amp;F304&amp;": "&amp;""""&amp;"&lt;div class=\"&amp;""""&amp;"hanging\"&amp;""""&amp;"&gt;"&amp;J304&amp;"&lt;/div&gt;"&amp;""""</f>
        <v xml:space="preserve">    rbib_murray_et_al_2016: "&lt;div class=\"hanging\"&gt;Murray, M. H., Hill, J., Whyte, P., &amp; St Clair, C. C. (2016) Urban Compost Attracts Coyotes, Contains Toxins, and may Promote Disease in Urban-Adapted Wildlife. *EcoHealth, 13*(2):285-92. &lt;https://www.ncbi.nlm.nih.gov/pubmed/27106524&gt;&lt;/div&gt;"</v>
      </c>
      <c r="T304" s="65"/>
    </row>
    <row r="305" spans="1:20" ht="15.75">
      <c r="A305" s="65"/>
      <c r="B305" s="155"/>
      <c r="C305" s="155"/>
      <c r="D305" s="155"/>
      <c r="E305" s="65" t="s">
        <v>1945</v>
      </c>
      <c r="F305" s="65" t="s">
        <v>2744</v>
      </c>
      <c r="G305" s="65" t="s">
        <v>2743</v>
      </c>
      <c r="H305" s="65" t="s">
        <v>2742</v>
      </c>
      <c r="I305" s="65" t="b">
        <v>1</v>
      </c>
      <c r="J305" s="65" t="s">
        <v>2741</v>
      </c>
      <c r="K305" s="65" t="s">
        <v>5520</v>
      </c>
      <c r="L305" s="65" t="s">
        <v>2740</v>
      </c>
      <c r="M305" s="65" t="s">
        <v>984</v>
      </c>
      <c r="N305" s="65" t="str">
        <f>"&lt;div class="&amp;""""&amp;"hanging"&amp;""""&amp;"&gt;"&amp;K305&amp;"&lt;a href="&amp;""""&amp;L305&amp;""""&amp;" target="&amp;""""&amp;"_blank"&amp;""""&amp;"&gt;"&amp;L305&amp;"&lt;/a&gt;&lt;span style="&amp;""""&amp;"color:white"&amp;""""&amp;"&gt;[.]{#"&amp;F305&amp;"}}&lt;/span&gt;&lt;/div&gt;&lt;br&gt;"</f>
        <v>&lt;div class="hanging"&gt;Nakajima. (2021a, Jul 1). &lt;i&gt;Density Estimation with the REST Model.&lt;/i&gt; [Playlist]. YouTube.&lt;a href="https://www.youtube.com/playlist?list=PLNlLe3RjftYun9Xh2pJOAuisHaTVyEwAB" target="_blank"&gt;https://www.youtube.com/playlist?list=PLNlLe3RjftYun9Xh2pJOAuisHaTVyEwAB&lt;/a&gt;&lt;span style="color:white"&gt;[.]{#nakajima_2021a}}&lt;/span&gt;&lt;/div&gt;&lt;br&gt;</v>
      </c>
      <c r="O305" s="65" t="str">
        <f>"{{ rtxt_"&amp;F305&amp;" }}"</f>
        <v>{{ rtxt_nakajima_2021a }}</v>
      </c>
      <c r="P305" s="65" t="str">
        <f>"{{ rbib_"&amp;F305&amp;" }}"</f>
        <v>{{ rbib_nakajima_2021a }}</v>
      </c>
      <c r="Q305" s="65" t="str">
        <f>"    rtxt_"&amp;F305&amp;": "&amp;""""&amp;"&lt;a href=\"&amp;""""&amp;"/08_references.html#"&amp;F305&amp;"\"&amp;""""&amp;" target=\"&amp;""""&amp;"_blank\"&amp;""""&amp;"&gt;"&amp;G305&amp;"&lt;/a&gt;"&amp;""""</f>
        <v xml:space="preserve">    rtxt_nakajima_2021a: "&lt;a href=\"/08_references.html#nakajima_2021a\" target=\"_blank\"&gt;Nakajima, 2021a&lt;/a&gt;"</v>
      </c>
      <c r="R305" s="65" t="str">
        <f>"    rbib_"&amp;F305&amp;": "&amp;""""&amp;K305&amp;"&lt;a href=\"&amp;""""&amp;L305&amp;""""&amp;" target=\"&amp;""""&amp;"_blank\"&amp;""""&amp;"&gt;"&amp;L305&amp;"&lt;/a&gt;"&amp;""""</f>
        <v xml:space="preserve">    rbib_nakajima_2021a: "Nakajima. (2021a, Jul 1). &lt;i&gt;Density Estimation with the REST Model.&lt;/i&gt; [Playlist]. YouTube.&lt;a href=\"https://www.youtube.com/playlist?list=PLNlLe3RjftYun9Xh2pJOAuisHaTVyEwAB" target=\"_blank\"&gt;https://www.youtube.com/playlist?list=PLNlLe3RjftYun9Xh2pJOAuisHaTVyEwAB&lt;/a&gt;"</v>
      </c>
      <c r="S305" s="65" t="str">
        <f>"    rbib_"&amp;F305&amp;": "&amp;""""&amp;"&lt;div class=\"&amp;""""&amp;"hanging\"&amp;""""&amp;"&gt;"&amp;J305&amp;"&lt;/div&gt;"&amp;""""</f>
        <v xml:space="preserve">    rbib_nakajima_2021a: "&lt;div class=\"hanging\"&gt;Nakajima. (2021a, Jul 1). *Density Estimation with the REST Model.* [Playlist]. YouTube. &lt;https://www.youtube.com/playlist?list=PLNlLe3RjftYun9Xh2pJOAuisHaTVyEwAB&gt;&lt;/div&gt;"</v>
      </c>
      <c r="T305" s="65"/>
    </row>
    <row r="306" spans="1:20" ht="15.75">
      <c r="A306" s="65"/>
      <c r="B306" s="155"/>
      <c r="C306" s="155"/>
      <c r="D306" s="155"/>
      <c r="E306" s="65" t="s">
        <v>1945</v>
      </c>
      <c r="F306" s="65" t="s">
        <v>2739</v>
      </c>
      <c r="G306" s="65" t="s">
        <v>2738</v>
      </c>
      <c r="H306" s="65" t="s">
        <v>2737</v>
      </c>
      <c r="I306" s="65" t="b">
        <v>1</v>
      </c>
      <c r="J306" s="65" t="s">
        <v>2736</v>
      </c>
      <c r="K306" s="65" t="s">
        <v>5539</v>
      </c>
      <c r="L306" s="65" t="s">
        <v>2734</v>
      </c>
      <c r="M306" s="65" t="s">
        <v>2735</v>
      </c>
      <c r="N306" s="65" t="str">
        <f>"&lt;div class="&amp;""""&amp;"hanging"&amp;""""&amp;"&gt;"&amp;K306&amp;"&lt;a href="&amp;""""&amp;L306&amp;""""&amp;" target="&amp;""""&amp;"_blank"&amp;""""&amp;"&gt;"&amp;L306&amp;"&lt;/a&gt;&lt;span style="&amp;""""&amp;"color:white"&amp;""""&amp;"&gt;[.]{#"&amp;F306&amp;"}}&lt;/span&gt;&lt;/div&gt;&lt;br&gt;"</f>
        <v>&lt;div class="hanging"&gt;Nakajima. (2021b, Jul 1). &lt;i&gt;Density Estimation with the REST Model &gt; REST_01_Set_Focal_Area.&lt;/i&gt; [Video]. YouTube.&lt;a href="https://www.youtube.com/watch?v=pUa9rgxSGVA&amp;list=PLNlLe3RjftYun9Xh2pJOAuisHaTVyEwAB&amp;index=1" target="_blank"&gt;https://www.youtube.com/watch?v=pUa9rgxSGVA&amp;list=PLNlLe3RjftYun9Xh2pJOAuisHaTVyEwAB&amp;index=1&lt;/a&gt;&lt;span style="color:white"&gt;[.]{#nakajima_2021b}}&lt;/span&gt;&lt;/div&gt;&lt;br&gt;</v>
      </c>
      <c r="O306" s="65" t="str">
        <f>"{{ rtxt_"&amp;F306&amp;" }}"</f>
        <v>{{ rtxt_nakajima_2021b }}</v>
      </c>
      <c r="P306" s="65" t="str">
        <f>"{{ rbib_"&amp;F306&amp;" }}"</f>
        <v>{{ rbib_nakajima_2021b }}</v>
      </c>
      <c r="Q306" s="65" t="str">
        <f>"    rtxt_"&amp;F306&amp;": "&amp;""""&amp;"&lt;a href=\"&amp;""""&amp;"/08_references.html#"&amp;F306&amp;"\"&amp;""""&amp;" target=\"&amp;""""&amp;"_blank\"&amp;""""&amp;"&gt;"&amp;G306&amp;"&lt;/a&gt;"&amp;""""</f>
        <v xml:space="preserve">    rtxt_nakajima_2021b: "&lt;a href=\"/08_references.html#nakajima_2021b\" target=\"_blank\"&gt;Nakajima, 2021b&lt;/a&gt;"</v>
      </c>
      <c r="R306" s="65" t="str">
        <f>"    rbib_"&amp;F306&amp;": "&amp;""""&amp;K306&amp;"&lt;a href=\"&amp;""""&amp;L306&amp;""""&amp;" target=\"&amp;""""&amp;"_blank\"&amp;""""&amp;"&gt;"&amp;L306&amp;"&lt;/a&gt;"&amp;""""</f>
        <v xml:space="preserve">    rbib_nakajima_2021b: "Nakajima. (2021b, Jul 1). &lt;i&gt;Density Estimation with the REST Model &gt; REST_01_Set_Focal_Area.&lt;/i&gt; [Video]. YouTube.&lt;a href=\"https://www.youtube.com/watch?v=pUa9rgxSGVA&amp;list=PLNlLe3RjftYun9Xh2pJOAuisHaTVyEwAB&amp;index=1" target=\"_blank\"&gt;https://www.youtube.com/watch?v=pUa9rgxSGVA&amp;list=PLNlLe3RjftYun9Xh2pJOAuisHaTVyEwAB&amp;index=1&lt;/a&gt;"</v>
      </c>
      <c r="S306" s="65" t="str">
        <f>"    rbib_"&amp;F306&amp;": "&amp;""""&amp;"&lt;div class=\"&amp;""""&amp;"hanging\"&amp;""""&amp;"&gt;"&amp;J306&amp;"&lt;/div&gt;"&amp;""""</f>
        <v xml:space="preserve">    rbib_nakajima_2021b: "&lt;div class=\"hanging\"&gt;Nakajima. (2021b, Jul 1). *Density Estimation with the REST Model &gt; REST_01_Set_Focal_Area* [Video]. YouTube. &lt;https://www.youtube.com/watch?v=pUa9rgxSGVA&amp;list=PLNlLe3RjftYun9Xh2pJOAuisHaTVyEwAB&amp;index=1&gt;&lt;/div&gt;"</v>
      </c>
      <c r="T306" s="65"/>
    </row>
    <row r="307" spans="1:20" ht="15.75">
      <c r="A307" s="65"/>
      <c r="B307" s="155"/>
      <c r="C307" s="155"/>
      <c r="D307" s="155"/>
      <c r="E307" s="65" t="s">
        <v>1945</v>
      </c>
      <c r="F307" s="65" t="s">
        <v>2733</v>
      </c>
      <c r="G307" s="65" t="s">
        <v>2732</v>
      </c>
      <c r="H307" s="65" t="s">
        <v>2731</v>
      </c>
      <c r="I307" s="65" t="b">
        <v>1</v>
      </c>
      <c r="J307" s="65" t="s">
        <v>2730</v>
      </c>
      <c r="K307" s="65" t="s">
        <v>5552</v>
      </c>
      <c r="L307" s="65" t="s">
        <v>2728</v>
      </c>
      <c r="M307" s="65" t="s">
        <v>2729</v>
      </c>
      <c r="N307" s="65" t="str">
        <f>"&lt;div class="&amp;""""&amp;"hanging"&amp;""""&amp;"&gt;"&amp;K307&amp;"&lt;a href="&amp;""""&amp;L307&amp;""""&amp;" target="&amp;""""&amp;"_blank"&amp;""""&amp;"&gt;"&amp;L307&amp;"&lt;/a&gt;&lt;span style="&amp;""""&amp;"color:white"&amp;""""&amp;"&gt;[.]{#"&amp;F307&amp;"}}&lt;/span&gt;&lt;/div&gt;&lt;br&gt;"</f>
        <v>&lt;div class="hanging"&gt;Nakajima. (2021c, Jul 1). &lt;i&gt;Density Estimation with the REST Model &gt; REST_02_Set_Up_Emv.&lt;/i&gt; [Video]. YouTube.&lt;a href="https://www.youtube.com/watch?v=wqEF_up7EGs&amp;list=PLNlLe3RjftYun9Xh2pJOAuisHaTVyEwAB&amp;index=2" target="_blank"&gt;https://www.youtube.com/watch?v=wqEF_up7EGs&amp;list=PLNlLe3RjftYun9Xh2pJOAuisHaTVyEwAB&amp;index=2&lt;/a&gt;&lt;span style="color:white"&gt;[.]{#nakajima_2021c}}&lt;/span&gt;&lt;/div&gt;&lt;br&gt;</v>
      </c>
      <c r="O307" s="65" t="str">
        <f>"{{ rtxt_"&amp;F307&amp;" }}"</f>
        <v>{{ rtxt_nakajima_2021c }}</v>
      </c>
      <c r="P307" s="65" t="str">
        <f>"{{ rbib_"&amp;F307&amp;" }}"</f>
        <v>{{ rbib_nakajima_2021c }}</v>
      </c>
      <c r="Q307" s="65" t="str">
        <f>"    rtxt_"&amp;F307&amp;": "&amp;""""&amp;"&lt;a href=\"&amp;""""&amp;"/08_references.html#"&amp;F307&amp;"\"&amp;""""&amp;" target=\"&amp;""""&amp;"_blank\"&amp;""""&amp;"&gt;"&amp;G307&amp;"&lt;/a&gt;"&amp;""""</f>
        <v xml:space="preserve">    rtxt_nakajima_2021c: "&lt;a href=\"/08_references.html#nakajima_2021c\" target=\"_blank\"&gt;Nakajima, 2021c&lt;/a&gt;"</v>
      </c>
      <c r="R307" s="65" t="str">
        <f>"    rbib_"&amp;F307&amp;": "&amp;""""&amp;K307&amp;"&lt;a href=\"&amp;""""&amp;L307&amp;""""&amp;" target=\"&amp;""""&amp;"_blank\"&amp;""""&amp;"&gt;"&amp;L307&amp;"&lt;/a&gt;"&amp;""""</f>
        <v xml:space="preserve">    rbib_nakajima_2021c: "Nakajima. (2021c, Jul 1). &lt;i&gt;Density Estimation with the REST Model &gt; REST_02_Set_Up_Emv.&lt;/i&gt; [Video]. YouTube.&lt;a href=\"https://www.youtube.com/watch?v=wqEF_up7EGs&amp;list=PLNlLe3RjftYun9Xh2pJOAuisHaTVyEwAB&amp;index=2" target=\"_blank\"&gt;https://www.youtube.com/watch?v=wqEF_up7EGs&amp;list=PLNlLe3RjftYun9Xh2pJOAuisHaTVyEwAB&amp;index=2&lt;/a&gt;"</v>
      </c>
      <c r="S307" s="65" t="str">
        <f>"    rbib_"&amp;F307&amp;": "&amp;""""&amp;"&lt;div class=\"&amp;""""&amp;"hanging\"&amp;""""&amp;"&gt;"&amp;J307&amp;"&lt;/div&gt;"&amp;""""</f>
        <v xml:space="preserve">    rbib_nakajima_2021c: "&lt;div class=\"hanging\"&gt;Nakajima. (2021c, Jul 1). *Density Estimation with the REST Model &gt; REST_02_Set_Up_Emv.* [Video]. YouTube. &lt;https://www.youtube.com/watch?v=wqEF_up7EGs&amp;list=PLNlLe3RjftYun9Xh2pJOAuisHaTVyEwAB&amp;index=2&gt;&lt;/div&gt;"</v>
      </c>
      <c r="T307" s="65"/>
    </row>
    <row r="308" spans="1:20" ht="15.75">
      <c r="A308" s="65"/>
      <c r="B308" s="155"/>
      <c r="C308" s="155"/>
      <c r="D308" s="155"/>
      <c r="E308" s="65" t="s">
        <v>1945</v>
      </c>
      <c r="F308" s="65" t="s">
        <v>2727</v>
      </c>
      <c r="G308" s="65" t="s">
        <v>2726</v>
      </c>
      <c r="H308" s="65" t="s">
        <v>2725</v>
      </c>
      <c r="I308" s="65" t="b">
        <v>1</v>
      </c>
      <c r="J308" s="65" t="s">
        <v>2724</v>
      </c>
      <c r="K308" s="65" t="s">
        <v>5542</v>
      </c>
      <c r="L308" s="65" t="s">
        <v>2722</v>
      </c>
      <c r="M308" s="65" t="s">
        <v>2723</v>
      </c>
      <c r="N308" s="65" t="str">
        <f>"&lt;div class="&amp;""""&amp;"hanging"&amp;""""&amp;"&gt;"&amp;K308&amp;"&lt;a href="&amp;""""&amp;L308&amp;""""&amp;" target="&amp;""""&amp;"_blank"&amp;""""&amp;"&gt;"&amp;L308&amp;"&lt;/a&gt;&lt;span style="&amp;""""&amp;"color:white"&amp;""""&amp;"&gt;[.]{#"&amp;F308&amp;"}}&lt;/span&gt;&lt;/div&gt;&lt;br&gt;"</f>
        <v>&lt;div class="hanging"&gt;Nakajima. (2021d, Jul 1). &lt;i&gt;Density Estimation with the REST Model &gt; REST_03_MeasureStayingTime.&lt;/i&gt; [Video]. YouTube.&lt;a href="https://www.youtube.com/watch?v=s-d81K72yWs&amp;list=PLNlLe3RjftYun9Xh2pJOAuisHaTVyEwAB&amp;index=3" target="_blank"&gt;https://www.youtube.com/watch?v=s-d81K72yWs&amp;list=PLNlLe3RjftYun9Xh2pJOAuisHaTVyEwAB&amp;index=3&lt;/a&gt;&lt;span style="color:white"&gt;[.]{#nakajima_2021d}}&lt;/span&gt;&lt;/div&gt;&lt;br&gt;</v>
      </c>
      <c r="O308" s="65" t="str">
        <f>"{{ rtxt_"&amp;F308&amp;" }}"</f>
        <v>{{ rtxt_nakajima_2021d }}</v>
      </c>
      <c r="P308" s="65" t="str">
        <f>"{{ rbib_"&amp;F308&amp;" }}"</f>
        <v>{{ rbib_nakajima_2021d }}</v>
      </c>
      <c r="Q308" s="65" t="str">
        <f>"    rtxt_"&amp;F308&amp;": "&amp;""""&amp;"&lt;a href=\"&amp;""""&amp;"/08_references.html#"&amp;F308&amp;"\"&amp;""""&amp;" target=\"&amp;""""&amp;"_blank\"&amp;""""&amp;"&gt;"&amp;G308&amp;"&lt;/a&gt;"&amp;""""</f>
        <v xml:space="preserve">    rtxt_nakajima_2021d: "&lt;a href=\"/08_references.html#nakajima_2021d\" target=\"_blank\"&gt;Nakajima, 2021d&lt;/a&gt;"</v>
      </c>
      <c r="R308" s="65" t="str">
        <f>"    rbib_"&amp;F308&amp;": "&amp;""""&amp;K308&amp;"&lt;a href=\"&amp;""""&amp;L308&amp;""""&amp;" target=\"&amp;""""&amp;"_blank\"&amp;""""&amp;"&gt;"&amp;L308&amp;"&lt;/a&gt;"&amp;""""</f>
        <v xml:space="preserve">    rbib_nakajima_2021d: "Nakajima. (2021d, Jul 1). &lt;i&gt;Density Estimation with the REST Model &gt; REST_03_MeasureStayingTime.&lt;/i&gt; [Video]. YouTube.&lt;a href=\"https://www.youtube.com/watch?v=s-d81K72yWs&amp;list=PLNlLe3RjftYun9Xh2pJOAuisHaTVyEwAB&amp;index=3" target=\"_blank\"&gt;https://www.youtube.com/watch?v=s-d81K72yWs&amp;list=PLNlLe3RjftYun9Xh2pJOAuisHaTVyEwAB&amp;index=3&lt;/a&gt;"</v>
      </c>
      <c r="S308" s="65" t="str">
        <f>"    rbib_"&amp;F308&amp;": "&amp;""""&amp;"&lt;div class=\"&amp;""""&amp;"hanging\"&amp;""""&amp;"&gt;"&amp;J308&amp;"&lt;/div&gt;"&amp;""""</f>
        <v xml:space="preserve">    rbib_nakajima_2021d: "&lt;div class=\"hanging\"&gt;Nakajima. (2021d, Jul 1). *Density Estimation with the REST Model &gt; REST_03_MeasureStayingTime.* [Video]. YouTube. &lt;https://www.youtube.com/watch?v=s-d81K72yWs&amp;list=PLNlLe3RjftYun9Xh2pJOAuisHaTVyEwAB&amp;index=3&gt;&lt;/div&gt;"</v>
      </c>
      <c r="T308" s="65"/>
    </row>
    <row r="309" spans="1:20" ht="15.75">
      <c r="A309" s="65"/>
      <c r="B309" s="155" t="b">
        <v>1</v>
      </c>
      <c r="C309" s="155" t="b">
        <v>0</v>
      </c>
      <c r="D309" s="155" t="b">
        <v>1</v>
      </c>
      <c r="E309" s="65" t="s">
        <v>1904</v>
      </c>
      <c r="F309" s="65" t="s">
        <v>2721</v>
      </c>
      <c r="G309" s="65" t="s">
        <v>2720</v>
      </c>
      <c r="H309" s="65" t="s">
        <v>2720</v>
      </c>
      <c r="I309" s="65" t="b">
        <v>1</v>
      </c>
      <c r="J309" s="65" t="s">
        <v>2719</v>
      </c>
      <c r="K309" s="65" t="s">
        <v>5284</v>
      </c>
      <c r="L309" s="65" t="s">
        <v>2718</v>
      </c>
      <c r="M309" s="65" t="s">
        <v>984</v>
      </c>
      <c r="N309" s="65" t="str">
        <f>"&lt;div class="&amp;""""&amp;"hanging"&amp;""""&amp;"&gt;"&amp;K309&amp;"&lt;a href="&amp;""""&amp;L309&amp;""""&amp;" target="&amp;""""&amp;"_blank"&amp;""""&amp;"&gt;"&amp;L309&amp;"&lt;/a&gt;&lt;span style="&amp;""""&amp;"color:white"&amp;""""&amp;"&gt;[.]{#"&amp;F309&amp;"}}&lt;/span&gt;&lt;/div&gt;&lt;br&gt;"</f>
        <v>&lt;div class="hanging"&gt;Nakashima, Y., Fukasawa, &amp; K., Samejima, H. (2017). Estimating Animal Density Without Individual Recognition Using Information Derivable Exclusively from Camera Traps. &lt;i&gt;Journal of Applied Ecology, 55&lt;/i&gt;(2), 735-744.&lt;a href="https://doi.org/10.1111/1365-2664.13059" target="_blank"&gt;https://doi.org/10.1111/1365-2664.13059&lt;/a&gt;&lt;span style="color:white"&gt;[.]{#nakashima_et_al_2017}}&lt;/span&gt;&lt;/div&gt;&lt;br&gt;</v>
      </c>
      <c r="O309" s="65" t="str">
        <f>"{{ rtxt_"&amp;F309&amp;" }}"</f>
        <v>{{ rtxt_nakashima_et_al_2017 }}</v>
      </c>
      <c r="P309" s="65" t="str">
        <f>"{{ rbib_"&amp;F309&amp;" }}"</f>
        <v>{{ rbib_nakashima_et_al_2017 }}</v>
      </c>
      <c r="Q309" s="65" t="str">
        <f>"    rtxt_"&amp;F309&amp;": "&amp;""""&amp;"&lt;a href=\"&amp;""""&amp;"/08_references.html#"&amp;F309&amp;"\"&amp;""""&amp;" target=\"&amp;""""&amp;"_blank\"&amp;""""&amp;"&gt;"&amp;G309&amp;"&lt;/a&gt;"&amp;""""</f>
        <v xml:space="preserve">    rtxt_nakashima_et_al_2017: "&lt;a href=\"/08_references.html#nakashima_et_al_2017\" target=\"_blank\"&gt;Nakashima et al., 2017&lt;/a&gt;"</v>
      </c>
      <c r="R309" s="65" t="str">
        <f>"    rbib_"&amp;F309&amp;": "&amp;""""&amp;K309&amp;"&lt;a href=\"&amp;""""&amp;L309&amp;""""&amp;" target=\"&amp;""""&amp;"_blank\"&amp;""""&amp;"&gt;"&amp;L309&amp;"&lt;/a&gt;"&amp;""""</f>
        <v xml:space="preserve">    rbib_nakashima_et_al_2017: "Nakashima, Y., Fukasawa, &amp; K., Samejima, H. (2017). Estimating Animal Density Without Individual Recognition Using Information Derivable Exclusively from Camera Traps. &lt;i&gt;Journal of Applied Ecology, 55&lt;/i&gt;(2), 735-744.&lt;a href=\"https://doi.org/10.1111/1365-2664.13059" target=\"_blank\"&gt;https://doi.org/10.1111/1365-2664.13059&lt;/a&gt;"</v>
      </c>
      <c r="S309" s="65" t="str">
        <f>"    rbib_"&amp;F309&amp;": "&amp;""""&amp;"&lt;div class=\"&amp;""""&amp;"hanging\"&amp;""""&amp;"&gt;"&amp;J309&amp;"&lt;/div&gt;"&amp;""""</f>
        <v xml:space="preserve">    rbib_nakashima_et_al_2017: "&lt;div class=\"hanging\"&gt;Nakashima, Y., Fukasawa, &amp; K., Samejima, H. (2017). Estimating Animal Density Without Individual Recognition Using Information Derivable Exclusively from Camera Traps. *Journal of Applied Ecology, 55*(2), 735-744. &lt;https://doi.org/10.1111/1365-2664.13059&gt;&lt;/div&gt;"</v>
      </c>
      <c r="T309" s="65"/>
    </row>
    <row r="310" spans="1:20" ht="15.75">
      <c r="A310" s="65"/>
      <c r="B310" s="155"/>
      <c r="C310" s="155"/>
      <c r="D310" s="155"/>
      <c r="E310" s="65" t="s">
        <v>1904</v>
      </c>
      <c r="F310" s="65" t="s">
        <v>2717</v>
      </c>
      <c r="G310" s="65" t="s">
        <v>2716</v>
      </c>
      <c r="H310" s="65" t="s">
        <v>2715</v>
      </c>
      <c r="I310" s="65" t="b">
        <v>1</v>
      </c>
      <c r="J310" s="65" t="s">
        <v>2714</v>
      </c>
      <c r="K310" s="65" t="s">
        <v>5229</v>
      </c>
      <c r="L310" s="65" t="s">
        <v>2713</v>
      </c>
      <c r="M310" s="65" t="s">
        <v>984</v>
      </c>
      <c r="N310" s="65" t="str">
        <f>"&lt;div class="&amp;""""&amp;"hanging"&amp;""""&amp;"&gt;"&amp;K310&amp;"&lt;a href="&amp;""""&amp;L310&amp;""""&amp;" target="&amp;""""&amp;"_blank"&amp;""""&amp;"&gt;"&amp;L310&amp;"&lt;/a&gt;&lt;span style="&amp;""""&amp;"color:white"&amp;""""&amp;"&gt;[.]{#"&amp;F310&amp;"}}&lt;/span&gt;&lt;/div&gt;&lt;br&gt;"</f>
        <v>&lt;div class="hanging"&gt;Nakashima, Y., Hongo, S., &amp; Akomo-Okoue, E. F. (2020). Landscape-scale estimation of forest ungulate density and biomass using camera traps: Applying the REST model. &lt;i&gt;Biological Conservation, 241&lt;/i&gt;, 108381.&lt;a href="https://doi.org/10.1016/j.biocon.2019.108381" target="_blank"&gt;https://doi.org/10.1016/j.biocon.2019.108381&lt;/a&gt;&lt;span style="color:white"&gt;[.]{#nakashima_et_al_2020}}&lt;/span&gt;&lt;/div&gt;&lt;br&gt;</v>
      </c>
      <c r="O310" s="65" t="str">
        <f>"{{ rtxt_"&amp;F310&amp;" }}"</f>
        <v>{{ rtxt_nakashima_et_al_2020 }}</v>
      </c>
      <c r="P310" s="65" t="str">
        <f>"{{ rbib_"&amp;F310&amp;" }}"</f>
        <v>{{ rbib_nakashima_et_al_2020 }}</v>
      </c>
      <c r="Q310" s="65" t="str">
        <f>"    rtxt_"&amp;F310&amp;": "&amp;""""&amp;"&lt;a href=\"&amp;""""&amp;"/08_references.html#"&amp;F310&amp;"\"&amp;""""&amp;" target=\"&amp;""""&amp;"_blank\"&amp;""""&amp;"&gt;"&amp;G310&amp;"&lt;/a&gt;"&amp;""""</f>
        <v xml:space="preserve">    rtxt_nakashima_et_al_2020: "&lt;a href=\"/08_references.html#nakashima_et_al_2020\" target=\"_blank\"&gt;Nakashima et al., 2020&lt;/a&gt;"</v>
      </c>
      <c r="R310" s="65" t="str">
        <f>"    rbib_"&amp;F310&amp;": "&amp;""""&amp;K310&amp;"&lt;a href=\"&amp;""""&amp;L310&amp;""""&amp;" target=\"&amp;""""&amp;"_blank\"&amp;""""&amp;"&gt;"&amp;L310&amp;"&lt;/a&gt;"&amp;""""</f>
        <v xml:space="preserve">    rbib_nakashima_et_al_2020: "Nakashima, Y., Hongo, S., &amp; Akomo-Okoue, E. F. (2020). Landscape-scale estimation of forest ungulate density and biomass using camera traps: Applying the REST model. &lt;i&gt;Biological Conservation, 241&lt;/i&gt;, 108381.&lt;a href=\"https://doi.org/10.1016/j.biocon.2019.108381" target=\"_blank\"&gt;https://doi.org/10.1016/j.biocon.2019.108381&lt;/a&gt;"</v>
      </c>
      <c r="S310" s="65" t="str">
        <f>"    rbib_"&amp;F310&amp;": "&amp;""""&amp;"&lt;div class=\"&amp;""""&amp;"hanging\"&amp;""""&amp;"&gt;"&amp;J310&amp;"&lt;/div&gt;"&amp;""""</f>
        <v xml:space="preserve">    rbib_nakashima_et_al_2020: "&lt;div class=\"hanging\"&gt;Nakashima, Y., Hongo, S., &amp; Akomo-Okoue, E. F. (2020). Landscape-scale estimation of forest ungulate density and biomass using camera traps: Applying the REST model. *Biological Conservation, 241*, 108381. &lt;https://doi.org/10.1016/j.biocon.2019.108381&gt;&lt;/div&gt;"</v>
      </c>
      <c r="T310" s="65"/>
    </row>
    <row r="311" spans="1:20" ht="15.75">
      <c r="A311" s="65"/>
      <c r="B311" s="155"/>
      <c r="C311" s="155"/>
      <c r="D311" s="155"/>
      <c r="E311" s="65"/>
      <c r="F311" s="65" t="s">
        <v>2510</v>
      </c>
      <c r="G311" s="65" t="s">
        <v>2509</v>
      </c>
      <c r="H311" s="65" t="s">
        <v>2509</v>
      </c>
      <c r="I311" s="65" t="b">
        <v>0</v>
      </c>
      <c r="J311" s="65" t="s">
        <v>5564</v>
      </c>
      <c r="K311" s="65" t="s">
        <v>5560</v>
      </c>
      <c r="L311" s="65" t="s">
        <v>5094</v>
      </c>
      <c r="M311" s="65" t="s">
        <v>984</v>
      </c>
      <c r="N311" s="65" t="str">
        <f>"&lt;div class="&amp;""""&amp;"hanging"&amp;""""&amp;"&gt;"&amp;K311&amp;"&lt;a href="&amp;""""&amp;L311&amp;""""&amp;" target="&amp;""""&amp;"_blank"&amp;""""&amp;"&gt;"&amp;L311&amp;"&lt;/a&gt;&lt;span style="&amp;""""&amp;"color:white"&amp;""""&amp;"&gt;[.]{#"&amp;F311&amp;"}}&lt;/span&gt;&lt;/div&gt;&lt;br&gt;"</f>
        <v>&lt;div class="hanging"&gt;National Boreal Caribou Knowledge Consortium [NBCKC / CNSCB]. (2024). &lt;i&gt;National Boreal Caribou Knowledge Consortium Glossary: Creating a common language.&lt;/i&gt; National Boreal Caribou Knowledge Consortium (NBCKC / CNSCB).&lt;a href="https://www.cclmportal.ca/resource/creating-common-language-glossary#:~:text=The%20goal%20of%20the%20National,A%20Toolkit%20for%20Respectful%20Collaboration" target="_blank"&gt;https://www.cclmportal.ca/resource/creating-common-language-glossary#:~:text=The%20goal%20of%20the%20National,A%20Toolkit%20for%20Respectful%20Collaboration&lt;/a&gt;&lt;span style="color:white"&gt;[.]{#rcsc_2024b}}&lt;/span&gt;&lt;/div&gt;&lt;br&gt;</v>
      </c>
      <c r="O311" s="65" t="str">
        <f>"{{ rtxt_"&amp;F311&amp;" }}"</f>
        <v>{{ rtxt_rcsc_2024b }}</v>
      </c>
      <c r="P311" s="65" t="str">
        <f>"{{ rbib_"&amp;F311&amp;" }}"</f>
        <v>{{ rbib_rcsc_2024b }}</v>
      </c>
      <c r="Q311" s="65" t="str">
        <f>"    rtxt_"&amp;F311&amp;": "&amp;""""&amp;"&lt;a href=\"&amp;""""&amp;"/08_references.html#"&amp;F311&amp;"\"&amp;""""&amp;" target=\"&amp;""""&amp;"_blank\"&amp;""""&amp;"&gt;"&amp;G311&amp;"&lt;/a&gt;"&amp;""""</f>
        <v xml:space="preserve">    rtxt_rcsc_2024b: "&lt;a href=\"/08_references.html#rcsc_2024b\" target=\"_blank\"&gt;RCSC, 2024, personal communications&lt;/a&gt;"</v>
      </c>
      <c r="R311" s="65" t="str">
        <f>"    rbib_"&amp;F311&amp;": "&amp;""""&amp;K311&amp;"&lt;a href=\"&amp;""""&amp;L311&amp;""""&amp;" target=\"&amp;""""&amp;"_blank\"&amp;""""&amp;"&gt;"&amp;L311&amp;"&lt;/a&gt;"&amp;""""</f>
        <v xml:space="preserve">    rbib_rcsc_2024b: "National Boreal Caribou Knowledge Consortium [NBCKC / CNSCB]. (2024). &lt;i&gt;National Boreal Caribou Knowledge Consortium Glossary: Creating a common language.&lt;/i&gt; National Boreal Caribou Knowledge Consortium (NBCKC / CNSCB).&lt;a href=\"https://www.cclmportal.ca/resource/creating-common-language-glossary#:~:text=The%20goal%20of%20the%20National,A%20Toolkit%20for%20Respectful%20Collaboration" target=\"_blank\"&gt;https://www.cclmportal.ca/resource/creating-common-language-glossary#:~:text=The%20goal%20of%20the%20National,A%20Toolkit%20for%20Respectful%20Collaboration&lt;/a&gt;"</v>
      </c>
      <c r="S311" s="65" t="str">
        <f>"    rbib_"&amp;F311&amp;": "&amp;""""&amp;"&lt;div class=\"&amp;""""&amp;"hanging\"&amp;""""&amp;"&gt;"&amp;J311&amp;"&lt;/div&gt;"&amp;""""</f>
        <v xml:space="preserve">    rbib_rcsc_2024b: "&lt;div class=\"hanging\"&gt;National Boreal Caribou Knowledge Consortium [NBCKC / CNSCB]. (2024). *National Boreal Caribou Knowledge Consortium Glossary: Creating a common language*. National Boreal Caribou Knowledge Consortium (NBCKC / CNSCB). &gt;https://www.cclmportal.ca/resource/creating-common-language-glossary#:~:text=The%20goal%20of%20the%20National,A%20Toolkit%20for%20Respectful%20Collaboration&gt;&lt;/div&gt;"</v>
      </c>
      <c r="T311" s="65"/>
    </row>
    <row r="312" spans="1:20" ht="15.75">
      <c r="A312" s="65"/>
      <c r="B312" s="155"/>
      <c r="C312" s="155"/>
      <c r="D312" s="155"/>
      <c r="E312" s="65"/>
      <c r="F312" s="65" t="s">
        <v>813</v>
      </c>
      <c r="G312" s="65" t="s">
        <v>2704</v>
      </c>
      <c r="H312" s="65"/>
      <c r="I312" s="65" t="b">
        <v>1</v>
      </c>
      <c r="J312" s="65" t="s">
        <v>2703</v>
      </c>
      <c r="K312" s="65" t="s">
        <v>5560</v>
      </c>
      <c r="L312" s="65" t="s">
        <v>5094</v>
      </c>
      <c r="M312" s="65" t="s">
        <v>984</v>
      </c>
      <c r="N312" s="65" t="str">
        <f>"&lt;div class="&amp;""""&amp;"hanging"&amp;""""&amp;"&gt;"&amp;K312&amp;"&lt;a href="&amp;""""&amp;L312&amp;""""&amp;" target="&amp;""""&amp;"_blank"&amp;""""&amp;"&gt;"&amp;L312&amp;"&lt;/a&gt;&lt;span style="&amp;""""&amp;"color:white"&amp;""""&amp;"&gt;[.]{#"&amp;F312&amp;"}}&lt;/span&gt;&lt;/div&gt;&lt;br&gt;"</f>
        <v>&lt;div class="hanging"&gt;National Boreal Caribou Knowledge Consortium [NBCKC / CNSCB]. (2024). &lt;i&gt;National Boreal Caribou Knowledge Consortium Glossary: Creating a common language.&lt;/i&gt; National Boreal Caribou Knowledge Consortium (NBCKC / CNSCB).&lt;a href="https://www.cclmportal.ca/resource/creating-common-language-glossary#:~:text=The%20goal%20of%20the%20National,A%20Toolkit%20for%20Respectful%20Collaboration" target="_blank"&gt;https://www.cclmportal.ca/resource/creating-common-language-glossary#:~:text=The%20goal%20of%20the%20National,A%20Toolkit%20for%20Respectful%20Collaboration&lt;/a&gt;&lt;span style="color:white"&gt;[.]{#nbckc_2024a}}&lt;/span&gt;&lt;/div&gt;&lt;br&gt;</v>
      </c>
      <c r="O312" s="65" t="str">
        <f>"{{ rtxt_"&amp;F312&amp;" }}"</f>
        <v>{{ rtxt_nbckc_2024a }}</v>
      </c>
      <c r="P312" s="65" t="str">
        <f>"{{ rbib_"&amp;F312&amp;" }}"</f>
        <v>{{ rbib_nbckc_2024a }}</v>
      </c>
      <c r="Q312" s="65" t="str">
        <f>"    rtxt_"&amp;F312&amp;": "&amp;""""&amp;"&lt;a href=\"&amp;""""&amp;"/08_references.html#"&amp;F312&amp;"\"&amp;""""&amp;" target=\"&amp;""""&amp;"_blank\"&amp;""""&amp;"&gt;"&amp;G312&amp;"&lt;/a&gt;"&amp;""""</f>
        <v xml:space="preserve">    rtxt_nbckc_2024a: "&lt;a href=\"/08_references.html#nbckc_2024a\" target=\"_blank\"&gt;NBCKC / CNSCB, 2024&lt;/a&gt;"</v>
      </c>
      <c r="R312" s="65" t="str">
        <f>"    rbib_"&amp;F312&amp;": "&amp;""""&amp;K312&amp;"&lt;a href=\"&amp;""""&amp;L312&amp;""""&amp;" target=\"&amp;""""&amp;"_blank\"&amp;""""&amp;"&gt;"&amp;L312&amp;"&lt;/a&gt;"&amp;""""</f>
        <v xml:space="preserve">    rbib_nbckc_2024a: "National Boreal Caribou Knowledge Consortium [NBCKC / CNSCB]. (2024). &lt;i&gt;National Boreal Caribou Knowledge Consortium Glossary: Creating a common language.&lt;/i&gt; National Boreal Caribou Knowledge Consortium (NBCKC / CNSCB).&lt;a href=\"https://www.cclmportal.ca/resource/creating-common-language-glossary#:~:text=The%20goal%20of%20the%20National,A%20Toolkit%20for%20Respectful%20Collaboration" target=\"_blank\"&gt;https://www.cclmportal.ca/resource/creating-common-language-glossary#:~:text=The%20goal%20of%20the%20National,A%20Toolkit%20for%20Respectful%20Collaboration&lt;/a&gt;"</v>
      </c>
      <c r="S312" s="65" t="str">
        <f>"    rbib_"&amp;F312&amp;": "&amp;""""&amp;"&lt;div class=\"&amp;""""&amp;"hanging\"&amp;""""&amp;"&gt;"&amp;J312&amp;"&lt;/div&gt;"&amp;""""</f>
        <v xml:space="preserve">    rbib_nbckc_2024a: "&lt;div class=\"hanging\"&gt;National Boreal Caribou Knowledge Consortium [NBCKC / CNSCB]. (2024). *National Boreal Caribou Knowledge Consortium Glossary: Creating a common language.* National Boreal Caribou Knowledge Consortium (NBCKC / CNSCB). &lt;https://www.cclmportal.ca/resource/creating-common-language-glossary#:~:text=The%20goal%20of%20the%20National,A%20Toolkit%20for%20Respectful%20Collaboration&gt;&lt;/div&gt;"</v>
      </c>
      <c r="T312" s="65"/>
    </row>
    <row r="313" spans="1:20" ht="15.75">
      <c r="A313" s="65"/>
      <c r="B313" s="155" t="b">
        <v>0</v>
      </c>
      <c r="C313" s="155" t="b">
        <v>1</v>
      </c>
      <c r="D313" s="155" t="b">
        <v>0</v>
      </c>
      <c r="E313" s="65" t="s">
        <v>984</v>
      </c>
      <c r="F313" s="65" t="s">
        <v>2712</v>
      </c>
      <c r="G313" s="65" t="s">
        <v>2711</v>
      </c>
      <c r="H313" s="65" t="s">
        <v>2711</v>
      </c>
      <c r="I313" s="65" t="b">
        <v>1</v>
      </c>
      <c r="J313" s="65" t="s">
        <v>2710</v>
      </c>
      <c r="K313" s="65" t="s">
        <v>5457</v>
      </c>
      <c r="L313" s="65" t="s">
        <v>2709</v>
      </c>
      <c r="M313" s="65" t="s">
        <v>984</v>
      </c>
      <c r="N313" s="65" t="str">
        <f>"&lt;div class="&amp;""""&amp;"hanging"&amp;""""&amp;"&gt;"&amp;K313&amp;"&lt;a href="&amp;""""&amp;L313&amp;""""&amp;" target="&amp;""""&amp;"_blank"&amp;""""&amp;"&gt;"&amp;L313&amp;"&lt;/a&gt;&lt;span style="&amp;""""&amp;"color:white"&amp;""""&amp;"&gt;[.]{#"&amp;F313&amp;"}}&lt;/span&gt;&lt;/div&gt;&lt;br&gt;"</f>
        <v>&lt;div class="hanging"&gt;Natural Regions Committee. (2006). &lt;i&gt;Natural regions and subregions of Alberta&lt;/i&gt; (T/852; p. 264). Government of Alberta.&lt;a href="https://open.alberta.ca/publications/0778545725" target="_blank"&gt;https://open.alberta.ca/publications/0778545725&lt;/a&gt;&lt;span style="color:white"&gt;[.]{#natural_regions_committee._2006}}&lt;/span&gt;&lt;/div&gt;&lt;br&gt;</v>
      </c>
      <c r="O313" s="65" t="str">
        <f>"{{ rtxt_"&amp;F313&amp;" }}"</f>
        <v>{{ rtxt_natural_regions_committee._2006 }}</v>
      </c>
      <c r="P313" s="65" t="str">
        <f>"{{ rbib_"&amp;F313&amp;" }}"</f>
        <v>{{ rbib_natural_regions_committee._2006 }}</v>
      </c>
      <c r="Q313" s="65" t="str">
        <f>"    rtxt_"&amp;F313&amp;": "&amp;""""&amp;"&lt;a href=\"&amp;""""&amp;"/08_references.html#"&amp;F313&amp;"\"&amp;""""&amp;" target=\"&amp;""""&amp;"_blank\"&amp;""""&amp;"&gt;"&amp;G313&amp;"&lt;/a&gt;"&amp;""""</f>
        <v xml:space="preserve">    rtxt_natural_regions_committee._2006: "&lt;a href=\"/08_references.html#natural_regions_committee._2006\" target=\"_blank\"&gt;Natural Regions Committee., 2006&lt;/a&gt;"</v>
      </c>
      <c r="R313" s="65" t="str">
        <f>"    rbib_"&amp;F313&amp;": "&amp;""""&amp;K313&amp;"&lt;a href=\"&amp;""""&amp;L313&amp;""""&amp;" target=\"&amp;""""&amp;"_blank\"&amp;""""&amp;"&gt;"&amp;L313&amp;"&lt;/a&gt;"&amp;""""</f>
        <v xml:space="preserve">    rbib_natural_regions_committee._2006: "Natural Regions Committee. (2006). &lt;i&gt;Natural regions and subregions of Alberta&lt;/i&gt; (T/852; p. 264). Government of Alberta.&lt;a href=\"https://open.alberta.ca/publications/0778545725" target=\"_blank\"&gt;https://open.alberta.ca/publications/0778545725&lt;/a&gt;"</v>
      </c>
      <c r="S313" s="65" t="str">
        <f>"    rbib_"&amp;F313&amp;": "&amp;""""&amp;"&lt;div class=\"&amp;""""&amp;"hanging\"&amp;""""&amp;"&gt;"&amp;J313&amp;"&lt;/div&gt;"&amp;""""</f>
        <v xml:space="preserve">    rbib_natural_regions_committee._2006: "&lt;div class=\"hanging\"&gt;Natural Regions Committee. (2006). *Natural regions and subregions of Alberta* (T/852; p. 264). Government of Alberta. &lt;https://open.alberta.ca/publications/0778545725&gt;&lt;/div&gt;"</v>
      </c>
      <c r="T313" s="65"/>
    </row>
    <row r="314" spans="1:20" ht="15.75">
      <c r="A314" s="65"/>
      <c r="B314" s="155"/>
      <c r="C314" s="155"/>
      <c r="D314" s="155"/>
      <c r="E314" s="65" t="s">
        <v>1904</v>
      </c>
      <c r="F314" s="65" t="s">
        <v>2708</v>
      </c>
      <c r="G314" s="65" t="s">
        <v>2707</v>
      </c>
      <c r="H314" s="65" t="s">
        <v>2707</v>
      </c>
      <c r="I314" s="65" t="b">
        <v>1</v>
      </c>
      <c r="J314" s="65" t="s">
        <v>2706</v>
      </c>
      <c r="K314" s="65" t="s">
        <v>5251</v>
      </c>
      <c r="L314" s="65" t="s">
        <v>2705</v>
      </c>
      <c r="M314" s="65" t="s">
        <v>984</v>
      </c>
      <c r="N314" s="65" t="str">
        <f>"&lt;div class="&amp;""""&amp;"hanging"&amp;""""&amp;"&gt;"&amp;K314&amp;"&lt;a href="&amp;""""&amp;L314&amp;""""&amp;" target="&amp;""""&amp;"_blank"&amp;""""&amp;"&gt;"&amp;L314&amp;"&lt;/a&gt;&lt;span style="&amp;""""&amp;"color:white"&amp;""""&amp;"&gt;[.]{#"&amp;F314&amp;"}}&lt;/span&gt;&lt;/div&gt;&lt;br&gt;"</f>
        <v>&lt;div class="hanging"&gt;Nawaz, M. A., Khan, B. U., Mahmood, A., Younas, M., Din, J. U., &amp; Sutherland, C. (2021). An empirical demonstration of the effect of study design on density estimations. &lt;i&gt;Scientific Reports, 11&lt;/i&gt;(1), 13104. PubMed-not-MEDLINE.&lt;a href="https://doi.org/10.1038/s41598-021-92361-2" target="_blank"&gt;https://doi.org/10.1038/s41598-021-92361-2&lt;/a&gt;&lt;span style="color:white"&gt;[.]{#nawaz_et_al_2021}}&lt;/span&gt;&lt;/div&gt;&lt;br&gt;</v>
      </c>
      <c r="O314" s="65" t="str">
        <f>"{{ rtxt_"&amp;F314&amp;" }}"</f>
        <v>{{ rtxt_nawaz_et_al_2021 }}</v>
      </c>
      <c r="P314" s="65" t="str">
        <f>"{{ rbib_"&amp;F314&amp;" }}"</f>
        <v>{{ rbib_nawaz_et_al_2021 }}</v>
      </c>
      <c r="Q314" s="65" t="str">
        <f>"    rtxt_"&amp;F314&amp;": "&amp;""""&amp;"&lt;a href=\"&amp;""""&amp;"/08_references.html#"&amp;F314&amp;"\"&amp;""""&amp;" target=\"&amp;""""&amp;"_blank\"&amp;""""&amp;"&gt;"&amp;G314&amp;"&lt;/a&gt;"&amp;""""</f>
        <v xml:space="preserve">    rtxt_nawaz_et_al_2021: "&lt;a href=\"/08_references.html#nawaz_et_al_2021\" target=\"_blank\"&gt;Nawaz et al., 2021&lt;/a&gt;"</v>
      </c>
      <c r="R314" s="65" t="str">
        <f>"    rbib_"&amp;F314&amp;": "&amp;""""&amp;K314&amp;"&lt;a href=\"&amp;""""&amp;L314&amp;""""&amp;" target=\"&amp;""""&amp;"_blank\"&amp;""""&amp;"&gt;"&amp;L314&amp;"&lt;/a&gt;"&amp;""""</f>
        <v xml:space="preserve">    rbib_nawaz_et_al_2021: "Nawaz, M. A., Khan, B. U., Mahmood, A., Younas, M., Din, J. U., &amp; Sutherland, C. (2021). An empirical demonstration of the effect of study design on density estimations. &lt;i&gt;Scientific Reports, 11&lt;/i&gt;(1), 13104. PubMed-not-MEDLINE.&lt;a href=\"https://doi.org/10.1038/s41598-021-92361-2" target=\"_blank\"&gt;https://doi.org/10.1038/s41598-021-92361-2&lt;/a&gt;"</v>
      </c>
      <c r="S314" s="65" t="str">
        <f>"    rbib_"&amp;F314&amp;": "&amp;""""&amp;"&lt;div class=\"&amp;""""&amp;"hanging\"&amp;""""&amp;"&gt;"&amp;J314&amp;"&lt;/div&gt;"&amp;""""</f>
        <v xml:space="preserve">    rbib_nawaz_et_al_2021: "&lt;div class=\"hanging\"&gt;Nawaz, M. A., Khan, B. U., Mahmood, A., Younas, M., Din, J. U., &amp; Sutherland, C. (2021). An empirical demonstration of the effect of study design on density estimations. *Scientific Reports, 11*(1), 13104. PubMed-not-MEDLINE. &lt;https://doi.org/10.1038/s41598-021-92361-2&gt;&lt;/div&gt;"</v>
      </c>
      <c r="T314" s="65"/>
    </row>
    <row r="315" spans="1:20" ht="15.75">
      <c r="A315" s="65"/>
      <c r="B315" s="155" t="b">
        <v>1</v>
      </c>
      <c r="C315" s="155" t="b">
        <v>0</v>
      </c>
      <c r="D315" s="155" t="b">
        <v>0</v>
      </c>
      <c r="E315" s="65" t="s">
        <v>1904</v>
      </c>
      <c r="F315" s="65" t="s">
        <v>2702</v>
      </c>
      <c r="G315" s="65" t="s">
        <v>2701</v>
      </c>
      <c r="H315" s="65" t="s">
        <v>2701</v>
      </c>
      <c r="I315" s="65" t="b">
        <v>1</v>
      </c>
      <c r="J315" s="65" t="s">
        <v>2700</v>
      </c>
      <c r="K315" s="65" t="s">
        <v>5148</v>
      </c>
      <c r="L315" s="65" t="s">
        <v>2699</v>
      </c>
      <c r="M315" s="65" t="s">
        <v>984</v>
      </c>
      <c r="N315" s="65" t="str">
        <f>"&lt;div class="&amp;""""&amp;"hanging"&amp;""""&amp;"&gt;"&amp;K315&amp;"&lt;a href="&amp;""""&amp;L315&amp;""""&amp;" target="&amp;""""&amp;"_blank"&amp;""""&amp;"&gt;"&amp;L315&amp;"&lt;/a&gt;&lt;span style="&amp;""""&amp;"color:white"&amp;""""&amp;"&gt;[.]{#"&amp;F315&amp;"}}&lt;/span&gt;&lt;/div&gt;&lt;br&gt;"</f>
        <v>&lt;div class="hanging"&gt;Neilson, E. W., Avgar, T., Burton, A. C., Broadley, K., &amp; Boutin, S. (2018). Animal movement affects interpretation of occupancy models from camera‐trap Surveys of unmarked animals. &lt;i&gt;Ecosphere, 9&lt;/i&gt;(1).&lt;a href="https://doi.org/10.1002/ecs2.2092" target="_blank"&gt;https://doi.org/10.1002/ecs2.2092&lt;/a&gt;&lt;span style="color:white"&gt;[.]{#neilson_et_al_2018}}&lt;/span&gt;&lt;/div&gt;&lt;br&gt;</v>
      </c>
      <c r="O315" s="65" t="str">
        <f>"{{ rtxt_"&amp;F315&amp;" }}"</f>
        <v>{{ rtxt_neilson_et_al_2018 }}</v>
      </c>
      <c r="P315" s="65" t="str">
        <f>"{{ rbib_"&amp;F315&amp;" }}"</f>
        <v>{{ rbib_neilson_et_al_2018 }}</v>
      </c>
      <c r="Q315" s="65" t="str">
        <f>"    rtxt_"&amp;F315&amp;": "&amp;""""&amp;"&lt;a href=\"&amp;""""&amp;"/08_references.html#"&amp;F315&amp;"\"&amp;""""&amp;" target=\"&amp;""""&amp;"_blank\"&amp;""""&amp;"&gt;"&amp;G315&amp;"&lt;/a&gt;"&amp;""""</f>
        <v xml:space="preserve">    rtxt_neilson_et_al_2018: "&lt;a href=\"/08_references.html#neilson_et_al_2018\" target=\"_blank\"&gt;Neilson et al., 2018&lt;/a&gt;"</v>
      </c>
      <c r="R315" s="65" t="str">
        <f>"    rbib_"&amp;F315&amp;": "&amp;""""&amp;K315&amp;"&lt;a href=\"&amp;""""&amp;L315&amp;""""&amp;" target=\"&amp;""""&amp;"_blank\"&amp;""""&amp;"&gt;"&amp;L315&amp;"&lt;/a&gt;"&amp;""""</f>
        <v xml:space="preserve">    rbib_neilson_et_al_2018: "Neilson, E. W., Avgar, T., Burton, A. C., Broadley, K., &amp; Boutin, S. (2018). Animal movement affects interpretation of occupancy models from camera‐trap Surveys of unmarked animals. &lt;i&gt;Ecosphere, 9&lt;/i&gt;(1).&lt;a href=\"https://doi.org/10.1002/ecs2.2092" target=\"_blank\"&gt;https://doi.org/10.1002/ecs2.2092&lt;/a&gt;"</v>
      </c>
      <c r="S315" s="65" t="str">
        <f>"    rbib_"&amp;F315&amp;": "&amp;""""&amp;"&lt;div class=\"&amp;""""&amp;"hanging\"&amp;""""&amp;"&gt;"&amp;J315&amp;"&lt;/div&gt;"&amp;""""</f>
        <v xml:space="preserve">    rbib_neilson_et_al_2018: "&lt;div class=\"hanging\"&gt;Neilson, E. W., Avgar, T., Burton, A. C., Broadley, K., &amp; Boutin, S. (2018). Animal movement affects interpretation of occupancy models from camera‐trap Surveys of unmarked animals. *Ecosphere, 9*(1). &lt;https://doi.org/10.1002/ecs2.2092&gt;&lt;/div&gt;"</v>
      </c>
      <c r="T315" s="65"/>
    </row>
    <row r="316" spans="1:20" ht="15.75">
      <c r="A316" s="65"/>
      <c r="B316" s="155" t="b">
        <v>1</v>
      </c>
      <c r="C316" s="155" t="b">
        <v>0</v>
      </c>
      <c r="D316" s="155" t="b">
        <v>0</v>
      </c>
      <c r="E316" s="65" t="s">
        <v>1904</v>
      </c>
      <c r="F316" s="65" t="s">
        <v>2698</v>
      </c>
      <c r="G316" s="65" t="s">
        <v>2697</v>
      </c>
      <c r="H316" s="65" t="s">
        <v>2697</v>
      </c>
      <c r="I316" s="65" t="b">
        <v>1</v>
      </c>
      <c r="J316" s="65" t="s">
        <v>2696</v>
      </c>
      <c r="K316" s="65" t="s">
        <v>6099</v>
      </c>
      <c r="L316" s="65" t="s">
        <v>2695</v>
      </c>
      <c r="M316" s="65" t="s">
        <v>984</v>
      </c>
      <c r="N316" s="65" t="str">
        <f>"&lt;div class="&amp;""""&amp;"hanging"&amp;""""&amp;"&gt;"&amp;K316&amp;"&lt;a href="&amp;""""&amp;L316&amp;""""&amp;" target="&amp;""""&amp;"_blank"&amp;""""&amp;"&gt;"&amp;L316&amp;"&lt;/a&gt;&lt;span style="&amp;""""&amp;"color:white"&amp;""""&amp;"&gt;[.]{#"&amp;F316&amp;"}}&lt;/span&gt;&lt;/div&gt;&lt;br&gt;"</f>
        <v>&lt;div class="hanging"&gt;Newbold, H. G., &amp; King, C. M. (2009). Can a predator see invisible light? Infrared vision in ferrets (&lt;i&gt;Mustelo furo&lt;/i&gt;). &lt;i&gt;Wildlife Research, 36&lt;/i&gt;(4), 309-318.&lt;a href="https://doi.org/10.1071/WR08083" target="_blank"&gt;https://doi.org/10.1071/WR08083&lt;/a&gt;&lt;span style="color:white"&gt;[.]{#newbold_king_2009}}&lt;/span&gt;&lt;/div&gt;&lt;br&gt;</v>
      </c>
      <c r="O316" s="65" t="str">
        <f>"{{ rtxt_"&amp;F316&amp;" }}"</f>
        <v>{{ rtxt_newbold_king_2009 }}</v>
      </c>
      <c r="P316" s="65" t="str">
        <f>"{{ rbib_"&amp;F316&amp;" }}"</f>
        <v>{{ rbib_newbold_king_2009 }}</v>
      </c>
      <c r="Q316" s="65" t="str">
        <f>"    rtxt_"&amp;F316&amp;": "&amp;""""&amp;"&lt;a href=\"&amp;""""&amp;"/08_references.html#"&amp;F316&amp;"\"&amp;""""&amp;" target=\"&amp;""""&amp;"_blank\"&amp;""""&amp;"&gt;"&amp;G316&amp;"&lt;/a&gt;"&amp;""""</f>
        <v xml:space="preserve">    rtxt_newbold_king_2009: "&lt;a href=\"/08_references.html#newbold_king_2009\" target=\"_blank\"&gt;Newbold &amp; King, 2009&lt;/a&gt;"</v>
      </c>
      <c r="R316" s="65" t="str">
        <f>"    rbib_"&amp;F316&amp;": "&amp;""""&amp;K316&amp;"&lt;a href=\"&amp;""""&amp;L316&amp;""""&amp;" target=\"&amp;""""&amp;"_blank\"&amp;""""&amp;"&gt;"&amp;L316&amp;"&lt;/a&gt;"&amp;""""</f>
        <v xml:space="preserve">    rbib_newbold_king_2009: "Newbold, H. G., &amp; King, C. M. (2009). Can a predator see invisible light? Infrared vision in ferrets (&lt;i&gt;Mustelo furo&lt;/i&gt;). &lt;i&gt;Wildlife Research, 36&lt;/i&gt;(4), 309-318.&lt;a href=\"https://doi.org/10.1071/WR08083" target=\"_blank\"&gt;https://doi.org/10.1071/WR08083&lt;/a&gt;"</v>
      </c>
      <c r="S316" s="65" t="str">
        <f>"    rbib_"&amp;F316&amp;": "&amp;""""&amp;"&lt;div class=\"&amp;""""&amp;"hanging\"&amp;""""&amp;"&gt;"&amp;J316&amp;"&lt;/div&gt;"&amp;""""</f>
        <v xml:space="preserve">    rbib_newbold_king_2009: "&lt;div class=\"hanging\"&gt;Newbold, H. G., &amp; King, C. M. (2009). Can a predator see invisible light? Infrared vision in ferrets (*Mustelo furo*). *Wildlife Research, 36*(4), 309-318. &lt;https://doi.org/10.1071/WR08083&gt;&lt;/div&gt;"</v>
      </c>
      <c r="T316" s="65"/>
    </row>
    <row r="317" spans="1:20" ht="15.75">
      <c r="A317" s="65"/>
      <c r="B317" s="155"/>
      <c r="C317" s="155"/>
      <c r="D317" s="155"/>
      <c r="E317" s="65" t="s">
        <v>1904</v>
      </c>
      <c r="F317" s="65" t="s">
        <v>2694</v>
      </c>
      <c r="G317" s="65" t="s">
        <v>2693</v>
      </c>
      <c r="H317" s="65" t="s">
        <v>2693</v>
      </c>
      <c r="I317" s="65" t="b">
        <v>1</v>
      </c>
      <c r="J317" s="65" t="s">
        <v>2692</v>
      </c>
      <c r="K317" s="65" t="s">
        <v>5331</v>
      </c>
      <c r="L317" s="65" t="s">
        <v>2691</v>
      </c>
      <c r="M317" s="65" t="s">
        <v>984</v>
      </c>
      <c r="N317" s="65" t="str">
        <f>"&lt;div class="&amp;""""&amp;"hanging"&amp;""""&amp;"&gt;"&amp;K317&amp;"&lt;a href="&amp;""""&amp;L317&amp;""""&amp;" target="&amp;""""&amp;"_blank"&amp;""""&amp;"&gt;"&amp;L317&amp;"&lt;/a&gt;&lt;span style="&amp;""""&amp;"color:white"&amp;""""&amp;"&gt;[.]{#"&amp;F317&amp;"}}&lt;/span&gt;&lt;/div&gt;&lt;br&gt;"</f>
        <v>&lt;div class="hanging"&gt;Noon, B. R., Bailey, L. L., Sisk, T. D., &amp; McKelvey, K. S. (2012). Efficient Species-Level Monitoring at the Landscape Scale. &lt;i&gt;Conservation Biology, 26&lt;/i&gt;(3), 432-41.&lt;a href="https://doi.org/10.1111/j.1523-1739.2012.01855.x." target="_blank"&gt;https://doi.org/10.1111/j.1523-1739.2012.01855.x.&lt;/a&gt;&lt;span style="color:white"&gt;[.]{#noon_et_al_2012}}&lt;/span&gt;&lt;/div&gt;&lt;br&gt;</v>
      </c>
      <c r="O317" s="65" t="str">
        <f>"{{ rtxt_"&amp;F317&amp;" }}"</f>
        <v>{{ rtxt_noon_et_al_2012 }}</v>
      </c>
      <c r="P317" s="65" t="str">
        <f>"{{ rbib_"&amp;F317&amp;" }}"</f>
        <v>{{ rbib_noon_et_al_2012 }}</v>
      </c>
      <c r="Q317" s="65" t="str">
        <f>"    rtxt_"&amp;F317&amp;": "&amp;""""&amp;"&lt;a href=\"&amp;""""&amp;"/08_references.html#"&amp;F317&amp;"\"&amp;""""&amp;" target=\"&amp;""""&amp;"_blank\"&amp;""""&amp;"&gt;"&amp;G317&amp;"&lt;/a&gt;"&amp;""""</f>
        <v xml:space="preserve">    rtxt_noon_et_al_2012: "&lt;a href=\"/08_references.html#noon_et_al_2012\" target=\"_blank\"&gt;Noon et al., 2012&lt;/a&gt;"</v>
      </c>
      <c r="R317" s="65" t="str">
        <f>"    rbib_"&amp;F317&amp;": "&amp;""""&amp;K317&amp;"&lt;a href=\"&amp;""""&amp;L317&amp;""""&amp;" target=\"&amp;""""&amp;"_blank\"&amp;""""&amp;"&gt;"&amp;L317&amp;"&lt;/a&gt;"&amp;""""</f>
        <v xml:space="preserve">    rbib_noon_et_al_2012: "Noon, B. R., Bailey, L. L., Sisk, T. D., &amp; McKelvey, K. S. (2012). Efficient Species-Level Monitoring at the Landscape Scale. &lt;i&gt;Conservation Biology, 26&lt;/i&gt;(3), 432-41.&lt;a href=\"https://doi.org/10.1111/j.1523-1739.2012.01855.x." target=\"_blank\"&gt;https://doi.org/10.1111/j.1523-1739.2012.01855.x.&lt;/a&gt;"</v>
      </c>
      <c r="S317" s="65" t="str">
        <f>"    rbib_"&amp;F317&amp;": "&amp;""""&amp;"&lt;div class=\"&amp;""""&amp;"hanging\"&amp;""""&amp;"&gt;"&amp;J317&amp;"&lt;/div&gt;"&amp;""""</f>
        <v xml:space="preserve">    rbib_noon_et_al_2012: "&lt;div class=\"hanging\"&gt;Noon, B. R., Bailey, L. L., Sisk, T. D., &amp; McKelvey, K. S. (2012). Efficient Species-Level Monitoring at the Landscape Scale. *Conservation Biology, 26*(3), 432-41. &lt;https://doi.org/10.1111/j.1523-1739.2012.01855.x.&gt;&lt;/div&gt;"</v>
      </c>
      <c r="T317" s="65"/>
    </row>
    <row r="318" spans="1:20" ht="15.75">
      <c r="A318" s="65"/>
      <c r="B318" s="155" t="b">
        <v>1</v>
      </c>
      <c r="C318" s="155" t="b">
        <v>0</v>
      </c>
      <c r="D318" s="155" t="b">
        <v>0</v>
      </c>
      <c r="E318" s="65" t="s">
        <v>1904</v>
      </c>
      <c r="F318" s="65" t="s">
        <v>2690</v>
      </c>
      <c r="G318" s="65" t="s">
        <v>2689</v>
      </c>
      <c r="H318" s="65" t="s">
        <v>2689</v>
      </c>
      <c r="I318" s="65" t="b">
        <v>1</v>
      </c>
      <c r="J318" s="65" t="s">
        <v>2688</v>
      </c>
      <c r="K318" s="65" t="s">
        <v>5295</v>
      </c>
      <c r="L318" s="65" t="s">
        <v>2687</v>
      </c>
      <c r="M318" s="65" t="s">
        <v>984</v>
      </c>
      <c r="N318" s="65" t="str">
        <f>"&lt;div class="&amp;""""&amp;"hanging"&amp;""""&amp;"&gt;"&amp;K318&amp;"&lt;a href="&amp;""""&amp;L318&amp;""""&amp;" target="&amp;""""&amp;"_blank"&amp;""""&amp;"&gt;"&amp;L318&amp;"&lt;/a&gt;&lt;span style="&amp;""""&amp;"color:white"&amp;""""&amp;"&gt;[.]{#"&amp;F318&amp;"}}&lt;/span&gt;&lt;/div&gt;&lt;br&gt;"</f>
        <v>&lt;div class="hanging"&gt;Norouzzadeh, M. S., Morris, D., Beery, S., Joshi, N., Jojic, N., Clune, J., &amp; Schofield, M. (2020). A deep active learning system for species identification and counting in camera trap images. &lt;i&gt;Methods in Ecology and Evolution, 12&lt;/i&gt;(1), 150-161.&lt;a href="https://doi.org/10.1111/2041-210x.1350" target="_blank"&gt;https://doi.org/10.1111/2041-210x.1350&lt;/a&gt;&lt;span style="color:white"&gt;[.]{#norouzzadeh_et_al_2020}}&lt;/span&gt;&lt;/div&gt;&lt;br&gt;</v>
      </c>
      <c r="O318" s="65" t="str">
        <f>"{{ rtxt_"&amp;F318&amp;" }}"</f>
        <v>{{ rtxt_norouzzadeh_et_al_2020 }}</v>
      </c>
      <c r="P318" s="65" t="str">
        <f>"{{ rbib_"&amp;F318&amp;" }}"</f>
        <v>{{ rbib_norouzzadeh_et_al_2020 }}</v>
      </c>
      <c r="Q318" s="65" t="str">
        <f>"    rtxt_"&amp;F318&amp;": "&amp;""""&amp;"&lt;a href=\"&amp;""""&amp;"/08_references.html#"&amp;F318&amp;"\"&amp;""""&amp;" target=\"&amp;""""&amp;"_blank\"&amp;""""&amp;"&gt;"&amp;G318&amp;"&lt;/a&gt;"&amp;""""</f>
        <v xml:space="preserve">    rtxt_norouzzadeh_et_al_2020: "&lt;a href=\"/08_references.html#norouzzadeh_et_al_2020\" target=\"_blank\"&gt;Norouzzadeh et al., 2020&lt;/a&gt;"</v>
      </c>
      <c r="R318" s="65" t="str">
        <f>"    rbib_"&amp;F318&amp;": "&amp;""""&amp;K318&amp;"&lt;a href=\"&amp;""""&amp;L318&amp;""""&amp;" target=\"&amp;""""&amp;"_blank\"&amp;""""&amp;"&gt;"&amp;L318&amp;"&lt;/a&gt;"&amp;""""</f>
        <v xml:space="preserve">    rbib_norouzzadeh_et_al_2020: "Norouzzadeh, M. S., Morris, D., Beery, S., Joshi, N., Jojic, N., Clune, J., &amp; Schofield, M. (2020). A deep active learning system for species identification and counting in camera trap images. &lt;i&gt;Methods in Ecology and Evolution, 12&lt;/i&gt;(1), 150-161.&lt;a href=\"https://doi.org/10.1111/2041-210x.1350" target=\"_blank\"&gt;https://doi.org/10.1111/2041-210x.1350&lt;/a&gt;"</v>
      </c>
      <c r="S318" s="65" t="str">
        <f>"    rbib_"&amp;F318&amp;": "&amp;""""&amp;"&lt;div class=\"&amp;""""&amp;"hanging\"&amp;""""&amp;"&gt;"&amp;J318&amp;"&lt;/div&gt;"&amp;""""</f>
        <v xml:space="preserve">    rbib_norouzzadeh_et_al_2020: "&lt;div class=\"hanging\"&gt;Norouzzadeh, M. S., Morris, D., Beery, S., Joshi, N., Jojic, N., Clune, J., &amp; Schofield, M. (2020). A deep active learning system for species identification and counting in camera trap images. *Methods in Ecology and Evolution, 12*(1), 150-161. &lt;https://doi.org/10.1111/2041-210x.1350&gt;&lt;/div&gt;"</v>
      </c>
      <c r="T318" s="65"/>
    </row>
    <row r="319" spans="1:20" ht="15.75">
      <c r="A319" s="65"/>
      <c r="B319" s="155" t="b">
        <v>1</v>
      </c>
      <c r="C319" s="155" t="b">
        <v>0</v>
      </c>
      <c r="D319" s="155" t="b">
        <v>0</v>
      </c>
      <c r="E319" s="65" t="s">
        <v>1904</v>
      </c>
      <c r="F319" s="65" t="s">
        <v>2682</v>
      </c>
      <c r="G319" s="65" t="s">
        <v>2681</v>
      </c>
      <c r="H319" s="65" t="s">
        <v>2681</v>
      </c>
      <c r="I319" s="65" t="b">
        <v>1</v>
      </c>
      <c r="J319" s="65" t="s">
        <v>2680</v>
      </c>
      <c r="K319" s="65" t="s">
        <v>5327</v>
      </c>
      <c r="L319" s="65" t="s">
        <v>2679</v>
      </c>
      <c r="M319" s="65" t="s">
        <v>984</v>
      </c>
      <c r="N319" s="65" t="str">
        <f>"&lt;div class="&amp;""""&amp;"hanging"&amp;""""&amp;"&gt;"&amp;K319&amp;"&lt;a href="&amp;""""&amp;L319&amp;""""&amp;" target="&amp;""""&amp;"_blank"&amp;""""&amp;"&gt;"&amp;L319&amp;"&lt;/a&gt;&lt;span style="&amp;""""&amp;"color:white"&amp;""""&amp;"&gt;[.]{#"&amp;F319&amp;"}}&lt;/span&gt;&lt;/div&gt;&lt;br&gt;"</f>
        <v>&lt;div class="hanging"&gt;Noss, A. J., Gardner, B., Maffei, L., Cuéllar, E., Montaño, R., Romero-Muñoz, A., Sollman, R., O'Connell, A. F., &amp; Altwegg, R. (2012).comparison of Density estimation methods for mammal populations with camera traps in the Kaa-Iya del Gran Chaco landscape. &lt;i&gt;Animal Conservation, 15&lt;/i&gt;(5), 527-535.&lt;a href="https://doi.org/10.1111/j.1469-1795.2012.00545.x" target="_blank"&gt;https://doi.org/10.1111/j.1469-1795.2012.00545.x&lt;/a&gt;&lt;span style="color:white"&gt;[.]{#noss_et_al_2012}}&lt;/span&gt;&lt;/div&gt;&lt;br&gt;</v>
      </c>
      <c r="O319" s="65" t="str">
        <f>"{{ rtxt_"&amp;F319&amp;" }}"</f>
        <v>{{ rtxt_noss_et_al_2012 }}</v>
      </c>
      <c r="P319" s="65" t="str">
        <f>"{{ rbib_"&amp;F319&amp;" }}"</f>
        <v>{{ rbib_noss_et_al_2012 }}</v>
      </c>
      <c r="Q319" s="65" t="str">
        <f>"    rtxt_"&amp;F319&amp;": "&amp;""""&amp;"&lt;a href=\"&amp;""""&amp;"/08_references.html#"&amp;F319&amp;"\"&amp;""""&amp;" target=\"&amp;""""&amp;"_blank\"&amp;""""&amp;"&gt;"&amp;G319&amp;"&lt;/a&gt;"&amp;""""</f>
        <v xml:space="preserve">    rtxt_noss_et_al_2012: "&lt;a href=\"/08_references.html#noss_et_al_2012\" target=\"_blank\"&gt;Noss et al., 2012&lt;/a&gt;"</v>
      </c>
      <c r="R319" s="65" t="str">
        <f>"    rbib_"&amp;F319&amp;": "&amp;""""&amp;K319&amp;"&lt;a href=\"&amp;""""&amp;L319&amp;""""&amp;" target=\"&amp;""""&amp;"_blank\"&amp;""""&amp;"&gt;"&amp;L319&amp;"&lt;/a&gt;"&amp;""""</f>
        <v xml:space="preserve">    rbib_noss_et_al_2012: "Noss, A. J., Gardner, B., Maffei, L., Cuéllar, E., Montaño, R., Romero-Muñoz, A., Sollman, R., O'Connell, A. F., &amp; Altwegg, R. (2012).comparison of Density estimation methods for mammal populations with camera traps in the Kaa-Iya del Gran Chaco landscape. &lt;i&gt;Animal Conservation, 15&lt;/i&gt;(5), 527-535.&lt;a href=\"https://doi.org/10.1111/j.1469-1795.2012.00545.x" target=\"_blank\"&gt;https://doi.org/10.1111/j.1469-1795.2012.00545.x&lt;/a&gt;"</v>
      </c>
      <c r="S319" s="65" t="str">
        <f>"    rbib_"&amp;F319&amp;": "&amp;""""&amp;"&lt;div class=\"&amp;""""&amp;"hanging\"&amp;""""&amp;"&gt;"&amp;J319&amp;"&lt;/div&gt;"&amp;""""</f>
        <v xml:space="preserve">    rbib_noss_et_al_2012: "&lt;div class=\"hanging\"&gt;Noss, A. J., Gardner, B., Maffei, L., Cuéllar, E., Montaño, R., Romero-Muñoz, A., Sollman, R., O'Connell, A. F., &amp; Altwegg, R. (2012).comparison of Density estimation methods for mammal populations with camera traps in the Kaa-Iya del Gran Chaco landscape. *Animal Conservation, 15*(5), 527-535. &lt;https://doi.org/10.1111/j.1469-1795.2012.00545.x&gt;&lt;/div&gt;"</v>
      </c>
      <c r="T319" s="65"/>
    </row>
    <row r="320" spans="1:20" ht="15.75">
      <c r="A320" s="65"/>
      <c r="B320" s="155" t="b">
        <v>1</v>
      </c>
      <c r="C320" s="155" t="b">
        <v>0</v>
      </c>
      <c r="D320" s="155" t="b">
        <v>0</v>
      </c>
      <c r="E320" s="65" t="s">
        <v>1904</v>
      </c>
      <c r="F320" s="65" t="s">
        <v>2686</v>
      </c>
      <c r="G320" s="65" t="s">
        <v>2685</v>
      </c>
      <c r="H320" s="65" t="s">
        <v>2685</v>
      </c>
      <c r="I320" s="65" t="b">
        <v>1</v>
      </c>
      <c r="J320" s="65" t="s">
        <v>2684</v>
      </c>
      <c r="K320" s="65" t="s">
        <v>5506</v>
      </c>
      <c r="L320" s="65" t="s">
        <v>2683</v>
      </c>
      <c r="M320" s="65" t="s">
        <v>984</v>
      </c>
      <c r="N320" s="65" t="str">
        <f>"&lt;div class="&amp;""""&amp;"hanging"&amp;""""&amp;"&gt;"&amp;K320&amp;"&lt;a href="&amp;""""&amp;L320&amp;""""&amp;" target="&amp;""""&amp;"_blank"&amp;""""&amp;"&gt;"&amp;L320&amp;"&lt;/a&gt;&lt;span style="&amp;""""&amp;"color:white"&amp;""""&amp;"&gt;[.]{#"&amp;F320&amp;"}}&lt;/span&gt;&lt;/div&gt;&lt;br&gt;"</f>
        <v>&lt;div class="hanging"&gt;Noss, A., Cuéllar, R., Barrientos, J., Maffei, L., Cuéllar, E., Arispe, R., Rumiz, D., &amp; Rivero, K. (2003). A Camera trapping and radio telemetry study of lowland tapir (&lt;i&gt;Tapirus terrestris&lt;/i&gt;) in Bolivian dry forests. &lt;i&gt;Tapir Conservation, 12&lt;/i&gt;, 24-32.&lt;a href="https://www.researchgate.net/publication/228541823_A_Camera_trapping_and_radio_telemetry_study_of_lowland_tapir_Tapirus_terrestris_in_Bolivian_dry_forests" target="_blank"&gt;https://www.researchgate.net/publication/228541823_A_Camera_trapping_and_radio_telemetry_study_of_lowland_tapir_Tapirus_terrestris_in_Bolivian_dry_forests&lt;/a&gt;&lt;span style="color:white"&gt;[.]{#noss_et_al_2003}}&lt;/span&gt;&lt;/div&gt;&lt;br&gt;</v>
      </c>
      <c r="O320" s="65" t="str">
        <f>"{{ rtxt_"&amp;F320&amp;" }}"</f>
        <v>{{ rtxt_noss_et_al_2003 }}</v>
      </c>
      <c r="P320" s="65" t="str">
        <f>"{{ rbib_"&amp;F320&amp;" }}"</f>
        <v>{{ rbib_noss_et_al_2003 }}</v>
      </c>
      <c r="Q320" s="65" t="str">
        <f>"    rtxt_"&amp;F320&amp;": "&amp;""""&amp;"&lt;a href=\"&amp;""""&amp;"/08_references.html#"&amp;F320&amp;"\"&amp;""""&amp;" target=\"&amp;""""&amp;"_blank\"&amp;""""&amp;"&gt;"&amp;G320&amp;"&lt;/a&gt;"&amp;""""</f>
        <v xml:space="preserve">    rtxt_noss_et_al_2003: "&lt;a href=\"/08_references.html#noss_et_al_2003\" target=\"_blank\"&gt;Noss et al., 2003&lt;/a&gt;"</v>
      </c>
      <c r="R320" s="65" t="str">
        <f>"    rbib_"&amp;F320&amp;": "&amp;""""&amp;K320&amp;"&lt;a href=\"&amp;""""&amp;L320&amp;""""&amp;" target=\"&amp;""""&amp;"_blank\"&amp;""""&amp;"&gt;"&amp;L320&amp;"&lt;/a&gt;"&amp;""""</f>
        <v xml:space="preserve">    rbib_noss_et_al_2003: "Noss, A., Cuéllar, R., Barrientos, J., Maffei, L., Cuéllar, E., Arispe, R., Rumiz, D., &amp; Rivero, K. (2003). A Camera trapping and radio telemetry study of lowland tapir (&lt;i&gt;Tapirus terrestris&lt;/i&gt;) in Bolivian dry forests. &lt;i&gt;Tapir Conservation, 12&lt;/i&gt;, 24-32.&lt;a href=\"https://www.researchgate.net/publication/228541823_A_Camera_trapping_and_radio_telemetry_study_of_lowland_tapir_Tapirus_terrestris_in_Bolivian_dry_forests" target=\"_blank\"&gt;https://www.researchgate.net/publication/228541823_A_Camera_trapping_and_radio_telemetry_study_of_lowland_tapir_Tapirus_terrestris_in_Bolivian_dry_forests&lt;/a&gt;"</v>
      </c>
      <c r="S320" s="65" t="str">
        <f>"    rbib_"&amp;F320&amp;": "&amp;""""&amp;"&lt;div class=\"&amp;""""&amp;"hanging\"&amp;""""&amp;"&gt;"&amp;J320&amp;"&lt;/div&gt;"&amp;""""</f>
        <v xml:space="preserve">    rbib_noss_et_al_2003: "&lt;div class=\"hanging\"&gt;Noss, A., Cuéllar, R., Barrientos, J., Maffei, L., Cuéllar, E., Arispe, R., Rumiz, D., &amp; Rivero, K. (2003). A Camera trapping and radio telemetry study of lowland tapir (*Tapirus terrestris*) in Bolivian dry forests. *Tapir Conservation, 12*, 24-32. &lt;https://www.researchgate.net/publication/228541823_A_Camera_trapping_and_radio_telemetry_study_of_lowland_tapir_Tapirus_terrestris_in_Bolivian_dry_forests&gt;&lt;/div&gt;"</v>
      </c>
      <c r="T320" s="65"/>
    </row>
    <row r="321" spans="1:20" ht="15.75">
      <c r="A321" s="65"/>
      <c r="B321" s="155" t="b">
        <v>1</v>
      </c>
      <c r="C321" s="155" t="b">
        <v>0</v>
      </c>
      <c r="D321" s="155" t="b">
        <v>0</v>
      </c>
      <c r="E321" s="65" t="s">
        <v>1904</v>
      </c>
      <c r="F321" s="65" t="s">
        <v>2678</v>
      </c>
      <c r="G321" s="65" t="s">
        <v>2677</v>
      </c>
      <c r="H321" s="65" t="s">
        <v>2657</v>
      </c>
      <c r="I321" s="65" t="b">
        <v>1</v>
      </c>
      <c r="J321" s="65" t="s">
        <v>2676</v>
      </c>
      <c r="K321" s="65" t="s">
        <v>5321</v>
      </c>
      <c r="L321" s="65" t="s">
        <v>2675</v>
      </c>
      <c r="M321" s="65" t="s">
        <v>984</v>
      </c>
      <c r="N321" s="65" t="str">
        <f>"&lt;div class="&amp;""""&amp;"hanging"&amp;""""&amp;"&gt;"&amp;K321&amp;"&lt;a href="&amp;""""&amp;L321&amp;""""&amp;" target="&amp;""""&amp;"_blank"&amp;""""&amp;"&gt;"&amp;L321&amp;"&lt;/a&gt;&lt;span style="&amp;""""&amp;"color:white"&amp;""""&amp;"&gt;[.]{#"&amp;F321&amp;"}}&lt;/span&gt;&lt;/div&gt;&lt;br&gt;"</f>
        <v>&lt;div class="hanging"&gt;Obbard, M. E., Howe, E. J., &amp; Kyle, C. J. (2010). Empirical Comparison of Density Estimators for Large Carnivores. &lt;i&gt;Journal of Applied Ecology, 47&lt;/i&gt;(1), 76-84.&lt;a href="https://doi.org/10.1111/j.1365-2664.2009.01758.x" target="_blank"&gt;https://doi.org/10.1111/j.1365-2664.2009.01758.x&lt;/a&gt;&lt;span style="color:white"&gt;[.]{#obbard_et_al_2010}}&lt;/span&gt;&lt;/div&gt;&lt;br&gt;</v>
      </c>
      <c r="O321" s="65" t="str">
        <f>"{{ rtxt_"&amp;F321&amp;" }}"</f>
        <v>{{ rtxt_obbard_et_al_2010 }}</v>
      </c>
      <c r="P321" s="65" t="str">
        <f>"{{ rbib_"&amp;F321&amp;" }}"</f>
        <v>{{ rbib_obbard_et_al_2010 }}</v>
      </c>
      <c r="Q321" s="65" t="str">
        <f>"    rtxt_"&amp;F321&amp;": "&amp;""""&amp;"&lt;a href=\"&amp;""""&amp;"/08_references.html#"&amp;F321&amp;"\"&amp;""""&amp;" target=\"&amp;""""&amp;"_blank\"&amp;""""&amp;"&gt;"&amp;G321&amp;"&lt;/a&gt;"&amp;""""</f>
        <v xml:space="preserve">    rtxt_obbard_et_al_2010: "&lt;a href=\"/08_references.html#obbard_et_al_2010\" target=\"_blank\"&gt;Obbard et al., 2010&lt;/a&gt;"</v>
      </c>
      <c r="R321" s="65" t="str">
        <f>"    rbib_"&amp;F321&amp;": "&amp;""""&amp;K321&amp;"&lt;a href=\"&amp;""""&amp;L321&amp;""""&amp;" target=\"&amp;""""&amp;"_blank\"&amp;""""&amp;"&gt;"&amp;L321&amp;"&lt;/a&gt;"&amp;""""</f>
        <v xml:space="preserve">    rbib_obbard_et_al_2010: "Obbard, M. E., Howe, E. J., &amp; Kyle, C. J. (2010). Empirical Comparison of Density Estimators for Large Carnivores. &lt;i&gt;Journal of Applied Ecology, 47&lt;/i&gt;(1), 76-84.&lt;a href=\"https://doi.org/10.1111/j.1365-2664.2009.01758.x" target=\"_blank\"&gt;https://doi.org/10.1111/j.1365-2664.2009.01758.x&lt;/a&gt;"</v>
      </c>
      <c r="S321" s="65" t="str">
        <f>"    rbib_"&amp;F321&amp;": "&amp;""""&amp;"&lt;div class=\"&amp;""""&amp;"hanging\"&amp;""""&amp;"&gt;"&amp;J321&amp;"&lt;/div&gt;"&amp;""""</f>
        <v xml:space="preserve">    rbib_obbard_et_al_2010: "&lt;div class=\"hanging\"&gt;Obbard, M. E., Howe, E. J., &amp; Kyle, C. J. (2010). Empirical Comparison of Density Estimators for Large Carnivores. *Journal of Applied Ecology*, 47(1), 76-84. &lt;https://doi.org/10.1111/j.1365-2664.2009.01758.x&gt;&lt;/div&gt;"</v>
      </c>
      <c r="T321" s="65"/>
    </row>
    <row r="322" spans="1:20" ht="15.75">
      <c r="A322" s="65"/>
      <c r="B322" s="155" t="b">
        <v>1</v>
      </c>
      <c r="C322" s="155" t="b">
        <v>0</v>
      </c>
      <c r="D322" s="155" t="b">
        <v>0</v>
      </c>
      <c r="E322" s="65" t="s">
        <v>1904</v>
      </c>
      <c r="F322" s="65" t="s">
        <v>2674</v>
      </c>
      <c r="G322" s="65" t="s">
        <v>2656</v>
      </c>
      <c r="H322" s="65" t="s">
        <v>2670</v>
      </c>
      <c r="I322" s="65" t="b">
        <v>1</v>
      </c>
      <c r="J322" s="65" t="s">
        <v>2673</v>
      </c>
      <c r="K322" s="65" t="s">
        <v>5445</v>
      </c>
      <c r="L322" s="65" t="s">
        <v>2672</v>
      </c>
      <c r="M322" s="65" t="s">
        <v>984</v>
      </c>
      <c r="N322" s="65" t="str">
        <f>"&lt;div class="&amp;""""&amp;"hanging"&amp;""""&amp;"&gt;"&amp;K322&amp;"&lt;a href="&amp;""""&amp;L322&amp;""""&amp;" target="&amp;""""&amp;"_blank"&amp;""""&amp;"&gt;"&amp;L322&amp;"&lt;/a&gt;&lt;span style="&amp;""""&amp;"color:white"&amp;""""&amp;"&gt;[.]{#"&amp;F322&amp;"}}&lt;/span&gt;&lt;/div&gt;&lt;br&gt;"</f>
        <v>&lt;div class="hanging"&gt;O'Brien, K. M. (2010). &lt;i&gt;Wildlife Picture Index: Implementation Manual Version 1. 0.&lt;/i&gt; WCS Working Paper No. 39.&lt;a href="https://library.wcs.org/doi/ctl/view/mid/33065/pubid/DMX534800000.aspx" target="_blank"&gt;https://library.wcs.org/doi/ctl/view/mid/33065/pubid/DMX534800000.aspx&lt;/a&gt;&lt;span style="color:white"&gt;[.]{#obrien_2010}}&lt;/span&gt;&lt;/div&gt;&lt;br&gt;</v>
      </c>
      <c r="O322" s="65" t="str">
        <f>"{{ rtxt_"&amp;F322&amp;" }}"</f>
        <v>{{ rtxt_obrien_2010 }}</v>
      </c>
      <c r="P322" s="65" t="str">
        <f>"{{ rbib_"&amp;F322&amp;" }}"</f>
        <v>{{ rbib_obrien_2010 }}</v>
      </c>
      <c r="Q322" s="65" t="str">
        <f>"    rtxt_"&amp;F322&amp;": "&amp;""""&amp;"&lt;a href=\"&amp;""""&amp;"/08_references.html#"&amp;F322&amp;"\"&amp;""""&amp;" target=\"&amp;""""&amp;"_blank\"&amp;""""&amp;"&gt;"&amp;G322&amp;"&lt;/a&gt;"&amp;""""</f>
        <v xml:space="preserve">    rtxt_obrien_2010: "&lt;a href=\"/08_references.html#obrien_2010\" target=\"_blank\"&gt;O'Brien, 2010&lt;/a&gt;"</v>
      </c>
      <c r="R322" s="65" t="str">
        <f>"    rbib_"&amp;F322&amp;": "&amp;""""&amp;K322&amp;"&lt;a href=\"&amp;""""&amp;L322&amp;""""&amp;" target=\"&amp;""""&amp;"_blank\"&amp;""""&amp;"&gt;"&amp;L322&amp;"&lt;/a&gt;"&amp;""""</f>
        <v xml:space="preserve">    rbib_obrien_2010: "O'Brien, K. M. (2010). &lt;i&gt;Wildlife Picture Index: Implementation Manual Version 1. 0.&lt;/i&gt; WCS Working Paper No. 39.&lt;a href=\"https://library.wcs.org/doi/ctl/view/mid/33065/pubid/DMX534800000.aspx" target=\"_blank\"&gt;https://library.wcs.org/doi/ctl/view/mid/33065/pubid/DMX534800000.aspx&lt;/a&gt;"</v>
      </c>
      <c r="S322" s="65" t="str">
        <f>"    rbib_"&amp;F322&amp;": "&amp;""""&amp;"&lt;div class=\"&amp;""""&amp;"hanging\"&amp;""""&amp;"&gt;"&amp;J322&amp;"&lt;/div&gt;"&amp;""""</f>
        <v xml:space="preserve">    rbib_obrien_2010: "&lt;div class=\"hanging\"&gt;O'Brien, K. M. (2010). *Wildlife Picture Index: Implementation Manual Version 1. 0.* WCS Working Paper No. 39. &lt;https://library.wcs.org/doi/ctl/view/mid/33065/pubid/DMX534800000.aspx&gt;&lt;/div&gt;"</v>
      </c>
      <c r="T322" s="65"/>
    </row>
    <row r="323" spans="1:20" ht="15.75">
      <c r="A323" s="65"/>
      <c r="B323" s="155" t="b">
        <v>1</v>
      </c>
      <c r="C323" s="155" t="b">
        <v>0</v>
      </c>
      <c r="D323" s="155" t="b">
        <v>1</v>
      </c>
      <c r="E323" s="65" t="s">
        <v>1904</v>
      </c>
      <c r="F323" s="65" t="s">
        <v>2658</v>
      </c>
      <c r="G323" s="65" t="s">
        <v>2657</v>
      </c>
      <c r="H323" s="65" t="s">
        <v>2656</v>
      </c>
      <c r="I323" s="65" t="b">
        <v>1</v>
      </c>
      <c r="J323" s="65" t="s">
        <v>2655</v>
      </c>
      <c r="K323" s="65" t="s">
        <v>5193</v>
      </c>
      <c r="L323" s="65" t="s">
        <v>2647</v>
      </c>
      <c r="M323" s="65" t="s">
        <v>984</v>
      </c>
      <c r="N323" s="65" t="str">
        <f>"&lt;div class="&amp;""""&amp;"hanging"&amp;""""&amp;"&gt;"&amp;K323&amp;"&lt;a href="&amp;""""&amp;L323&amp;""""&amp;" target="&amp;""""&amp;"_blank"&amp;""""&amp;"&gt;"&amp;L323&amp;"&lt;/a&gt;&lt;span style="&amp;""""&amp;"color:white"&amp;""""&amp;"&gt;[.]{#"&amp;F323&amp;"}}&lt;/span&gt;&lt;/div&gt;&lt;br&gt;"</f>
        <v>&lt;div class="hanging"&gt;O'Brien, T. G. (2011). Abundance, Density and Relative Abundance: A Conceptual Framework. In A. F. O'Connell, J. D. Nichols, &amp; K. U. Karanth (Eds.), &lt;i&gt;Camera Traps In Animal Ecology: Methods and Analyses&lt;/i&gt; (pp. 71-96). Springer.&lt;a href="https://doi.org/10.1007/978-4-431-99495-4_6" target="_blank"&gt;https://doi.org/10.1007/978-4-431-99495-4_6&lt;/a&gt;&lt;span style="color:white"&gt;[.]{#obrien_kinnaird_2011}}&lt;/span&gt;&lt;/div&gt;&lt;br&gt;</v>
      </c>
      <c r="O323" s="65" t="str">
        <f>"{{ rtxt_"&amp;F323&amp;" }}"</f>
        <v>{{ rtxt_obrien_kinnaird_2011 }}</v>
      </c>
      <c r="P323" s="65" t="str">
        <f>"{{ rbib_"&amp;F323&amp;" }}"</f>
        <v>{{ rbib_obrien_kinnaird_2011 }}</v>
      </c>
      <c r="Q323" s="65" t="str">
        <f>"    rtxt_"&amp;F323&amp;": "&amp;""""&amp;"&lt;a href=\"&amp;""""&amp;"/08_references.html#"&amp;F323&amp;"\"&amp;""""&amp;" target=\"&amp;""""&amp;"_blank\"&amp;""""&amp;"&gt;"&amp;G323&amp;"&lt;/a&gt;"&amp;""""</f>
        <v xml:space="preserve">    rtxt_obrien_kinnaird_2011: "&lt;a href=\"/08_references.html#obrien_kinnaird_2011\" target=\"_blank\"&gt;O'Brien &amp; Kinnaird, 2011&lt;/a&gt;"</v>
      </c>
      <c r="R323" s="65" t="str">
        <f>"    rbib_"&amp;F323&amp;": "&amp;""""&amp;K323&amp;"&lt;a href=\"&amp;""""&amp;L323&amp;""""&amp;" target=\"&amp;""""&amp;"_blank\"&amp;""""&amp;"&gt;"&amp;L323&amp;"&lt;/a&gt;"&amp;""""</f>
        <v xml:space="preserve">    rbib_obrien_kinnaird_2011: "O'Brien, T. G. (2011). Abundance, Density and Relative Abundance: A Conceptual Framework. In A. F. O'Connell, J. D. Nichols, &amp; K. U. Karanth (Eds.), &lt;i&gt;Camera Traps In Animal Ecology: Methods and Analyses&lt;/i&gt; (pp. 71-96). Springer.&lt;a href=\"https://doi.org/10.1007/978-4-431-99495-4_6" target=\"_blank\"&gt;https://doi.org/10.1007/978-4-431-99495-4_6&lt;/a&gt;"</v>
      </c>
      <c r="S323" s="65" t="str">
        <f>"    rbib_"&amp;F323&amp;": "&amp;""""&amp;"&lt;div class=\"&amp;""""&amp;"hanging\"&amp;""""&amp;"&gt;"&amp;J323&amp;"&lt;/div&gt;"&amp;""""</f>
        <v xml:space="preserve">    rbib_obrien_kinnaird_2011: "&lt;div class=\"hanging\"&gt;O'Brien, T. G. (2011). Abundance, Density and Relative Abundance: A Conceptual Framework. In A. F. O'Connell, J. D. Nichols, &amp; K. U. Karanth (Eds.), *Camera Traps In Animal Ecology: Methods and Analyses* (pp. 71-96). Springer. &lt;https://doi.org/10.1007/978-4-431-99495-4_6&gt;&lt;/div&gt;"</v>
      </c>
      <c r="T323" s="65"/>
    </row>
    <row r="324" spans="1:20" ht="15.75">
      <c r="A324" s="65"/>
      <c r="B324" s="155" t="b">
        <v>1</v>
      </c>
      <c r="C324" s="155" t="b">
        <v>1</v>
      </c>
      <c r="D324" s="155" t="b">
        <v>0</v>
      </c>
      <c r="E324" s="65" t="s">
        <v>1904</v>
      </c>
      <c r="F324" s="65" t="s">
        <v>2666</v>
      </c>
      <c r="G324" s="65" t="s">
        <v>2665</v>
      </c>
      <c r="H324" s="65" t="s">
        <v>2664</v>
      </c>
      <c r="I324" s="65" t="b">
        <v>1</v>
      </c>
      <c r="J324" s="65" t="s">
        <v>2663</v>
      </c>
      <c r="K324" s="65" t="s">
        <v>5494</v>
      </c>
      <c r="L324" s="65" t="s">
        <v>2662</v>
      </c>
      <c r="M324" s="65" t="s">
        <v>984</v>
      </c>
      <c r="N324" s="65" t="str">
        <f>"&lt;div class="&amp;""""&amp;"hanging"&amp;""""&amp;"&gt;"&amp;K324&amp;"&lt;a href="&amp;""""&amp;L324&amp;""""&amp;" target="&amp;""""&amp;"_blank"&amp;""""&amp;"&gt;"&amp;L324&amp;"&lt;/a&gt;&lt;span style="&amp;""""&amp;"color:white"&amp;""""&amp;"&gt;[.]{#"&amp;F324&amp;"}}&lt;/span&gt;&lt;/div&gt;&lt;br&gt;"</f>
        <v>&lt;div class="hanging"&gt;O'Brien, T. G., &amp; Kinnaird, M. F. (2011). Density estimation of sympatric carnivores using spatially explicit capture-recapture methods and standard trapping grid. &lt;i&gt;Ecological Applications, 21&lt;/i&gt;(8), 2908-2916.&lt;a href="https://www.jstor.org/stable/41417102" target="_blank"&gt;https://www.jstor.org/stable/41417102&lt;/a&gt;&lt;span style="color:white"&gt;[.]{#obrien_et_al_2011}}&lt;/span&gt;&lt;/div&gt;&lt;br&gt;</v>
      </c>
      <c r="O324" s="65" t="str">
        <f>"{{ rtxt_"&amp;F324&amp;" }}"</f>
        <v>{{ rtxt_obrien_et_al_2011 }}</v>
      </c>
      <c r="P324" s="65" t="str">
        <f>"{{ rbib_"&amp;F324&amp;" }}"</f>
        <v>{{ rbib_obrien_et_al_2011 }}</v>
      </c>
      <c r="Q324" s="65" t="str">
        <f>"    rtxt_"&amp;F324&amp;": "&amp;""""&amp;"&lt;a href=\"&amp;""""&amp;"/08_references.html#"&amp;F324&amp;"\"&amp;""""&amp;" target=\"&amp;""""&amp;"_blank\"&amp;""""&amp;"&gt;"&amp;G324&amp;"&lt;/a&gt;"&amp;""""</f>
        <v xml:space="preserve">    rtxt_obrien_et_al_2011: "&lt;a href=\"/08_references.html#obrien_et_al_2011\" target=\"_blank\"&gt;O'Brien et al., 2011&lt;/a&gt;"</v>
      </c>
      <c r="R324" s="65" t="str">
        <f>"    rbib_"&amp;F324&amp;": "&amp;""""&amp;K324&amp;"&lt;a href=\"&amp;""""&amp;L324&amp;""""&amp;" target=\"&amp;""""&amp;"_blank\"&amp;""""&amp;"&gt;"&amp;L324&amp;"&lt;/a&gt;"&amp;""""</f>
        <v xml:space="preserve">    rbib_obrien_et_al_2011: "O'Brien, T. G., &amp; Kinnaird, M. F. (2011). Density estimation of sympatric carnivores using spatially explicit capture-recapture methods and standard trapping grid. &lt;i&gt;Ecological Applications, 21&lt;/i&gt;(8), 2908-2916.&lt;a href=\"https://www.jstor.org/stable/41417102" target=\"_blank\"&gt;https://www.jstor.org/stable/41417102&lt;/a&gt;"</v>
      </c>
      <c r="S324" s="65" t="str">
        <f>"    rbib_"&amp;F324&amp;": "&amp;""""&amp;"&lt;div class=\"&amp;""""&amp;"hanging\"&amp;""""&amp;"&gt;"&amp;J324&amp;"&lt;/div&gt;"&amp;""""</f>
        <v xml:space="preserve">    rbib_obrien_et_al_2011: "&lt;div class=\"hanging\"&gt;O'Brien, T. G., &amp; Kinnaird, M. F. (2011). Density estimation of sympatric carnivores using spatially explicit capture-recapture methods and standard trapping grid. *Ecological Applications, 21*(8), 2908-2916. &lt;https://www.jstor.org/stable/41417102&gt;&lt;/div&gt;"</v>
      </c>
      <c r="T324" s="65"/>
    </row>
    <row r="325" spans="1:20" ht="15.75">
      <c r="A325" s="65"/>
      <c r="B325" s="155" t="b">
        <v>1</v>
      </c>
      <c r="C325" s="155" t="b">
        <v>0</v>
      </c>
      <c r="D325" s="155" t="b">
        <v>0</v>
      </c>
      <c r="E325" s="65" t="s">
        <v>1904</v>
      </c>
      <c r="F325" s="65" t="s">
        <v>2671</v>
      </c>
      <c r="G325" s="65" t="s">
        <v>2670</v>
      </c>
      <c r="H325" s="65" t="s">
        <v>2669</v>
      </c>
      <c r="I325" s="65" t="b">
        <v>1</v>
      </c>
      <c r="J325" s="65" t="s">
        <v>2668</v>
      </c>
      <c r="K325" s="65" t="s">
        <v>5247</v>
      </c>
      <c r="L325" s="65" t="s">
        <v>2667</v>
      </c>
      <c r="M325" s="65" t="s">
        <v>984</v>
      </c>
      <c r="N325" s="65" t="str">
        <f>"&lt;div class="&amp;""""&amp;"hanging"&amp;""""&amp;"&gt;"&amp;K325&amp;"&lt;a href="&amp;""""&amp;L325&amp;""""&amp;" target="&amp;""""&amp;"_blank"&amp;""""&amp;"&gt;"&amp;L325&amp;"&lt;/a&gt;&lt;span style="&amp;""""&amp;"color:white"&amp;""""&amp;"&gt;[.]{#"&amp;F325&amp;"}}&lt;/span&gt;&lt;/div&gt;&lt;br&gt;"</f>
        <v>&lt;div class="hanging"&gt;O'Brien, T. G., Kinnaird, M. F., &amp; Wibisono, H. T. (2003). Crouching tigers, hidden prey: Sumatran tiger and prey populations in a tropical forest landscape. &lt;i&gt;Animal Conservation, 6&lt;/i&gt;(2), 131-139.&lt;a href="https://doi.org/10.1017/s1367943003003172" target="_blank"&gt;https://doi.org/10.1017/s1367943003003172&lt;/a&gt;&lt;span style="color:white"&gt;[.]{#obrien_2011}}&lt;/span&gt;&lt;/div&gt;&lt;br&gt;</v>
      </c>
      <c r="O325" s="65" t="str">
        <f>"{{ rtxt_"&amp;F325&amp;" }}"</f>
        <v>{{ rtxt_obrien_2011 }}</v>
      </c>
      <c r="P325" s="65" t="str">
        <f>"{{ rbib_"&amp;F325&amp;" }}"</f>
        <v>{{ rbib_obrien_2011 }}</v>
      </c>
      <c r="Q325" s="65" t="str">
        <f>"    rtxt_"&amp;F325&amp;": "&amp;""""&amp;"&lt;a href=\"&amp;""""&amp;"/08_references.html#"&amp;F325&amp;"\"&amp;""""&amp;" target=\"&amp;""""&amp;"_blank\"&amp;""""&amp;"&gt;"&amp;G325&amp;"&lt;/a&gt;"&amp;""""</f>
        <v xml:space="preserve">    rtxt_obrien_2011: "&lt;a href=\"/08_references.html#obrien_2011\" target=\"_blank\"&gt;O'Brien, 2011&lt;/a&gt;"</v>
      </c>
      <c r="R325" s="65" t="str">
        <f>"    rbib_"&amp;F325&amp;": "&amp;""""&amp;K325&amp;"&lt;a href=\"&amp;""""&amp;L325&amp;""""&amp;" target=\"&amp;""""&amp;"_blank\"&amp;""""&amp;"&gt;"&amp;L325&amp;"&lt;/a&gt;"&amp;""""</f>
        <v xml:space="preserve">    rbib_obrien_2011: "O'Brien, T. G., Kinnaird, M. F., &amp; Wibisono, H. T. (2003). Crouching tigers, hidden prey: Sumatran tiger and prey populations in a tropical forest landscape. &lt;i&gt;Animal Conservation, 6&lt;/i&gt;(2), 131-139.&lt;a href=\"https://doi.org/10.1017/s1367943003003172" target=\"_blank\"&gt;https://doi.org/10.1017/s1367943003003172&lt;/a&gt;"</v>
      </c>
      <c r="S325" s="65" t="str">
        <f>"    rbib_"&amp;F325&amp;": "&amp;""""&amp;"&lt;div class=\"&amp;""""&amp;"hanging\"&amp;""""&amp;"&gt;"&amp;J325&amp;"&lt;/div&gt;"&amp;""""</f>
        <v xml:space="preserve">    rbib_obrien_2011: "&lt;div class=\"hanging\"&gt;O'Brien, T. G., Kinnaird, M. F., &amp; Wibisono, H. T. (2003). Crouching tigers, hidden prey: Sumatran tiger and prey populations in a tropical forest landscape. *Animal Conservation, 6*(2), 131-139. &lt;https://doi.org/10.1017/s1367943003003172&gt;&lt;/div&gt;"</v>
      </c>
      <c r="T325" s="65"/>
    </row>
    <row r="326" spans="1:20" ht="15.75">
      <c r="A326" s="65"/>
      <c r="B326" s="155" t="b">
        <v>1</v>
      </c>
      <c r="C326" s="155" t="b">
        <v>0</v>
      </c>
      <c r="D326" s="155" t="b">
        <v>0</v>
      </c>
      <c r="E326" s="65" t="s">
        <v>1904</v>
      </c>
      <c r="F326" s="65" t="s">
        <v>2661</v>
      </c>
      <c r="G326" s="65" t="s">
        <v>2660</v>
      </c>
      <c r="H326" s="65" t="s">
        <v>2653</v>
      </c>
      <c r="I326" s="65" t="b">
        <v>1</v>
      </c>
      <c r="J326" s="65" t="s">
        <v>2659</v>
      </c>
      <c r="K326" s="65" t="s">
        <v>5194</v>
      </c>
      <c r="L326" s="65" t="s">
        <v>2647</v>
      </c>
      <c r="M326" s="65" t="s">
        <v>984</v>
      </c>
      <c r="N326" s="65" t="str">
        <f>"&lt;div class="&amp;""""&amp;"hanging"&amp;""""&amp;"&gt;"&amp;K326&amp;"&lt;a href="&amp;""""&amp;L326&amp;""""&amp;" target="&amp;""""&amp;"_blank"&amp;""""&amp;"&gt;"&amp;L326&amp;"&lt;/a&gt;&lt;span style="&amp;""""&amp;"color:white"&amp;""""&amp;"&gt;[.]{#"&amp;F326&amp;"}}&lt;/span&gt;&lt;/div&gt;&lt;br&gt;"</f>
        <v>&lt;div class="hanging"&gt;O'Brien, T. G., Kinnaird, M. F., &amp; Wibisono, H. T. (2011). Estimation of Species Richness of Large Vertebrates Using Camera Traps: An Example from an Indonesian Rainforest. In A. F. O'Connell, J. D. Nichols, &amp; K. U. Karanth (Eds.), &lt;i&gt;Camera Traps In Animal Ecology: Methods and Analyses&lt;/i&gt; (pp. 233-252). Springer.&lt;a href="https://doi.org/10.1007/978-4-431-99495-4_6" target="_blank"&gt;https://doi.org/10.1007/978-4-431-99495-4_6&lt;/a&gt;&lt;span style="color:white"&gt;[.]{#obrien_et_al_2013}}&lt;/span&gt;&lt;/div&gt;&lt;br&gt;</v>
      </c>
      <c r="O326" s="65" t="str">
        <f>"{{ rtxt_"&amp;F326&amp;" }}"</f>
        <v>{{ rtxt_obrien_et_al_2013 }}</v>
      </c>
      <c r="P326" s="65" t="str">
        <f>"{{ rbib_"&amp;F326&amp;" }}"</f>
        <v>{{ rbib_obrien_et_al_2013 }}</v>
      </c>
      <c r="Q326" s="65" t="str">
        <f>"    rtxt_"&amp;F326&amp;": "&amp;""""&amp;"&lt;a href=\"&amp;""""&amp;"/08_references.html#"&amp;F326&amp;"\"&amp;""""&amp;" target=\"&amp;""""&amp;"_blank\"&amp;""""&amp;"&gt;"&amp;G326&amp;"&lt;/a&gt;"&amp;""""</f>
        <v xml:space="preserve">    rtxt_obrien_et_al_2013: "&lt;a href=\"/08_references.html#obrien_et_al_2013\" target=\"_blank\"&gt;O'Brien et al., 2013&lt;/a&gt;"</v>
      </c>
      <c r="R326" s="65" t="str">
        <f>"    rbib_"&amp;F326&amp;": "&amp;""""&amp;K326&amp;"&lt;a href=\"&amp;""""&amp;L326&amp;""""&amp;" target=\"&amp;""""&amp;"_blank\"&amp;""""&amp;"&gt;"&amp;L326&amp;"&lt;/a&gt;"&amp;""""</f>
        <v xml:space="preserve">    rbib_obrien_et_al_2013: "O'Brien, T. G., Kinnaird, M. F., &amp; Wibisono, H. T. (2011). Estimation of Species Richness of Large Vertebrates Using Camera Traps: An Example from an Indonesian Rainforest. In A. F. O'Connell, J. D. Nichols, &amp; K. U. Karanth (Eds.), &lt;i&gt;Camera Traps In Animal Ecology: Methods and Analyses&lt;/i&gt; (pp. 233-252). Springer.&lt;a href=\"https://doi.org/10.1007/978-4-431-99495-4_6" target=\"_blank\"&gt;https://doi.org/10.1007/978-4-431-99495-4_6&lt;/a&gt;"</v>
      </c>
      <c r="S326" s="65" t="str">
        <f>"    rbib_"&amp;F326&amp;": "&amp;""""&amp;"&lt;div class=\"&amp;""""&amp;"hanging\"&amp;""""&amp;"&gt;"&amp;J326&amp;"&lt;/div&gt;"&amp;""""</f>
        <v xml:space="preserve">    rbib_obrien_et_al_2013: "&lt;div class=\"hanging\"&gt;O'Brien, T. G., Kinnaird, M. F., &amp; Wibisono, H. T. (2011). Estimation of Species Richness of Large Vertebrates Using Camera Traps: An Example from an Indonesian Rainforest. In A. F. O'Connell, J. D. Nichols, &amp; K. U. Karanth (Eds.), *Camera Traps In Animal Ecology: Methods and Analyses* (pp. 233-252). Springer. &lt;https://doi.org/10.1007/978-4-431-99495-4_6&gt;&lt;/div&gt;"</v>
      </c>
      <c r="T326" s="65"/>
    </row>
    <row r="327" spans="1:20" ht="15.75">
      <c r="A327" s="65"/>
      <c r="B327" s="155" t="b">
        <v>0</v>
      </c>
      <c r="C327" s="155" t="b">
        <v>1</v>
      </c>
      <c r="D327" s="155" t="b">
        <v>1</v>
      </c>
      <c r="E327" s="65" t="s">
        <v>1904</v>
      </c>
      <c r="F327" s="65" t="s">
        <v>2650</v>
      </c>
      <c r="G327" s="65" t="s">
        <v>2649</v>
      </c>
      <c r="H327" s="65" t="s">
        <v>2645</v>
      </c>
      <c r="I327" s="65" t="b">
        <v>1</v>
      </c>
      <c r="J327" s="65" t="s">
        <v>2648</v>
      </c>
      <c r="K327" s="65" t="s">
        <v>5195</v>
      </c>
      <c r="L327" s="65" t="s">
        <v>2647</v>
      </c>
      <c r="M327" s="65" t="s">
        <v>984</v>
      </c>
      <c r="N327" s="65" t="str">
        <f>"&lt;div class="&amp;""""&amp;"hanging"&amp;""""&amp;"&gt;"&amp;K327&amp;"&lt;a href="&amp;""""&amp;L327&amp;""""&amp;" target="&amp;""""&amp;"_blank"&amp;""""&amp;"&gt;"&amp;L327&amp;"&lt;/a&gt;&lt;span style="&amp;""""&amp;"color:white"&amp;""""&amp;"&gt;[.]{#"&amp;F327&amp;"}}&lt;/span&gt;&lt;/div&gt;&lt;br&gt;"</f>
        <v>&lt;div class="hanging"&gt;O'Connell, A. F., &amp; Bailey, L. L. (2011a). Inference for Occupancy and Occupancy Dynamics. In O'Connell, A. F. Nichols, J. D. &amp; Karanth, K. U. (Eds.), &lt;i&gt;Camera Traps In Animal Ecology: Methods and Analyses&lt;/i&gt; (pp. 191-206). Springer.&lt;a href="https://doi.org/10.1007/978-4-431-99495-4_6" target="_blank"&gt;https://doi.org/10.1007/978-4-431-99495-4_6&lt;/a&gt;&lt;span style="color:white"&gt;[.]{#oconnell_et_al_2006}}&lt;/span&gt;&lt;/div&gt;&lt;br&gt;</v>
      </c>
      <c r="O327" s="65" t="str">
        <f>"{{ rtxt_"&amp;F327&amp;" }}"</f>
        <v>{{ rtxt_oconnell_et_al_2006 }}</v>
      </c>
      <c r="P327" s="65" t="str">
        <f>"{{ rbib_"&amp;F327&amp;" }}"</f>
        <v>{{ rbib_oconnell_et_al_2006 }}</v>
      </c>
      <c r="Q327" s="65" t="str">
        <f>"    rtxt_"&amp;F327&amp;": "&amp;""""&amp;"&lt;a href=\"&amp;""""&amp;"/08_references.html#"&amp;F327&amp;"\"&amp;""""&amp;" target=\"&amp;""""&amp;"_blank\"&amp;""""&amp;"&gt;"&amp;G327&amp;"&lt;/a&gt;"&amp;""""</f>
        <v xml:space="preserve">    rtxt_oconnell_et_al_2006: "&lt;a href=\"/08_references.html#oconnell_et_al_2006\" target=\"_blank\"&gt;O'Connell et al., 2006&lt;/a&gt;"</v>
      </c>
      <c r="R327" s="65" t="str">
        <f>"    rbib_"&amp;F327&amp;": "&amp;""""&amp;K327&amp;"&lt;a href=\"&amp;""""&amp;L327&amp;""""&amp;" target=\"&amp;""""&amp;"_blank\"&amp;""""&amp;"&gt;"&amp;L327&amp;"&lt;/a&gt;"&amp;""""</f>
        <v xml:space="preserve">    rbib_oconnell_et_al_2006: "O'Connell, A. F., &amp; Bailey, L. L. (2011a). Inference for Occupancy and Occupancy Dynamics. In O'Connell, A. F. Nichols, J. D. &amp; Karanth, K. U. (Eds.), &lt;i&gt;Camera Traps In Animal Ecology: Methods and Analyses&lt;/i&gt; (pp. 191-206). Springer.&lt;a href=\"https://doi.org/10.1007/978-4-431-99495-4_6" target=\"_blank\"&gt;https://doi.org/10.1007/978-4-431-99495-4_6&lt;/a&gt;"</v>
      </c>
      <c r="S327" s="65" t="str">
        <f>"    rbib_"&amp;F327&amp;": "&amp;""""&amp;"&lt;div class=\"&amp;""""&amp;"hanging\"&amp;""""&amp;"&gt;"&amp;J327&amp;"&lt;/div&gt;"&amp;""""</f>
        <v xml:space="preserve">    rbib_oconnell_et_al_2006: "&lt;div class=\"hanging\"&gt;O'Connell, A. F., &amp; Bailey, L. L. (2011a). Inference for Occupancy and Occupancy Dynamics. In O'Connell, A. F. Nichols, J. D. &amp; Karanth, K. U. (Eds.), *Camera Traps In Animal Ecology: Methods and Analyses* (pp. 191-206). Springer. &lt;https://doi.org/10.1007/978-4-431-99495-4_6&gt;&lt;/div&gt;"</v>
      </c>
      <c r="T327" s="65"/>
    </row>
    <row r="328" spans="1:20" ht="15.75">
      <c r="A328" s="65"/>
      <c r="B328" s="155" t="b">
        <v>0</v>
      </c>
      <c r="C328" s="155" t="b">
        <v>1</v>
      </c>
      <c r="D328" s="155" t="b">
        <v>0</v>
      </c>
      <c r="E328" s="65" t="s">
        <v>1939</v>
      </c>
      <c r="F328" s="65" t="s">
        <v>2654</v>
      </c>
      <c r="G328" s="65" t="s">
        <v>2653</v>
      </c>
      <c r="H328" s="65" t="s">
        <v>2649</v>
      </c>
      <c r="I328" s="65" t="b">
        <v>1</v>
      </c>
      <c r="J328" s="65" t="s">
        <v>2652</v>
      </c>
      <c r="K328" s="65" t="s">
        <v>5191</v>
      </c>
      <c r="L328" s="65" t="s">
        <v>2651</v>
      </c>
      <c r="M328" s="65" t="s">
        <v>984</v>
      </c>
      <c r="N328" s="65" t="str">
        <f>"&lt;div class="&amp;""""&amp;"hanging"&amp;""""&amp;"&gt;"&amp;K328&amp;"&lt;a href="&amp;""""&amp;L328&amp;""""&amp;" target="&amp;""""&amp;"_blank"&amp;""""&amp;"&gt;"&amp;L328&amp;"&lt;/a&gt;&lt;span style="&amp;""""&amp;"color:white"&amp;""""&amp;"&gt;[.]{#"&amp;F328&amp;"}}&lt;/span&gt;&lt;/div&gt;&lt;br&gt;"</f>
        <v>&lt;div class="hanging"&gt;O'Connell, A. F., Nichols, J. D., &amp; Karanth, K. U. (Eds. ). (2010). &lt;i&gt;Camera traps in Animal Ecology: Methods and Analyses&lt;/i&gt;. Springer.&lt;a href="https://doi.org/10.1007/978-4-431-99495-4" target="_blank"&gt;https://doi.org/10.1007/978-4-431-99495-4&lt;/a&gt;&lt;span style="color:white"&gt;[.]{#oconnell_bailey_2011a}}&lt;/span&gt;&lt;/div&gt;&lt;br&gt;</v>
      </c>
      <c r="O328" s="65" t="str">
        <f>"{{ rtxt_"&amp;F328&amp;" }}"</f>
        <v>{{ rtxt_oconnell_bailey_2011a }}</v>
      </c>
      <c r="P328" s="65" t="str">
        <f>"{{ rbib_"&amp;F328&amp;" }}"</f>
        <v>{{ rbib_oconnell_bailey_2011a }}</v>
      </c>
      <c r="Q328" s="65" t="str">
        <f>"    rtxt_"&amp;F328&amp;": "&amp;""""&amp;"&lt;a href=\"&amp;""""&amp;"/08_references.html#"&amp;F328&amp;"\"&amp;""""&amp;" target=\"&amp;""""&amp;"_blank\"&amp;""""&amp;"&gt;"&amp;G328&amp;"&lt;/a&gt;"&amp;""""</f>
        <v xml:space="preserve">    rtxt_oconnell_bailey_2011a: "&lt;a href=\"/08_references.html#oconnell_bailey_2011a\" target=\"_blank\"&gt;O'Connell &amp; Bailey, 2011a&lt;/a&gt;"</v>
      </c>
      <c r="R328" s="65" t="str">
        <f>"    rbib_"&amp;F328&amp;": "&amp;""""&amp;K328&amp;"&lt;a href=\"&amp;""""&amp;L328&amp;""""&amp;" target=\"&amp;""""&amp;"_blank\"&amp;""""&amp;"&gt;"&amp;L328&amp;"&lt;/a&gt;"&amp;""""</f>
        <v xml:space="preserve">    rbib_oconnell_bailey_2011a: "O'Connell, A. F., Nichols, J. D., &amp; Karanth, K. U. (Eds. ). (2010). &lt;i&gt;Camera traps in Animal Ecology: Methods and Analyses&lt;/i&gt;. Springer.&lt;a href=\"https://doi.org/10.1007/978-4-431-99495-4" target=\"_blank\"&gt;https://doi.org/10.1007/978-4-431-99495-4&lt;/a&gt;"</v>
      </c>
      <c r="S328" s="65" t="str">
        <f>"    rbib_"&amp;F328&amp;": "&amp;""""&amp;"&lt;div class=\"&amp;""""&amp;"hanging\"&amp;""""&amp;"&gt;"&amp;J328&amp;"&lt;/div&gt;"&amp;""""</f>
        <v xml:space="preserve">    rbib_oconnell_bailey_2011a: "&lt;div class=\"hanging\"&gt;O'Connell, A. F., Nichols, J. D., &amp; Karanth, K. U. (Eds. ). (2010). *Camera traps in Animal Ecology: Methods and Analyses*. Springer. &lt;https://doi.org/10.1007/978-4-431-99495-4&gt;&lt;/div&gt;"</v>
      </c>
      <c r="T328" s="65"/>
    </row>
    <row r="329" spans="1:20" ht="15.75">
      <c r="A329" s="65"/>
      <c r="B329" s="155" t="b">
        <v>1</v>
      </c>
      <c r="C329" s="155" t="b">
        <v>0</v>
      </c>
      <c r="D329" s="155" t="b">
        <v>1</v>
      </c>
      <c r="E329" s="65" t="s">
        <v>1904</v>
      </c>
      <c r="F329" s="65" t="s">
        <v>2646</v>
      </c>
      <c r="G329" s="65" t="s">
        <v>2645</v>
      </c>
      <c r="H329" s="65" t="s">
        <v>2641</v>
      </c>
      <c r="I329" s="65" t="b">
        <v>1</v>
      </c>
      <c r="J329" s="65" t="s">
        <v>2644</v>
      </c>
      <c r="K329" s="65" t="s">
        <v>5393</v>
      </c>
      <c r="L329" s="65" t="s">
        <v>2643</v>
      </c>
      <c r="M329" s="65" t="s">
        <v>984</v>
      </c>
      <c r="N329" s="65" t="str">
        <f>"&lt;div class="&amp;""""&amp;"hanging"&amp;""""&amp;"&gt;"&amp;K329&amp;"&lt;a href="&amp;""""&amp;L329&amp;""""&amp;" target="&amp;""""&amp;"_blank"&amp;""""&amp;"&gt;"&amp;L329&amp;"&lt;/a&gt;&lt;span style="&amp;""""&amp;"color:white"&amp;""""&amp;"&gt;[.]{#"&amp;F329&amp;"}}&lt;/span&gt;&lt;/div&gt;&lt;br&gt;"</f>
        <v>&lt;div class="hanging"&gt;O'Connell, A. F., Talancy, N. W., Bailey, L. L., Sauer, J. R., Cook, R., &amp; Gilbert, A. T. (2006). Estimating Site Occupancy and Detection Probability Parameters for Meso- And Large Mammals in a Coastal Ecosystem. &lt;i&gt;Journal of Wildlife Management, 70&lt;/i&gt;(6), 1625-1633.&lt;a href="https://doi.org/10.2193/0022-541X(2006)70[1625:ESOADP]2.0.CO;2" target="_blank"&gt;https://doi.org/10.2193/0022-541X(2006)70[1625:ESOADP]2.0.CO;2&lt;/a&gt;&lt;span style="color:white"&gt;[.]{#oconnell_et_al_2011}}&lt;/span&gt;&lt;/div&gt;&lt;br&gt;</v>
      </c>
      <c r="O329" s="65" t="str">
        <f>"{{ rtxt_"&amp;F329&amp;" }}"</f>
        <v>{{ rtxt_oconnell_et_al_2011 }}</v>
      </c>
      <c r="P329" s="65" t="str">
        <f>"{{ rbib_"&amp;F329&amp;" }}"</f>
        <v>{{ rbib_oconnell_et_al_2011 }}</v>
      </c>
      <c r="Q329" s="65" t="str">
        <f>"    rtxt_"&amp;F329&amp;": "&amp;""""&amp;"&lt;a href=\"&amp;""""&amp;"/08_references.html#"&amp;F329&amp;"\"&amp;""""&amp;" target=\"&amp;""""&amp;"_blank\"&amp;""""&amp;"&gt;"&amp;G329&amp;"&lt;/a&gt;"&amp;""""</f>
        <v xml:space="preserve">    rtxt_oconnell_et_al_2011: "&lt;a href=\"/08_references.html#oconnell_et_al_2011\" target=\"_blank\"&gt;O'Connell et al., 2011&lt;/a&gt;"</v>
      </c>
      <c r="R329" s="65" t="str">
        <f>"    rbib_"&amp;F329&amp;": "&amp;""""&amp;K329&amp;"&lt;a href=\"&amp;""""&amp;L329&amp;""""&amp;" target=\"&amp;""""&amp;"_blank\"&amp;""""&amp;"&gt;"&amp;L329&amp;"&lt;/a&gt;"&amp;""""</f>
        <v xml:space="preserve">    rbib_oconnell_et_al_2011: "O'Connell, A. F., Talancy, N. W., Bailey, L. L., Sauer, J. R., Cook, R., &amp; Gilbert, A. T. (2006). Estimating Site Occupancy and Detection Probability Parameters for Meso- And Large Mammals in a Coastal Ecosystem. &lt;i&gt;Journal of Wildlife Management, 70&lt;/i&gt;(6), 1625-1633.&lt;a href=\"https://doi.org/10.2193/0022-541X(2006)70[1625:ESOADP]2.0.CO;2" target=\"_blank\"&gt;https://doi.org/10.2193/0022-541X(2006)70[1625:ESOADP]2.0.CO;2&lt;/a&gt;"</v>
      </c>
      <c r="S329" s="65" t="str">
        <f>"    rbib_"&amp;F329&amp;": "&amp;""""&amp;"&lt;div class=\"&amp;""""&amp;"hanging\"&amp;""""&amp;"&gt;"&amp;J329&amp;"&lt;/div&gt;"&amp;""""</f>
        <v xml:space="preserve">    rbib_oconnell_et_al_2011: "&lt;div class=\"hanging\"&gt;O'Connell, A. F., Talancy, N. W., Bailey, L. L., Sauer, J. R., Cook, R., &amp; Gilbert, A. T. (2006). Estimating Site Occupancy and Detection Probability Parameters for Meso- And Large Mammals in a Coastal Ecosystem. *Journal of Wildlife Management, 70*(6), 1625-1633. &lt;https://doi.org/10.2193/0022-541X(2006)70[1625:ESOADP]2.0.CO;2&gt;&lt;/div&gt;"</v>
      </c>
      <c r="T329" s="65"/>
    </row>
    <row r="330" spans="1:20" ht="15.75">
      <c r="A330" s="65"/>
      <c r="B330" s="155" t="b">
        <v>1</v>
      </c>
      <c r="C330" s="155" t="b">
        <v>0</v>
      </c>
      <c r="D330" s="155" t="b">
        <v>0</v>
      </c>
      <c r="E330" s="65" t="s">
        <v>1904</v>
      </c>
      <c r="F330" s="65" t="s">
        <v>2642</v>
      </c>
      <c r="G330" s="65" t="s">
        <v>2641</v>
      </c>
      <c r="H330" s="65" t="s">
        <v>2640</v>
      </c>
      <c r="I330" s="65" t="b">
        <v>1</v>
      </c>
      <c r="J330" s="65" t="s">
        <v>2639</v>
      </c>
      <c r="K330" s="65" t="s">
        <v>5364</v>
      </c>
      <c r="L330" s="65" t="s">
        <v>2638</v>
      </c>
      <c r="M330" s="65" t="s">
        <v>984</v>
      </c>
      <c r="N330" s="65" t="str">
        <f>"&lt;div class="&amp;""""&amp;"hanging"&amp;""""&amp;"&gt;"&amp;K330&amp;"&lt;a href="&amp;""""&amp;L330&amp;""""&amp;" target="&amp;""""&amp;"_blank"&amp;""""&amp;"&gt;"&amp;L330&amp;"&lt;/a&gt;&lt;span style="&amp;""""&amp;"color:white"&amp;""""&amp;"&gt;[.]{#"&amp;F330&amp;"}}&lt;/span&gt;&lt;/div&gt;&lt;br&gt;"</f>
        <v>&lt;div class="hanging"&gt;O'Connor, K. M., Nathan, L. R., Liberati, M. R., Tingley, M. W., Vokoun, J. C., &amp; Rittenhouse, T. A. G. (2017). Camera trap arrays improve detection probability of wildlife: Investigating study design considerations using an empirical dataset. &lt;i&gt;PloS One, 12&lt;/i&gt;(4), e0175684.&lt;a href="https://doi.org/10.1371/journal.pone.0175684" target="_blank"&gt;https://doi.org/10.1371/journal.pone.0175684&lt;/a&gt;&lt;span style="color:white"&gt;[.]{#oconnor_et_al_2017}}&lt;/span&gt;&lt;/div&gt;&lt;br&gt;</v>
      </c>
      <c r="O330" s="65" t="str">
        <f>"{{ rtxt_"&amp;F330&amp;" }}"</f>
        <v>{{ rtxt_oconnor_et_al_2017 }}</v>
      </c>
      <c r="P330" s="65" t="str">
        <f>"{{ rbib_"&amp;F330&amp;" }}"</f>
        <v>{{ rbib_oconnor_et_al_2017 }}</v>
      </c>
      <c r="Q330" s="65" t="str">
        <f>"    rtxt_"&amp;F330&amp;": "&amp;""""&amp;"&lt;a href=\"&amp;""""&amp;"/08_references.html#"&amp;F330&amp;"\"&amp;""""&amp;" target=\"&amp;""""&amp;"_blank\"&amp;""""&amp;"&gt;"&amp;G330&amp;"&lt;/a&gt;"&amp;""""</f>
        <v xml:space="preserve">    rtxt_oconnor_et_al_2017: "&lt;a href=\"/08_references.html#oconnor_et_al_2017\" target=\"_blank\"&gt;O'Connor et al., 2017&lt;/a&gt;"</v>
      </c>
      <c r="R330" s="65" t="str">
        <f>"    rbib_"&amp;F330&amp;": "&amp;""""&amp;K330&amp;"&lt;a href=\"&amp;""""&amp;L330&amp;""""&amp;" target=\"&amp;""""&amp;"_blank\"&amp;""""&amp;"&gt;"&amp;L330&amp;"&lt;/a&gt;"&amp;""""</f>
        <v xml:space="preserve">    rbib_oconnor_et_al_2017: "O'Connor, K. M., Nathan, L. R., Liberati, M. R., Tingley, M. W., Vokoun, J. C., &amp; Rittenhouse, T. A. G. (2017). Camera trap arrays improve detection probability of wildlife: Investigating study design considerations using an empirical dataset. &lt;i&gt;PloS One, 12&lt;/i&gt;(4), e0175684.&lt;a href=\"https://doi.org/10.1371/journal.pone.0175684" target=\"_blank\"&gt;https://doi.org/10.1371/journal.pone.0175684&lt;/a&gt;"</v>
      </c>
      <c r="S330" s="65" t="str">
        <f>"    rbib_"&amp;F330&amp;": "&amp;""""&amp;"&lt;div class=\"&amp;""""&amp;"hanging\"&amp;""""&amp;"&gt;"&amp;J330&amp;"&lt;/div&gt;"&amp;""""</f>
        <v xml:space="preserve">    rbib_oconnor_et_al_2017: "&lt;div class=\"hanging\"&gt;O'Connor, K. M., Nathan, L. R., Liberati, M. R., Tingley, M. W., Vokoun, J. C., &amp; Rittenhouse, T. A. G. (2017). Camera trap arrays improve detection probability of wildlife: Investigating study design considerations using an empirical dataset. *PloS One, 12*(4), e0175684. &lt;https://doi.org/10.1371/journal.pone.0175684&gt;&lt;/div&gt;"</v>
      </c>
      <c r="T330" s="65"/>
    </row>
    <row r="331" spans="1:20" ht="15.75">
      <c r="A331" s="65"/>
      <c r="B331" s="155"/>
      <c r="C331" s="155"/>
      <c r="D331" s="155"/>
      <c r="E331" s="65" t="s">
        <v>1904</v>
      </c>
      <c r="F331" s="65" t="s">
        <v>2637</v>
      </c>
      <c r="G331" s="65" t="s">
        <v>2636</v>
      </c>
      <c r="H331" s="65"/>
      <c r="I331" s="65" t="b">
        <v>1</v>
      </c>
      <c r="J331" s="65" t="s">
        <v>2635</v>
      </c>
      <c r="K331" s="65" t="s">
        <v>5268</v>
      </c>
      <c r="L331" s="65" t="s">
        <v>2634</v>
      </c>
      <c r="M331" s="65" t="s">
        <v>984</v>
      </c>
      <c r="N331" s="65" t="str">
        <f>"&lt;div class="&amp;""""&amp;"hanging"&amp;""""&amp;"&gt;"&amp;K331&amp;"&lt;a href="&amp;""""&amp;L331&amp;""""&amp;" target="&amp;""""&amp;"_blank"&amp;""""&amp;"&gt;"&amp;L331&amp;"&lt;/a&gt;&lt;span style="&amp;""""&amp;"color:white"&amp;""""&amp;"&gt;[.]{#"&amp;F331&amp;"}}&lt;/span&gt;&lt;/div&gt;&lt;br&gt;"</f>
        <v>&lt;div class="hanging"&gt;Ofstad, E. G., Herfindal, I., Solberg, E. J., &amp; Saether, B. E. (2016). Home ranges, habitat and body mass: Simple correlates of home range size in ungulates. &lt;i&gt;Proceedings of the Royal Society B: Biological Sciences, 283&lt;/i&gt;(1845), 20161234.&lt;a href="https://doi.org/10.1098/rspb.2016.1234" target="_blank"&gt;https://doi.org/10.1098/rspb.2016.1234&lt;/a&gt;&lt;span style="color:white"&gt;[.]{#ofstad_2016}}&lt;/span&gt;&lt;/div&gt;&lt;br&gt;</v>
      </c>
      <c r="O331" s="65" t="str">
        <f>"{{ rtxt_"&amp;F331&amp;" }}"</f>
        <v>{{ rtxt_ofstad_2016 }}</v>
      </c>
      <c r="P331" s="65" t="str">
        <f>"{{ rbib_"&amp;F331&amp;" }}"</f>
        <v>{{ rbib_ofstad_2016 }}</v>
      </c>
      <c r="Q331" s="65" t="str">
        <f>"    rtxt_"&amp;F331&amp;": "&amp;""""&amp;"&lt;a href=\"&amp;""""&amp;"/08_references.html#"&amp;F331&amp;"\"&amp;""""&amp;" target=\"&amp;""""&amp;"_blank\"&amp;""""&amp;"&gt;"&amp;G331&amp;"&lt;/a&gt;"&amp;""""</f>
        <v xml:space="preserve">    rtxt_ofstad_2016: "&lt;a href=\"/08_references.html#ofstad_2016\" target=\"_blank\"&gt;Ofstad, 2016&lt;/a&gt;"</v>
      </c>
      <c r="R331" s="65" t="str">
        <f>"    rbib_"&amp;F331&amp;": "&amp;""""&amp;K331&amp;"&lt;a href=\"&amp;""""&amp;L331&amp;""""&amp;" target=\"&amp;""""&amp;"_blank\"&amp;""""&amp;"&gt;"&amp;L331&amp;"&lt;/a&gt;"&amp;""""</f>
        <v xml:space="preserve">    rbib_ofstad_2016: "Ofstad, E. G., Herfindal, I., Solberg, E. J., &amp; Saether, B. E. (2016). Home ranges, habitat and body mass: Simple correlates of home range size in ungulates. &lt;i&gt;Proceedings of the Royal Society B: Biological Sciences, 283&lt;/i&gt;(1845), 20161234.&lt;a href=\"https://doi.org/10.1098/rspb.2016.1234" target=\"_blank\"&gt;https://doi.org/10.1098/rspb.2016.1234&lt;/a&gt;"</v>
      </c>
      <c r="S331" s="65" t="str">
        <f>"    rbib_"&amp;F331&amp;": "&amp;""""&amp;"&lt;div class=\"&amp;""""&amp;"hanging\"&amp;""""&amp;"&gt;"&amp;J331&amp;"&lt;/div&gt;"&amp;""""</f>
        <v xml:space="preserve">    rbib_ofstad_2016: "&lt;div class=\"hanging\"&gt;Ofstad, E. G., Herfindal, I., Solberg, E. J., &amp; Saether, B. E. (2016). Home ranges, habitat and body mass: Simple correlates of home range size in ungulates. *Proceedings of the Royal Society B: Biological Sciences, 283* (1845), 20161234. &lt;https://doi.org/10.1098/rspb.2016.1234&gt;&lt;/div&gt;"</v>
      </c>
      <c r="T331" s="65"/>
    </row>
    <row r="332" spans="1:20" ht="15.75">
      <c r="A332" s="65"/>
      <c r="B332" s="155" t="b">
        <v>0</v>
      </c>
      <c r="C332" s="155" t="b">
        <v>0</v>
      </c>
      <c r="D332" s="155"/>
      <c r="E332" s="65" t="s">
        <v>1904</v>
      </c>
      <c r="F332" s="65" t="s">
        <v>2633</v>
      </c>
      <c r="G332" s="65" t="s">
        <v>2632</v>
      </c>
      <c r="H332" s="65" t="s">
        <v>2632</v>
      </c>
      <c r="I332" s="65" t="b">
        <v>1</v>
      </c>
      <c r="J332" s="65" t="s">
        <v>2631</v>
      </c>
      <c r="K332" s="65" t="s">
        <v>5406</v>
      </c>
      <c r="L332" s="65" t="s">
        <v>2630</v>
      </c>
      <c r="M332" s="65" t="s">
        <v>984</v>
      </c>
      <c r="N332" s="65" t="str">
        <f>"&lt;div class="&amp;""""&amp;"hanging"&amp;""""&amp;"&gt;"&amp;K332&amp;"&lt;a href="&amp;""""&amp;L332&amp;""""&amp;" target="&amp;""""&amp;"_blank"&amp;""""&amp;"&gt;"&amp;L332&amp;"&lt;/a&gt;&lt;span style="&amp;""""&amp;"color:white"&amp;""""&amp;"&gt;[.]{#"&amp;F332&amp;"}}&lt;/span&gt;&lt;/div&gt;&lt;br&gt;"</f>
        <v>&lt;div class="hanging"&gt;Oksanen, J., Simpson, G. L., Blanchet, F. G., Kindt, R., Legendre, P., Minchin, P. R., O'Hara, R. B., Solymos, P., Stevens, M. H. H., Szoecs, E., Wagner, H., Barbour, M., Bedward, M., Bolker, B., Borcard, D., Carvalho, G., Chirico, M., De Caceres, M., Durand, S., … Weedon, J. (2024). &lt;i&gt;vegan: Community Ecology Package&lt;/i&gt;. R package version 2.6-6.1.&lt;a href="https://doi.org/10.32614/CRAN.package.vegan" target="_blank"&gt;https://doi.org/10.32614/CRAN.package.vegan&lt;/a&gt;&lt;span style="color:white"&gt;[.]{#oksanen_et_al_2024}}&lt;/span&gt;&lt;/div&gt;&lt;br&gt;</v>
      </c>
      <c r="O332" s="65" t="str">
        <f>"{{ rtxt_"&amp;F332&amp;" }}"</f>
        <v>{{ rtxt_oksanen_et_al_2024 }}</v>
      </c>
      <c r="P332" s="65" t="str">
        <f>"{{ rbib_"&amp;F332&amp;" }}"</f>
        <v>{{ rbib_oksanen_et_al_2024 }}</v>
      </c>
      <c r="Q332" s="65" t="str">
        <f>"    rtxt_"&amp;F332&amp;": "&amp;""""&amp;"&lt;a href=\"&amp;""""&amp;"/08_references.html#"&amp;F332&amp;"\"&amp;""""&amp;" target=\"&amp;""""&amp;"_blank\"&amp;""""&amp;"&gt;"&amp;G332&amp;"&lt;/a&gt;"&amp;""""</f>
        <v xml:space="preserve">    rtxt_oksanen_et_al_2024: "&lt;a href=\"/08_references.html#oksanen_et_al_2024\" target=\"_blank\"&gt;Oksanen et al., 2024&lt;/a&gt;"</v>
      </c>
      <c r="R332" s="65" t="str">
        <f>"    rbib_"&amp;F332&amp;": "&amp;""""&amp;K332&amp;"&lt;a href=\"&amp;""""&amp;L332&amp;""""&amp;" target=\"&amp;""""&amp;"_blank\"&amp;""""&amp;"&gt;"&amp;L332&amp;"&lt;/a&gt;"&amp;""""</f>
        <v xml:space="preserve">    rbib_oksanen_et_al_2024: "Oksanen, J., Simpson, G. L., Blanchet, F. G., Kindt, R., Legendre, P., Minchin, P. R., O'Hara, R. B., Solymos, P., Stevens, M. H. H., Szoecs, E., Wagner, H., Barbour, M., Bedward, M., Bolker, B., Borcard, D., Carvalho, G., Chirico, M., De Caceres, M., Durand, S., … Weedon, J. (2024). &lt;i&gt;vegan: Community Ecology Package&lt;/i&gt;. R package version 2.6-6.1.&lt;a href=\"https://doi.org/10.32614/CRAN.package.vegan" target=\"_blank\"&gt;https://doi.org/10.32614/CRAN.package.vegan&lt;/a&gt;"</v>
      </c>
      <c r="S332" s="65" t="str">
        <f>"    rbib_"&amp;F332&amp;": "&amp;""""&amp;"&lt;div class=\"&amp;""""&amp;"hanging\"&amp;""""&amp;"&gt;"&amp;J332&amp;"&lt;/div&gt;"&amp;""""</f>
        <v xml:space="preserve">    rbib_oksanen_et_al_2024: "&lt;div class=\"hanging\"&gt;Oksanen, J., Simpson, G. L., Blanchet, F. G., Kindt, R., Legendre, P., Minchin, P. R., O'Hara, R. B., Solymos, P., Stevens, M. H. H., Szoecs, E., Wagner, H., Barbour, M., Bedward, M., Bolker, B., Borcard, D., Carvalho, G., Chirico, M., De Caceres, M., Durand, S., … Weedon, J. (2024). *vegan: Community Ecology Package*. R package Version 2.6-6.1. &lt;https://doi.org/10.32614/CRAN.package.vegan&lt;/div&gt;"</v>
      </c>
      <c r="T332" s="65"/>
    </row>
    <row r="333" spans="1:20" ht="15.75">
      <c r="A333" s="65"/>
      <c r="B333" s="155"/>
      <c r="C333" s="155"/>
      <c r="D333" s="155"/>
      <c r="E333" s="65" t="s">
        <v>1945</v>
      </c>
      <c r="F333" s="65" t="s">
        <v>2629</v>
      </c>
      <c r="G333" s="65" t="s">
        <v>2628</v>
      </c>
      <c r="H333" s="65" t="s">
        <v>2628</v>
      </c>
      <c r="I333" s="65" t="b">
        <v>1</v>
      </c>
      <c r="J333" s="65" t="s">
        <v>2627</v>
      </c>
      <c r="K333" s="65" t="s">
        <v>5519</v>
      </c>
      <c r="L333" s="65" t="s">
        <v>2626</v>
      </c>
      <c r="M333" s="65" t="s">
        <v>984</v>
      </c>
      <c r="N333" s="65" t="str">
        <f>"&lt;div class="&amp;""""&amp;"hanging"&amp;""""&amp;"&gt;"&amp;K333&amp;"&lt;a href="&amp;""""&amp;L333&amp;""""&amp;" target="&amp;""""&amp;"_blank"&amp;""""&amp;"&gt;"&amp;L333&amp;"&lt;/a&gt;&lt;span style="&amp;""""&amp;"color:white"&amp;""""&amp;"&gt;[.]{#"&amp;F333&amp;"}}&lt;/span&gt;&lt;/div&gt;&lt;br&gt;"</f>
        <v>&lt;div class="hanging"&gt;oscrpackage206 (2020) &lt;i&gt;oSCR Package.&lt;/i&gt; [Channel]. YouTube.&lt;a href="https://www.youtube.com/channel/UCc87aAzhX7EUOalyCohzqsQ" target="_blank"&gt;https://www.youtube.com/channel/UCc87aAzhX7EUOalyCohzqsQ&lt;/a&gt;&lt;span style="color:white"&gt;[.]{#oscrpackage206}}&lt;/span&gt;&lt;/div&gt;&lt;br&gt;</v>
      </c>
      <c r="O333" s="65" t="str">
        <f>"{{ rtxt_"&amp;F333&amp;" }}"</f>
        <v>{{ rtxt_oscrpackage206 }}</v>
      </c>
      <c r="P333" s="65" t="str">
        <f>"{{ rbib_"&amp;F333&amp;" }}"</f>
        <v>{{ rbib_oscrpackage206 }}</v>
      </c>
      <c r="Q333" s="65" t="str">
        <f>"    rtxt_"&amp;F333&amp;": "&amp;""""&amp;"&lt;a href=\"&amp;""""&amp;"/08_references.html#"&amp;F333&amp;"\"&amp;""""&amp;" target=\"&amp;""""&amp;"_blank\"&amp;""""&amp;"&gt;"&amp;G333&amp;"&lt;/a&gt;"&amp;""""</f>
        <v xml:space="preserve">    rtxt_oscrpackage206: "&lt;a href=\"/08_references.html#oscrpackage206\" target=\"_blank\"&gt;oscrpackage206, 2020&lt;/a&gt;"</v>
      </c>
      <c r="R333" s="65" t="str">
        <f>"    rbib_"&amp;F333&amp;": "&amp;""""&amp;K333&amp;"&lt;a href=\"&amp;""""&amp;L333&amp;""""&amp;" target=\"&amp;""""&amp;"_blank\"&amp;""""&amp;"&gt;"&amp;L333&amp;"&lt;/a&gt;"&amp;""""</f>
        <v xml:space="preserve">    rbib_oscrpackage206: "oscrpackage206 (2020) &lt;i&gt;oSCR Package.&lt;/i&gt; [Channel]. YouTube.&lt;a href=\"https://www.youtube.com/channel/UCc87aAzhX7EUOalyCohzqsQ" target=\"_blank\"&gt;https://www.youtube.com/channel/UCc87aAzhX7EUOalyCohzqsQ&lt;/a&gt;"</v>
      </c>
      <c r="S333" s="65" t="str">
        <f>"    rbib_"&amp;F333&amp;": "&amp;""""&amp;"&lt;div class=\"&amp;""""&amp;"hanging\"&amp;""""&amp;"&gt;"&amp;J333&amp;"&lt;/div&gt;"&amp;""""</f>
        <v xml:space="preserve">    rbib_oscrpackage206: "&lt;div class=\"hanging\"&gt;oscrpackage206 (2020) *oSCR Package.* [Channel]. YouTube. &lt;https://www.youtube.com/channel/UCc87aAzhX7EUOalyCohzqsQ&gt;&lt;/div&gt;"</v>
      </c>
      <c r="T333" s="65"/>
    </row>
    <row r="334" spans="1:20" ht="15.75">
      <c r="A334" s="65"/>
      <c r="B334" s="155"/>
      <c r="C334" s="155"/>
      <c r="D334" s="155"/>
      <c r="E334" s="65" t="s">
        <v>1904</v>
      </c>
      <c r="F334" s="65" t="s">
        <v>2625</v>
      </c>
      <c r="G334" s="65" t="s">
        <v>2624</v>
      </c>
      <c r="H334" s="65"/>
      <c r="I334" s="65" t="b">
        <v>1</v>
      </c>
      <c r="J334" s="65" t="s">
        <v>2623</v>
      </c>
      <c r="K334" s="65" t="s">
        <v>5464</v>
      </c>
      <c r="L334" s="65" t="s">
        <v>2622</v>
      </c>
      <c r="M334" s="65" t="s">
        <v>984</v>
      </c>
      <c r="N334" s="65" t="str">
        <f>"&lt;div class="&amp;""""&amp;"hanging"&amp;""""&amp;"&gt;"&amp;K334&amp;"&lt;a href="&amp;""""&amp;L334&amp;""""&amp;" target="&amp;""""&amp;"_blank"&amp;""""&amp;"&gt;"&amp;L334&amp;"&lt;/a&gt;&lt;span style="&amp;""""&amp;"color:white"&amp;""""&amp;"&gt;[.]{#"&amp;F334&amp;"}}&lt;/span&gt;&lt;/div&gt;&lt;br&gt;"</f>
        <v>&lt;div class="hanging"&gt;Otis, D. L., Burnham, K. P., White, G. C.. &amp; Anderson, D. R. (1978). Statistical Inference from Capture Data on Closed Animal Populations. &lt;i&gt;Wildlife Monographs, 62&lt;/i&gt;, 3-135.&lt;a href="https://pubs.usgs.gov/publication/70119899" target="_blank"&gt;https://pubs.usgs.gov/publication/70119899&lt;/a&gt;&lt;span style="color:white"&gt;[.]{#otis_et_al_1978}}&lt;/span&gt;&lt;/div&gt;&lt;br&gt;</v>
      </c>
      <c r="O334" s="65" t="str">
        <f>"{{ rtxt_"&amp;F334&amp;" }}"</f>
        <v>{{ rtxt_otis_et_al_1978 }}</v>
      </c>
      <c r="P334" s="65" t="str">
        <f>"{{ rbib_"&amp;F334&amp;" }}"</f>
        <v>{{ rbib_otis_et_al_1978 }}</v>
      </c>
      <c r="Q334" s="65" t="str">
        <f>"    rtxt_"&amp;F334&amp;": "&amp;""""&amp;"&lt;a href=\"&amp;""""&amp;"/08_references.html#"&amp;F334&amp;"\"&amp;""""&amp;" target=\"&amp;""""&amp;"_blank\"&amp;""""&amp;"&gt;"&amp;G334&amp;"&lt;/a&gt;"&amp;""""</f>
        <v xml:space="preserve">    rtxt_otis_et_al_1978: "&lt;a href=\"/08_references.html#otis_et_al_1978\" target=\"_blank\"&gt;Otis et al., 1978&lt;/a&gt;"</v>
      </c>
      <c r="R334" s="65" t="str">
        <f>"    rbib_"&amp;F334&amp;": "&amp;""""&amp;K334&amp;"&lt;a href=\"&amp;""""&amp;L334&amp;""""&amp;" target=\"&amp;""""&amp;"_blank\"&amp;""""&amp;"&gt;"&amp;L334&amp;"&lt;/a&gt;"&amp;""""</f>
        <v xml:space="preserve">    rbib_otis_et_al_1978: "Otis, D. L., Burnham, K. P., White, G. C.. &amp; Anderson, D. R. (1978). Statistical Inference from Capture Data on Closed Animal Populations. &lt;i&gt;Wildlife Monographs, 62&lt;/i&gt;, 3-135.&lt;a href=\"https://pubs.usgs.gov/publication/70119899" target=\"_blank\"&gt;https://pubs.usgs.gov/publication/70119899&lt;/a&gt;"</v>
      </c>
      <c r="S334" s="65" t="str">
        <f>"    rbib_"&amp;F334&amp;": "&amp;""""&amp;"&lt;div class=\"&amp;""""&amp;"hanging\"&amp;""""&amp;"&gt;"&amp;J334&amp;"&lt;/div&gt;"&amp;""""</f>
        <v xml:space="preserve">    rbib_otis_et_al_1978: "&lt;div class=\"hanging\"&gt;Otis, D. L., Burnham, K. P., White, G. C.. &amp; Anderson, D. R. (1978). Statistical Inference from Capture Data on Closed Animal Populations. *Wildlife Monographs, 62*, 3-135. &lt;https://pubs.usgs.gov/publication/70119899&gt;&lt;/div&gt;"</v>
      </c>
      <c r="T334" s="65"/>
    </row>
    <row r="335" spans="1:20" ht="15.75">
      <c r="A335" s="65"/>
      <c r="B335" s="155" t="b">
        <v>1</v>
      </c>
      <c r="C335" s="155" t="b">
        <v>0</v>
      </c>
      <c r="D335" s="155" t="b">
        <v>0</v>
      </c>
      <c r="E335" s="65" t="s">
        <v>1904</v>
      </c>
      <c r="F335" s="65" t="s">
        <v>2621</v>
      </c>
      <c r="G335" s="65" t="s">
        <v>2620</v>
      </c>
      <c r="H335" s="65" t="s">
        <v>2620</v>
      </c>
      <c r="I335" s="65" t="b">
        <v>1</v>
      </c>
      <c r="J335" s="65" t="s">
        <v>2619</v>
      </c>
      <c r="K335" s="65" t="s">
        <v>5291</v>
      </c>
      <c r="L335" s="65" t="s">
        <v>2618</v>
      </c>
      <c r="M335" s="65" t="s">
        <v>984</v>
      </c>
      <c r="N335" s="65" t="str">
        <f>"&lt;div class="&amp;""""&amp;"hanging"&amp;""""&amp;"&gt;"&amp;K335&amp;"&lt;a href="&amp;""""&amp;L335&amp;""""&amp;" target="&amp;""""&amp;"_blank"&amp;""""&amp;"&gt;"&amp;L335&amp;"&lt;/a&gt;&lt;span style="&amp;""""&amp;"color:white"&amp;""""&amp;"&gt;[.]{#"&amp;F335&amp;"}}&lt;/span&gt;&lt;/div&gt;&lt;br&gt;"</f>
        <v>&lt;div class="hanging"&gt;Pacifici, K., Reich, B. J., Dorazio, R. M., Conroy, M. J., &amp; McPherson, J. (2016). Occupancy estimation for rare species using a spatially‐adaptive sampling design. &lt;i&gt;Methods in Ecology and Evolution, 7&lt;/i&gt;(3), 285-293.&lt;a href="https://doi.org/10.1111/2041-210x.12499" target="_blank"&gt;https://doi.org/10.1111/2041-210x.12499&lt;/a&gt;&lt;span style="color:white"&gt;[.]{#pacifici_et_al_2016}}&lt;/span&gt;&lt;/div&gt;&lt;br&gt;</v>
      </c>
      <c r="O335" s="65" t="str">
        <f>"{{ rtxt_"&amp;F335&amp;" }}"</f>
        <v>{{ rtxt_pacifici_et_al_2016 }}</v>
      </c>
      <c r="P335" s="65" t="str">
        <f>"{{ rbib_"&amp;F335&amp;" }}"</f>
        <v>{{ rbib_pacifici_et_al_2016 }}</v>
      </c>
      <c r="Q335" s="65" t="str">
        <f>"    rtxt_"&amp;F335&amp;": "&amp;""""&amp;"&lt;a href=\"&amp;""""&amp;"/08_references.html#"&amp;F335&amp;"\"&amp;""""&amp;" target=\"&amp;""""&amp;"_blank\"&amp;""""&amp;"&gt;"&amp;G335&amp;"&lt;/a&gt;"&amp;""""</f>
        <v xml:space="preserve">    rtxt_pacifici_et_al_2016: "&lt;a href=\"/08_references.html#pacifici_et_al_2016\" target=\"_blank\"&gt;Pacifici et al., 2016&lt;/a&gt;"</v>
      </c>
      <c r="R335" s="65" t="str">
        <f>"    rbib_"&amp;F335&amp;": "&amp;""""&amp;K335&amp;"&lt;a href=\"&amp;""""&amp;L335&amp;""""&amp;" target=\"&amp;""""&amp;"_blank\"&amp;""""&amp;"&gt;"&amp;L335&amp;"&lt;/a&gt;"&amp;""""</f>
        <v xml:space="preserve">    rbib_pacifici_et_al_2016: "Pacifici, K., Reich, B. J., Dorazio, R. M., Conroy, M. J., &amp; McPherson, J. (2016). Occupancy estimation for rare species using a spatially‐adaptive sampling design. &lt;i&gt;Methods in Ecology and Evolution, 7&lt;/i&gt;(3), 285-293.&lt;a href=\"https://doi.org/10.1111/2041-210x.12499" target=\"_blank\"&gt;https://doi.org/10.1111/2041-210x.12499&lt;/a&gt;"</v>
      </c>
      <c r="S335" s="65" t="str">
        <f>"    rbib_"&amp;F335&amp;": "&amp;""""&amp;"&lt;div class=\"&amp;""""&amp;"hanging\"&amp;""""&amp;"&gt;"&amp;J335&amp;"&lt;/div&gt;"&amp;""""</f>
        <v xml:space="preserve">    rbib_pacifici_et_al_2016: "&lt;div class=\"hanging\"&gt;Pacifici, K., Reich, B. J., Dorazio, R. M., Conroy, M. J., &amp; McPherson, J. (2016). Occupancy estimation for rare species using a spatially‐adaptive sampling design. *Methods in Ecology and Evolution, 7*(3), 285-293. &lt;https://doi.org/10.1111/2041-210x.12499&gt;&lt;/div&gt;"</v>
      </c>
      <c r="T335" s="65"/>
    </row>
    <row r="336" spans="1:20" ht="15.75">
      <c r="A336" s="65"/>
      <c r="B336" s="155"/>
      <c r="C336" s="155"/>
      <c r="D336" s="155"/>
      <c r="E336" s="65" t="s">
        <v>1945</v>
      </c>
      <c r="F336" s="65" t="s">
        <v>2617</v>
      </c>
      <c r="G336" s="65" t="s">
        <v>2616</v>
      </c>
      <c r="H336" s="65"/>
      <c r="I336" s="65" t="b">
        <v>1</v>
      </c>
      <c r="J336" s="65" t="s">
        <v>3959</v>
      </c>
      <c r="K336" s="65" t="s">
        <v>5538</v>
      </c>
      <c r="L336" s="65" t="s">
        <v>2614</v>
      </c>
      <c r="M336" s="65" t="s">
        <v>2615</v>
      </c>
      <c r="N336" s="65" t="str">
        <f>"&lt;div class="&amp;""""&amp;"hanging"&amp;""""&amp;"&gt;"&amp;K336&amp;"&lt;a href="&amp;""""&amp;L336&amp;""""&amp;" target="&amp;""""&amp;"_blank"&amp;""""&amp;"&gt;"&amp;L336&amp;"&lt;/a&gt;&lt;span style="&amp;""""&amp;"color:white"&amp;""""&amp;"&gt;[.]{#"&amp;F336&amp;"}}&lt;/span&gt;&lt;/div&gt;&lt;br&gt;"</f>
        <v>&lt;div class="hanging"&gt;Palencia, P. &amp; Project ENETWILD (2022, May 19). &lt;i&gt;Camera Trap Methods for Density Estimation.&lt;/i&gt; [Video]. YouTube.&lt;a href="https://www.youtube.com/watch?v=NUW4oLGeQwk" target="_blank"&gt;https://www.youtube.com/watch?v=NUW4oLGeQwk&lt;/a&gt;&lt;span style="color:white"&gt;[.]{#palencia_enetwild_2022}}&lt;/span&gt;&lt;/div&gt;&lt;br&gt;</v>
      </c>
      <c r="O336" s="65" t="str">
        <f>"{{ rtxt_"&amp;F336&amp;" }}"</f>
        <v>{{ rtxt_palencia_enetwild_2022 }}</v>
      </c>
      <c r="P336" s="65" t="str">
        <f>"{{ rbib_"&amp;F336&amp;" }}"</f>
        <v>{{ rbib_palencia_enetwild_2022 }}</v>
      </c>
      <c r="Q336" s="65" t="str">
        <f>"    rtxt_"&amp;F336&amp;": "&amp;""""&amp;"&lt;a href=\"&amp;""""&amp;"/08_references.html#"&amp;F336&amp;"\"&amp;""""&amp;" target=\"&amp;""""&amp;"_blank\"&amp;""""&amp;"&gt;"&amp;G336&amp;"&lt;/a&gt;"&amp;""""</f>
        <v xml:space="preserve">    rtxt_palencia_enetwild_2022: "&lt;a href=\"/08_references.html#palencia_enetwild_2022\" target=\"_blank\"&gt;Palencia &amp; Project ENETWILD, 2022&lt;/a&gt;"</v>
      </c>
      <c r="R336" s="65" t="str">
        <f>"    rbib_"&amp;F336&amp;": "&amp;""""&amp;K336&amp;"&lt;a href=\"&amp;""""&amp;L336&amp;""""&amp;" target=\"&amp;""""&amp;"_blank\"&amp;""""&amp;"&gt;"&amp;L336&amp;"&lt;/a&gt;"&amp;""""</f>
        <v xml:space="preserve">    rbib_palencia_enetwild_2022: "Palencia, P. &amp; Project ENETWILD (2022, May 19). &lt;i&gt;Camera Trap Methods for Density Estimation.&lt;/i&gt; [Video]. YouTube.&lt;a href=\"https://www.youtube.com/watch?v=NUW4oLGeQwk" target=\"_blank\"&gt;https://www.youtube.com/watch?v=NUW4oLGeQwk&lt;/a&gt;"</v>
      </c>
      <c r="S336" s="65" t="str">
        <f>"    rbib_"&amp;F336&amp;": "&amp;""""&amp;"&lt;div class=\"&amp;""""&amp;"hanging\"&amp;""""&amp;"&gt;"&amp;J336&amp;"&lt;/div&gt;"&amp;""""</f>
        <v xml:space="preserve">    rbib_palencia_enetwild_2022: "&lt;div class=\"hanging\"&gt;Palencia, P. &amp; Project ENETWILD (2022, May 19). *Camera Trap Methods for Density Estimation.* [Video]. YouTube. &lt;https://www.youtube.com/watch?v=NUW4oLGeQwk&gt;&lt;/div&gt;"</v>
      </c>
      <c r="T336" s="65"/>
    </row>
    <row r="337" spans="1:20" ht="15.75">
      <c r="A337" s="65"/>
      <c r="B337" s="155" t="b">
        <v>1</v>
      </c>
      <c r="C337" s="155" t="b">
        <v>0</v>
      </c>
      <c r="D337" s="155" t="b">
        <v>0</v>
      </c>
      <c r="E337" s="65" t="s">
        <v>1904</v>
      </c>
      <c r="F337" s="65" t="s">
        <v>2605</v>
      </c>
      <c r="G337" s="65" t="s">
        <v>2604</v>
      </c>
      <c r="H337" s="65"/>
      <c r="I337" s="65" t="b">
        <v>1</v>
      </c>
      <c r="J337" s="65" t="s">
        <v>2603</v>
      </c>
      <c r="K337" s="65" t="s">
        <v>5171</v>
      </c>
      <c r="L337" s="65" t="s">
        <v>2602</v>
      </c>
      <c r="M337" s="65" t="s">
        <v>984</v>
      </c>
      <c r="N337" s="65" t="str">
        <f>"&lt;div class="&amp;""""&amp;"hanging"&amp;""""&amp;"&gt;"&amp;K337&amp;"&lt;a href="&amp;""""&amp;L337&amp;""""&amp;" target="&amp;""""&amp;"_blank"&amp;""""&amp;"&gt;"&amp;L337&amp;"&lt;/a&gt;&lt;span style="&amp;""""&amp;"color:white"&amp;""""&amp;"&gt;[.]{#"&amp;F337&amp;"}}&lt;/span&gt;&lt;/div&gt;&lt;br&gt;"</f>
        <v>&lt;div class="hanging"&gt;Palencia, P., Barroso, P., Vicente, J., Hofmeester, T. R., Ferreres, J., &amp; Acevedo, P. (2022b). Random encounter model is a reliable method for estimating population density of multiple species using camera traps. &lt;i&gt;Remote Sensing in Ecology and Conservation, 8&lt;/i&gt;(5), 670-682.&lt;a href="https://doi.org/10.1002/rse2.269" target="_blank"&gt;https://doi.org/10.1002/rse2.269&lt;/a&gt;&lt;span style="color:white"&gt;[.]{#palencia_et_al_2022b}}&lt;/span&gt;&lt;/div&gt;&lt;br&gt;</v>
      </c>
      <c r="O337" s="65" t="str">
        <f>"{{ rtxt_"&amp;F337&amp;" }}"</f>
        <v>{{ rtxt_palencia_et_al_2022b }}</v>
      </c>
      <c r="P337" s="65" t="str">
        <f>"{{ rbib_"&amp;F337&amp;" }}"</f>
        <v>{{ rbib_palencia_et_al_2022b }}</v>
      </c>
      <c r="Q337" s="65" t="str">
        <f>"    rtxt_"&amp;F337&amp;": "&amp;""""&amp;"&lt;a href=\"&amp;""""&amp;"/08_references.html#"&amp;F337&amp;"\"&amp;""""&amp;" target=\"&amp;""""&amp;"_blank\"&amp;""""&amp;"&gt;"&amp;G337&amp;"&lt;/a&gt;"&amp;""""</f>
        <v xml:space="preserve">    rtxt_palencia_et_al_2022b: "&lt;a href=\"/08_references.html#palencia_et_al_2022b\" target=\"_blank\"&gt;Palencia et al., 2022b&lt;/a&gt;"</v>
      </c>
      <c r="R337" s="65" t="str">
        <f>"    rbib_"&amp;F337&amp;": "&amp;""""&amp;K337&amp;"&lt;a href=\"&amp;""""&amp;L337&amp;""""&amp;" target=\"&amp;""""&amp;"_blank\"&amp;""""&amp;"&gt;"&amp;L337&amp;"&lt;/a&gt;"&amp;""""</f>
        <v xml:space="preserve">    rbib_palencia_et_al_2022b: "Palencia, P., Barroso, P., Vicente, J., Hofmeester, T. R., Ferreres, J., &amp; Acevedo, P. (2022b). Random encounter model is a reliable method for estimating population density of multiple species using camera traps. &lt;i&gt;Remote Sensing in Ecology and Conservation, 8&lt;/i&gt;(5), 670-682.&lt;a href=\"https://doi.org/10.1002/rse2.269" target=\"_blank\"&gt;https://doi.org/10.1002/rse2.269&lt;/a&gt;"</v>
      </c>
      <c r="S337" s="65" t="str">
        <f>"    rbib_"&amp;F337&amp;": "&amp;""""&amp;"&lt;div class=\"&amp;""""&amp;"hanging\"&amp;""""&amp;"&gt;"&amp;J337&amp;"&lt;/div&gt;"&amp;""""</f>
        <v xml:space="preserve">    rbib_palencia_et_al_2022b: "&lt;div class=\"hanging\"&gt;Palencia, P., Barroso, P., Vicente, J., Hofmeester, T. R., Ferreres, J., &amp; Acevedo, P. (2022b). Random encounter model is a reliable method for estimating population density of multiple species using camera traps. *Remote Sensing in Ecology and Conservation, 8*(5), 670-682. &lt;https://doi.org/10.1002/rse2.269&gt;&lt;/div&gt;"</v>
      </c>
      <c r="T337" s="65"/>
    </row>
    <row r="338" spans="1:20" ht="15.75">
      <c r="A338" s="65"/>
      <c r="B338" s="155" t="b">
        <v>1</v>
      </c>
      <c r="C338" s="155" t="b">
        <v>0</v>
      </c>
      <c r="D338" s="155" t="b">
        <v>1</v>
      </c>
      <c r="E338" s="65" t="s">
        <v>1904</v>
      </c>
      <c r="F338" s="65" t="s">
        <v>2613</v>
      </c>
      <c r="G338" s="65" t="s">
        <v>2612</v>
      </c>
      <c r="H338" s="65" t="s">
        <v>2612</v>
      </c>
      <c r="I338" s="65" t="b">
        <v>1</v>
      </c>
      <c r="J338" s="65" t="s">
        <v>2611</v>
      </c>
      <c r="K338" s="65" t="s">
        <v>5287</v>
      </c>
      <c r="L338" s="65" t="s">
        <v>2610</v>
      </c>
      <c r="M338" s="65" t="s">
        <v>984</v>
      </c>
      <c r="N338" s="65" t="str">
        <f>"&lt;div class="&amp;""""&amp;"hanging"&amp;""""&amp;"&gt;"&amp;K338&amp;"&lt;a href="&amp;""""&amp;L338&amp;""""&amp;" target="&amp;""""&amp;"_blank"&amp;""""&amp;"&gt;"&amp;L338&amp;"&lt;/a&gt;&lt;span style="&amp;""""&amp;"color:white"&amp;""""&amp;"&gt;[.]{#"&amp;F338&amp;"}}&lt;/span&gt;&lt;/div&gt;&lt;br&gt;"</f>
        <v>&lt;div class="hanging"&gt;Palencia, P., Rowcliffe, J. M., Vicente, J., &amp; Acevedo, P. (2021). Assessing the camera trap methodologies used to estimate Density of unmarked populations. &lt;i&gt;Journal of Applied Ecology, 58&lt;/i&gt;(8), 1583-1592.&lt;a href="https://doi.org/10.1111/1365-2664.13913" target="_blank"&gt;https://doi.org/10.1111/1365-2664.13913&lt;/a&gt;&lt;span style="color:white"&gt;[.]{#palencia_et_al_2021}}&lt;/span&gt;&lt;/div&gt;&lt;br&gt;</v>
      </c>
      <c r="O338" s="65" t="str">
        <f>"{{ rtxt_"&amp;F338&amp;" }}"</f>
        <v>{{ rtxt_palencia_et_al_2021 }}</v>
      </c>
      <c r="P338" s="65" t="str">
        <f>"{{ rbib_"&amp;F338&amp;" }}"</f>
        <v>{{ rbib_palencia_et_al_2021 }}</v>
      </c>
      <c r="Q338" s="65" t="str">
        <f>"    rtxt_"&amp;F338&amp;": "&amp;""""&amp;"&lt;a href=\"&amp;""""&amp;"/08_references.html#"&amp;F338&amp;"\"&amp;""""&amp;" target=\"&amp;""""&amp;"_blank\"&amp;""""&amp;"&gt;"&amp;G338&amp;"&lt;/a&gt;"&amp;""""</f>
        <v xml:space="preserve">    rtxt_palencia_et_al_2021: "&lt;a href=\"/08_references.html#palencia_et_al_2021\" target=\"_blank\"&gt;Palencia et al., 2021&lt;/a&gt;"</v>
      </c>
      <c r="R338" s="65" t="str">
        <f>"    rbib_"&amp;F338&amp;": "&amp;""""&amp;K338&amp;"&lt;a href=\"&amp;""""&amp;L338&amp;""""&amp;" target=\"&amp;""""&amp;"_blank\"&amp;""""&amp;"&gt;"&amp;L338&amp;"&lt;/a&gt;"&amp;""""</f>
        <v xml:space="preserve">    rbib_palencia_et_al_2021: "Palencia, P., Rowcliffe, J. M., Vicente, J., &amp; Acevedo, P. (2021). Assessing the camera trap methodologies used to estimate Density of unmarked populations. &lt;i&gt;Journal of Applied Ecology, 58&lt;/i&gt;(8), 1583-1592.&lt;a href=\"https://doi.org/10.1111/1365-2664.13913" target=\"_blank\"&gt;https://doi.org/10.1111/1365-2664.13913&lt;/a&gt;"</v>
      </c>
      <c r="S338" s="65" t="str">
        <f>"    rbib_"&amp;F338&amp;": "&amp;""""&amp;"&lt;div class=\"&amp;""""&amp;"hanging\"&amp;""""&amp;"&gt;"&amp;J338&amp;"&lt;/div&gt;"&amp;""""</f>
        <v xml:space="preserve">    rbib_palencia_et_al_2021: "&lt;div class=\"hanging\"&gt;Palencia, P., Rowcliffe, J. M., Vicente, J., &amp; Acevedo, P. (2021). Assessing the camera trap methodologies used to estimate Density of unmarked populations. *Journal of Applied Ecology, 58*(8), 1583-1592. &lt;https://doi.org/10.1111/1365-2664.13913&gt;&lt;/div&gt;"</v>
      </c>
      <c r="T338" s="65"/>
    </row>
    <row r="339" spans="1:20" ht="15.75">
      <c r="A339" s="65"/>
      <c r="B339" s="155" t="b">
        <v>1</v>
      </c>
      <c r="C339" s="155" t="b">
        <v>0</v>
      </c>
      <c r="D339" s="155" t="b">
        <v>0</v>
      </c>
      <c r="E339" s="65" t="s">
        <v>1904</v>
      </c>
      <c r="F339" s="65" t="s">
        <v>2609</v>
      </c>
      <c r="G339" s="65" t="s">
        <v>2608</v>
      </c>
      <c r="H339" s="65" t="s">
        <v>2608</v>
      </c>
      <c r="I339" s="65" t="b">
        <v>1</v>
      </c>
      <c r="J339" s="65" t="s">
        <v>2607</v>
      </c>
      <c r="K339" s="65" t="s">
        <v>5342</v>
      </c>
      <c r="L339" s="65" t="s">
        <v>2606</v>
      </c>
      <c r="M339" s="65" t="s">
        <v>984</v>
      </c>
      <c r="N339" s="65" t="str">
        <f>"&lt;div class="&amp;""""&amp;"hanging"&amp;""""&amp;"&gt;"&amp;K339&amp;"&lt;a href="&amp;""""&amp;L339&amp;""""&amp;" target="&amp;""""&amp;"_blank"&amp;""""&amp;"&gt;"&amp;L339&amp;"&lt;/a&gt;&lt;span style="&amp;""""&amp;"color:white"&amp;""""&amp;"&gt;[.]{#"&amp;F339&amp;"}}&lt;/span&gt;&lt;/div&gt;&lt;br&gt;"</f>
        <v>&lt;div class="hanging"&gt;Palencia, P., Vicente, J., Soriguer, R. C., &amp; Acevedo, P. (2022). Towards a best‐practices guide for camera trapping: assessing differences among camera trap models and settings under field conditions. &lt;i&gt;Journal of Zoology, 316&lt;/i&gt;(3), 197-208.&lt;a href="https://doi.org/10.1111/jzo.12945" target="_blank"&gt;https://doi.org/10.1111/jzo.12945&lt;/a&gt;&lt;span style="color:white"&gt;[.]{#palencia_et_al_2022}}&lt;/span&gt;&lt;/div&gt;&lt;br&gt;</v>
      </c>
      <c r="O339" s="65" t="str">
        <f>"{{ rtxt_"&amp;F339&amp;" }}"</f>
        <v>{{ rtxt_palencia_et_al_2022 }}</v>
      </c>
      <c r="P339" s="65" t="str">
        <f>"{{ rbib_"&amp;F339&amp;" }}"</f>
        <v>{{ rbib_palencia_et_al_2022 }}</v>
      </c>
      <c r="Q339" s="65" t="str">
        <f>"    rtxt_"&amp;F339&amp;": "&amp;""""&amp;"&lt;a href=\"&amp;""""&amp;"/08_references.html#"&amp;F339&amp;"\"&amp;""""&amp;" target=\"&amp;""""&amp;"_blank\"&amp;""""&amp;"&gt;"&amp;G339&amp;"&lt;/a&gt;"&amp;""""</f>
        <v xml:space="preserve">    rtxt_palencia_et_al_2022: "&lt;a href=\"/08_references.html#palencia_et_al_2022\" target=\"_blank\"&gt;Palencia et al., 2022&lt;/a&gt;"</v>
      </c>
      <c r="R339" s="65" t="str">
        <f>"    rbib_"&amp;F339&amp;": "&amp;""""&amp;K339&amp;"&lt;a href=\"&amp;""""&amp;L339&amp;""""&amp;" target=\"&amp;""""&amp;"_blank\"&amp;""""&amp;"&gt;"&amp;L339&amp;"&lt;/a&gt;"&amp;""""</f>
        <v xml:space="preserve">    rbib_palencia_et_al_2022: "Palencia, P., Vicente, J., Soriguer, R. C., &amp; Acevedo, P. (2022). Towards a best‐practices guide for camera trapping: assessing differences among camera trap models and settings under field conditions. &lt;i&gt;Journal of Zoology, 316&lt;/i&gt;(3), 197-208.&lt;a href=\"https://doi.org/10.1111/jzo.12945" target=\"_blank\"&gt;https://doi.org/10.1111/jzo.12945&lt;/a&gt;"</v>
      </c>
      <c r="S339" s="65" t="str">
        <f>"    rbib_"&amp;F339&amp;": "&amp;""""&amp;"&lt;div class=\"&amp;""""&amp;"hanging\"&amp;""""&amp;"&gt;"&amp;J339&amp;"&lt;/div&gt;"&amp;""""</f>
        <v xml:space="preserve">    rbib_palencia_et_al_2022: "&lt;div class=\"hanging\"&gt;Palencia, P., Vicente, J., Soriguer, R. C., &amp; Acevedo, P. (2022). Towards a best‐practices guide for camera trapping: assessing differences among camera trap models and settings under field conditions. *Journal of Zoology, 316*(3), 197-208. &lt;https://doi.org/10.1111/jzo.12945&gt;&lt;/div&gt;"</v>
      </c>
      <c r="T339" s="65"/>
    </row>
    <row r="340" spans="1:20" ht="15.75">
      <c r="A340" s="65"/>
      <c r="B340" s="155" t="b">
        <v>1</v>
      </c>
      <c r="C340" s="155" t="b">
        <v>1</v>
      </c>
      <c r="D340" s="155" t="b">
        <v>0</v>
      </c>
      <c r="E340" s="65" t="s">
        <v>1904</v>
      </c>
      <c r="F340" s="65" t="s">
        <v>2601</v>
      </c>
      <c r="G340" s="65" t="s">
        <v>2600</v>
      </c>
      <c r="H340" s="65" t="s">
        <v>2600</v>
      </c>
      <c r="I340" s="65" t="b">
        <v>1</v>
      </c>
      <c r="J340" s="65" t="s">
        <v>2599</v>
      </c>
      <c r="K340" s="65" t="s">
        <v>5454</v>
      </c>
      <c r="L340" s="65" t="s">
        <v>2598</v>
      </c>
      <c r="M340" s="65" t="s">
        <v>984</v>
      </c>
      <c r="N340" s="65" t="str">
        <f>"&lt;div class="&amp;""""&amp;"hanging"&amp;""""&amp;"&gt;"&amp;K340&amp;"&lt;a href="&amp;""""&amp;L340&amp;""""&amp;" target="&amp;""""&amp;"_blank"&amp;""""&amp;"&gt;"&amp;L340&amp;"&lt;/a&gt;&lt;span style="&amp;""""&amp;"color:white"&amp;""""&amp;"&gt;[.]{#"&amp;F340&amp;"}}&lt;/span&gt;&lt;/div&gt;&lt;br&gt;"</f>
        <v>&lt;div class="hanging"&gt;Palmer, M. S., Swanson, A., Kosmala, M., Arnold, T., &amp; Packer, C. (2018). Evaluating relative abundance indices for terrestrial herbivores from large‐scale camera trap Surveys. &lt;i&gt;African Journal of Ecology&lt;/i&gt;, 56, 791-803.&lt;a href="https://onlinelibrary.wiley.com/doi/abs/10.1111/aje.12566" target="_blank"&gt;https://onlinelibrary.wiley.com/doi/abs/10.1111/aje.12566&lt;/a&gt;&lt;span style="color:white"&gt;[.]{#palmer_et_al_2018}}&lt;/span&gt;&lt;/div&gt;&lt;br&gt;</v>
      </c>
      <c r="O340" s="65" t="str">
        <f>"{{ rtxt_"&amp;F340&amp;" }}"</f>
        <v>{{ rtxt_palmer_et_al_2018 }}</v>
      </c>
      <c r="P340" s="65" t="str">
        <f>"{{ rbib_"&amp;F340&amp;" }}"</f>
        <v>{{ rbib_palmer_et_al_2018 }}</v>
      </c>
      <c r="Q340" s="65" t="str">
        <f>"    rtxt_"&amp;F340&amp;": "&amp;""""&amp;"&lt;a href=\"&amp;""""&amp;"/08_references.html#"&amp;F340&amp;"\"&amp;""""&amp;" target=\"&amp;""""&amp;"_blank\"&amp;""""&amp;"&gt;"&amp;G340&amp;"&lt;/a&gt;"&amp;""""</f>
        <v xml:space="preserve">    rtxt_palmer_et_al_2018: "&lt;a href=\"/08_references.html#palmer_et_al_2018\" target=\"_blank\"&gt;Palmer et al., 2018&lt;/a&gt;"</v>
      </c>
      <c r="R340" s="65" t="str">
        <f>"    rbib_"&amp;F340&amp;": "&amp;""""&amp;K340&amp;"&lt;a href=\"&amp;""""&amp;L340&amp;""""&amp;" target=\"&amp;""""&amp;"_blank\"&amp;""""&amp;"&gt;"&amp;L340&amp;"&lt;/a&gt;"&amp;""""</f>
        <v xml:space="preserve">    rbib_palmer_et_al_2018: "Palmer, M. S., Swanson, A., Kosmala, M., Arnold, T., &amp; Packer, C. (2018). Evaluating relative abundance indices for terrestrial herbivores from large‐scale camera trap Surveys. &lt;i&gt;African Journal of Ecology&lt;/i&gt;, 56, 791-803.&lt;a href=\"https://onlinelibrary.wiley.com/doi/abs/10.1111/aje.12566" target=\"_blank\"&gt;https://onlinelibrary.wiley.com/doi/abs/10.1111/aje.12566&lt;/a&gt;"</v>
      </c>
      <c r="S340" s="65" t="str">
        <f>"    rbib_"&amp;F340&amp;": "&amp;""""&amp;"&lt;div class=\"&amp;""""&amp;"hanging\"&amp;""""&amp;"&gt;"&amp;J340&amp;"&lt;/div&gt;"&amp;""""</f>
        <v xml:space="preserve">    rbib_palmer_et_al_2018: "&lt;div class=\"hanging\"&gt;Palmer, M. S., Swanson, A., Kosmala, M., Arnold, T., &amp; Packer, C. (2018). Evaluating relative abundance indices for terrestrial herbivores from large‐scale camera trap Surveys. *African Journal of Ecology*, 56, 791-803. &lt;https://onlinelibrary.wiley.com/doi/abs/10.1111/aje.12566&gt;&lt;/div&gt;"</v>
      </c>
      <c r="T340" s="65"/>
    </row>
    <row r="341" spans="1:20" ht="15.75">
      <c r="A341" s="65"/>
      <c r="B341" s="155" t="b">
        <v>1</v>
      </c>
      <c r="C341" s="155" t="b">
        <v>0</v>
      </c>
      <c r="D341" s="155" t="b">
        <v>0</v>
      </c>
      <c r="E341" s="65" t="s">
        <v>1904</v>
      </c>
      <c r="F341" s="65" t="s">
        <v>2597</v>
      </c>
      <c r="G341" s="65" t="s">
        <v>2596</v>
      </c>
      <c r="H341" s="65" t="s">
        <v>2596</v>
      </c>
      <c r="I341" s="65" t="b">
        <v>1</v>
      </c>
      <c r="J341" s="65" t="s">
        <v>2595</v>
      </c>
      <c r="K341" s="65" t="s">
        <v>5377</v>
      </c>
      <c r="L341" s="65" t="s">
        <v>2594</v>
      </c>
      <c r="M341" s="65" t="s">
        <v>984</v>
      </c>
      <c r="N341" s="65" t="str">
        <f>"&lt;div class="&amp;""""&amp;"hanging"&amp;""""&amp;"&gt;"&amp;K341&amp;"&lt;a href="&amp;""""&amp;L341&amp;""""&amp;" target="&amp;""""&amp;"_blank"&amp;""""&amp;"&gt;"&amp;L341&amp;"&lt;/a&gt;&lt;span style="&amp;""""&amp;"color:white"&amp;""""&amp;"&gt;[.]{#"&amp;F341&amp;"}}&lt;/span&gt;&lt;/div&gt;&lt;br&gt;"</f>
        <v>&lt;div class="hanging"&gt;Parmenter, R. R., Yates, T. L., Anderson, D. R., Burnham, K. P., Dunnum, J. L., Franklin, A. B., Friggens, M. T., Lubow, B. C., Miller, M., Olson, G. S., Parmenter, C. A., Pollard, J., Rexstad, E., Shenk, T. M., Stanley, T. R., &amp; White, G. C. (2003). Small-mammal Density estimation: A field comparison of grid-based vs. web-based Density estimators. &lt;i&gt;Ecological Monographs, 73&lt;/i&gt;(1), 1-26.&lt;a href="https://doi.org/10.1890/0012-9615(2003)073[0001:Smdeaf]2.0.Co;2" target="_blank"&gt;https://doi.org/10.1890/0012-9615(2003)073[0001:Smdeaf]2.0.Co;2&lt;/a&gt;&lt;span style="color:white"&gt;[.]{#parmenter_et_al_2003}}&lt;/span&gt;&lt;/div&gt;&lt;br&gt;</v>
      </c>
      <c r="O341" s="65" t="str">
        <f>"{{ rtxt_"&amp;F341&amp;" }}"</f>
        <v>{{ rtxt_parmenter_et_al_2003 }}</v>
      </c>
      <c r="P341" s="65" t="str">
        <f>"{{ rbib_"&amp;F341&amp;" }}"</f>
        <v>{{ rbib_parmenter_et_al_2003 }}</v>
      </c>
      <c r="Q341" s="65" t="str">
        <f>"    rtxt_"&amp;F341&amp;": "&amp;""""&amp;"&lt;a href=\"&amp;""""&amp;"/08_references.html#"&amp;F341&amp;"\"&amp;""""&amp;" target=\"&amp;""""&amp;"_blank\"&amp;""""&amp;"&gt;"&amp;G341&amp;"&lt;/a&gt;"&amp;""""</f>
        <v xml:space="preserve">    rtxt_parmenter_et_al_2003: "&lt;a href=\"/08_references.html#parmenter_et_al_2003\" target=\"_blank\"&gt;Parmenter et al., 2003&lt;/a&gt;"</v>
      </c>
      <c r="R341" s="65" t="str">
        <f>"    rbib_"&amp;F341&amp;": "&amp;""""&amp;K341&amp;"&lt;a href=\"&amp;""""&amp;L341&amp;""""&amp;" target=\"&amp;""""&amp;"_blank\"&amp;""""&amp;"&gt;"&amp;L341&amp;"&lt;/a&gt;"&amp;""""</f>
        <v xml:space="preserve">    rbib_parmenter_et_al_2003: "Parmenter, R. R., Yates, T. L., Anderson, D. R., Burnham, K. P., Dunnum, J. L., Franklin, A. B., Friggens, M. T., Lubow, B. C., Miller, M., Olson, G. S., Parmenter, C. A., Pollard, J., Rexstad, E., Shenk, T. M., Stanley, T. R., &amp; White, G. C. (2003). Small-mammal Density estimation: A field comparison of grid-based vs. web-based Density estimators. &lt;i&gt;Ecological Monographs, 73&lt;/i&gt;(1), 1-26.&lt;a href=\"https://doi.org/10.1890/0012-9615(2003)073[0001:Smdeaf]2.0.Co;2" target=\"_blank\"&gt;https://doi.org/10.1890/0012-9615(2003)073[0001:Smdeaf]2.0.Co;2&lt;/a&gt;"</v>
      </c>
      <c r="S341" s="65" t="str">
        <f>"    rbib_"&amp;F341&amp;": "&amp;""""&amp;"&lt;div class=\"&amp;""""&amp;"hanging\"&amp;""""&amp;"&gt;"&amp;J341&amp;"&lt;/div&gt;"&amp;""""</f>
        <v xml:space="preserve">    rbib_parmenter_et_al_2003: "&lt;div class=\"hanging\"&gt;Parmenter, R. R., Yates, T. L., Anderson, D. R., Burnham, K. P., Dunnum, J. L., Franklin, A. B., Friggens, M. T., Lubow, B. C., Miller, M., Olson, G. S., Parmenter, C. A., Pollard, J., Rexstad, E., Shenk, T. M., Stanley, T. R., &amp; White, G. C. (2003). Small-mammal Density estimation: A field comparison of grid-based vs. web-based Density estimators. *Ecological Monographs, 73*(1), 1-26. &lt;https://doi.org/10.1890/0012-9615(2003)073[0001:Smdeaf]2.0.Co;2&gt;&lt;/div&gt;"</v>
      </c>
      <c r="T341" s="65"/>
    </row>
    <row r="342" spans="1:20" ht="15.75">
      <c r="A342" s="65"/>
      <c r="B342" s="155"/>
      <c r="C342" s="155"/>
      <c r="D342" s="155"/>
      <c r="E342" s="65" t="s">
        <v>1904</v>
      </c>
      <c r="F342" s="65" t="s">
        <v>2593</v>
      </c>
      <c r="G342" s="65" t="s">
        <v>2592</v>
      </c>
      <c r="H342" s="65" t="s">
        <v>2592</v>
      </c>
      <c r="I342" s="65" t="b">
        <v>1</v>
      </c>
      <c r="J342" s="65" t="s">
        <v>2591</v>
      </c>
      <c r="K342" s="65" t="s">
        <v>5264</v>
      </c>
      <c r="L342" s="65" t="s">
        <v>2590</v>
      </c>
      <c r="M342" s="65" t="s">
        <v>984</v>
      </c>
      <c r="N342" s="65" t="str">
        <f>"&lt;div class="&amp;""""&amp;"hanging"&amp;""""&amp;"&gt;"&amp;K342&amp;"&lt;a href="&amp;""""&amp;L342&amp;""""&amp;" target="&amp;""""&amp;"_blank"&amp;""""&amp;"&gt;"&amp;L342&amp;"&lt;/a&gt;&lt;span style="&amp;""""&amp;"color:white"&amp;""""&amp;"&gt;[.]{#"&amp;F342&amp;"}}&lt;/span&gt;&lt;/div&gt;&lt;br&gt;"</f>
        <v>&lt;div class="hanging"&gt;Parsons, A. W., Forrester, T., McShea, W. J., Baker-Whatton, M. C., Millspaugh, J. J., &amp; Kays, R. (2017). Do occupancy or detection rates from camera traps reflect deer density? &lt;i&gt;Journal of Mammalogy, 98&lt;/i&gt;(6), 1547-1557.&lt;a href="https://doi.org/10.1093/jmammal/gyx128" target="_blank"&gt;https://doi.org/10.1093/jmammal/gyx128&lt;/a&gt;&lt;span style="color:white"&gt;[.]{#parsons_et_al_2017}}&lt;/span&gt;&lt;/div&gt;&lt;br&gt;</v>
      </c>
      <c r="O342" s="65" t="str">
        <f>"{{ rtxt_"&amp;F342&amp;" }}"</f>
        <v>{{ rtxt_parsons_et_al_2017 }}</v>
      </c>
      <c r="P342" s="65" t="str">
        <f>"{{ rbib_"&amp;F342&amp;" }}"</f>
        <v>{{ rbib_parsons_et_al_2017 }}</v>
      </c>
      <c r="Q342" s="65" t="str">
        <f>"    rtxt_"&amp;F342&amp;": "&amp;""""&amp;"&lt;a href=\"&amp;""""&amp;"/08_references.html#"&amp;F342&amp;"\"&amp;""""&amp;" target=\"&amp;""""&amp;"_blank\"&amp;""""&amp;"&gt;"&amp;G342&amp;"&lt;/a&gt;"&amp;""""</f>
        <v xml:space="preserve">    rtxt_parsons_et_al_2017: "&lt;a href=\"/08_references.html#parsons_et_al_2017\" target=\"_blank\"&gt;Parsons et al., 2017&lt;/a&gt;"</v>
      </c>
      <c r="R342" s="65" t="str">
        <f>"    rbib_"&amp;F342&amp;": "&amp;""""&amp;K342&amp;"&lt;a href=\"&amp;""""&amp;L342&amp;""""&amp;" target=\"&amp;""""&amp;"_blank\"&amp;""""&amp;"&gt;"&amp;L342&amp;"&lt;/a&gt;"&amp;""""</f>
        <v xml:space="preserve">    rbib_parsons_et_al_2017: "Parsons, A. W., Forrester, T., McShea, W. J., Baker-Whatton, M. C., Millspaugh, J. J., &amp; Kays, R. (2017). Do occupancy or detection rates from camera traps reflect deer density? &lt;i&gt;Journal of Mammalogy, 98&lt;/i&gt;(6), 1547-1557.&lt;a href=\"https://doi.org/10.1093/jmammal/gyx128" target=\"_blank\"&gt;https://doi.org/10.1093/jmammal/gyx128&lt;/a&gt;"</v>
      </c>
      <c r="S342" s="65" t="str">
        <f>"    rbib_"&amp;F342&amp;": "&amp;""""&amp;"&lt;div class=\"&amp;""""&amp;"hanging\"&amp;""""&amp;"&gt;"&amp;J342&amp;"&lt;/div&gt;"&amp;""""</f>
        <v xml:space="preserve">    rbib_parsons_et_al_2017: "&lt;div class=\"hanging\"&gt;Parsons, A. W., Forrester, T., McShea, W. J., Baker-Whatton, M. C., Millspaugh, J. J., &amp; Kays, R. (2017). Do occupancy or detection rates from camera traps reflect deer density? *Journal of Mammalogy, 98*(6), 1547-1557. &lt;https://doi.org/10.1093/jmammal/gyx128&gt;&lt;/div&gt;"</v>
      </c>
      <c r="T342" s="65"/>
    </row>
    <row r="343" spans="1:20" ht="15.75">
      <c r="A343" s="65"/>
      <c r="B343" s="155" t="b">
        <v>0</v>
      </c>
      <c r="C343" s="155" t="b">
        <v>0</v>
      </c>
      <c r="D343" s="155" t="b">
        <v>1</v>
      </c>
      <c r="E343" s="65" t="s">
        <v>1904</v>
      </c>
      <c r="F343" s="65" t="s">
        <v>2589</v>
      </c>
      <c r="G343" s="65" t="s">
        <v>2588</v>
      </c>
      <c r="H343" s="65" t="s">
        <v>2588</v>
      </c>
      <c r="I343" s="65" t="b">
        <v>1</v>
      </c>
      <c r="J343" s="65" t="s">
        <v>2587</v>
      </c>
      <c r="K343" s="65" t="s">
        <v>5304</v>
      </c>
      <c r="L343" s="65" t="s">
        <v>2586</v>
      </c>
      <c r="M343" s="65" t="s">
        <v>984</v>
      </c>
      <c r="N343" s="65" t="str">
        <f>"&lt;div class="&amp;""""&amp;"hanging"&amp;""""&amp;"&gt;"&amp;K343&amp;"&lt;a href="&amp;""""&amp;L343&amp;""""&amp;" target="&amp;""""&amp;"_blank"&amp;""""&amp;"&gt;"&amp;L343&amp;"&lt;/a&gt;&lt;span style="&amp;""""&amp;"color:white"&amp;""""&amp;"&gt;[.]{#"&amp;F343&amp;"}}&lt;/span&gt;&lt;/div&gt;&lt;br&gt;"</f>
        <v>&lt;div class="hanging"&gt;Parsons, M. H., Apfelbach, R., Banks, P. B., Cameron, E. Z., Dickman, C. R., Frank, A. S. K., Jones, M. E., McGregor, I. S., McLean, S., Muller-Schwarze, D., Sparrow, E. E., &amp; Blumstein, D. T. (2018). Biologically meaningful scents: A framework for understanding predator-prey research across disciplines. &lt;i&gt;Biological reviews of the Cambridge Philosophical Society, 93&lt;/i&gt;(1), 98-114.&lt;a href="https://doi.org/10.1111/brv.12334" target="_blank"&gt;https://doi.org/10.1111/brv.12334&lt;/a&gt;&lt;span style="color:white"&gt;[.]{#parsons_et_al_2018}}&lt;/span&gt;&lt;/div&gt;&lt;br&gt;</v>
      </c>
      <c r="O343" s="65" t="str">
        <f>"{{ rtxt_"&amp;F343&amp;" }}"</f>
        <v>{{ rtxt_parsons_et_al_2018 }}</v>
      </c>
      <c r="P343" s="65" t="str">
        <f>"{{ rbib_"&amp;F343&amp;" }}"</f>
        <v>{{ rbib_parsons_et_al_2018 }}</v>
      </c>
      <c r="Q343" s="65" t="str">
        <f>"    rtxt_"&amp;F343&amp;": "&amp;""""&amp;"&lt;a href=\"&amp;""""&amp;"/08_references.html#"&amp;F343&amp;"\"&amp;""""&amp;" target=\"&amp;""""&amp;"_blank\"&amp;""""&amp;"&gt;"&amp;G343&amp;"&lt;/a&gt;"&amp;""""</f>
        <v xml:space="preserve">    rtxt_parsons_et_al_2018: "&lt;a href=\"/08_references.html#parsons_et_al_2018\" target=\"_blank\"&gt;Parsons et al., 2018&lt;/a&gt;"</v>
      </c>
      <c r="R343" s="65" t="str">
        <f>"    rbib_"&amp;F343&amp;": "&amp;""""&amp;K343&amp;"&lt;a href=\"&amp;""""&amp;L343&amp;""""&amp;" target=\"&amp;""""&amp;"_blank\"&amp;""""&amp;"&gt;"&amp;L343&amp;"&lt;/a&gt;"&amp;""""</f>
        <v xml:space="preserve">    rbib_parsons_et_al_2018: "Parsons, M. H., Apfelbach, R., Banks, P. B., Cameron, E. Z., Dickman, C. R., Frank, A. S. K., Jones, M. E., McGregor, I. S., McLean, S., Muller-Schwarze, D., Sparrow, E. E., &amp; Blumstein, D. T. (2018). Biologically meaningful scents: A framework for understanding predator-prey research across disciplines. &lt;i&gt;Biological reviews of the Cambridge Philosophical Society, 93&lt;/i&gt;(1), 98-114.&lt;a href=\"https://doi.org/10.1111/brv.12334" target=\"_blank\"&gt;https://doi.org/10.1111/brv.12334&lt;/a&gt;"</v>
      </c>
      <c r="S343" s="65" t="str">
        <f>"    rbib_"&amp;F343&amp;": "&amp;""""&amp;"&lt;div class=\"&amp;""""&amp;"hanging\"&amp;""""&amp;"&gt;"&amp;J343&amp;"&lt;/div&gt;"&amp;""""</f>
        <v xml:space="preserve">    rbib_parsons_et_al_2018: "&lt;div class=\"hanging\"&gt;Parsons, M. H., Apfelbach, R., Banks, P. B., Cameron, E. Z., Dickman, C. R., Frank, A. S. K., Jones, M. E., McGregor, I. S., McLean, S., Muller-Schwarze, D., Sparrow, E. E., &amp; Blumstein, D. T. (2018). Biologically meaningful scents: A framework for understanding predator-prey research across disciplines. *Biological reviews of the Cambridge Philosophical Society, 93*(1), 98-114. &lt;https://doi.org/10.1111/brv.12334&gt;&lt;/div&gt;"</v>
      </c>
      <c r="T343" s="65"/>
    </row>
    <row r="344" spans="1:20" ht="15.75">
      <c r="A344" s="65"/>
      <c r="B344" s="155"/>
      <c r="C344" s="155"/>
      <c r="D344" s="155"/>
      <c r="E344" s="65" t="s">
        <v>2138</v>
      </c>
      <c r="F344" s="65" t="s">
        <v>2585</v>
      </c>
      <c r="G344" s="65" t="s">
        <v>2584</v>
      </c>
      <c r="H344" s="65" t="s">
        <v>2584</v>
      </c>
      <c r="I344" s="65" t="b">
        <v>1</v>
      </c>
      <c r="J344" s="65" t="s">
        <v>2583</v>
      </c>
      <c r="K344" s="65" t="s">
        <v>5296</v>
      </c>
      <c r="L344" s="65" t="s">
        <v>2581</v>
      </c>
      <c r="M344" s="65" t="s">
        <v>2582</v>
      </c>
      <c r="N344" s="65" t="str">
        <f>"&lt;div class="&amp;""""&amp;"hanging"&amp;""""&amp;"&gt;"&amp;K344&amp;"&lt;a href="&amp;""""&amp;L344&amp;""""&amp;" target="&amp;""""&amp;"_blank"&amp;""""&amp;"&gt;"&amp;L344&amp;"&lt;/a&gt;&lt;span style="&amp;""""&amp;"color:white"&amp;""""&amp;"&gt;[.]{#"&amp;F344&amp;"}}&lt;/span&gt;&lt;/div&gt;&lt;br&gt;"</f>
        <v>&lt;div class="hanging"&gt;Pascal, L., Memarzadeh, M., Boettiger, C., Lloyd, H., &amp; Chadès, I. (2020). A Shiny R app to solve the problem of when to stop managing or surveying species under imperfect detection. Methods in &lt;i&gt;Ecology and Evolution, 11&lt;/i&gt;(12), 1707-1715.&lt;a href="https://doi.org/10.1111/2041-210X.13501." target="_blank"&gt;https://doi.org/10.1111/2041-210X.13501.&lt;/a&gt;&lt;span style="color:white"&gt;[.]{#pascal_et_al_2020}}&lt;/span&gt;&lt;/div&gt;&lt;br&gt;</v>
      </c>
      <c r="O344" s="65" t="str">
        <f>"{{ rtxt_"&amp;F344&amp;" }}"</f>
        <v>{{ rtxt_pascal_et_al_2020 }}</v>
      </c>
      <c r="P344" s="65" t="str">
        <f>"{{ rbib_"&amp;F344&amp;" }}"</f>
        <v>{{ rbib_pascal_et_al_2020 }}</v>
      </c>
      <c r="Q344" s="65" t="str">
        <f>"    rtxt_"&amp;F344&amp;": "&amp;""""&amp;"&lt;a href=\"&amp;""""&amp;"/08_references.html#"&amp;F344&amp;"\"&amp;""""&amp;" target=\"&amp;""""&amp;"_blank\"&amp;""""&amp;"&gt;"&amp;G344&amp;"&lt;/a&gt;"&amp;""""</f>
        <v xml:space="preserve">    rtxt_pascal_et_al_2020: "&lt;a href=\"/08_references.html#pascal_et_al_2020\" target=\"_blank\"&gt;Pascal et al., 2020&lt;/a&gt;"</v>
      </c>
      <c r="R344" s="65" t="str">
        <f>"    rbib_"&amp;F344&amp;": "&amp;""""&amp;K344&amp;"&lt;a href=\"&amp;""""&amp;L344&amp;""""&amp;" target=\"&amp;""""&amp;"_blank\"&amp;""""&amp;"&gt;"&amp;L344&amp;"&lt;/a&gt;"&amp;""""</f>
        <v xml:space="preserve">    rbib_pascal_et_al_2020: "Pascal, L., Memarzadeh, M., Boettiger, C., Lloyd, H., &amp; Chadès, I. (2020). A Shiny R app to solve the problem of when to stop managing or surveying species under imperfect detection. Methods in &lt;i&gt;Ecology and Evolution, 11&lt;/i&gt;(12), 1707-1715.&lt;a href=\"https://doi.org/10.1111/2041-210X.13501." target=\"_blank\"&gt;https://doi.org/10.1111/2041-210X.13501.&lt;/a&gt;"</v>
      </c>
      <c r="S344" s="65" t="str">
        <f>"    rbib_"&amp;F344&amp;": "&amp;""""&amp;"&lt;div class=\"&amp;""""&amp;"hanging\"&amp;""""&amp;"&gt;"&amp;J344&amp;"&lt;/div&gt;"&amp;""""</f>
        <v xml:space="preserve">    rbib_pascal_et_al_2020: "&lt;div class=\"hanging\"&gt;Pascal, L., Memarzadeh, M., Boettiger, C., Lloyd, H., &amp; Chadès, I. (2020). A Shiny R app to solve the problem of when to stop managing or surveying species under imperfect detection. Methods in *Ecology and Evolution, 11*(12), 1707-1715. &lt;https://doi.org/10.1111/2041-210X.13501&gt;.&lt;/div&gt;"</v>
      </c>
      <c r="T344" s="65"/>
    </row>
    <row r="345" spans="1:20" ht="15.75">
      <c r="A345" s="65"/>
      <c r="B345" s="155"/>
      <c r="C345" s="155"/>
      <c r="D345" s="155"/>
      <c r="E345" s="65" t="s">
        <v>1950</v>
      </c>
      <c r="F345" s="65" t="s">
        <v>2580</v>
      </c>
      <c r="G345" s="65" t="s">
        <v>2579</v>
      </c>
      <c r="H345" s="65" t="s">
        <v>2579</v>
      </c>
      <c r="I345" s="65" t="b">
        <v>1</v>
      </c>
      <c r="J345" s="65" t="s">
        <v>2578</v>
      </c>
      <c r="K345" s="65" t="s">
        <v>5442</v>
      </c>
      <c r="L345" s="65" t="s">
        <v>2577</v>
      </c>
      <c r="M345" s="65" t="s">
        <v>984</v>
      </c>
      <c r="N345" s="65" t="str">
        <f>"&lt;div class="&amp;""""&amp;"hanging"&amp;""""&amp;"&gt;"&amp;K345&amp;"&lt;a href="&amp;""""&amp;L345&amp;""""&amp;" target="&amp;""""&amp;"_blank"&amp;""""&amp;"&gt;"&amp;L345&amp;"&lt;/a&gt;&lt;span style="&amp;""""&amp;"color:white"&amp;""""&amp;"&gt;[.]{#"&amp;F345&amp;"}}&lt;/span&gt;&lt;/div&gt;&lt;br&gt;"</f>
        <v>&lt;div class="hanging"&gt;Paterson, J. (2024). &lt;i&gt;Implicit dynamics occupancy models in R.&lt;/i&gt;&lt;a href="https://jamesepaterson.github.io/jamespatersonblog/2024-06-02_implicitdynamicsoccupancy.html" target="_blank"&gt;https://jamesepaterson.github.io/jamespatersonblog/2024-06-02_implicitdynamicsoccupancy.html&lt;/a&gt;&lt;span style="color:white"&gt;[.]{#paterson_2024}}&lt;/span&gt;&lt;/div&gt;&lt;br&gt;</v>
      </c>
      <c r="O345" s="65" t="str">
        <f>"{{ rtxt_"&amp;F345&amp;" }}"</f>
        <v>{{ rtxt_paterson_2024 }}</v>
      </c>
      <c r="P345" s="65" t="str">
        <f>"{{ rbib_"&amp;F345&amp;" }}"</f>
        <v>{{ rbib_paterson_2024 }}</v>
      </c>
      <c r="Q345" s="65" t="str">
        <f>"    rtxt_"&amp;F345&amp;": "&amp;""""&amp;"&lt;a href=\"&amp;""""&amp;"/08_references.html#"&amp;F345&amp;"\"&amp;""""&amp;" target=\"&amp;""""&amp;"_blank\"&amp;""""&amp;"&gt;"&amp;G345&amp;"&lt;/a&gt;"&amp;""""</f>
        <v xml:space="preserve">    rtxt_paterson_2024: "&lt;a href=\"/08_references.html#paterson_2024\" target=\"_blank\"&gt;Paterson, 2024&lt;/a&gt;"</v>
      </c>
      <c r="R345" s="65" t="str">
        <f>"    rbib_"&amp;F345&amp;": "&amp;""""&amp;K345&amp;"&lt;a href=\"&amp;""""&amp;L345&amp;""""&amp;" target=\"&amp;""""&amp;"_blank\"&amp;""""&amp;"&gt;"&amp;L345&amp;"&lt;/a&gt;"&amp;""""</f>
        <v xml:space="preserve">    rbib_paterson_2024: "Paterson, J. (2024). &lt;i&gt;Implicit dynamics occupancy models in R.&lt;/i&gt;&lt;a href=\"https://jamesepaterson.github.io/jamespatersonblog/2024-06-02_implicitdynamicsoccupancy.html" target=\"_blank\"&gt;https://jamesepaterson.github.io/jamespatersonblog/2024-06-02_implicitdynamicsoccupancy.html&lt;/a&gt;"</v>
      </c>
      <c r="S345" s="65" t="str">
        <f>"    rbib_"&amp;F345&amp;": "&amp;""""&amp;"&lt;div class=\"&amp;""""&amp;"hanging\"&amp;""""&amp;"&gt;"&amp;J345&amp;"&lt;/div&gt;"&amp;""""</f>
        <v xml:space="preserve">    rbib_paterson_2024: "&lt;div class=\"hanging\"&gt;Paterson, J. (2024). *Implicit dynamics occupancy models in R.* &lt;https://jamesepaterson.github.io/jamespatersonblog/2024-06-02_implicitdynamicsoccupancy.html&gt;&lt;/div&gt;"</v>
      </c>
      <c r="T345" s="65"/>
    </row>
    <row r="346" spans="1:20" ht="15.75">
      <c r="A346" s="65"/>
      <c r="B346" s="155" t="b">
        <v>1</v>
      </c>
      <c r="C346" s="155" t="b">
        <v>0</v>
      </c>
      <c r="D346" s="155" t="b">
        <v>0</v>
      </c>
      <c r="E346" s="65" t="s">
        <v>1904</v>
      </c>
      <c r="F346" s="65" t="s">
        <v>2576</v>
      </c>
      <c r="G346" s="65" t="s">
        <v>2575</v>
      </c>
      <c r="H346" s="65" t="s">
        <v>2574</v>
      </c>
      <c r="I346" s="65" t="b">
        <v>1</v>
      </c>
      <c r="J346" s="65" t="s">
        <v>2573</v>
      </c>
      <c r="K346" s="65" t="s">
        <v>5363</v>
      </c>
      <c r="L346" s="65" t="s">
        <v>2572</v>
      </c>
      <c r="M346" s="65" t="s">
        <v>984</v>
      </c>
      <c r="N346" s="65" t="str">
        <f>"&lt;div class="&amp;""""&amp;"hanging"&amp;""""&amp;"&gt;"&amp;K346&amp;"&lt;a href="&amp;""""&amp;L346&amp;""""&amp;" target="&amp;""""&amp;"_blank"&amp;""""&amp;"&gt;"&amp;L346&amp;"&lt;/a&gt;&lt;span style="&amp;""""&amp;"color:white"&amp;""""&amp;"&gt;[.]{#"&amp;F346&amp;"}}&lt;/span&gt;&lt;/div&gt;&lt;br&gt;"</f>
        <v>&lt;div class="hanging"&gt;Pease, B. S., Nielsen, C. K., &amp; Holzmueller, E. J. (2016). Single-Camera Trap Survey Designs Miss Detections: Impacts on Estimates of Occupancy and Community Metrics. &lt;i&gt;PloS One, 11&lt;/i&gt;(11), e0166689.&lt;a href="https://doi.org/10.1371/journal.pone.0166689" target="_blank"&gt;https://doi.org/10.1371/journal.pone.0166689&lt;/a&gt;&lt;span style="color:white"&gt;[.]{#pease_et_al_2016}}&lt;/span&gt;&lt;/div&gt;&lt;br&gt;</v>
      </c>
      <c r="O346" s="65" t="str">
        <f>"{{ rtxt_"&amp;F346&amp;" }}"</f>
        <v>{{ rtxt_pease_et_al_2016 }}</v>
      </c>
      <c r="P346" s="65" t="str">
        <f>"{{ rbib_"&amp;F346&amp;" }}"</f>
        <v>{{ rbib_pease_et_al_2016 }}</v>
      </c>
      <c r="Q346" s="65" t="str">
        <f>"    rtxt_"&amp;F346&amp;": "&amp;""""&amp;"&lt;a href=\"&amp;""""&amp;"/08_references.html#"&amp;F346&amp;"\"&amp;""""&amp;" target=\"&amp;""""&amp;"_blank\"&amp;""""&amp;"&gt;"&amp;G346&amp;"&lt;/a&gt;"&amp;""""</f>
        <v xml:space="preserve">    rtxt_pease_et_al_2016: "&lt;a href=\"/08_references.html#pease_et_al_2016\" target=\"_blank\"&gt;Pease et al., 2016&lt;/a&gt;"</v>
      </c>
      <c r="R346" s="65" t="str">
        <f>"    rbib_"&amp;F346&amp;": "&amp;""""&amp;K346&amp;"&lt;a href=\"&amp;""""&amp;L346&amp;""""&amp;" target=\"&amp;""""&amp;"_blank\"&amp;""""&amp;"&gt;"&amp;L346&amp;"&lt;/a&gt;"&amp;""""</f>
        <v xml:space="preserve">    rbib_pease_et_al_2016: "Pease, B. S., Nielsen, C. K., &amp; Holzmueller, E. J. (2016). Single-Camera Trap Survey Designs Miss Detections: Impacts on Estimates of Occupancy and Community Metrics. &lt;i&gt;PloS One, 11&lt;/i&gt;(11), e0166689.&lt;a href=\"https://doi.org/10.1371/journal.pone.0166689" target=\"_blank\"&gt;https://doi.org/10.1371/journal.pone.0166689&lt;/a&gt;"</v>
      </c>
      <c r="S346" s="65" t="str">
        <f>"    rbib_"&amp;F346&amp;": "&amp;""""&amp;"&lt;div class=\"&amp;""""&amp;"hanging\"&amp;""""&amp;"&gt;"&amp;J346&amp;"&lt;/div&gt;"&amp;""""</f>
        <v xml:space="preserve">    rbib_pease_et_al_2016: "&lt;div class=\"hanging\"&gt;Pease, B. S., Nielsen, C. K., &amp; Holzmueller, E. J. (2016). Single-Camera Trap Survey Designs Miss Detections: Impacts on Estimates of Occupancy and Community Metrics. *PloS One, 11*(11), e0166689. &lt;https://doi.org/10.1371/journal.pone.0166689&gt;&lt;/div&gt;"</v>
      </c>
      <c r="T346" s="65"/>
    </row>
    <row r="347" spans="1:20" ht="15.75">
      <c r="A347" s="65"/>
      <c r="B347" s="155"/>
      <c r="C347" s="155"/>
      <c r="D347" s="155"/>
      <c r="E347" s="65" t="s">
        <v>1904</v>
      </c>
      <c r="F347" s="65" t="s">
        <v>2571</v>
      </c>
      <c r="G347" s="65" t="s">
        <v>2570</v>
      </c>
      <c r="H347" s="65" t="s">
        <v>2569</v>
      </c>
      <c r="I347" s="65" t="b">
        <v>1</v>
      </c>
      <c r="J347" s="65" t="s">
        <v>2568</v>
      </c>
      <c r="K347" s="65" t="s">
        <v>5145</v>
      </c>
      <c r="L347" s="65" t="s">
        <v>2567</v>
      </c>
      <c r="M347" s="65" t="s">
        <v>984</v>
      </c>
      <c r="N347" s="65" t="str">
        <f>"&lt;div class="&amp;""""&amp;"hanging"&amp;""""&amp;"&gt;"&amp;K347&amp;"&lt;a href="&amp;""""&amp;L347&amp;""""&amp;" target="&amp;""""&amp;"_blank"&amp;""""&amp;"&gt;"&amp;L347&amp;"&lt;/a&gt;&lt;span style="&amp;""""&amp;"color:white"&amp;""""&amp;"&gt;[.]{#"&amp;F347&amp;"}}&lt;/span&gt;&lt;/div&gt;&lt;br&gt;"</f>
        <v>&lt;div class="hanging"&gt;Pettigrew, P., Sigouin, D., &amp; St‐Laurent, M. (2021). Testing the precision and sensitivity of density estimates obtained with a camera‐trap method revealed limitations and opportunities. &lt;i&gt;Ecology and Evolution, 11&lt;/i&gt;(12), 7879-7889.&lt;a href="https://doi.org/10.1002/ece3.7619" target="_blank"&gt;https://doi.org/10.1002/ece3.7619&lt;/a&gt;&lt;span style="color:white"&gt;[.]{#pettigrew_et_al_2021}}&lt;/span&gt;&lt;/div&gt;&lt;br&gt;</v>
      </c>
      <c r="O347" s="65" t="str">
        <f>"{{ rtxt_"&amp;F347&amp;" }}"</f>
        <v>{{ rtxt_pettigrew_et_al_2021 }}</v>
      </c>
      <c r="P347" s="65" t="str">
        <f>"{{ rbib_"&amp;F347&amp;" }}"</f>
        <v>{{ rbib_pettigrew_et_al_2021 }}</v>
      </c>
      <c r="Q347" s="65" t="str">
        <f>"    rtxt_"&amp;F347&amp;": "&amp;""""&amp;"&lt;a href=\"&amp;""""&amp;"/08_references.html#"&amp;F347&amp;"\"&amp;""""&amp;" target=\"&amp;""""&amp;"_blank\"&amp;""""&amp;"&gt;"&amp;G347&amp;"&lt;/a&gt;"&amp;""""</f>
        <v xml:space="preserve">    rtxt_pettigrew_et_al_2021: "&lt;a href=\"/08_references.html#pettigrew_et_al_2021\" target=\"_blank\"&gt;Pettigrew et al., 2021&lt;/a&gt;"</v>
      </c>
      <c r="R347" s="65" t="str">
        <f>"    rbib_"&amp;F347&amp;": "&amp;""""&amp;K347&amp;"&lt;a href=\"&amp;""""&amp;L347&amp;""""&amp;" target=\"&amp;""""&amp;"_blank\"&amp;""""&amp;"&gt;"&amp;L347&amp;"&lt;/a&gt;"&amp;""""</f>
        <v xml:space="preserve">    rbib_pettigrew_et_al_2021: "Pettigrew, P., Sigouin, D., &amp; St‐Laurent, M. (2021). Testing the precision and sensitivity of density estimates obtained with a camera‐trap method revealed limitations and opportunities. &lt;i&gt;Ecology and Evolution, 11&lt;/i&gt;(12), 7879-7889.&lt;a href=\"https://doi.org/10.1002/ece3.7619" target=\"_blank\"&gt;https://doi.org/10.1002/ece3.7619&lt;/a&gt;"</v>
      </c>
      <c r="S347" s="65" t="str">
        <f>"    rbib_"&amp;F347&amp;": "&amp;""""&amp;"&lt;div class=\"&amp;""""&amp;"hanging\"&amp;""""&amp;"&gt;"&amp;J347&amp;"&lt;/div&gt;"&amp;""""</f>
        <v xml:space="preserve">    rbib_pettigrew_et_al_2021: "&lt;div class=\"hanging\"&gt;Pettigrew, P., Sigouin, D., &amp; St‐Laurent, M. (2021). Testing the precision and sensitivity of density estimates obtained with a camera‐trap method revealed limitations and opportunities. *Ecology and Evolution, 11*(12), 7879-7889. &lt;https://doi.org/10.1002/ece3.7619&gt;&lt;/div&gt;"</v>
      </c>
      <c r="T347" s="65"/>
    </row>
    <row r="348" spans="1:20" ht="15.75">
      <c r="A348" s="65"/>
      <c r="B348" s="155" t="b">
        <v>0</v>
      </c>
      <c r="C348" s="155" t="b">
        <v>0</v>
      </c>
      <c r="D348" s="155" t="b">
        <v>1</v>
      </c>
      <c r="E348" s="65" t="s">
        <v>1904</v>
      </c>
      <c r="F348" s="65" t="s">
        <v>2566</v>
      </c>
      <c r="G348" s="65" t="s">
        <v>2565</v>
      </c>
      <c r="H348" s="65" t="s">
        <v>2565</v>
      </c>
      <c r="I348" s="65" t="b">
        <v>1</v>
      </c>
      <c r="J348" s="65" t="s">
        <v>2564</v>
      </c>
      <c r="K348" s="65" t="s">
        <v>5326</v>
      </c>
      <c r="L348" s="65" t="s">
        <v>2563</v>
      </c>
      <c r="M348" s="65" t="s">
        <v>984</v>
      </c>
      <c r="N348" s="65" t="str">
        <f>"&lt;div class="&amp;""""&amp;"hanging"&amp;""""&amp;"&gt;"&amp;K348&amp;"&lt;a href="&amp;""""&amp;L348&amp;""""&amp;" target="&amp;""""&amp;"_blank"&amp;""""&amp;"&gt;"&amp;L348&amp;"&lt;/a&gt;&lt;span style="&amp;""""&amp;"color:white"&amp;""""&amp;"&gt;[.]{#"&amp;F348&amp;"}}&lt;/span&gt;&lt;/div&gt;&lt;br&gt;"</f>
        <v>&lt;div class="hanging"&gt;Pettorelli, N., Lobora, A. L., Msuha, M. J., Foley, C., &amp; Durant, S. M. (2010). Carnivore biodiversity in Tanzania: Revealing the distribution patterns of secretive mammals using camera traps. &lt;i&gt;Animal Conservation, 13&lt;/i&gt;(2), 131-139.&lt;a href="https://doi.org/10.1111/j.1469-1795.2009.00309.x" target="_blank"&gt;https://doi.org/10.1111/j.1469-1795.2009.00309.x&lt;/a&gt;&lt;span style="color:white"&gt;[.]{#pettorelli_et_al_2010}}&lt;/span&gt;&lt;/div&gt;&lt;br&gt;</v>
      </c>
      <c r="O348" s="65" t="str">
        <f>"{{ rtxt_"&amp;F348&amp;" }}"</f>
        <v>{{ rtxt_pettorelli_et_al_2010 }}</v>
      </c>
      <c r="P348" s="65" t="str">
        <f>"{{ rbib_"&amp;F348&amp;" }}"</f>
        <v>{{ rbib_pettorelli_et_al_2010 }}</v>
      </c>
      <c r="Q348" s="65" t="str">
        <f>"    rtxt_"&amp;F348&amp;": "&amp;""""&amp;"&lt;a href=\"&amp;""""&amp;"/08_references.html#"&amp;F348&amp;"\"&amp;""""&amp;" target=\"&amp;""""&amp;"_blank\"&amp;""""&amp;"&gt;"&amp;G348&amp;"&lt;/a&gt;"&amp;""""</f>
        <v xml:space="preserve">    rtxt_pettorelli_et_al_2010: "&lt;a href=\"/08_references.html#pettorelli_et_al_2010\" target=\"_blank\"&gt;Pettorelli et al., 2010&lt;/a&gt;"</v>
      </c>
      <c r="R348" s="65" t="str">
        <f>"    rbib_"&amp;F348&amp;": "&amp;""""&amp;K348&amp;"&lt;a href=\"&amp;""""&amp;L348&amp;""""&amp;" target=\"&amp;""""&amp;"_blank\"&amp;""""&amp;"&gt;"&amp;L348&amp;"&lt;/a&gt;"&amp;""""</f>
        <v xml:space="preserve">    rbib_pettorelli_et_al_2010: "Pettorelli, N., Lobora, A. L., Msuha, M. J., Foley, C., &amp; Durant, S. M. (2010). Carnivore biodiversity in Tanzania: Revealing the distribution patterns of secretive mammals using camera traps. &lt;i&gt;Animal Conservation, 13&lt;/i&gt;(2), 131-139.&lt;a href=\"https://doi.org/10.1111/j.1469-1795.2009.00309.x" target=\"_blank\"&gt;https://doi.org/10.1111/j.1469-1795.2009.00309.x&lt;/a&gt;"</v>
      </c>
      <c r="S348" s="65" t="str">
        <f>"    rbib_"&amp;F348&amp;": "&amp;""""&amp;"&lt;div class=\"&amp;""""&amp;"hanging\"&amp;""""&amp;"&gt;"&amp;J348&amp;"&lt;/div&gt;"&amp;""""</f>
        <v xml:space="preserve">    rbib_pettorelli_et_al_2010: "&lt;div class=\"hanging\"&gt;Pettorelli, N., Lobora, A. L., Msuha, M. J., Foley, C., &amp; Durant, S. M. (2010). Carnivore biodiversity in Tanzania: Revealing the distribution patterns of secretive mammals using camera traps. *Animal Conservation, 13*(2), 131-139. &lt;https://doi.org/10.1111/j.1469-1795.2009.00309.x&gt;&lt;/div&gt;"</v>
      </c>
      <c r="T348" s="65"/>
    </row>
    <row r="349" spans="1:20" ht="15.75">
      <c r="A349" s="65"/>
      <c r="B349" s="155"/>
      <c r="C349" s="155"/>
      <c r="D349" s="155"/>
      <c r="E349" s="65" t="s">
        <v>1904</v>
      </c>
      <c r="F349" s="65" t="s">
        <v>2562</v>
      </c>
      <c r="G349" s="65" t="s">
        <v>2561</v>
      </c>
      <c r="H349" s="65" t="s">
        <v>2561</v>
      </c>
      <c r="I349" s="65" t="b">
        <v>1</v>
      </c>
      <c r="J349" s="65" t="s">
        <v>2560</v>
      </c>
      <c r="K349" s="65" t="s">
        <v>5176</v>
      </c>
      <c r="L349" s="65" t="s">
        <v>2559</v>
      </c>
      <c r="M349" s="65" t="s">
        <v>984</v>
      </c>
      <c r="N349" s="65" t="str">
        <f>"&lt;div class="&amp;""""&amp;"hanging"&amp;""""&amp;"&gt;"&amp;K349&amp;"&lt;a href="&amp;""""&amp;L349&amp;""""&amp;" target="&amp;""""&amp;"_blank"&amp;""""&amp;"&gt;"&amp;L349&amp;"&lt;/a&gt;&lt;span style="&amp;""""&amp;"color:white"&amp;""""&amp;"&gt;[.]{#"&amp;F349&amp;"}}&lt;/span&gt;&lt;/div&gt;&lt;br&gt;"</f>
        <v>&lt;div class="hanging"&gt;Pfeffer, S. E., Spitzer, R., Allen, A. M., Hofmeester, T. R., Ericsson, G., Widemo, F., Singh, N. J., &amp; Cromsigt, J. P. G. M. (2018). Pictures or pellets? Comparing camera trapping and dung counts as methods for estimating population densities of ungulates. &lt;i&gt;Remote Sensing in Ecology and Conservation, 4&lt;/i&gt;(2), 173-183.&lt;a href="https://doi.org/10.1002/rse2.67" target="_blank"&gt;https://doi.org/10.1002/rse2.67&lt;/a&gt;&lt;span style="color:white"&gt;[.]{#pfeffer_et_al_2018}}&lt;/span&gt;&lt;/div&gt;&lt;br&gt;</v>
      </c>
      <c r="O349" s="65" t="str">
        <f>"{{ rtxt_"&amp;F349&amp;" }}"</f>
        <v>{{ rtxt_pfeffer_et_al_2018 }}</v>
      </c>
      <c r="P349" s="65" t="str">
        <f>"{{ rbib_"&amp;F349&amp;" }}"</f>
        <v>{{ rbib_pfeffer_et_al_2018 }}</v>
      </c>
      <c r="Q349" s="65" t="str">
        <f>"    rtxt_"&amp;F349&amp;": "&amp;""""&amp;"&lt;a href=\"&amp;""""&amp;"/08_references.html#"&amp;F349&amp;"\"&amp;""""&amp;" target=\"&amp;""""&amp;"_blank\"&amp;""""&amp;"&gt;"&amp;G349&amp;"&lt;/a&gt;"&amp;""""</f>
        <v xml:space="preserve">    rtxt_pfeffer_et_al_2018: "&lt;a href=\"/08_references.html#pfeffer_et_al_2018\" target=\"_blank\"&gt;Pfeffer et al., 2018&lt;/a&gt;"</v>
      </c>
      <c r="R349" s="65" t="str">
        <f>"    rbib_"&amp;F349&amp;": "&amp;""""&amp;K349&amp;"&lt;a href=\"&amp;""""&amp;L349&amp;""""&amp;" target=\"&amp;""""&amp;"_blank\"&amp;""""&amp;"&gt;"&amp;L349&amp;"&lt;/a&gt;"&amp;""""</f>
        <v xml:space="preserve">    rbib_pfeffer_et_al_2018: "Pfeffer, S. E., Spitzer, R., Allen, A. M., Hofmeester, T. R., Ericsson, G., Widemo, F., Singh, N. J., &amp; Cromsigt, J. P. G. M. (2018). Pictures or pellets? Comparing camera trapping and dung counts as methods for estimating population densities of ungulates. &lt;i&gt;Remote Sensing in Ecology and Conservation, 4&lt;/i&gt;(2), 173-183.&lt;a href=\"https://doi.org/10.1002/rse2.67" target=\"_blank\"&gt;https://doi.org/10.1002/rse2.67&lt;/a&gt;"</v>
      </c>
      <c r="S349" s="65" t="str">
        <f>"    rbib_"&amp;F349&amp;": "&amp;""""&amp;"&lt;div class=\"&amp;""""&amp;"hanging\"&amp;""""&amp;"&gt;"&amp;J349&amp;"&lt;/div&gt;"&amp;""""</f>
        <v xml:space="preserve">    rbib_pfeffer_et_al_2018: "&lt;div class=\"hanging\"&gt;Pfeffer, S. E., Spitzer, R., Allen, A. M., Hofmeester, T. R., Ericsson, G., Widemo, F., Singh, N. J., &amp; Cromsigt, J. P. G. M. (2018). Pictures or pellets? Comparing camera trapping and dung counts as methods for estimating population densities of ungulates. *Remote Sensing in Ecology and Conservation, 4*(2), 173-183. &lt;https://doi.org/10.1002/rse2.67&gt;&lt;/div&gt;"</v>
      </c>
      <c r="T349" s="65"/>
    </row>
    <row r="350" spans="1:20" ht="15.75">
      <c r="A350" s="65"/>
      <c r="B350" s="155" t="b">
        <v>1</v>
      </c>
      <c r="C350" s="155" t="b">
        <v>0</v>
      </c>
      <c r="D350" s="155" t="b">
        <v>0</v>
      </c>
      <c r="E350" s="65" t="s">
        <v>1904</v>
      </c>
      <c r="F350" s="65" t="s">
        <v>2558</v>
      </c>
      <c r="G350" s="65" t="s">
        <v>2557</v>
      </c>
      <c r="H350" s="65" t="s">
        <v>2557</v>
      </c>
      <c r="I350" s="65" t="b">
        <v>1</v>
      </c>
      <c r="J350" s="65" t="s">
        <v>2556</v>
      </c>
      <c r="K350" s="65" t="s">
        <v>5373</v>
      </c>
      <c r="L350" s="65" t="s">
        <v>2555</v>
      </c>
      <c r="M350" s="65" t="s">
        <v>984</v>
      </c>
      <c r="N350" s="65" t="str">
        <f>"&lt;div class="&amp;""""&amp;"hanging"&amp;""""&amp;"&gt;"&amp;K350&amp;"&lt;a href="&amp;""""&amp;L350&amp;""""&amp;" target="&amp;""""&amp;"_blank"&amp;""""&amp;"&gt;"&amp;L350&amp;"&lt;/a&gt;&lt;span style="&amp;""""&amp;"color:white"&amp;""""&amp;"&gt;[.]{#"&amp;F350&amp;"}}&lt;/span&gt;&lt;/div&gt;&lt;br&gt;"</f>
        <v>&lt;div class="hanging"&gt;Powell, R. A., &amp; Mitchell, M. S. (2012). What is a home range? &lt;i&gt;Journal of Mammalogy, 93&lt;/i&gt;(4), 948-958.&lt;a href="https://doi.org/10.1644/11-mamm-s-177.1" target="_blank"&gt;https://doi.org/10.1644/11-mamm-s-177.1&lt;/a&gt;&lt;span style="color:white"&gt;[.]{#powell_mitchell_2012}}&lt;/span&gt;&lt;/div&gt;&lt;br&gt;</v>
      </c>
      <c r="O350" s="65" t="str">
        <f>"{{ rtxt_"&amp;F350&amp;" }}"</f>
        <v>{{ rtxt_powell_mitchell_2012 }}</v>
      </c>
      <c r="P350" s="65" t="str">
        <f>"{{ rbib_"&amp;F350&amp;" }}"</f>
        <v>{{ rbib_powell_mitchell_2012 }}</v>
      </c>
      <c r="Q350" s="65" t="str">
        <f>"    rtxt_"&amp;F350&amp;": "&amp;""""&amp;"&lt;a href=\"&amp;""""&amp;"/08_references.html#"&amp;F350&amp;"\"&amp;""""&amp;" target=\"&amp;""""&amp;"_blank\"&amp;""""&amp;"&gt;"&amp;G350&amp;"&lt;/a&gt;"&amp;""""</f>
        <v xml:space="preserve">    rtxt_powell_mitchell_2012: "&lt;a href=\"/08_references.html#powell_mitchell_2012\" target=\"_blank\"&gt;Powell &amp; Mitchell, 2012&lt;/a&gt;"</v>
      </c>
      <c r="R350" s="65" t="str">
        <f>"    rbib_"&amp;F350&amp;": "&amp;""""&amp;K350&amp;"&lt;a href=\"&amp;""""&amp;L350&amp;""""&amp;" target=\"&amp;""""&amp;"_blank\"&amp;""""&amp;"&gt;"&amp;L350&amp;"&lt;/a&gt;"&amp;""""</f>
        <v xml:space="preserve">    rbib_powell_mitchell_2012: "Powell, R. A., &amp; Mitchell, M. S. (2012). What is a home range? &lt;i&gt;Journal of Mammalogy, 93&lt;/i&gt;(4), 948-958.&lt;a href=\"https://doi.org/10.1644/11-mamm-s-177.1" target=\"_blank\"&gt;https://doi.org/10.1644/11-mamm-s-177.1&lt;/a&gt;"</v>
      </c>
      <c r="S350" s="65" t="str">
        <f>"    rbib_"&amp;F350&amp;": "&amp;""""&amp;"&lt;div class=\"&amp;""""&amp;"hanging\"&amp;""""&amp;"&gt;"&amp;J350&amp;"&lt;/div&gt;"&amp;""""</f>
        <v xml:space="preserve">    rbib_powell_mitchell_2012: "&lt;div class=\"hanging\"&gt;Powell, R. A., &amp; Mitchell, M. S. (2012). What is a home range? *Journal of Mammalogy, 93*(4), 948-958. &lt;https://doi.org/10.1644/11-mamm-s-177.1&gt;&lt;/div&gt;"</v>
      </c>
      <c r="T350" s="65"/>
    </row>
    <row r="351" spans="1:20" ht="15.75">
      <c r="A351" s="65"/>
      <c r="B351" s="155"/>
      <c r="C351" s="155"/>
      <c r="D351" s="155"/>
      <c r="E351" s="65" t="s">
        <v>1904</v>
      </c>
      <c r="F351" s="65" t="s">
        <v>2554</v>
      </c>
      <c r="G351" s="65" t="s">
        <v>2553</v>
      </c>
      <c r="H351" s="65" t="s">
        <v>2553</v>
      </c>
      <c r="I351" s="65" t="b">
        <v>1</v>
      </c>
      <c r="J351" s="65" t="s">
        <v>2552</v>
      </c>
      <c r="K351" s="65" t="s">
        <v>5237</v>
      </c>
      <c r="L351" s="65" t="s">
        <v>2551</v>
      </c>
      <c r="M351" s="65" t="s">
        <v>984</v>
      </c>
      <c r="N351" s="65" t="str">
        <f>"&lt;div class="&amp;""""&amp;"hanging"&amp;""""&amp;"&gt;"&amp;K351&amp;"&lt;a href="&amp;""""&amp;L351&amp;""""&amp;" target="&amp;""""&amp;"_blank"&amp;""""&amp;"&gt;"&amp;L351&amp;"&lt;/a&gt;&lt;span style="&amp;""""&amp;"color:white"&amp;""""&amp;"&gt;[.]{#"&amp;F351&amp;"}}&lt;/span&gt;&lt;/div&gt;&lt;br&gt;"</f>
        <v>&lt;div class="hanging"&gt;Proctor, M. F., Garshelis, D. L., Thatte, P., Steinmetz, R., Crudge, B., McLellan, B. N., McShea, W. J., Ngoprasert, D., Nawaz, M. A., Te Wong, S., Sharma, S., Fuller, A. K., Dharaiya, N., Pigeon, K. E., Fredriksson, G., Wang, D., Li, S., &amp; Hwang, M. (2022). Review of field methods for monitoring Asian bears. &lt;i&gt;Global Ecology and Conservation, 35&lt;/i&gt;, e02080.&lt;a href="https://doi.org/10.1016/j.gecco.2022.e02080" target="_blank"&gt;https://doi.org/10.1016/j.gecco.2022.e02080&lt;/a&gt;&lt;span style="color:white"&gt;[.]{#proctor_et_al_2022}}&lt;/span&gt;&lt;/div&gt;&lt;br&gt;</v>
      </c>
      <c r="O351" s="65" t="str">
        <f>"{{ rtxt_"&amp;F351&amp;" }}"</f>
        <v>{{ rtxt_proctor_et_al_2022 }}</v>
      </c>
      <c r="P351" s="65" t="str">
        <f>"{{ rbib_"&amp;F351&amp;" }}"</f>
        <v>{{ rbib_proctor_et_al_2022 }}</v>
      </c>
      <c r="Q351" s="65" t="str">
        <f>"    rtxt_"&amp;F351&amp;": "&amp;""""&amp;"&lt;a href=\"&amp;""""&amp;"/08_references.html#"&amp;F351&amp;"\"&amp;""""&amp;" target=\"&amp;""""&amp;"_blank\"&amp;""""&amp;"&gt;"&amp;G351&amp;"&lt;/a&gt;"&amp;""""</f>
        <v xml:space="preserve">    rtxt_proctor_et_al_2022: "&lt;a href=\"/08_references.html#proctor_et_al_2022\" target=\"_blank\"&gt;Proctor et al., 2022&lt;/a&gt;"</v>
      </c>
      <c r="R351" s="65" t="str">
        <f>"    rbib_"&amp;F351&amp;": "&amp;""""&amp;K351&amp;"&lt;a href=\"&amp;""""&amp;L351&amp;""""&amp;" target=\"&amp;""""&amp;"_blank\"&amp;""""&amp;"&gt;"&amp;L351&amp;"&lt;/a&gt;"&amp;""""</f>
        <v xml:space="preserve">    rbib_proctor_et_al_2022: "Proctor, M. F., Garshelis, D. L., Thatte, P., Steinmetz, R., Crudge, B., McLellan, B. N., McShea, W. J., Ngoprasert, D., Nawaz, M. A., Te Wong, S., Sharma, S., Fuller, A. K., Dharaiya, N., Pigeon, K. E., Fredriksson, G., Wang, D., Li, S., &amp; Hwang, M. (2022). Review of field methods for monitoring Asian bears. &lt;i&gt;Global Ecology and Conservation, 35&lt;/i&gt;, e02080.&lt;a href=\"https://doi.org/10.1016/j.gecco.2022.e02080" target=\"_blank\"&gt;https://doi.org/10.1016/j.gecco.2022.e02080&lt;/a&gt;"</v>
      </c>
      <c r="S351" s="65" t="str">
        <f>"    rbib_"&amp;F351&amp;": "&amp;""""&amp;"&lt;div class=\"&amp;""""&amp;"hanging\"&amp;""""&amp;"&gt;"&amp;J351&amp;"&lt;/div&gt;"&amp;""""</f>
        <v xml:space="preserve">    rbib_proctor_et_al_2022: "&lt;div class=\"hanging\"&gt;Proctor, M. F., Garshelis, D. L., Thatte, P., Steinmetz, R., Crudge, B., McLellan, B. N., McShea, W. J., Ngoprasert, D., Nawaz, M. A., Te Wong, S., Sharma, S., Fuller, A. K., Dharaiya, N., Pigeon, K. E., Fredriksson, G., Wang, D., Li, S., &amp; Hwang, M. (2022). Review of field methods for monitoring Asian bears. *Global Ecology and Conservation, 35*, e02080. &lt;https://doi.org/10.1016/j.gecco.2022.e02080&gt;&lt;/div&gt;"</v>
      </c>
      <c r="T351" s="65"/>
    </row>
    <row r="352" spans="1:20" ht="15.75">
      <c r="A352" s="65"/>
      <c r="B352" s="155" t="b">
        <v>0</v>
      </c>
      <c r="C352" s="155" t="b">
        <v>0</v>
      </c>
      <c r="D352" s="155"/>
      <c r="E352" s="65" t="s">
        <v>1945</v>
      </c>
      <c r="F352" s="65" t="s">
        <v>2550</v>
      </c>
      <c r="G352" s="65" t="s">
        <v>2549</v>
      </c>
      <c r="H352" s="65" t="s">
        <v>2549</v>
      </c>
      <c r="I352" s="65" t="b">
        <v>1</v>
      </c>
      <c r="J352" s="65" t="s">
        <v>2548</v>
      </c>
      <c r="K352" s="65" t="s">
        <v>5533</v>
      </c>
      <c r="L352" s="65" t="s">
        <v>2547</v>
      </c>
      <c r="M352" s="65" t="s">
        <v>984</v>
      </c>
      <c r="N352" s="65" t="str">
        <f>"&lt;div class="&amp;""""&amp;"hanging"&amp;""""&amp;"&gt;"&amp;K352&amp;"&lt;a href="&amp;""""&amp;L352&amp;""""&amp;" target="&amp;""""&amp;"_blank"&amp;""""&amp;"&gt;"&amp;L352&amp;"&lt;/a&gt;&lt;span style="&amp;""""&amp;"color:white"&amp;""""&amp;"&gt;[.]{#"&amp;F352&amp;"}}&lt;/span&gt;&lt;/div&gt;&lt;br&gt;"</f>
        <v>&lt;div class="hanging"&gt;Project Dragonfly. (2019, Jan 24). &lt;i&gt;Abundance, species richness, and diversity&lt;/i&gt; [Video]. YouTube.&lt;a href="https://www.youtube.com/watch?v=ghhZClDRK_g&amp;source_ve_path=OTY3MTQbqI" target="_blank"&gt;https://www.youtube.com/watch?v=ghhZClDRK_g&amp;source_ve_path=OTY3MTQbqI&lt;/a&gt;&lt;span style="color:white"&gt;[.]{#project_dragonfly_2019}}&lt;/span&gt;&lt;/div&gt;&lt;br&gt;</v>
      </c>
      <c r="O352" s="65" t="str">
        <f>"{{ rtxt_"&amp;F352&amp;" }}"</f>
        <v>{{ rtxt_project_dragonfly_2019 }}</v>
      </c>
      <c r="P352" s="65" t="str">
        <f>"{{ rbib_"&amp;F352&amp;" }}"</f>
        <v>{{ rbib_project_dragonfly_2019 }}</v>
      </c>
      <c r="Q352" s="65" t="str">
        <f>"    rtxt_"&amp;F352&amp;": "&amp;""""&amp;"&lt;a href=\"&amp;""""&amp;"/08_references.html#"&amp;F352&amp;"\"&amp;""""&amp;" target=\"&amp;""""&amp;"_blank\"&amp;""""&amp;"&gt;"&amp;G352&amp;"&lt;/a&gt;"&amp;""""</f>
        <v xml:space="preserve">    rtxt_project_dragonfly_2019: "&lt;a href=\"/08_references.html#project_dragonfly_2019\" target=\"_blank\"&gt;Project Dragonfly, 2019&lt;/a&gt;"</v>
      </c>
      <c r="R352" s="65" t="str">
        <f>"    rbib_"&amp;F352&amp;": "&amp;""""&amp;K352&amp;"&lt;a href=\"&amp;""""&amp;L352&amp;""""&amp;" target=\"&amp;""""&amp;"_blank\"&amp;""""&amp;"&gt;"&amp;L352&amp;"&lt;/a&gt;"&amp;""""</f>
        <v xml:space="preserve">    rbib_project_dragonfly_2019: "Project Dragonfly. (2019, Jan 24). &lt;i&gt;Abundance, species richness, and diversity&lt;/i&gt; [Video]. YouTube.&lt;a href=\"https://www.youtube.com/watch?v=ghhZClDRK_g&amp;source_ve_path=OTY3MTQbqI" target=\"_blank\"&gt;https://www.youtube.com/watch?v=ghhZClDRK_g&amp;source_ve_path=OTY3MTQbqI&lt;/a&gt;"</v>
      </c>
      <c r="S352" s="65" t="str">
        <f>"    rbib_"&amp;F352&amp;": "&amp;""""&amp;"&lt;div class=\"&amp;""""&amp;"hanging\"&amp;""""&amp;"&gt;"&amp;J352&amp;"&lt;/div&gt;"&amp;""""</f>
        <v xml:space="preserve">    rbib_project_dragonfly_2019: "&lt;div class=\"hanging\"&gt;Project Dragonfly. (2019, Jan 24). *Abundance, species richness, and diversity* [Video]. YouTube. &lt;https://www.youtube.com/watch?v=ghhZClDRK_g&amp;source_ve_path=OTY3MTQbqI&gt;&lt;/div&gt;"</v>
      </c>
      <c r="T352" s="65"/>
    </row>
    <row r="353" spans="1:20" ht="15.75">
      <c r="A353" s="65"/>
      <c r="B353" s="155"/>
      <c r="C353" s="155"/>
      <c r="D353" s="155"/>
      <c r="E353" s="65" t="s">
        <v>1945</v>
      </c>
      <c r="F353" s="65" t="s">
        <v>2546</v>
      </c>
      <c r="G353" s="65" t="s">
        <v>2545</v>
      </c>
      <c r="H353" s="65" t="s">
        <v>2545</v>
      </c>
      <c r="I353" s="65" t="b">
        <v>1</v>
      </c>
      <c r="J353" s="65" t="s">
        <v>2544</v>
      </c>
      <c r="K353" s="65" t="s">
        <v>5543</v>
      </c>
      <c r="L353" s="65" t="s">
        <v>2542</v>
      </c>
      <c r="M353" s="65" t="s">
        <v>2543</v>
      </c>
      <c r="N353" s="65" t="str">
        <f>"&lt;div class="&amp;""""&amp;"hanging"&amp;""""&amp;"&gt;"&amp;K353&amp;"&lt;a href="&amp;""""&amp;L353&amp;""""&amp;" target="&amp;""""&amp;"_blank"&amp;""""&amp;"&gt;"&amp;L353&amp;"&lt;/a&gt;&lt;span style="&amp;""""&amp;"color:white"&amp;""""&amp;"&gt;[.]{#"&amp;F353&amp;"}}&lt;/span&gt;&lt;/div&gt;&lt;br&gt;"</f>
        <v>&lt;div class="hanging"&gt;Proteus (2018, Mar 19). &lt;i&gt;Occupancy modelling - more than species presence/absence!&lt;/i&gt; [Video]. YouTube.&lt;a href="https://www.youtube.com/watch?v=Sp4kb4_TiBA&amp;t=2s" target="_blank"&gt;https://www.youtube.com/watch?v=Sp4kb4_TiBA&amp;t=2s&lt;/a&gt;&lt;span style="color:white"&gt;[.]{#proteus_2018}}&lt;/span&gt;&lt;/div&gt;&lt;br&gt;</v>
      </c>
      <c r="O353" s="65" t="str">
        <f>"{{ rtxt_"&amp;F353&amp;" }}"</f>
        <v>{{ rtxt_proteus_2018 }}</v>
      </c>
      <c r="P353" s="65" t="str">
        <f>"{{ rbib_"&amp;F353&amp;" }}"</f>
        <v>{{ rbib_proteus_2018 }}</v>
      </c>
      <c r="Q353" s="65" t="str">
        <f>"    rtxt_"&amp;F353&amp;": "&amp;""""&amp;"&lt;a href=\"&amp;""""&amp;"/08_references.html#"&amp;F353&amp;"\"&amp;""""&amp;" target=\"&amp;""""&amp;"_blank\"&amp;""""&amp;"&gt;"&amp;G353&amp;"&lt;/a&gt;"&amp;""""</f>
        <v xml:space="preserve">    rtxt_proteus_2018: "&lt;a href=\"/08_references.html#proteus_2018\" target=\"_blank\"&gt;Proteus, 2018&lt;/a&gt;"</v>
      </c>
      <c r="R353" s="65" t="str">
        <f>"    rbib_"&amp;F353&amp;": "&amp;""""&amp;K353&amp;"&lt;a href=\"&amp;""""&amp;L353&amp;""""&amp;" target=\"&amp;""""&amp;"_blank\"&amp;""""&amp;"&gt;"&amp;L353&amp;"&lt;/a&gt;"&amp;""""</f>
        <v xml:space="preserve">    rbib_proteus_2018: "Proteus (2018, Mar 19). &lt;i&gt;Occupancy modelling - more than species presence/absence!&lt;/i&gt; [Video]. YouTube.&lt;a href=\"https://www.youtube.com/watch?v=Sp4kb4_TiBA&amp;t=2s" target=\"_blank\"&gt;https://www.youtube.com/watch?v=Sp4kb4_TiBA&amp;t=2s&lt;/a&gt;"</v>
      </c>
      <c r="S353" s="65" t="str">
        <f>"    rbib_"&amp;F353&amp;": "&amp;""""&amp;"&lt;div class=\"&amp;""""&amp;"hanging\"&amp;""""&amp;"&gt;"&amp;J353&amp;"&lt;/div&gt;"&amp;""""</f>
        <v xml:space="preserve">    rbib_proteus_2018: "&lt;div class=\"hanging\"&gt;Proteus (2018, Mar 19). *Occupancy modelling - more than species presence/absence!* [Video]. YouTube. &lt;https://www.youtube.com/watch?v=Sp4kb4_TiBA&amp;t=2s&gt;&lt;/div&gt;"</v>
      </c>
      <c r="T353" s="65"/>
    </row>
    <row r="354" spans="1:20" ht="15.75">
      <c r="A354" s="65"/>
      <c r="B354" s="155"/>
      <c r="C354" s="155"/>
      <c r="D354" s="155"/>
      <c r="E354" s="65" t="s">
        <v>1945</v>
      </c>
      <c r="F354" s="65" t="s">
        <v>4798</v>
      </c>
      <c r="G354" s="65" t="s">
        <v>4800</v>
      </c>
      <c r="H354" s="65"/>
      <c r="I354" s="65" t="b">
        <v>1</v>
      </c>
      <c r="J354" s="65" t="s">
        <v>4799</v>
      </c>
      <c r="K354" s="158" t="s">
        <v>5525</v>
      </c>
      <c r="L354" s="157" t="s">
        <v>5093</v>
      </c>
      <c r="M354" s="65" t="s">
        <v>4802</v>
      </c>
      <c r="N354" s="65" t="str">
        <f>"&lt;div class="&amp;""""&amp;"hanging"&amp;""""&amp;"&gt;"&amp;K354&amp;"&lt;a href="&amp;""""&amp;L354&amp;""""&amp;" target="&amp;""""&amp;"_blank"&amp;""""&amp;"&gt;"&amp;L354&amp;"&lt;/a&gt;&lt;span style="&amp;""""&amp;"color:white"&amp;""""&amp;"&gt;[.]{#"&amp;F354&amp;"}}&lt;/span&gt;&lt;/div&gt;&lt;br&gt;"</f>
        <v>&lt;div class="hanging"&gt;Proteus (2018b, Sep 21).  &lt;i&gt;Occupancy modelling - home range vs grid cell size.&lt;/i&gt;&lt;a href="https://www.youtube.com/watch?v=6TtVXy91AY4" target="_blank"&gt;https://www.youtube.com/watch?v=6TtVXy91AY4&lt;/a&gt;&lt;span style="color:white"&gt;[.]{#proteus_2018b}}&lt;/span&gt;&lt;/div&gt;&lt;br&gt;</v>
      </c>
      <c r="O354" s="65" t="str">
        <f>"{{ rtxt_"&amp;F354&amp;" }}"</f>
        <v>{{ rtxt_proteus_2018b }}</v>
      </c>
      <c r="P354" s="65" t="str">
        <f>"{{ rbib_"&amp;F354&amp;" }}"</f>
        <v>{{ rbib_proteus_2018b }}</v>
      </c>
      <c r="Q354" s="65" t="str">
        <f>"    rtxt_"&amp;F354&amp;": "&amp;""""&amp;"&lt;a href=\"&amp;""""&amp;"/08_references.html#"&amp;F354&amp;"\"&amp;""""&amp;" target=\"&amp;""""&amp;"_blank\"&amp;""""&amp;"&gt;"&amp;G354&amp;"&lt;/a&gt;"&amp;""""</f>
        <v xml:space="preserve">    rtxt_proteus_2018b: "&lt;a href=\"/08_references.html#proteus_2018b\" target=\"_blank\"&gt;Proteus, 2018b&lt;/a&gt;"</v>
      </c>
      <c r="R354" s="65" t="str">
        <f>"    rbib_"&amp;F354&amp;": "&amp;""""&amp;K354&amp;"&lt;a href=\"&amp;""""&amp;L354&amp;""""&amp;" target=\"&amp;""""&amp;"_blank\"&amp;""""&amp;"&gt;"&amp;L354&amp;"&lt;/a&gt;"&amp;""""</f>
        <v xml:space="preserve">    rbib_proteus_2018b: "Proteus (2018b, Sep 21).  &lt;i&gt;Occupancy modelling - home range vs grid cell size.&lt;/i&gt;&lt;a href=\"https://www.youtube.com/watch?v=6TtVXy91AY4" target=\"_blank\"&gt;https://www.youtube.com/watch?v=6TtVXy91AY4&lt;/a&gt;"</v>
      </c>
      <c r="S354" s="65" t="str">
        <f>"    rbib_"&amp;F354&amp;": "&amp;""""&amp;"&lt;div class=\"&amp;""""&amp;"hanging\"&amp;""""&amp;"&gt;"&amp;J354&amp;"&lt;/div&gt;"&amp;""""</f>
        <v xml:space="preserve">    rbib_proteus_2018b: "&lt;div class=\"hanging\"&gt;Proteus (2018b, Sep 21).  *Occupancy modelling - home range vs grid cell size.* &lt;https://www.youtube.com/watch?v=6TtVXy91AY4&gt;&lt;/div&gt;"</v>
      </c>
      <c r="T354" s="65"/>
    </row>
    <row r="355" spans="1:20" ht="15.75">
      <c r="A355" s="65"/>
      <c r="B355" s="155"/>
      <c r="C355" s="155"/>
      <c r="D355" s="155"/>
      <c r="E355" s="65" t="s">
        <v>2533</v>
      </c>
      <c r="F355" s="65" t="s">
        <v>2532</v>
      </c>
      <c r="G355" s="65" t="s">
        <v>2531</v>
      </c>
      <c r="H355" s="65" t="s">
        <v>2531</v>
      </c>
      <c r="I355" s="65" t="b">
        <v>1</v>
      </c>
      <c r="J355" s="65" t="s">
        <v>2530</v>
      </c>
      <c r="K355" s="65" t="s">
        <v>5503</v>
      </c>
      <c r="L355" s="65" t="s">
        <v>2529</v>
      </c>
      <c r="M355" s="65" t="s">
        <v>984</v>
      </c>
      <c r="N355" s="65" t="str">
        <f>"&lt;div class="&amp;""""&amp;"hanging"&amp;""""&amp;"&gt;"&amp;K355&amp;"&lt;a href="&amp;""""&amp;L355&amp;""""&amp;" target="&amp;""""&amp;"_blank"&amp;""""&amp;"&gt;"&amp;L355&amp;"&lt;/a&gt;&lt;span style="&amp;""""&amp;"color:white"&amp;""""&amp;"&gt;[.]{#"&amp;F355&amp;"}}&lt;/span&gt;&lt;/div&gt;&lt;br&gt;"</f>
        <v>&lt;div class="hanging"&gt;Proteus (N.D.). &lt;i&gt;Occupancy modelling - more than species presence/absence!&lt;/i&gt; [Webpage].&lt;a href="https://www.proteus.co.nz/news-tips-and-tricks/occupancy-modelling-more-than-species-presenceabsence" target="_blank"&gt;https://www.proteus.co.nz/news-tips-and-tricks/occupancy-modelling-more-than-species-presenceabsence&lt;/a&gt;&lt;span style="color:white"&gt;[.]{#proteus_nd}}&lt;/span&gt;&lt;/div&gt;&lt;br&gt;</v>
      </c>
      <c r="O355" s="65" t="str">
        <f>"{{ rtxt_"&amp;F355&amp;" }}"</f>
        <v>{{ rtxt_proteus_nd }}</v>
      </c>
      <c r="P355" s="65" t="str">
        <f>"{{ rbib_"&amp;F355&amp;" }}"</f>
        <v>{{ rbib_proteus_nd }}</v>
      </c>
      <c r="Q355" s="65" t="str">
        <f>"    rtxt_"&amp;F355&amp;": "&amp;""""&amp;"&lt;a href=\"&amp;""""&amp;"/08_references.html#"&amp;F355&amp;"\"&amp;""""&amp;" target=\"&amp;""""&amp;"_blank\"&amp;""""&amp;"&gt;"&amp;G355&amp;"&lt;/a&gt;"&amp;""""</f>
        <v xml:space="preserve">    rtxt_proteus_nd: "&lt;a href=\"/08_references.html#proteus_nd\" target=\"_blank\"&gt;Proteus, N.D.&lt;/a&gt;"</v>
      </c>
      <c r="R355" s="65" t="str">
        <f>"    rbib_"&amp;F355&amp;": "&amp;""""&amp;K355&amp;"&lt;a href=\"&amp;""""&amp;L355&amp;""""&amp;" target=\"&amp;""""&amp;"_blank\"&amp;""""&amp;"&gt;"&amp;L355&amp;"&lt;/a&gt;"&amp;""""</f>
        <v xml:space="preserve">    rbib_proteus_nd: "Proteus (N.D.). &lt;i&gt;Occupancy modelling - more than species presence/absence!&lt;/i&gt; [Webpage].&lt;a href=\"https://www.proteus.co.nz/news-tips-and-tricks/occupancy-modelling-more-than-species-presenceabsence" target=\"_blank\"&gt;https://www.proteus.co.nz/news-tips-and-tricks/occupancy-modelling-more-than-species-presenceabsence&lt;/a&gt;"</v>
      </c>
      <c r="S355" s="65" t="str">
        <f>"    rbib_"&amp;F355&amp;": "&amp;""""&amp;"&lt;div class=\"&amp;""""&amp;"hanging\"&amp;""""&amp;"&gt;"&amp;J355&amp;"&lt;/div&gt;"&amp;""""</f>
        <v xml:space="preserve">    rbib_proteus_nd: "&lt;div class=\"hanging\"&gt;Proteus (N.D.). *Occupancy modelling - more than species presence/absence!* [Webpage]. &lt;https://www.proteus.co.nz/news-tips-and-tricks/occupancy-modelling-more-than-species-presenceabsence&gt;&lt;/div&gt;"</v>
      </c>
      <c r="T355" s="65"/>
    </row>
    <row r="356" spans="1:20" ht="15.75">
      <c r="A356" s="65"/>
      <c r="B356" s="155" t="b">
        <v>0</v>
      </c>
      <c r="C356" s="155" t="b">
        <v>0</v>
      </c>
      <c r="D356" s="155"/>
      <c r="E356" s="65" t="s">
        <v>1945</v>
      </c>
      <c r="F356" s="65" t="s">
        <v>2541</v>
      </c>
      <c r="G356" s="65" t="s">
        <v>2540</v>
      </c>
      <c r="H356" s="65" t="s">
        <v>2540</v>
      </c>
      <c r="I356" s="65" t="b">
        <v>1</v>
      </c>
      <c r="J356" s="65" t="s">
        <v>2539</v>
      </c>
      <c r="K356" s="65" t="s">
        <v>5555</v>
      </c>
      <c r="L356" s="65" t="s">
        <v>2538</v>
      </c>
      <c r="M356" s="65" t="s">
        <v>984</v>
      </c>
      <c r="N356" s="65" t="str">
        <f>"&lt;div class="&amp;""""&amp;"hanging"&amp;""""&amp;"&gt;"&amp;K356&amp;"&lt;a href="&amp;""""&amp;L356&amp;""""&amp;" target="&amp;""""&amp;"_blank"&amp;""""&amp;"&gt;"&amp;L356&amp;"&lt;/a&gt;&lt;span style="&amp;""""&amp;"color:white"&amp;""""&amp;"&gt;[.]{#"&amp;F356&amp;"}}&lt;/span&gt;&lt;/div&gt;&lt;br&gt;"</f>
        <v>&lt;div class="hanging"&gt;Proteus. (2019a, May 30). &lt;i&gt;Occupancy modelling - the difference between probability and proportion of units occupied&lt;/i&gt; [Video]. YouTube.&lt;a href="https://www.youtube.com/watch?v=zKQFY8W4ceU" target="_blank"&gt;https://www.youtube.com/watch?v=zKQFY8W4ceU&lt;/a&gt;&lt;span style="color:white"&gt;[.]{#proteus_2019a}}&lt;/span&gt;&lt;/div&gt;&lt;br&gt;</v>
      </c>
      <c r="O356" s="65" t="str">
        <f>"{{ rtxt_"&amp;F356&amp;" }}"</f>
        <v>{{ rtxt_proteus_2019a }}</v>
      </c>
      <c r="P356" s="65" t="str">
        <f>"{{ rbib_"&amp;F356&amp;" }}"</f>
        <v>{{ rbib_proteus_2019a }}</v>
      </c>
      <c r="Q356" s="65" t="str">
        <f>"    rtxt_"&amp;F356&amp;": "&amp;""""&amp;"&lt;a href=\"&amp;""""&amp;"/08_references.html#"&amp;F356&amp;"\"&amp;""""&amp;" target=\"&amp;""""&amp;"_blank\"&amp;""""&amp;"&gt;"&amp;G356&amp;"&lt;/a&gt;"&amp;""""</f>
        <v xml:space="preserve">    rtxt_proteus_2019a: "&lt;a href=\"/08_references.html#proteus_2019a\" target=\"_blank\"&gt;Proteus, 2019a&lt;/a&gt;"</v>
      </c>
      <c r="R356" s="65" t="str">
        <f>"    rbib_"&amp;F356&amp;": "&amp;""""&amp;K356&amp;"&lt;a href=\"&amp;""""&amp;L356&amp;""""&amp;" target=\"&amp;""""&amp;"_blank\"&amp;""""&amp;"&gt;"&amp;L356&amp;"&lt;/a&gt;"&amp;""""</f>
        <v xml:space="preserve">    rbib_proteus_2019a: "Proteus. (2019a, May 30). &lt;i&gt;Occupancy modelling - the difference between probability and proportion of units occupied&lt;/i&gt; [Video]. YouTube.&lt;a href=\"https://www.youtube.com/watch?v=zKQFY8W4ceU" target=\"_blank\"&gt;https://www.youtube.com/watch?v=zKQFY8W4ceU&lt;/a&gt;"</v>
      </c>
      <c r="S356" s="65" t="str">
        <f>"    rbib_"&amp;F356&amp;": "&amp;""""&amp;"&lt;div class=\"&amp;""""&amp;"hanging\"&amp;""""&amp;"&gt;"&amp;J356&amp;"&lt;/div&gt;"&amp;""""</f>
        <v xml:space="preserve">    rbib_proteus_2019a: "&lt;div class=\"hanging\"&gt;Proteus. (2019a, May 30). *Occupancy modelling - the difference between probability and proportion of units occupied* [Video]. YouTube. &lt;https://www.youtube.com/watch?v=zKQFY8W4ceU&gt;&lt;/div&gt;"</v>
      </c>
      <c r="T356" s="65"/>
    </row>
    <row r="357" spans="1:20" ht="15.75">
      <c r="A357" s="65"/>
      <c r="B357" s="155" t="b">
        <v>0</v>
      </c>
      <c r="C357" s="155" t="b">
        <v>0</v>
      </c>
      <c r="D357" s="155"/>
      <c r="E357" s="65" t="s">
        <v>1945</v>
      </c>
      <c r="F357" s="65" t="s">
        <v>2537</v>
      </c>
      <c r="G357" s="65" t="s">
        <v>2536</v>
      </c>
      <c r="H357" s="65" t="s">
        <v>2536</v>
      </c>
      <c r="I357" s="65" t="b">
        <v>1</v>
      </c>
      <c r="J357" s="65" t="s">
        <v>2535</v>
      </c>
      <c r="K357" s="65" t="s">
        <v>5544</v>
      </c>
      <c r="L357" s="65" t="s">
        <v>2534</v>
      </c>
      <c r="M357" s="65" t="s">
        <v>984</v>
      </c>
      <c r="N357" s="65" t="str">
        <f>"&lt;div class="&amp;""""&amp;"hanging"&amp;""""&amp;"&gt;"&amp;K357&amp;"&lt;a href="&amp;""""&amp;L357&amp;""""&amp;" target="&amp;""""&amp;"_blank"&amp;""""&amp;"&gt;"&amp;L357&amp;"&lt;/a&gt;&lt;span style="&amp;""""&amp;"color:white"&amp;""""&amp;"&gt;[.]{#"&amp;F357&amp;"}}&lt;/span&gt;&lt;/div&gt;&lt;br&gt;"</f>
        <v>&lt;div class="hanging"&gt;Proteus. (2019b, Aug 22). &lt;i&gt;Occupancy models - how many covariates can I include?&lt;/i&gt; [Video]. YouTube.&lt;a href="https://www.youtube.com/watch?v=tCh7rTu6fvQ" target="_blank"&gt;https://www.youtube.com/watch?v=tCh7rTu6fvQ&lt;/a&gt;&lt;span style="color:white"&gt;[.]{#proteus_2019b}}&lt;/span&gt;&lt;/div&gt;&lt;br&gt;</v>
      </c>
      <c r="O357" s="65" t="str">
        <f>"{{ rtxt_"&amp;F357&amp;" }}"</f>
        <v>{{ rtxt_proteus_2019b }}</v>
      </c>
      <c r="P357" s="65" t="str">
        <f>"{{ rbib_"&amp;F357&amp;" }}"</f>
        <v>{{ rbib_proteus_2019b }}</v>
      </c>
      <c r="Q357" s="65" t="str">
        <f>"    rtxt_"&amp;F357&amp;": "&amp;""""&amp;"&lt;a href=\"&amp;""""&amp;"/08_references.html#"&amp;F357&amp;"\"&amp;""""&amp;" target=\"&amp;""""&amp;"_blank\"&amp;""""&amp;"&gt;"&amp;G357&amp;"&lt;/a&gt;"&amp;""""</f>
        <v xml:space="preserve">    rtxt_proteus_2019b: "&lt;a href=\"/08_references.html#proteus_2019b\" target=\"_blank\"&gt;Proteus, 2019b&lt;/a&gt;"</v>
      </c>
      <c r="R357" s="65" t="str">
        <f>"    rbib_"&amp;F357&amp;": "&amp;""""&amp;K357&amp;"&lt;a href=\"&amp;""""&amp;L357&amp;""""&amp;" target=\"&amp;""""&amp;"_blank\"&amp;""""&amp;"&gt;"&amp;L357&amp;"&lt;/a&gt;"&amp;""""</f>
        <v xml:space="preserve">    rbib_proteus_2019b: "Proteus. (2019b, Aug 22). &lt;i&gt;Occupancy models - how many covariates can I include?&lt;/i&gt; [Video]. YouTube.&lt;a href=\"https://www.youtube.com/watch?v=tCh7rTu6fvQ" target=\"_blank\"&gt;https://www.youtube.com/watch?v=tCh7rTu6fvQ&lt;/a&gt;"</v>
      </c>
      <c r="S357" s="65" t="str">
        <f>"    rbib_"&amp;F357&amp;": "&amp;""""&amp;"&lt;div class=\"&amp;""""&amp;"hanging\"&amp;""""&amp;"&gt;"&amp;J357&amp;"&lt;/div&gt;"&amp;""""</f>
        <v xml:space="preserve">    rbib_proteus_2019b: "&lt;div class=\"hanging\"&gt;Proteus. (2019b, Aug 22). *Occupancy models - how many covariates can I include?* [Video]. YouTube. &lt;https://www.youtube.com/watch?v=tCh7rTu6fvQ&gt;&lt;/div&gt;"</v>
      </c>
      <c r="T357" s="65"/>
    </row>
    <row r="358" spans="1:20" ht="15.75">
      <c r="A358" s="65"/>
      <c r="B358" s="155" t="b">
        <v>0</v>
      </c>
      <c r="C358" s="155" t="b">
        <v>0</v>
      </c>
      <c r="D358" s="155" t="b">
        <v>1</v>
      </c>
      <c r="E358" s="65" t="s">
        <v>1904</v>
      </c>
      <c r="F358" s="65" t="s">
        <v>2528</v>
      </c>
      <c r="G358" s="65" t="s">
        <v>2527</v>
      </c>
      <c r="H358" s="65" t="s">
        <v>2527</v>
      </c>
      <c r="I358" s="65" t="b">
        <v>1</v>
      </c>
      <c r="J358" s="65" t="s">
        <v>2526</v>
      </c>
      <c r="K358" s="65" t="s">
        <v>5498</v>
      </c>
      <c r="L358" s="65" t="s">
        <v>2525</v>
      </c>
      <c r="M358" s="65" t="s">
        <v>984</v>
      </c>
      <c r="N358" s="65" t="str">
        <f>"&lt;div class="&amp;""""&amp;"hanging"&amp;""""&amp;"&gt;"&amp;K358&amp;"&lt;a href="&amp;""""&amp;L358&amp;""""&amp;" target="&amp;""""&amp;"_blank"&amp;""""&amp;"&gt;"&amp;L358&amp;"&lt;/a&gt;&lt;span style="&amp;""""&amp;"color:white"&amp;""""&amp;"&gt;[.]{#"&amp;F358&amp;"}}&lt;/span&gt;&lt;/div&gt;&lt;br&gt;"</f>
        <v>&lt;div class="hanging"&gt;Pyron, M. (2010) Characterizing Communities. &lt;i&gt;Nature Education Knowledge, 3&lt;/i&gt;(10):39.&lt;a href="https://www.nature.com/scitable/knowledge/library/characterizing-communities-13241173/" target="_blank"&gt;https://www.nature.com/scitable/knowledge/library/characterizing-communities-13241173/&lt;/a&gt;&lt;span style="color:white"&gt;[.]{#pyron_2010}}&lt;/span&gt;&lt;/div&gt;&lt;br&gt;</v>
      </c>
      <c r="O358" s="65" t="str">
        <f>"{{ rtxt_"&amp;F358&amp;" }}"</f>
        <v>{{ rtxt_pyron_2010 }}</v>
      </c>
      <c r="P358" s="65" t="str">
        <f>"{{ rbib_"&amp;F358&amp;" }}"</f>
        <v>{{ rbib_pyron_2010 }}</v>
      </c>
      <c r="Q358" s="65" t="str">
        <f>"    rtxt_"&amp;F358&amp;": "&amp;""""&amp;"&lt;a href=\"&amp;""""&amp;"/08_references.html#"&amp;F358&amp;"\"&amp;""""&amp;" target=\"&amp;""""&amp;"_blank\"&amp;""""&amp;"&gt;"&amp;G358&amp;"&lt;/a&gt;"&amp;""""</f>
        <v xml:space="preserve">    rtxt_pyron_2010: "&lt;a href=\"/08_references.html#pyron_2010\" target=\"_blank\"&gt;Pyron, 2010&lt;/a&gt;"</v>
      </c>
      <c r="R358" s="65" t="str">
        <f>"    rbib_"&amp;F358&amp;": "&amp;""""&amp;K358&amp;"&lt;a href=\"&amp;""""&amp;L358&amp;""""&amp;" target=\"&amp;""""&amp;"_blank\"&amp;""""&amp;"&gt;"&amp;L358&amp;"&lt;/a&gt;"&amp;""""</f>
        <v xml:space="preserve">    rbib_pyron_2010: "Pyron, M. (2010) Characterizing Communities. &lt;i&gt;Nature Education Knowledge, 3&lt;/i&gt;(10):39.&lt;a href=\"https://www.nature.com/scitable/knowledge/library/characterizing-communities-13241173/" target=\"_blank\"&gt;https://www.nature.com/scitable/knowledge/library/characterizing-communities-13241173/&lt;/a&gt;"</v>
      </c>
      <c r="S358" s="65" t="str">
        <f>"    rbib_"&amp;F358&amp;": "&amp;""""&amp;"&lt;div class=\"&amp;""""&amp;"hanging\"&amp;""""&amp;"&gt;"&amp;J358&amp;"&lt;/div&gt;"&amp;""""</f>
        <v xml:space="preserve">    rbib_pyron_2010: "&lt;div class=\"hanging\"&gt;Pyron, M. (2010) Characterizing Communities. *Nature Education Knowledge, 3*(10):39. &lt;https://www.nature.com/scitable/knowledge/library/characterizing-communities-13241173/&gt;&lt;/div&gt;"</v>
      </c>
      <c r="T358" s="65"/>
    </row>
    <row r="359" spans="1:20" ht="15.75">
      <c r="A359" s="65"/>
      <c r="B359" s="155" t="b">
        <v>1</v>
      </c>
      <c r="C359" s="155" t="b">
        <v>0</v>
      </c>
      <c r="D359" s="155" t="b">
        <v>1</v>
      </c>
      <c r="E359" s="65" t="s">
        <v>1904</v>
      </c>
      <c r="F359" s="65" t="s">
        <v>2524</v>
      </c>
      <c r="G359" s="65" t="s">
        <v>2523</v>
      </c>
      <c r="H359" s="65" t="s">
        <v>2523</v>
      </c>
      <c r="I359" s="65" t="b">
        <v>1</v>
      </c>
      <c r="J359" s="65" t="s">
        <v>2522</v>
      </c>
      <c r="K359" s="65" t="s">
        <v>5489</v>
      </c>
      <c r="L359" s="65" t="s">
        <v>2521</v>
      </c>
      <c r="M359" s="65" t="s">
        <v>984</v>
      </c>
      <c r="N359" s="65" t="str">
        <f>"&lt;div class="&amp;""""&amp;"hanging"&amp;""""&amp;"&gt;"&amp;K359&amp;"&lt;a href="&amp;""""&amp;L359&amp;""""&amp;" target="&amp;""""&amp;"_blank"&amp;""""&amp;"&gt;"&amp;L359&amp;"&lt;/a&gt;&lt;span style="&amp;""""&amp;"color:white"&amp;""""&amp;"&gt;[.]{#"&amp;F359&amp;"}}&lt;/span&gt;&lt;/div&gt;&lt;br&gt;"</f>
        <v>&lt;div class="hanging"&gt;Ramage, B. S., Sheil, D., Salim, H. M. W., Fletcher, C., Mustafa, N. -Z. A., Luruthusamay, J. C., Harrison, R. D., Butod, E., Dzulkiply, A. D., Kassim, A. R., &amp; Potts, M. D. (2013). Pseudoreplication in tropical forests and the resulting effects on biodiversity conservation. &lt;i&gt;Conservation Biology, 27&lt;/i&gt;(2), 364-372.&lt;a href="https://www.jstor.org/stable/23525262" target="_blank"&gt;https://www.jstor.org/stable/23525262&lt;/a&gt;&lt;span style="color:white"&gt;[.]{#ramage_et_al_2013}}&lt;/span&gt;&lt;/div&gt;&lt;br&gt;</v>
      </c>
      <c r="O359" s="65" t="str">
        <f>"{{ rtxt_"&amp;F359&amp;" }}"</f>
        <v>{{ rtxt_ramage_et_al_2013 }}</v>
      </c>
      <c r="P359" s="65" t="str">
        <f>"{{ rbib_"&amp;F359&amp;" }}"</f>
        <v>{{ rbib_ramage_et_al_2013 }}</v>
      </c>
      <c r="Q359" s="65" t="str">
        <f>"    rtxt_"&amp;F359&amp;": "&amp;""""&amp;"&lt;a href=\"&amp;""""&amp;"/08_references.html#"&amp;F359&amp;"\"&amp;""""&amp;" target=\"&amp;""""&amp;"_blank\"&amp;""""&amp;"&gt;"&amp;G359&amp;"&lt;/a&gt;"&amp;""""</f>
        <v xml:space="preserve">    rtxt_ramage_et_al_2013: "&lt;a href=\"/08_references.html#ramage_et_al_2013\" target=\"_blank\"&gt;Ramage et al., 2013&lt;/a&gt;"</v>
      </c>
      <c r="R359" s="65" t="str">
        <f>"    rbib_"&amp;F359&amp;": "&amp;""""&amp;K359&amp;"&lt;a href=\"&amp;""""&amp;L359&amp;""""&amp;" target=\"&amp;""""&amp;"_blank\"&amp;""""&amp;"&gt;"&amp;L359&amp;"&lt;/a&gt;"&amp;""""</f>
        <v xml:space="preserve">    rbib_ramage_et_al_2013: "Ramage, B. S., Sheil, D., Salim, H. M. W., Fletcher, C., Mustafa, N. -Z. A., Luruthusamay, J. C., Harrison, R. D., Butod, E., Dzulkiply, A. D., Kassim, A. R., &amp; Potts, M. D. (2013). Pseudoreplication in tropical forests and the resulting effects on biodiversity conservation. &lt;i&gt;Conservation Biology, 27&lt;/i&gt;(2), 364-372.&lt;a href=\"https://www.jstor.org/stable/23525262" target=\"_blank\"&gt;https://www.jstor.org/stable/23525262&lt;/a&gt;"</v>
      </c>
      <c r="S359" s="65" t="str">
        <f>"    rbib_"&amp;F359&amp;": "&amp;""""&amp;"&lt;div class=\"&amp;""""&amp;"hanging\"&amp;""""&amp;"&gt;"&amp;J359&amp;"&lt;/div&gt;"&amp;""""</f>
        <v xml:space="preserve">    rbib_ramage_et_al_2013: "&lt;div class=\"hanging\"&gt;Ramage, B. S., Sheil, D., Salim, H. M. W., Fletcher, C., Mustafa, N. -Z. A., Luruthusamay, J. C., Harrison, R. D., Butod, E., Dzulkiply, A. D., Kassim, A. R., &amp; Potts, M. D. (2013). Pseudoreplication in tropical forests and the resulting effects on biodiversity conservation. *Conservation Biology, 27*(2), 364-372. &lt;https://www.jstor.org/stable/23525262&gt;&lt;/div&gt;"</v>
      </c>
      <c r="T359" s="65"/>
    </row>
    <row r="360" spans="1:20" ht="15.75">
      <c r="A360" s="65"/>
      <c r="B360" s="155" t="b">
        <v>1</v>
      </c>
      <c r="C360" s="155" t="b">
        <v>0</v>
      </c>
      <c r="D360" s="155" t="b">
        <v>0</v>
      </c>
      <c r="E360" s="65" t="s">
        <v>1904</v>
      </c>
      <c r="F360" s="65" t="s">
        <v>2520</v>
      </c>
      <c r="G360" s="65" t="s">
        <v>2519</v>
      </c>
      <c r="H360" s="65" t="s">
        <v>2519</v>
      </c>
      <c r="I360" s="65" t="b">
        <v>1</v>
      </c>
      <c r="J360" s="65" t="s">
        <v>2518</v>
      </c>
      <c r="K360" s="65" t="s">
        <v>5455</v>
      </c>
      <c r="L360" s="65" t="s">
        <v>2517</v>
      </c>
      <c r="M360" s="65" t="s">
        <v>984</v>
      </c>
      <c r="N360" s="65" t="str">
        <f>"&lt;div class="&amp;""""&amp;"hanging"&amp;""""&amp;"&gt;"&amp;K360&amp;"&lt;a href="&amp;""""&amp;L360&amp;""""&amp;" target="&amp;""""&amp;"_blank"&amp;""""&amp;"&gt;"&amp;L360&amp;"&lt;/a&gt;&lt;span style="&amp;""""&amp;"color:white"&amp;""""&amp;"&gt;[.]{#"&amp;F360&amp;"}}&lt;/span&gt;&lt;/div&gt;&lt;br&gt;"</f>
        <v>&lt;div class="hanging"&gt;Randler, C., &amp; Kalb, N. (2018). Distance and size matters: A comparison of six wildlife camera traps and their usefulness for wild birds. &lt;i&gt;Ecology and Evolution&lt;/i&gt;, 1-13.&lt;a href="https://onlinelibrary.wiley.com/doi/pdf/10.1002/ece3.4240" target="_blank"&gt;https://onlinelibrary.wiley.com/doi/pdf/10.1002/ece3.4240&lt;/a&gt;&lt;span style="color:white"&gt;[.]{#randler_kalb_2018}}&lt;/span&gt;&lt;/div&gt;&lt;br&gt;</v>
      </c>
      <c r="O360" s="65" t="str">
        <f>"{{ rtxt_"&amp;F360&amp;" }}"</f>
        <v>{{ rtxt_randler_kalb_2018 }}</v>
      </c>
      <c r="P360" s="65" t="str">
        <f>"{{ rbib_"&amp;F360&amp;" }}"</f>
        <v>{{ rbib_randler_kalb_2018 }}</v>
      </c>
      <c r="Q360" s="65" t="str">
        <f>"    rtxt_"&amp;F360&amp;": "&amp;""""&amp;"&lt;a href=\"&amp;""""&amp;"/08_references.html#"&amp;F360&amp;"\"&amp;""""&amp;" target=\"&amp;""""&amp;"_blank\"&amp;""""&amp;"&gt;"&amp;G360&amp;"&lt;/a&gt;"&amp;""""</f>
        <v xml:space="preserve">    rtxt_randler_kalb_2018: "&lt;a href=\"/08_references.html#randler_kalb_2018\" target=\"_blank\"&gt;Randler &amp; Kalb, 2018&lt;/a&gt;"</v>
      </c>
      <c r="R360" s="65" t="str">
        <f>"    rbib_"&amp;F360&amp;": "&amp;""""&amp;K360&amp;"&lt;a href=\"&amp;""""&amp;L360&amp;""""&amp;" target=\"&amp;""""&amp;"_blank\"&amp;""""&amp;"&gt;"&amp;L360&amp;"&lt;/a&gt;"&amp;""""</f>
        <v xml:space="preserve">    rbib_randler_kalb_2018: "Randler, C., &amp; Kalb, N. (2018). Distance and size matters: A comparison of six wildlife camera traps and their usefulness for wild birds. &lt;i&gt;Ecology and Evolution&lt;/i&gt;, 1-13.&lt;a href=\"https://onlinelibrary.wiley.com/doi/pdf/10.1002/ece3.4240" target=\"_blank\"&gt;https://onlinelibrary.wiley.com/doi/pdf/10.1002/ece3.4240&lt;/a&gt;"</v>
      </c>
      <c r="S360" s="65" t="str">
        <f>"    rbib_"&amp;F360&amp;": "&amp;""""&amp;"&lt;div class=\"&amp;""""&amp;"hanging\"&amp;""""&amp;"&gt;"&amp;J360&amp;"&lt;/div&gt;"&amp;""""</f>
        <v xml:space="preserve">    rbib_randler_kalb_2018: "&lt;div class=\"hanging\"&gt;Randler, C., &amp; Kalb, N. (2018). Distance and size matters: A comparison of six wildlife camera traps and their usefulness for wild birds. *Ecology and Evolution*, 1-13. &lt;https://onlinelibrary.wiley.com/doi/pdf/10.1002/ece3.4240&gt;&lt;/div&gt;"</v>
      </c>
      <c r="T360" s="65"/>
    </row>
    <row r="361" spans="1:20" ht="15.75">
      <c r="A361" s="65"/>
      <c r="B361" s="155" t="b">
        <v>1</v>
      </c>
      <c r="C361" s="155" t="b">
        <v>0</v>
      </c>
      <c r="D361" s="155" t="b">
        <v>0</v>
      </c>
      <c r="E361" s="65" t="s">
        <v>2480</v>
      </c>
      <c r="F361" s="65" t="s">
        <v>2505</v>
      </c>
      <c r="G361" s="65" t="s">
        <v>2504</v>
      </c>
      <c r="H361" s="65" t="s">
        <v>2504</v>
      </c>
      <c r="I361" s="65" t="b">
        <v>1</v>
      </c>
      <c r="J361" s="65" t="s">
        <v>2503</v>
      </c>
      <c r="K361" s="65" t="s">
        <v>5504</v>
      </c>
      <c r="L361" s="65" t="s">
        <v>2502</v>
      </c>
      <c r="M361" s="65" t="s">
        <v>984</v>
      </c>
      <c r="N361" s="65" t="str">
        <f>"&lt;div class="&amp;""""&amp;"hanging"&amp;""""&amp;"&gt;"&amp;K361&amp;"&lt;a href="&amp;""""&amp;L361&amp;""""&amp;" target="&amp;""""&amp;"_blank"&amp;""""&amp;"&gt;"&amp;L361&amp;"&lt;/a&gt;&lt;span style="&amp;""""&amp;"color:white"&amp;""""&amp;"&gt;[.]{#"&amp;F361&amp;"}}&lt;/span&gt;&lt;/div&gt;&lt;br&gt;"</f>
        <v>&lt;div class="hanging"&gt;Reconyx Inc. (2018). &lt;i&gt;Hyperfire Professional/Outdoor Instruction Manual&lt;/i&gt;. Holmen, WI, USA.&lt;a href="https://www.reconyx.com/img/file/HyperFire_2_User_Guide_2018_07_05_v5.pdf" target="_blank"&gt;https://www.reconyx.com/img/file/HyperFire_2_User_Guide_2018_07_05_v5.pdf&lt;/a&gt;&lt;span style="color:white"&gt;[.]{#reconyx_inc_2018}}&lt;/span&gt;&lt;/div&gt;&lt;br&gt;</v>
      </c>
      <c r="O361" s="65" t="str">
        <f>"{{ rtxt_"&amp;F361&amp;" }}"</f>
        <v>{{ rtxt_reconyx_inc_2018 }}</v>
      </c>
      <c r="P361" s="65" t="str">
        <f>"{{ rbib_"&amp;F361&amp;" }}"</f>
        <v>{{ rbib_reconyx_inc_2018 }}</v>
      </c>
      <c r="Q361" s="65" t="str">
        <f>"    rtxt_"&amp;F361&amp;": "&amp;""""&amp;"&lt;a href=\"&amp;""""&amp;"/08_references.html#"&amp;F361&amp;"\"&amp;""""&amp;" target=\"&amp;""""&amp;"_blank\"&amp;""""&amp;"&gt;"&amp;G361&amp;"&lt;/a&gt;"&amp;""""</f>
        <v xml:space="preserve">    rtxt_reconyx_inc_2018: "&lt;a href=\"/08_references.html#reconyx_inc_2018\" target=\"_blank\"&gt;Reconyx Inc., 2018&lt;/a&gt;"</v>
      </c>
      <c r="R361" s="65" t="str">
        <f>"    rbib_"&amp;F361&amp;": "&amp;""""&amp;K361&amp;"&lt;a href=\"&amp;""""&amp;L361&amp;""""&amp;" target=\"&amp;""""&amp;"_blank\"&amp;""""&amp;"&gt;"&amp;L361&amp;"&lt;/a&gt;"&amp;""""</f>
        <v xml:space="preserve">    rbib_reconyx_inc_2018: "Reconyx Inc. (2018). &lt;i&gt;Hyperfire Professional/Outdoor Instruction Manual&lt;/i&gt;. Holmen, WI, USA.&lt;a href=\"https://www.reconyx.com/img/file/HyperFire_2_User_Guide_2018_07_05_v5.pdf" target=\"_blank\"&gt;https://www.reconyx.com/img/file/HyperFire_2_User_Guide_2018_07_05_v5.pdf&lt;/a&gt;"</v>
      </c>
      <c r="S361" s="65" t="str">
        <f>"    rbib_"&amp;F361&amp;": "&amp;""""&amp;"&lt;div class=\"&amp;""""&amp;"hanging\"&amp;""""&amp;"&gt;"&amp;J361&amp;"&lt;/div&gt;"&amp;""""</f>
        <v xml:space="preserve">    rbib_reconyx_inc_2018: "&lt;div class=\"hanging\"&gt;Reconyx Inc. (2018). *Hyperfire Professional/Outdoor Instruction Manual*. Holmen, WI, USA. &lt;https://www.reconyx.com/img/file/HyperFire_2_User_Guide_2018_07_05_v5.pdf&gt;&lt;/div&gt;"</v>
      </c>
      <c r="T361" s="65"/>
    </row>
    <row r="362" spans="1:20" ht="15.75">
      <c r="A362" s="65"/>
      <c r="B362" s="155" t="b">
        <v>0</v>
      </c>
      <c r="C362" s="155" t="b">
        <v>0</v>
      </c>
      <c r="D362" s="155" t="b">
        <v>1</v>
      </c>
      <c r="E362" s="65" t="s">
        <v>1904</v>
      </c>
      <c r="F362" s="65" t="s">
        <v>2501</v>
      </c>
      <c r="G362" s="65" t="s">
        <v>2500</v>
      </c>
      <c r="H362" s="65" t="s">
        <v>2500</v>
      </c>
      <c r="I362" s="65" t="b">
        <v>1</v>
      </c>
      <c r="J362" s="65" t="s">
        <v>2499</v>
      </c>
      <c r="K362" s="65" t="s">
        <v>5314</v>
      </c>
      <c r="L362" s="65" t="s">
        <v>2498</v>
      </c>
      <c r="M362" s="65" t="s">
        <v>984</v>
      </c>
      <c r="N362" s="65" t="str">
        <f>"&lt;div class="&amp;""""&amp;"hanging"&amp;""""&amp;"&gt;"&amp;K362&amp;"&lt;a href="&amp;""""&amp;L362&amp;""""&amp;" target="&amp;""""&amp;"_blank"&amp;""""&amp;"&gt;"&amp;L362&amp;"&lt;/a&gt;&lt;span style="&amp;""""&amp;"color:white"&amp;""""&amp;"&gt;[.]{#"&amp;F362&amp;"}}&lt;/span&gt;&lt;/div&gt;&lt;br&gt;"</f>
        <v>&lt;div class="hanging"&gt;Rendall, A. R., White, J. G., Cooke, R., Whisson, D. A., Schneider, T., Beilharz, L., Poelsma, E., Ryeland, J., &amp; Weston, M. A. (2021). Taking the bait: The influence of attractants and microhabitat on detections of fauna by remote‐sensing cameras. &lt;i&gt;Ecological Management &amp; Restoration, 22&lt;/i&gt;(1), 72-79.&lt;a href="https://doi.org/10.1111/emr.12444" target="_blank"&gt;https://doi.org/10.1111/emr.12444&lt;/a&gt;&lt;span style="color:white"&gt;[.]{#rendall_et_al_2021}}&lt;/span&gt;&lt;/div&gt;&lt;br&gt;</v>
      </c>
      <c r="O362" s="65" t="str">
        <f>"{{ rtxt_"&amp;F362&amp;" }}"</f>
        <v>{{ rtxt_rendall_et_al_2021 }}</v>
      </c>
      <c r="P362" s="65" t="str">
        <f>"{{ rbib_"&amp;F362&amp;" }}"</f>
        <v>{{ rbib_rendall_et_al_2021 }}</v>
      </c>
      <c r="Q362" s="65" t="str">
        <f>"    rtxt_"&amp;F362&amp;": "&amp;""""&amp;"&lt;a href=\"&amp;""""&amp;"/08_references.html#"&amp;F362&amp;"\"&amp;""""&amp;" target=\"&amp;""""&amp;"_blank\"&amp;""""&amp;"&gt;"&amp;G362&amp;"&lt;/a&gt;"&amp;""""</f>
        <v xml:space="preserve">    rtxt_rendall_et_al_2021: "&lt;a href=\"/08_references.html#rendall_et_al_2021\" target=\"_blank\"&gt;Rendall et al., 2021&lt;/a&gt;"</v>
      </c>
      <c r="R362" s="65" t="str">
        <f>"    rbib_"&amp;F362&amp;": "&amp;""""&amp;K362&amp;"&lt;a href=\"&amp;""""&amp;L362&amp;""""&amp;" target=\"&amp;""""&amp;"_blank\"&amp;""""&amp;"&gt;"&amp;L362&amp;"&lt;/a&gt;"&amp;""""</f>
        <v xml:space="preserve">    rbib_rendall_et_al_2021: "Rendall, A. R., White, J. G., Cooke, R., Whisson, D. A., Schneider, T., Beilharz, L., Poelsma, E., Ryeland, J., &amp; Weston, M. A. (2021). Taking the bait: The influence of attractants and microhabitat on detections of fauna by remote‐sensing cameras. &lt;i&gt;Ecological Management &amp; Restoration, 22&lt;/i&gt;(1), 72-79.&lt;a href=\"https://doi.org/10.1111/emr.12444" target=\"_blank\"&gt;https://doi.org/10.1111/emr.12444&lt;/a&gt;"</v>
      </c>
      <c r="S362" s="65" t="str">
        <f>"    rbib_"&amp;F362&amp;": "&amp;""""&amp;"&lt;div class=\"&amp;""""&amp;"hanging\"&amp;""""&amp;"&gt;"&amp;J362&amp;"&lt;/div&gt;"&amp;""""</f>
        <v xml:space="preserve">    rbib_rendall_et_al_2021: "&lt;div class=\"hanging\"&gt;Rendall, A. R., White, J. G., Cooke, R., Whisson, D. A., Schneider, T., Beilharz, L., Poelsma, E., Ryeland, J., &amp; Weston, M. A. (2021). Taking the bait: The influence of attractants and microhabitat on detections of fauna by remote‐sensing cameras. *Ecological Management &amp; Restoration, 22*(1), 72-79. &lt;https://doi.org/10.1111/emr.12444&gt;&lt;/div&gt;"</v>
      </c>
      <c r="T362" s="65"/>
    </row>
    <row r="363" spans="1:20" ht="15.75">
      <c r="A363" s="65"/>
      <c r="B363" s="155" t="b">
        <v>1</v>
      </c>
      <c r="C363" s="155" t="b">
        <v>1</v>
      </c>
      <c r="D363" s="155" t="b">
        <v>0</v>
      </c>
      <c r="E363" s="65" t="s">
        <v>2480</v>
      </c>
      <c r="F363" s="65" t="s">
        <v>2479</v>
      </c>
      <c r="G363" s="65" t="s">
        <v>2478</v>
      </c>
      <c r="H363" s="65" t="s">
        <v>2478</v>
      </c>
      <c r="I363" s="65" t="b">
        <v>1</v>
      </c>
      <c r="J363" s="65" t="s">
        <v>2477</v>
      </c>
      <c r="K363" s="65" t="s">
        <v>5557</v>
      </c>
      <c r="L363" s="65" t="s">
        <v>2476</v>
      </c>
      <c r="M363" s="65" t="s">
        <v>984</v>
      </c>
      <c r="N363" s="65" t="str">
        <f>"&lt;div class="&amp;""""&amp;"hanging"&amp;""""&amp;"&gt;"&amp;K363&amp;"&lt;a href="&amp;""""&amp;L363&amp;""""&amp;" target="&amp;""""&amp;"_blank"&amp;""""&amp;"&gt;"&amp;L363&amp;"&lt;/a&gt;&lt;span style="&amp;""""&amp;"color:white"&amp;""""&amp;"&gt;[.]{#"&amp;F363&amp;"}}&lt;/span&gt;&lt;/div&gt;&lt;br&gt;"</f>
        <v>&lt;div class="hanging"&gt;Resources Information Standards Committee [RISC]. (2019). &lt;i&gt;Camera trap Metadata Protocol: Standards for Components of British Columbia’s Biodiversity No. 44&lt;/i&gt;. Province of British Columbia Knowledge Management Branch, Ministry of Environment and Climate Change Strategy, and Ministry of Forests, Lands, Natural Resource Operations and Rural Development. Victoria, B. C.&lt;a href="https://www2.gov.bc.ca/assets/download/DABCE3A5C7934410A8307285070C24EA" target="_blank"&gt;https://www2.gov.bc.ca/assets/download/DABCE3A5C7934410A8307285070C24EA&lt;/a&gt;&lt;span style="color:white"&gt;[.]{#risc_2019}}&lt;/span&gt;&lt;/div&gt;&lt;br&gt;</v>
      </c>
      <c r="O363" s="65" t="str">
        <f>"{{ rtxt_"&amp;F363&amp;" }}"</f>
        <v>{{ rtxt_risc_2019 }}</v>
      </c>
      <c r="P363" s="65" t="str">
        <f>"{{ rbib_"&amp;F363&amp;" }}"</f>
        <v>{{ rbib_risc_2019 }}</v>
      </c>
      <c r="Q363" s="65" t="str">
        <f>"    rtxt_"&amp;F363&amp;": "&amp;""""&amp;"&lt;a href=\"&amp;""""&amp;"/08_references.html#"&amp;F363&amp;"\"&amp;""""&amp;" target=\"&amp;""""&amp;"_blank\"&amp;""""&amp;"&gt;"&amp;G363&amp;"&lt;/a&gt;"&amp;""""</f>
        <v xml:space="preserve">    rtxt_risc_2019: "&lt;a href=\"/08_references.html#risc_2019\" target=\"_blank\"&gt;Resources Information Standards Committee [RISC], 2019&lt;/a&gt;"</v>
      </c>
      <c r="R363" s="65" t="str">
        <f>"    rbib_"&amp;F363&amp;": "&amp;""""&amp;K363&amp;"&lt;a href=\"&amp;""""&amp;L363&amp;""""&amp;" target=\"&amp;""""&amp;"_blank\"&amp;""""&amp;"&gt;"&amp;L363&amp;"&lt;/a&gt;"&amp;""""</f>
        <v xml:space="preserve">    rbib_risc_2019: "Resources Information Standards Committee [RISC]. (2019). &lt;i&gt;Camera trap Metadata Protocol: Standards for Components of British Columbia’s Biodiversity No. 44&lt;/i&gt;. Province of British Columbia Knowledge Management Branch, Ministry of Environment and Climate Change Strategy, and Ministry of Forests, Lands, Natural Resource Operations and Rural Development. Victoria, B. C.&lt;a href=\"https://www2.gov.bc.ca/assets/download/DABCE3A5C7934410A8307285070C24EA" target=\"_blank\"&gt;https://www2.gov.bc.ca/assets/download/DABCE3A5C7934410A8307285070C24EA&lt;/a&gt;"</v>
      </c>
      <c r="S363" s="65" t="str">
        <f>"    rbib_"&amp;F363&amp;": "&amp;""""&amp;"&lt;div class=\"&amp;""""&amp;"hanging\"&amp;""""&amp;"&gt;"&amp;J363&amp;"&lt;/div&gt;"&amp;""""</f>
        <v xml:space="preserve">    rbib_risc_2019: "&lt;div class=\"hanging\"&gt;Resources Information Standards Committee [RISC]. (2019). *Camera trap Metadata Protocol: Standards for Components of British Columbia’s Biodiversity No. 44*. Province of British Columbia Knowledge Management Branch, Ministry of Environment and Climate Change Strategy, and Ministry of Forests, Lands, Natural Resource Operations and Rural Development. Victoria, B. C. &lt;https://www2.gov.bc.ca/assets/download/DABCE3A5C7934410A8307285070C24EA&gt;&lt;/div&gt;"</v>
      </c>
      <c r="T363" s="65"/>
    </row>
    <row r="364" spans="1:20" ht="15.75">
      <c r="A364" s="65"/>
      <c r="B364" s="155" t="b">
        <v>1</v>
      </c>
      <c r="C364" s="155" t="b">
        <v>0</v>
      </c>
      <c r="D364" s="155" t="b">
        <v>0</v>
      </c>
      <c r="E364" s="65" t="s">
        <v>1904</v>
      </c>
      <c r="F364" s="65" t="s">
        <v>2497</v>
      </c>
      <c r="G364" s="65" t="s">
        <v>2496</v>
      </c>
      <c r="H364" s="65" t="s">
        <v>2496</v>
      </c>
      <c r="I364" s="65" t="b">
        <v>1</v>
      </c>
      <c r="J364" s="65" t="s">
        <v>2495</v>
      </c>
      <c r="K364" s="65" t="s">
        <v>5375</v>
      </c>
      <c r="L364" s="65" t="s">
        <v>2494</v>
      </c>
      <c r="M364" s="65" t="s">
        <v>984</v>
      </c>
      <c r="N364" s="65" t="str">
        <f>"&lt;div class="&amp;""""&amp;"hanging"&amp;""""&amp;"&gt;"&amp;K364&amp;"&lt;a href="&amp;""""&amp;L364&amp;""""&amp;" target="&amp;""""&amp;"_blank"&amp;""""&amp;"&gt;"&amp;L364&amp;"&lt;/a&gt;&lt;span style="&amp;""""&amp;"color:white"&amp;""""&amp;"&gt;[.]{#"&amp;F364&amp;"}}&lt;/span&gt;&lt;/div&gt;&lt;br&gt;"</f>
        <v>&lt;div class="hanging"&gt;Rich, L. N., Kelly, M. J., Sollmann, R., Noss, A. J., Maffei, L., Arispe, R. L., Paviolo, A., De Angelo, C. D., Di Blanco, Y. E., &amp; Di Bitetti, M. S. (2014).comparing capture-recapture, mark-resight, and spatial mark-resight models for estimating puma densities via camera traps. &lt;i&gt;Journal of Mammalogy, 95&lt;/i&gt;(2), 382-391.&lt;a href="https://doi.org/10.1644/13-mamm-a-126" target="_blank"&gt;https://doi.org/10.1644/13-mamm-a-126&lt;/a&gt;&lt;span style="color:white"&gt;[.]{#rich_et_al_2014}}&lt;/span&gt;&lt;/div&gt;&lt;br&gt;</v>
      </c>
      <c r="O364" s="65" t="str">
        <f>"{{ rtxt_"&amp;F364&amp;" }}"</f>
        <v>{{ rtxt_rich_et_al_2014 }}</v>
      </c>
      <c r="P364" s="65" t="str">
        <f>"{{ rbib_"&amp;F364&amp;" }}"</f>
        <v>{{ rbib_rich_et_al_2014 }}</v>
      </c>
      <c r="Q364" s="65" t="str">
        <f>"    rtxt_"&amp;F364&amp;": "&amp;""""&amp;"&lt;a href=\"&amp;""""&amp;"/08_references.html#"&amp;F364&amp;"\"&amp;""""&amp;" target=\"&amp;""""&amp;"_blank\"&amp;""""&amp;"&gt;"&amp;G364&amp;"&lt;/a&gt;"&amp;""""</f>
        <v xml:space="preserve">    rtxt_rich_et_al_2014: "&lt;a href=\"/08_references.html#rich_et_al_2014\" target=\"_blank\"&gt;Rich et al., 2014&lt;/a&gt;"</v>
      </c>
      <c r="R364" s="65" t="str">
        <f>"    rbib_"&amp;F364&amp;": "&amp;""""&amp;K364&amp;"&lt;a href=\"&amp;""""&amp;L364&amp;""""&amp;" target=\"&amp;""""&amp;"_blank\"&amp;""""&amp;"&gt;"&amp;L364&amp;"&lt;/a&gt;"&amp;""""</f>
        <v xml:space="preserve">    rbib_rich_et_al_2014: "Rich, L. N., Kelly, M. J., Sollmann, R., Noss, A. J., Maffei, L., Arispe, R. L., Paviolo, A., De Angelo, C. D., Di Blanco, Y. E., &amp; Di Bitetti, M. S. (2014).comparing capture-recapture, mark-resight, and spatial mark-resight models for estimating puma densities via camera traps. &lt;i&gt;Journal of Mammalogy, 95&lt;/i&gt;(2), 382-391.&lt;a href=\"https://doi.org/10.1644/13-mamm-a-126" target=\"_blank\"&gt;https://doi.org/10.1644/13-mamm-a-126&lt;/a&gt;"</v>
      </c>
      <c r="S364" s="65" t="str">
        <f>"    rbib_"&amp;F364&amp;": "&amp;""""&amp;"&lt;div class=\"&amp;""""&amp;"hanging\"&amp;""""&amp;"&gt;"&amp;J364&amp;"&lt;/div&gt;"&amp;""""</f>
        <v xml:space="preserve">    rbib_rich_et_al_2014: "&lt;div class=\"hanging\"&gt;Rich, L. N., Kelly, M. J., Sollmann, R., Noss, A. J., Maffei, L., Arispe, R. L., Paviolo, A., De Angelo, C. D., Di Blanco, Y. E., &amp; Di Bitetti, M. S. (2014).comparing capture-recapture, mark-resight, and spatial mark-resight models for estimating puma densities via camera traps. *Journal of Mammalogy, 95*(2), 382-391. &lt;https://doi.org/10.1644/13-mamm-a-126&gt;&lt;/div&gt;"</v>
      </c>
      <c r="T364" s="65"/>
    </row>
    <row r="365" spans="1:20" ht="15.75">
      <c r="A365" s="65"/>
      <c r="B365" s="155" t="b">
        <v>1</v>
      </c>
      <c r="C365" s="155" t="b">
        <v>0</v>
      </c>
      <c r="D365" s="155" t="b">
        <v>0</v>
      </c>
      <c r="E365" s="65" t="s">
        <v>1904</v>
      </c>
      <c r="F365" s="65" t="s">
        <v>2493</v>
      </c>
      <c r="G365" s="65" t="s">
        <v>2492</v>
      </c>
      <c r="H365" s="65" t="s">
        <v>2492</v>
      </c>
      <c r="I365" s="65" t="b">
        <v>1</v>
      </c>
      <c r="J365" s="65" t="s">
        <v>2491</v>
      </c>
      <c r="K365" s="65" t="s">
        <v>5350</v>
      </c>
      <c r="L365" s="65" t="s">
        <v>2490</v>
      </c>
      <c r="M365" s="65" t="s">
        <v>984</v>
      </c>
      <c r="N365" s="65" t="str">
        <f>"&lt;div class="&amp;""""&amp;"hanging"&amp;""""&amp;"&gt;"&amp;K365&amp;"&lt;a href="&amp;""""&amp;L365&amp;""""&amp;" target="&amp;""""&amp;"_blank"&amp;""""&amp;"&gt;"&amp;L365&amp;"&lt;/a&gt;&lt;span style="&amp;""""&amp;"color:white"&amp;""""&amp;"&gt;[.]{#"&amp;F365&amp;"}}&lt;/span&gt;&lt;/div&gt;&lt;br&gt;"</f>
        <v>&lt;div class="hanging"&gt;Ridout, M. S., &amp; Linkie, M. (2009). Estimating overlap of daily activity patterns from camera trap data. &lt;i&gt;Journal of Agricultural, Biological, and Environmental Statistics, 14&lt;/i&gt;(3), 322-337.&lt;a href="https://doi.org/10.1198/jabes.2009.08038" target="_blank"&gt;https://doi.org/10.1198/jabes.2009.08038&lt;/a&gt;&lt;span style="color:white"&gt;[.]{#ridout_linkie_2009}}&lt;/span&gt;&lt;/div&gt;&lt;br&gt;</v>
      </c>
      <c r="O365" s="65" t="str">
        <f>"{{ rtxt_"&amp;F365&amp;" }}"</f>
        <v>{{ rtxt_ridout_linkie_2009 }}</v>
      </c>
      <c r="P365" s="65" t="str">
        <f>"{{ rbib_"&amp;F365&amp;" }}"</f>
        <v>{{ rbib_ridout_linkie_2009 }}</v>
      </c>
      <c r="Q365" s="65" t="str">
        <f>"    rtxt_"&amp;F365&amp;": "&amp;""""&amp;"&lt;a href=\"&amp;""""&amp;"/08_references.html#"&amp;F365&amp;"\"&amp;""""&amp;" target=\"&amp;""""&amp;"_blank\"&amp;""""&amp;"&gt;"&amp;G365&amp;"&lt;/a&gt;"&amp;""""</f>
        <v xml:space="preserve">    rtxt_ridout_linkie_2009: "&lt;a href=\"/08_references.html#ridout_linkie_2009\" target=\"_blank\"&gt;Ridout &amp; Linkie, 2009&lt;/a&gt;"</v>
      </c>
      <c r="R365" s="65" t="str">
        <f>"    rbib_"&amp;F365&amp;": "&amp;""""&amp;K365&amp;"&lt;a href=\"&amp;""""&amp;L365&amp;""""&amp;" target=\"&amp;""""&amp;"_blank\"&amp;""""&amp;"&gt;"&amp;L365&amp;"&lt;/a&gt;"&amp;""""</f>
        <v xml:space="preserve">    rbib_ridout_linkie_2009: "Ridout, M. S., &amp; Linkie, M. (2009). Estimating overlap of daily activity patterns from camera trap data. &lt;i&gt;Journal of Agricultural, Biological, and Environmental Statistics, 14&lt;/i&gt;(3), 322-337.&lt;a href=\"https://doi.org/10.1198/jabes.2009.08038" target=\"_blank\"&gt;https://doi.org/10.1198/jabes.2009.08038&lt;/a&gt;"</v>
      </c>
      <c r="S365" s="65" t="str">
        <f>"    rbib_"&amp;F365&amp;": "&amp;""""&amp;"&lt;div class=\"&amp;""""&amp;"hanging\"&amp;""""&amp;"&gt;"&amp;J365&amp;"&lt;/div&gt;"&amp;""""</f>
        <v xml:space="preserve">    rbib_ridout_linkie_2009: "&lt;div class=\"hanging\"&gt;Ridout, M. S., &amp; Linkie, M. (2009). Estimating overlap of daily activity patterns from camera trap data. *Journal of Agricultural, Biological, and Environmental Statistics, 14*(3), 322-337. &lt;https://doi.org/10.1198/jabes.2009.08038&gt;&lt;/div&gt;"</v>
      </c>
      <c r="T365" s="65"/>
    </row>
    <row r="366" spans="1:20" ht="15.75">
      <c r="A366" s="65"/>
      <c r="B366" s="155" t="b">
        <v>0</v>
      </c>
      <c r="C366" s="155" t="b">
        <v>0</v>
      </c>
      <c r="D366" s="155"/>
      <c r="E366" s="65" t="s">
        <v>1945</v>
      </c>
      <c r="F366" s="65" t="s">
        <v>2489</v>
      </c>
      <c r="G366" s="65" t="s">
        <v>2488</v>
      </c>
      <c r="H366" s="65" t="s">
        <v>2483</v>
      </c>
      <c r="I366" s="65" t="b">
        <v>1</v>
      </c>
      <c r="J366" s="65" t="s">
        <v>2487</v>
      </c>
      <c r="K366" s="65" t="s">
        <v>5551</v>
      </c>
      <c r="L366" s="65" t="s">
        <v>2486</v>
      </c>
      <c r="M366" s="65" t="s">
        <v>984</v>
      </c>
      <c r="N366" s="65" t="str">
        <f>"&lt;div class="&amp;""""&amp;"hanging"&amp;""""&amp;"&gt;"&amp;K366&amp;"&lt;a href="&amp;""""&amp;L366&amp;""""&amp;" target="&amp;""""&amp;"_blank"&amp;""""&amp;"&gt;"&amp;L366&amp;"&lt;/a&gt;&lt;span style="&amp;""""&amp;"color:white"&amp;""""&amp;"&gt;[.]{#"&amp;F366&amp;"}}&lt;/span&gt;&lt;/div&gt;&lt;br&gt;"</f>
        <v>&lt;div class="hanging"&gt;Riffomonas Project (2022a, Mar 17). &lt;i&gt;Using vegan to calculate alpha diversity metrics within the tidyverse in R (CC196)&lt;/i&gt; [Video]. YouTube.&lt;a href="https://www.youtube.com/watch?v=wq1SXGQYgCs" target="_blank"&gt;https://www.youtube.com/watch?v=wq1SXGQYgCs&lt;/a&gt;&lt;span style="color:white"&gt;[.]{#riffomonas_project_2022a}}&lt;/span&gt;&lt;/div&gt;&lt;br&gt;</v>
      </c>
      <c r="O366" s="65" t="str">
        <f>"{{ rtxt_"&amp;F366&amp;" }}"</f>
        <v>{{ rtxt_riffomonas_project_2022a }}</v>
      </c>
      <c r="P366" s="65" t="str">
        <f>"{{ rbib_"&amp;F366&amp;" }}"</f>
        <v>{{ rbib_riffomonas_project_2022a }}</v>
      </c>
      <c r="Q366" s="65" t="str">
        <f>"    rtxt_"&amp;F366&amp;": "&amp;""""&amp;"&lt;a href=\"&amp;""""&amp;"/08_references.html#"&amp;F366&amp;"\"&amp;""""&amp;" target=\"&amp;""""&amp;"_blank\"&amp;""""&amp;"&gt;"&amp;G366&amp;"&lt;/a&gt;"&amp;""""</f>
        <v xml:space="preserve">    rtxt_riffomonas_project_2022a: "&lt;a href=\"/08_references.html#riffomonas_project_2022a\" target=\"_blank\"&gt;Riffomonas Project, 2022a&lt;/a&gt;"</v>
      </c>
      <c r="R366" s="65" t="str">
        <f>"    rbib_"&amp;F366&amp;": "&amp;""""&amp;K366&amp;"&lt;a href=\"&amp;""""&amp;L366&amp;""""&amp;" target=\"&amp;""""&amp;"_blank\"&amp;""""&amp;"&gt;"&amp;L366&amp;"&lt;/a&gt;"&amp;""""</f>
        <v xml:space="preserve">    rbib_riffomonas_project_2022a: "Riffomonas Project (2022a, Mar 17). &lt;i&gt;Using vegan to calculate alpha diversity metrics within the tidyverse in R (CC196)&lt;/i&gt; [Video]. YouTube.&lt;a href=\"https://www.youtube.com/watch?v=wq1SXGQYgCs" target=\"_blank\"&gt;https://www.youtube.com/watch?v=wq1SXGQYgCs&lt;/a&gt;"</v>
      </c>
      <c r="S366" s="65" t="str">
        <f>"    rbib_"&amp;F366&amp;": "&amp;""""&amp;"&lt;div class=\"&amp;""""&amp;"hanging\"&amp;""""&amp;"&gt;"&amp;J366&amp;"&lt;/div&gt;"&amp;""""</f>
        <v xml:space="preserve">    rbib_riffomonas_project_2022a: "&lt;div class=\"hanging\"&gt;Riffomonas Project (2022a, Mar 17). *Using vegan to calculate alpha diversity metrics within the tidyverse in R (CC196)* [Video]. YouTube. &lt;https://www.youtube.com/watch?v=wq1SXGQYgCs&gt;&lt;/div&gt;"</v>
      </c>
      <c r="T366" s="65"/>
    </row>
    <row r="367" spans="1:20" ht="15.75">
      <c r="A367" s="65"/>
      <c r="B367" s="155" t="b">
        <v>0</v>
      </c>
      <c r="C367" s="155" t="b">
        <v>0</v>
      </c>
      <c r="D367" s="155"/>
      <c r="E367" s="65" t="s">
        <v>1945</v>
      </c>
      <c r="F367" s="65" t="s">
        <v>2485</v>
      </c>
      <c r="G367" s="65" t="s">
        <v>2484</v>
      </c>
      <c r="H367" s="65" t="s">
        <v>2483</v>
      </c>
      <c r="I367" s="65" t="b">
        <v>1</v>
      </c>
      <c r="J367" s="65" t="s">
        <v>2482</v>
      </c>
      <c r="K367" s="65" t="s">
        <v>5554</v>
      </c>
      <c r="L367" s="65" t="s">
        <v>2481</v>
      </c>
      <c r="M367" s="65" t="s">
        <v>984</v>
      </c>
      <c r="N367" s="65" t="str">
        <f>"&lt;div class="&amp;""""&amp;"hanging"&amp;""""&amp;"&gt;"&amp;K367&amp;"&lt;a href="&amp;""""&amp;L367&amp;""""&amp;" target="&amp;""""&amp;"_blank"&amp;""""&amp;"&gt;"&amp;L367&amp;"&lt;/a&gt;&lt;span style="&amp;""""&amp;"color:white"&amp;""""&amp;"&gt;[.]{#"&amp;F367&amp;"}}&lt;/span&gt;&lt;/div&gt;&lt;br&gt;"</f>
        <v>&lt;div class="hanging"&gt;Riffomonas Project (2022b, Mar 24). &lt;i&gt;Generating a rarefaction curve from collector's curves in R within the tidyverse (CC198)&lt;/i&gt; [Video]. YouTube.&lt;a href="https://www.youtube.com/watch?v=ywHVb0Q-qsM" target="_blank"&gt;https://www.youtube.com/watch?v=ywHVb0Q-qsM&lt;/a&gt;&lt;span style="color:white"&gt;[.]{#riffomonas_project_2022b}}&lt;/span&gt;&lt;/div&gt;&lt;br&gt;</v>
      </c>
      <c r="O367" s="65" t="str">
        <f>"{{ rtxt_"&amp;F367&amp;" }}"</f>
        <v>{{ rtxt_riffomonas_project_2022b }}</v>
      </c>
      <c r="P367" s="65" t="str">
        <f>"{{ rbib_"&amp;F367&amp;" }}"</f>
        <v>{{ rbib_riffomonas_project_2022b }}</v>
      </c>
      <c r="Q367" s="65" t="str">
        <f>"    rtxt_"&amp;F367&amp;": "&amp;""""&amp;"&lt;a href=\"&amp;""""&amp;"/08_references.html#"&amp;F367&amp;"\"&amp;""""&amp;" target=\"&amp;""""&amp;"_blank\"&amp;""""&amp;"&gt;"&amp;G367&amp;"&lt;/a&gt;"&amp;""""</f>
        <v xml:space="preserve">    rtxt_riffomonas_project_2022b: "&lt;a href=\"/08_references.html#riffomonas_project_2022b\" target=\"_blank\"&gt;Riffomonas Project, 2022b&lt;/a&gt;"</v>
      </c>
      <c r="R367" s="65" t="str">
        <f>"    rbib_"&amp;F367&amp;": "&amp;""""&amp;K367&amp;"&lt;a href=\"&amp;""""&amp;L367&amp;""""&amp;" target=\"&amp;""""&amp;"_blank\"&amp;""""&amp;"&gt;"&amp;L367&amp;"&lt;/a&gt;"&amp;""""</f>
        <v xml:space="preserve">    rbib_riffomonas_project_2022b: "Riffomonas Project (2022b, Mar 24). &lt;i&gt;Generating a rarefaction curve from collector's curves in R within the tidyverse (CC198)&lt;/i&gt; [Video]. YouTube.&lt;a href=\"https://www.youtube.com/watch?v=ywHVb0Q-qsM" target=\"_blank\"&gt;https://www.youtube.com/watch?v=ywHVb0Q-qsM&lt;/a&gt;"</v>
      </c>
      <c r="S367" s="65" t="str">
        <f>"    rbib_"&amp;F367&amp;": "&amp;""""&amp;"&lt;div class=\"&amp;""""&amp;"hanging\"&amp;""""&amp;"&gt;"&amp;J367&amp;"&lt;/div&gt;"&amp;""""</f>
        <v xml:space="preserve">    rbib_riffomonas_project_2022b: "&lt;div class=\"hanging\"&gt;Riffomonas Project (2022b, Mar 24). *Generating a rarefaction curve from collector's curves in R within the tidyverse (CC198)* [Video]. YouTube. &lt;https://www.youtube.com/watch?v=ywHVb0Q-qsM&gt;&lt;/div&gt;"</v>
      </c>
      <c r="T367" s="65"/>
    </row>
    <row r="368" spans="1:20" ht="15.75">
      <c r="A368" s="65"/>
      <c r="B368" s="155" t="b">
        <v>0</v>
      </c>
      <c r="C368" s="155" t="b">
        <v>0</v>
      </c>
      <c r="D368" s="155"/>
      <c r="E368" s="65" t="s">
        <v>1945</v>
      </c>
      <c r="F368" s="65" t="s">
        <v>2475</v>
      </c>
      <c r="G368" s="65" t="s">
        <v>2474</v>
      </c>
      <c r="H368" s="65" t="s">
        <v>2474</v>
      </c>
      <c r="I368" s="65" t="b">
        <v>1</v>
      </c>
      <c r="J368" s="65" t="s">
        <v>2473</v>
      </c>
      <c r="K368" s="65" t="s">
        <v>5535</v>
      </c>
      <c r="L368" s="65" t="s">
        <v>2472</v>
      </c>
      <c r="M368" s="65" t="s">
        <v>984</v>
      </c>
      <c r="N368" s="65" t="str">
        <f>"&lt;div class="&amp;""""&amp;"hanging"&amp;""""&amp;"&gt;"&amp;K368&amp;"&lt;a href="&amp;""""&amp;L368&amp;""""&amp;" target="&amp;""""&amp;"_blank"&amp;""""&amp;"&gt;"&amp;L368&amp;"&lt;/a&gt;&lt;span style="&amp;""""&amp;"color:white"&amp;""""&amp;"&gt;[.]{#"&amp;F368&amp;"}}&lt;/span&gt;&lt;/div&gt;&lt;br&gt;"</f>
        <v>&lt;div class="hanging"&gt;Rob K Statistics (2018, Oct 16). &lt;i&gt;Species Accumulation Curves.&lt;/i&gt; [Video]. YouTube.&lt;a href="https://www.youtube.com/watch?v=Jj7LYrU_6RA&amp;t=3s" target="_blank"&gt;https://www.youtube.com/watch?v=Jj7LYrU_6RA&amp;t=3s&lt;/a&gt;&lt;span style="color:white"&gt;[.]{#rk_stats_2018}}&lt;/span&gt;&lt;/div&gt;&lt;br&gt;</v>
      </c>
      <c r="O368" s="65" t="str">
        <f>"{{ rtxt_"&amp;F368&amp;" }}"</f>
        <v>{{ rtxt_rk_stats_2018 }}</v>
      </c>
      <c r="P368" s="65" t="str">
        <f>"{{ rbib_"&amp;F368&amp;" }}"</f>
        <v>{{ rbib_rk_stats_2018 }}</v>
      </c>
      <c r="Q368" s="65" t="str">
        <f>"    rtxt_"&amp;F368&amp;": "&amp;""""&amp;"&lt;a href=\"&amp;""""&amp;"/08_references.html#"&amp;F368&amp;"\"&amp;""""&amp;" target=\"&amp;""""&amp;"_blank\"&amp;""""&amp;"&gt;"&amp;G368&amp;"&lt;/a&gt;"&amp;""""</f>
        <v xml:space="preserve">    rtxt_rk_stats_2018: "&lt;a href=\"/08_references.html#rk_stats_2018\" target=\"_blank\"&gt;Rob K Statistics, 2018&lt;/a&gt;"</v>
      </c>
      <c r="R368" s="65" t="str">
        <f>"    rbib_"&amp;F368&amp;": "&amp;""""&amp;K368&amp;"&lt;a href=\"&amp;""""&amp;L368&amp;""""&amp;" target=\"&amp;""""&amp;"_blank\"&amp;""""&amp;"&gt;"&amp;L368&amp;"&lt;/a&gt;"&amp;""""</f>
        <v xml:space="preserve">    rbib_rk_stats_2018: "Rob K Statistics (2018, Oct 16). &lt;i&gt;Species Accumulation Curves.&lt;/i&gt; [Video]. YouTube.&lt;a href=\"https://www.youtube.com/watch?v=Jj7LYrU_6RA&amp;t=3s" target=\"_blank\"&gt;https://www.youtube.com/watch?v=Jj7LYrU_6RA&amp;t=3s&lt;/a&gt;"</v>
      </c>
      <c r="S368" s="65" t="str">
        <f>"    rbib_"&amp;F368&amp;": "&amp;""""&amp;"&lt;div class=\"&amp;""""&amp;"hanging\"&amp;""""&amp;"&gt;"&amp;J368&amp;"&lt;/div&gt;"&amp;""""</f>
        <v xml:space="preserve">    rbib_rk_stats_2018: "&lt;div class=\"hanging\"&gt;Rob K Statistics (2018, Oct 16). *Species Accumulation Curves* [Video]. YouTube. &lt;https://www.youtube.com/watch?v=Jj7LYrU_6RA&amp;t=3s&gt;&lt;/div&gt;"</v>
      </c>
      <c r="T368" s="65"/>
    </row>
    <row r="369" spans="1:20" ht="15.75">
      <c r="A369" s="65"/>
      <c r="B369" s="155" t="b">
        <v>1</v>
      </c>
      <c r="C369" s="155" t="b">
        <v>0</v>
      </c>
      <c r="D369" s="155" t="b">
        <v>0</v>
      </c>
      <c r="E369" s="65" t="s">
        <v>1904</v>
      </c>
      <c r="F369" s="65" t="s">
        <v>2471</v>
      </c>
      <c r="G369" s="65" t="s">
        <v>2470</v>
      </c>
      <c r="H369" s="65" t="s">
        <v>2470</v>
      </c>
      <c r="I369" s="65" t="b">
        <v>1</v>
      </c>
      <c r="J369" s="65" t="s">
        <v>2469</v>
      </c>
      <c r="K369" s="65" t="s">
        <v>5179</v>
      </c>
      <c r="L369" s="65" t="s">
        <v>2468</v>
      </c>
      <c r="M369" s="65" t="s">
        <v>984</v>
      </c>
      <c r="N369" s="65" t="str">
        <f>"&lt;div class="&amp;""""&amp;"hanging"&amp;""""&amp;"&gt;"&amp;K369&amp;"&lt;a href="&amp;""""&amp;L369&amp;""""&amp;" target="&amp;""""&amp;"_blank"&amp;""""&amp;"&gt;"&amp;L369&amp;"&lt;/a&gt;&lt;span style="&amp;""""&amp;"color:white"&amp;""""&amp;"&gt;[.]{#"&amp;F369&amp;"}}&lt;/span&gt;&lt;/div&gt;&lt;br&gt;"</f>
        <v>&lt;div class="hanging"&gt;Robinson, S. G., Weithman, C. E., Bellman, H. A., Prisley, S. P., Fraser, J. D., Catlin, D. H., &amp; Karpanty, S. M. (2020). Assessing Error in Locations of Conspicuous Wildlife Using Handheld GPS Units and Location Offset Methods. &lt;i&gt;Wildlife Society Bulletin, 44&lt;/i&gt;(1), 163-172.&lt;a href="https://doi.org/10.1002/wsb.1055" target="_blank"&gt;https://doi.org/10.1002/wsb.1055&lt;/a&gt;&lt;span style="color:white"&gt;[.]{#robinson_et_al_2020}}&lt;/span&gt;&lt;/div&gt;&lt;br&gt;</v>
      </c>
      <c r="O369" s="65" t="str">
        <f>"{{ rtxt_"&amp;F369&amp;" }}"</f>
        <v>{{ rtxt_robinson_et_al_2020 }}</v>
      </c>
      <c r="P369" s="65" t="str">
        <f>"{{ rbib_"&amp;F369&amp;" }}"</f>
        <v>{{ rbib_robinson_et_al_2020 }}</v>
      </c>
      <c r="Q369" s="65" t="str">
        <f>"    rtxt_"&amp;F369&amp;": "&amp;""""&amp;"&lt;a href=\"&amp;""""&amp;"/08_references.html#"&amp;F369&amp;"\"&amp;""""&amp;" target=\"&amp;""""&amp;"_blank\"&amp;""""&amp;"&gt;"&amp;G369&amp;"&lt;/a&gt;"&amp;""""</f>
        <v xml:space="preserve">    rtxt_robinson_et_al_2020: "&lt;a href=\"/08_references.html#robinson_et_al_2020\" target=\"_blank\"&gt;Robinson et al., 2020&lt;/a&gt;"</v>
      </c>
      <c r="R369" s="65" t="str">
        <f>"    rbib_"&amp;F369&amp;": "&amp;""""&amp;K369&amp;"&lt;a href=\"&amp;""""&amp;L369&amp;""""&amp;" target=\"&amp;""""&amp;"_blank\"&amp;""""&amp;"&gt;"&amp;L369&amp;"&lt;/a&gt;"&amp;""""</f>
        <v xml:space="preserve">    rbib_robinson_et_al_2020: "Robinson, S. G., Weithman, C. E., Bellman, H. A., Prisley, S. P., Fraser, J. D., Catlin, D. H., &amp; Karpanty, S. M. (2020). Assessing Error in Locations of Conspicuous Wildlife Using Handheld GPS Units and Location Offset Methods. &lt;i&gt;Wildlife Society Bulletin, 44&lt;/i&gt;(1), 163-172.&lt;a href=\"https://doi.org/10.1002/wsb.1055" target=\"_blank\"&gt;https://doi.org/10.1002/wsb.1055&lt;/a&gt;"</v>
      </c>
      <c r="S369" s="65" t="str">
        <f>"    rbib_"&amp;F369&amp;": "&amp;""""&amp;"&lt;div class=\"&amp;""""&amp;"hanging\"&amp;""""&amp;"&gt;"&amp;J369&amp;"&lt;/div&gt;"&amp;""""</f>
        <v xml:space="preserve">    rbib_robinson_et_al_2020: "&lt;div class=\"hanging\"&gt;Robinson, S. G., Weithman, C. E., Bellman, H. A., Prisley, S. P., Fraser, J. D., Catlin, D. H., &amp; Karpanty, S. M. (2020). Assessing Error in Locations of Conspicuous Wildlife Using Handheld GPS Units and Location Offset Methods. *Wildlife Society Bulletin, 44*(1), 163-172. &lt;https://doi.org/10.1002/wsb.1055&gt;&lt;/div&gt;"</v>
      </c>
      <c r="T369" s="65"/>
    </row>
    <row r="370" spans="1:20" ht="15.75">
      <c r="A370" s="65"/>
      <c r="B370" s="155" t="b">
        <v>0</v>
      </c>
      <c r="C370" s="155" t="b">
        <v>0</v>
      </c>
      <c r="D370" s="155"/>
      <c r="E370" s="65" t="s">
        <v>1950</v>
      </c>
      <c r="F370" s="65" t="s">
        <v>2467</v>
      </c>
      <c r="G370" s="65" t="s">
        <v>2466</v>
      </c>
      <c r="H370" s="65" t="s">
        <v>2466</v>
      </c>
      <c r="I370" s="65" t="b">
        <v>1</v>
      </c>
      <c r="J370" s="65" t="s">
        <v>2465</v>
      </c>
      <c r="K370" s="65" t="s">
        <v>5465</v>
      </c>
      <c r="L370" s="65" t="s">
        <v>2464</v>
      </c>
      <c r="M370" s="65" t="s">
        <v>984</v>
      </c>
      <c r="N370" s="65" t="str">
        <f>"&lt;div class="&amp;""""&amp;"hanging"&amp;""""&amp;"&gt;"&amp;K370&amp;"&lt;a href="&amp;""""&amp;L370&amp;""""&amp;" target="&amp;""""&amp;"_blank"&amp;""""&amp;"&gt;"&amp;L370&amp;"&lt;/a&gt;&lt;span style="&amp;""""&amp;"color:white"&amp;""""&amp;"&gt;[.]{#"&amp;F370&amp;"}}&lt;/span&gt;&lt;/div&gt;&lt;br&gt;"</f>
        <v>&lt;div class="hanging"&gt;Roeland Kindt, R. (2020). &lt;i&gt;Species Accumulation Curves with vegan, BiodiversityR and ggplot2.&lt;/i&gt;&lt;a href="https://rpubs.com/Roeland-KINDT/694021" target="_blank"&gt;https://rpubs.com/Roeland-KINDT/694021&lt;/a&gt;&lt;span style="color:white"&gt;[.]{#roeland_2020}}&lt;/span&gt;&lt;/div&gt;&lt;br&gt;</v>
      </c>
      <c r="O370" s="65" t="str">
        <f>"{{ rtxt_"&amp;F370&amp;" }}"</f>
        <v>{{ rtxt_roeland_2020 }}</v>
      </c>
      <c r="P370" s="65" t="str">
        <f>"{{ rbib_"&amp;F370&amp;" }}"</f>
        <v>{{ rbib_roeland_2020 }}</v>
      </c>
      <c r="Q370" s="65" t="str">
        <f>"    rtxt_"&amp;F370&amp;": "&amp;""""&amp;"&lt;a href=\"&amp;""""&amp;"/08_references.html#"&amp;F370&amp;"\"&amp;""""&amp;" target=\"&amp;""""&amp;"_blank\"&amp;""""&amp;"&gt;"&amp;G370&amp;"&lt;/a&gt;"&amp;""""</f>
        <v xml:space="preserve">    rtxt_roeland_2020: "&lt;a href=\"/08_references.html#roeland_2020\" target=\"_blank\"&gt;Roeland, 2020&lt;/a&gt;"</v>
      </c>
      <c r="R370" s="65" t="str">
        <f>"    rbib_"&amp;F370&amp;": "&amp;""""&amp;K370&amp;"&lt;a href=\"&amp;""""&amp;L370&amp;""""&amp;" target=\"&amp;""""&amp;"_blank\"&amp;""""&amp;"&gt;"&amp;L370&amp;"&lt;/a&gt;"&amp;""""</f>
        <v xml:space="preserve">    rbib_roeland_2020: "Roeland Kindt, R. (2020). &lt;i&gt;Species Accumulation Curves with vegan, BiodiversityR and ggplot2.&lt;/i&gt;&lt;a href=\"https://rpubs.com/Roeland-KINDT/694021" target=\"_blank\"&gt;https://rpubs.com/Roeland-KINDT/694021&lt;/a&gt;"</v>
      </c>
      <c r="S370" s="65" t="str">
        <f>"    rbib_"&amp;F370&amp;": "&amp;""""&amp;"&lt;div class=\"&amp;""""&amp;"hanging\"&amp;""""&amp;"&gt;"&amp;J370&amp;"&lt;/div&gt;"&amp;""""</f>
        <v xml:space="preserve">    rbib_roeland_2020: "&lt;div class=\"hanging\"&gt;Roeland Kindt, R. (2020). *Species Accumulation Curves with vegan, BiodiversityR and ggplot2.* &lt;https://rpubs.com/Roeland-KINDT/694021&gt;&lt;/div&gt;"</v>
      </c>
      <c r="T370" s="65"/>
    </row>
    <row r="371" spans="1:20" ht="15.75">
      <c r="A371" s="65"/>
      <c r="B371" s="155" t="b">
        <v>0</v>
      </c>
      <c r="C371" s="155" t="b">
        <v>0</v>
      </c>
      <c r="D371" s="155" t="b">
        <v>1</v>
      </c>
      <c r="E371" s="65" t="s">
        <v>1904</v>
      </c>
      <c r="F371" s="65" t="s">
        <v>2463</v>
      </c>
      <c r="G371" s="65" t="s">
        <v>2462</v>
      </c>
      <c r="H371" s="65" t="s">
        <v>2462</v>
      </c>
      <c r="I371" s="65" t="b">
        <v>1</v>
      </c>
      <c r="J371" s="65" t="s">
        <v>2461</v>
      </c>
      <c r="K371" s="65" t="s">
        <v>6084</v>
      </c>
      <c r="L371" s="65" t="s">
        <v>2460</v>
      </c>
      <c r="M371" s="65" t="s">
        <v>984</v>
      </c>
      <c r="N371" s="65" t="str">
        <f>"&lt;div class="&amp;""""&amp;"hanging"&amp;""""&amp;"&gt;"&amp;K371&amp;"&lt;a href="&amp;""""&amp;L371&amp;""""&amp;" target="&amp;""""&amp;"_blank"&amp;""""&amp;"&gt;"&amp;L371&amp;"&lt;/a&gt;&lt;span style="&amp;""""&amp;"color:white"&amp;""""&amp;"&gt;[.]{#"&amp;F371&amp;"}}&lt;/span&gt;&lt;/div&gt;&lt;br&gt;"</f>
        <v>&lt;div class="hanging"&gt;Roemer, G. W., Gompper, M. E., &amp; Van Valkenburgh, B. (2009). The Ecological Role of the Mammalian Mesocarnivore. &lt;i&gt;BioScience, 59&lt;/i&gt;(2), 165-173.&lt;a href="https://doi.org/10.1525/bio.2009.59.2.9" target="_blank"&gt;https://doi.org/10.1525/bio.2009.59.2.9&lt;/a&gt;&lt;span style="color:white"&gt;[.]{#roemer_et_al_2009}}&lt;/span&gt;&lt;/div&gt;&lt;br&gt;</v>
      </c>
      <c r="O371" s="65" t="str">
        <f>"{{ rtxt_"&amp;F371&amp;" }}"</f>
        <v>{{ rtxt_roemer_et_al_2009 }}</v>
      </c>
      <c r="P371" s="65" t="str">
        <f>"{{ rbib_"&amp;F371&amp;" }}"</f>
        <v>{{ rbib_roemer_et_al_2009 }}</v>
      </c>
      <c r="Q371" s="65" t="str">
        <f>"    rtxt_"&amp;F371&amp;": "&amp;""""&amp;"&lt;a href=\"&amp;""""&amp;"/08_references.html#"&amp;F371&amp;"\"&amp;""""&amp;" target=\"&amp;""""&amp;"_blank\"&amp;""""&amp;"&gt;"&amp;G371&amp;"&lt;/a&gt;"&amp;""""</f>
        <v xml:space="preserve">    rtxt_roemer_et_al_2009: "&lt;a href=\"/08_references.html#roemer_et_al_2009\" target=\"_blank\"&gt;Roemer et al., 2009&lt;/a&gt;"</v>
      </c>
      <c r="R371" s="65" t="str">
        <f>"    rbib_"&amp;F371&amp;": "&amp;""""&amp;K371&amp;"&lt;a href=\"&amp;""""&amp;L371&amp;""""&amp;" target=\"&amp;""""&amp;"_blank\"&amp;""""&amp;"&gt;"&amp;L371&amp;"&lt;/a&gt;"&amp;""""</f>
        <v xml:space="preserve">    rbib_roemer_et_al_2009: "Roemer, G. W., Gompper, M. E., &amp; Van Valkenburgh, B. (2009). The Ecological Role of the Mammalian Mesocarnivore. &lt;i&gt;BioScience, 59&lt;/i&gt;(2), 165-173.&lt;a href=\"https://doi.org/10.1525/bio.2009.59.2.9" target=\"_blank\"&gt;https://doi.org/10.1525/bio.2009.59.2.9&lt;/a&gt;"</v>
      </c>
      <c r="S371" s="65" t="str">
        <f>"    rbib_"&amp;F371&amp;": "&amp;""""&amp;"&lt;div class=\"&amp;""""&amp;"hanging\"&amp;""""&amp;"&gt;"&amp;J371&amp;"&lt;/div&gt;"&amp;""""</f>
        <v xml:space="preserve">    rbib_roemer_et_al_2009: "&lt;div class=\"hanging\"&gt;Roemer, G. W., Gompper, M. E., &amp; Van Valkenburgh, B. (2009). The Ecological Role of the Mammalian Mesocarnivore. *BioScience, 59*(2), 165-173. &lt;https://doi.org/10.1525/bio.2009.59.2.9&gt;&lt;/div&gt;"</v>
      </c>
      <c r="T371" s="65"/>
    </row>
    <row r="372" spans="1:20" ht="15.75">
      <c r="A372" s="65"/>
      <c r="B372" s="155"/>
      <c r="C372" s="155"/>
      <c r="D372" s="155"/>
      <c r="E372" s="65" t="s">
        <v>1904</v>
      </c>
      <c r="F372" s="65" t="s">
        <v>2459</v>
      </c>
      <c r="G372" s="65" t="s">
        <v>2458</v>
      </c>
      <c r="H372" s="65" t="s">
        <v>2458</v>
      </c>
      <c r="I372" s="65" t="b">
        <v>1</v>
      </c>
      <c r="J372" s="65" t="s">
        <v>2457</v>
      </c>
      <c r="K372" s="65" t="s">
        <v>5367</v>
      </c>
      <c r="L372" s="65" t="s">
        <v>2456</v>
      </c>
      <c r="M372" s="65" t="s">
        <v>984</v>
      </c>
      <c r="N372" s="65" t="str">
        <f>"&lt;div class="&amp;""""&amp;"hanging"&amp;""""&amp;"&gt;"&amp;K372&amp;"&lt;a href="&amp;""""&amp;L372&amp;""""&amp;" target="&amp;""""&amp;"_blank"&amp;""""&amp;"&gt;"&amp;L372&amp;"&lt;/a&gt;&lt;span style="&amp;""""&amp;"color:white"&amp;""""&amp;"&gt;[.]{#"&amp;F372&amp;"}}&lt;/span&gt;&lt;/div&gt;&lt;br&gt;"</f>
        <v>&lt;div class="hanging"&gt;Romairone, J., Jiménez, J., Luque-Larena, J. J., &amp; Mougeot, F. (2018). Spatial capture-recapture design and modelling for the study of small mammals. &lt;i&gt;PLOS ONE, 13&lt;/i&gt;(6), e0198766.&lt;a href="https://doi.org/10.1371/journal.pone.0198766" target="_blank"&gt;https://doi.org/10.1371/journal.pone.0198766&lt;/a&gt;&lt;span style="color:white"&gt;[.]{#romairone_et_al_2018}}&lt;/span&gt;&lt;/div&gt;&lt;br&gt;</v>
      </c>
      <c r="O372" s="65" t="str">
        <f>"{{ rtxt_"&amp;F372&amp;" }}"</f>
        <v>{{ rtxt_romairone_et_al_2018 }}</v>
      </c>
      <c r="P372" s="65" t="str">
        <f>"{{ rbib_"&amp;F372&amp;" }}"</f>
        <v>{{ rbib_romairone_et_al_2018 }}</v>
      </c>
      <c r="Q372" s="65" t="str">
        <f>"    rtxt_"&amp;F372&amp;": "&amp;""""&amp;"&lt;a href=\"&amp;""""&amp;"/08_references.html#"&amp;F372&amp;"\"&amp;""""&amp;" target=\"&amp;""""&amp;"_blank\"&amp;""""&amp;"&gt;"&amp;G372&amp;"&lt;/a&gt;"&amp;""""</f>
        <v xml:space="preserve">    rtxt_romairone_et_al_2018: "&lt;a href=\"/08_references.html#romairone_et_al_2018\" target=\"_blank\"&gt;Romairone et al., 2018&lt;/a&gt;"</v>
      </c>
      <c r="R372" s="65" t="str">
        <f>"    rbib_"&amp;F372&amp;": "&amp;""""&amp;K372&amp;"&lt;a href=\"&amp;""""&amp;L372&amp;""""&amp;" target=\"&amp;""""&amp;"_blank\"&amp;""""&amp;"&gt;"&amp;L372&amp;"&lt;/a&gt;"&amp;""""</f>
        <v xml:space="preserve">    rbib_romairone_et_al_2018: "Romairone, J., Jiménez, J., Luque-Larena, J. J., &amp; Mougeot, F. (2018). Spatial capture-recapture design and modelling for the study of small mammals. &lt;i&gt;PLOS ONE, 13&lt;/i&gt;(6), e0198766.&lt;a href=\"https://doi.org/10.1371/journal.pone.0198766" target=\"_blank\"&gt;https://doi.org/10.1371/journal.pone.0198766&lt;/a&gt;"</v>
      </c>
      <c r="S372" s="65" t="str">
        <f>"    rbib_"&amp;F372&amp;": "&amp;""""&amp;"&lt;div class=\"&amp;""""&amp;"hanging\"&amp;""""&amp;"&gt;"&amp;J372&amp;"&lt;/div&gt;"&amp;""""</f>
        <v xml:space="preserve">    rbib_romairone_et_al_2018: "&lt;div class=\"hanging\"&gt;Romairone, J., Jiménez, J., Luque-Larena, J. J., &amp; Mougeot, F. (2018). Spatial capture-recapture design and modelling for the study of small mammals. *PLOS ONE, 13*(6), e0198766. &lt;https://doi.org/10.1371/journal.pone.0198766&gt;&lt;/div&gt;"</v>
      </c>
      <c r="T372" s="65"/>
    </row>
    <row r="373" spans="1:20" ht="15.75">
      <c r="A373" s="65"/>
      <c r="B373" s="155"/>
      <c r="C373" s="155"/>
      <c r="D373" s="155"/>
      <c r="E373" s="65" t="s">
        <v>1904</v>
      </c>
      <c r="F373" s="65" t="s">
        <v>2455</v>
      </c>
      <c r="G373" s="65" t="s">
        <v>2454</v>
      </c>
      <c r="H373" s="65" t="s">
        <v>2454</v>
      </c>
      <c r="I373" s="65" t="b">
        <v>1</v>
      </c>
      <c r="J373" s="65" t="s">
        <v>2453</v>
      </c>
      <c r="K373" s="65" t="s">
        <v>5401</v>
      </c>
      <c r="L373" s="65" t="s">
        <v>2452</v>
      </c>
      <c r="M373" s="65" t="s">
        <v>984</v>
      </c>
      <c r="N373" s="65" t="str">
        <f>"&lt;div class="&amp;""""&amp;"hanging"&amp;""""&amp;"&gt;"&amp;K373&amp;"&lt;a href="&amp;""""&amp;L373&amp;""""&amp;" target="&amp;""""&amp;"_blank"&amp;""""&amp;"&gt;"&amp;L373&amp;"&lt;/a&gt;&lt;span style="&amp;""""&amp;"color:white"&amp;""""&amp;"&gt;[.]{#"&amp;F373&amp;"}}&lt;/span&gt;&lt;/div&gt;&lt;br&gt;"</f>
        <v>&lt;div class="hanging"&gt;Rönnegård, L., Sand, H., Andrén, H., Månsson, J., &amp; Pehrson, Å. (2008). Evaluation of four methods used to estimate population density of moose Alces alces. &lt;i&gt;Wildlife Biology, 14&lt;/i&gt;(3), 358-371.&lt;a href="https://doi.org/10.2981/0909-6396(2008)14[358:EOFMUT]2.0.CO;2" target="_blank"&gt;https://doi.org/10.2981/0909-6396(2008)14[358:EOFMUT]2.0.CO;2&lt;/a&gt;&lt;span style="color:white"&gt;[.]{#ronnegard_et_al_2008}}&lt;/span&gt;&lt;/div&gt;&lt;br&gt;</v>
      </c>
      <c r="O373" s="65" t="str">
        <f>"{{ rtxt_"&amp;F373&amp;" }}"</f>
        <v>{{ rtxt_ronnegard_et_al_2008 }}</v>
      </c>
      <c r="P373" s="65" t="str">
        <f>"{{ rbib_"&amp;F373&amp;" }}"</f>
        <v>{{ rbib_ronnegard_et_al_2008 }}</v>
      </c>
      <c r="Q373" s="65" t="str">
        <f>"    rtxt_"&amp;F373&amp;": "&amp;""""&amp;"&lt;a href=\"&amp;""""&amp;"/08_references.html#"&amp;F373&amp;"\"&amp;""""&amp;" target=\"&amp;""""&amp;"_blank\"&amp;""""&amp;"&gt;"&amp;G373&amp;"&lt;/a&gt;"&amp;""""</f>
        <v xml:space="preserve">    rtxt_ronnegard_et_al_2008: "&lt;a href=\"/08_references.html#ronnegard_et_al_2008\" target=\"_blank\"&gt;Rönnegård et al., 2008&lt;/a&gt;"</v>
      </c>
      <c r="R373" s="65" t="str">
        <f>"    rbib_"&amp;F373&amp;": "&amp;""""&amp;K373&amp;"&lt;a href=\"&amp;""""&amp;L373&amp;""""&amp;" target=\"&amp;""""&amp;"_blank\"&amp;""""&amp;"&gt;"&amp;L373&amp;"&lt;/a&gt;"&amp;""""</f>
        <v xml:space="preserve">    rbib_ronnegard_et_al_2008: "Rönnegård, L., Sand, H., Andrén, H., Månsson, J., &amp; Pehrson, Å. (2008). Evaluation of four methods used to estimate population density of moose Alces alces. &lt;i&gt;Wildlife Biology, 14&lt;/i&gt;(3), 358-371.&lt;a href=\"https://doi.org/10.2981/0909-6396(2008)14[358:EOFMUT]2.0.CO;2" target=\"_blank\"&gt;https://doi.org/10.2981/0909-6396(2008)14[358:EOFMUT]2.0.CO;2&lt;/a&gt;"</v>
      </c>
      <c r="S373" s="65" t="str">
        <f>"    rbib_"&amp;F373&amp;": "&amp;""""&amp;"&lt;div class=\"&amp;""""&amp;"hanging\"&amp;""""&amp;"&gt;"&amp;J373&amp;"&lt;/div&gt;"&amp;""""</f>
        <v xml:space="preserve">    rbib_ronnegard_et_al_2008: "&lt;div class=\"hanging\"&gt;Rönnegård, L., Sand, H., Andrén, H., Månsson, J., &amp; Pehrson, Å. (2008). Evaluation of four methods used to estimate population density of moose Alces alces. *Wildlife Biology, 14*(3), 358-371. &lt;https://doi.org/10.2981/0909-6396(2008)14[358:EOFMUT]2.0.CO;2&gt;&lt;/div&gt;"</v>
      </c>
      <c r="T373" s="65"/>
    </row>
    <row r="374" spans="1:20" ht="15.75">
      <c r="A374" s="65"/>
      <c r="B374" s="155" t="b">
        <v>1</v>
      </c>
      <c r="C374" s="155" t="b">
        <v>1</v>
      </c>
      <c r="D374" s="155" t="b">
        <v>0</v>
      </c>
      <c r="E374" s="65" t="s">
        <v>1904</v>
      </c>
      <c r="F374" s="65" t="s">
        <v>2447</v>
      </c>
      <c r="G374" s="65" t="s">
        <v>2446</v>
      </c>
      <c r="H374" s="65" t="s">
        <v>2446</v>
      </c>
      <c r="I374" s="65" t="b">
        <v>1</v>
      </c>
      <c r="J374" s="65" t="s">
        <v>2445</v>
      </c>
      <c r="K374" s="65" t="s">
        <v>5490</v>
      </c>
      <c r="L374" s="65" t="s">
        <v>2444</v>
      </c>
      <c r="M374" s="65" t="s">
        <v>984</v>
      </c>
      <c r="N374" s="65" t="str">
        <f>"&lt;div class="&amp;""""&amp;"hanging"&amp;""""&amp;"&gt;"&amp;K374&amp;"&lt;a href="&amp;""""&amp;L374&amp;""""&amp;" target="&amp;""""&amp;"_blank"&amp;""""&amp;"&gt;"&amp;L374&amp;"&lt;/a&gt;&lt;span style="&amp;""""&amp;"color:white"&amp;""""&amp;"&gt;[.]{#"&amp;F374&amp;"}}&lt;/span&gt;&lt;/div&gt;&lt;br&gt;"</f>
        <v>&lt;div class="hanging"&gt;Rovero, F., &amp; Marshall, A. R. (2009). Camera Trapping Photographic Rate as an Index of Density in Forest Ungulates. &lt;i&gt;Journal of Applied Ecology, 46&lt;/i&gt;(5), 1011-1017.&lt;a href="https://www.jstor.org/stable/25623081" target="_blank"&gt;https://www.jstor.org/stable/25623081&lt;/a&gt;&lt;span style="color:white"&gt;[.]{#rovero_marshall_2009}}&lt;/span&gt;&lt;/div&gt;&lt;br&gt;</v>
      </c>
      <c r="O374" s="65" t="str">
        <f>"{{ rtxt_"&amp;F374&amp;" }}"</f>
        <v>{{ rtxt_rovero_marshall_2009 }}</v>
      </c>
      <c r="P374" s="65" t="str">
        <f>"{{ rbib_"&amp;F374&amp;" }}"</f>
        <v>{{ rbib_rovero_marshall_2009 }}</v>
      </c>
      <c r="Q374" s="65" t="str">
        <f>"    rtxt_"&amp;F374&amp;": "&amp;""""&amp;"&lt;a href=\"&amp;""""&amp;"/08_references.html#"&amp;F374&amp;"\"&amp;""""&amp;" target=\"&amp;""""&amp;"_blank\"&amp;""""&amp;"&gt;"&amp;G374&amp;"&lt;/a&gt;"&amp;""""</f>
        <v xml:space="preserve">    rtxt_rovero_marshall_2009: "&lt;a href=\"/08_references.html#rovero_marshall_2009\" target=\"_blank\"&gt;Rovero &amp; Marshall, 2009&lt;/a&gt;"</v>
      </c>
      <c r="R374" s="65" t="str">
        <f>"    rbib_"&amp;F374&amp;": "&amp;""""&amp;K374&amp;"&lt;a href=\"&amp;""""&amp;L374&amp;""""&amp;" target=\"&amp;""""&amp;"_blank\"&amp;""""&amp;"&gt;"&amp;L374&amp;"&lt;/a&gt;"&amp;""""</f>
        <v xml:space="preserve">    rbib_rovero_marshall_2009: "Rovero, F., &amp; Marshall, A. R. (2009). Camera Trapping Photographic Rate as an Index of Density in Forest Ungulates. &lt;i&gt;Journal of Applied Ecology, 46&lt;/i&gt;(5), 1011-1017.&lt;a href=\"https://www.jstor.org/stable/25623081" target=\"_blank\"&gt;https://www.jstor.org/stable/25623081&lt;/a&gt;"</v>
      </c>
      <c r="S374" s="65" t="str">
        <f>"    rbib_"&amp;F374&amp;": "&amp;""""&amp;"&lt;div class=\"&amp;""""&amp;"hanging\"&amp;""""&amp;"&gt;"&amp;J374&amp;"&lt;/div&gt;"&amp;""""</f>
        <v xml:space="preserve">    rbib_rovero_marshall_2009: "&lt;div class=\"hanging\"&gt;Rovero, F., &amp; Marshall, A. R. (2009). Camera Trapping Photographic Rate as an Index of Density in Forest Ungulates. *Journal of Applied Ecology, 46*(5), 1011-1017. &lt;https://www.jstor.org/stable/25623081&gt;&lt;/div&gt;"</v>
      </c>
      <c r="T374" s="65"/>
    </row>
    <row r="375" spans="1:20" ht="15.75">
      <c r="A375" s="65"/>
      <c r="B375" s="155" t="b">
        <v>0</v>
      </c>
      <c r="C375" s="155" t="b">
        <v>0</v>
      </c>
      <c r="D375" s="155" t="b">
        <v>1</v>
      </c>
      <c r="E375" s="65" t="s">
        <v>1939</v>
      </c>
      <c r="F375" s="65" t="s">
        <v>2443</v>
      </c>
      <c r="G375" s="65" t="s">
        <v>2442</v>
      </c>
      <c r="H375" s="65" t="s">
        <v>2442</v>
      </c>
      <c r="I375" s="65" t="b">
        <v>1</v>
      </c>
      <c r="J375" s="65" t="s">
        <v>2441</v>
      </c>
      <c r="K375" s="65" t="s">
        <v>5507</v>
      </c>
      <c r="L375" s="65" t="s">
        <v>2440</v>
      </c>
      <c r="M375" s="65" t="s">
        <v>984</v>
      </c>
      <c r="N375" s="65" t="str">
        <f>"&lt;div class="&amp;""""&amp;"hanging"&amp;""""&amp;"&gt;"&amp;K375&amp;"&lt;a href="&amp;""""&amp;L375&amp;""""&amp;" target="&amp;""""&amp;"_blank"&amp;""""&amp;"&gt;"&amp;L375&amp;"&lt;/a&gt;&lt;span style="&amp;""""&amp;"color:white"&amp;""""&amp;"&gt;[.]{#"&amp;F375&amp;"}}&lt;/span&gt;&lt;/div&gt;&lt;br&gt;"</f>
        <v>&lt;div class="hanging"&gt;Rovero, F., &amp; Tobler, M., (2010). Camera trapping for inventorying terrestrial vertebrates. &lt;i&gt;Manual on Field Recording Techniques and Protocols for All Taxa Biodiversity Inventories and Monitoring&lt;/i&gt;.&lt;a href="https://www.researchgate.net/publication/229057405_Camera_trapping_for_inventorying_terrestrial_vertebrates" target="_blank"&gt;https://www.researchgate.net/publication/229057405_Camera_trapping_for_inventorying_terrestrial_vertebrates&lt;/a&gt;&lt;span style="color:white"&gt;[.]{#rovero_tobler_2010}}&lt;/span&gt;&lt;/div&gt;&lt;br&gt;</v>
      </c>
      <c r="O375" s="65" t="str">
        <f>"{{ rtxt_"&amp;F375&amp;" }}"</f>
        <v>{{ rtxt_rovero_tobler_2010 }}</v>
      </c>
      <c r="P375" s="65" t="str">
        <f>"{{ rbib_"&amp;F375&amp;" }}"</f>
        <v>{{ rbib_rovero_tobler_2010 }}</v>
      </c>
      <c r="Q375" s="65" t="str">
        <f>"    rtxt_"&amp;F375&amp;": "&amp;""""&amp;"&lt;a href=\"&amp;""""&amp;"/08_references.html#"&amp;F375&amp;"\"&amp;""""&amp;" target=\"&amp;""""&amp;"_blank\"&amp;""""&amp;"&gt;"&amp;G375&amp;"&lt;/a&gt;"&amp;""""</f>
        <v xml:space="preserve">    rtxt_rovero_tobler_2010: "&lt;a href=\"/08_references.html#rovero_tobler_2010\" target=\"_blank\"&gt;Rovero &amp; Tobler, 2010&lt;/a&gt;"</v>
      </c>
      <c r="R375" s="65" t="str">
        <f>"    rbib_"&amp;F375&amp;": "&amp;""""&amp;K375&amp;"&lt;a href=\"&amp;""""&amp;L375&amp;""""&amp;" target=\"&amp;""""&amp;"_blank\"&amp;""""&amp;"&gt;"&amp;L375&amp;"&lt;/a&gt;"&amp;""""</f>
        <v xml:space="preserve">    rbib_rovero_tobler_2010: "Rovero, F., &amp; Tobler, M., (2010). Camera trapping for inventorying terrestrial vertebrates. &lt;i&gt;Manual on Field Recording Techniques and Protocols for All Taxa Biodiversity Inventories and Monitoring&lt;/i&gt;.&lt;a href=\"https://www.researchgate.net/publication/229057405_Camera_trapping_for_inventorying_terrestrial_vertebrates" target=\"_blank\"&gt;https://www.researchgate.net/publication/229057405_Camera_trapping_for_inventorying_terrestrial_vertebrates&lt;/a&gt;"</v>
      </c>
      <c r="S375" s="65" t="str">
        <f>"    rbib_"&amp;F375&amp;": "&amp;""""&amp;"&lt;div class=\"&amp;""""&amp;"hanging\"&amp;""""&amp;"&gt;"&amp;J375&amp;"&lt;/div&gt;"&amp;""""</f>
        <v xml:space="preserve">    rbib_rovero_tobler_2010: "&lt;div class=\"hanging\"&gt;Rovero, F., &amp; Tobler, M., (2010). Camera trapping for inventorying terrestrial vertebrates. *Manual on Field Recording Techniques and Protocols for All Taxa Biodiversity Inventories and Monitoring*. &lt;https://www.researchgate.net/publication/229057405_Camera_trapping_for_inventorying_terrestrial_vertebrates&gt;&lt;/div&gt;"</v>
      </c>
      <c r="T375" s="65"/>
    </row>
    <row r="376" spans="1:20" ht="15.75">
      <c r="A376" s="65"/>
      <c r="B376" s="155" t="b">
        <v>1</v>
      </c>
      <c r="C376" s="155" t="b">
        <v>1</v>
      </c>
      <c r="D376" s="155" t="b">
        <v>0</v>
      </c>
      <c r="E376" s="65" t="s">
        <v>1939</v>
      </c>
      <c r="F376" s="65" t="s">
        <v>2439</v>
      </c>
      <c r="G376" s="65" t="s">
        <v>2438</v>
      </c>
      <c r="H376" s="65" t="s">
        <v>2438</v>
      </c>
      <c r="I376" s="65" t="b">
        <v>1</v>
      </c>
      <c r="J376" s="65" t="s">
        <v>2437</v>
      </c>
      <c r="K376" s="65" t="s">
        <v>5460</v>
      </c>
      <c r="L376" s="65" t="s">
        <v>2436</v>
      </c>
      <c r="M376" s="65" t="s">
        <v>984</v>
      </c>
      <c r="N376" s="65" t="str">
        <f>"&lt;div class="&amp;""""&amp;"hanging"&amp;""""&amp;"&gt;"&amp;K376&amp;"&lt;a href="&amp;""""&amp;L376&amp;""""&amp;" target="&amp;""""&amp;"_blank"&amp;""""&amp;"&gt;"&amp;L376&amp;"&lt;/a&gt;&lt;span style="&amp;""""&amp;"color:white"&amp;""""&amp;"&gt;[.]{#"&amp;F376&amp;"}}&lt;/span&gt;&lt;/div&gt;&lt;br&gt;"</f>
        <v>&lt;div class="hanging"&gt;Rovero, F., &amp; Zimmermann, F. (2016). &lt;i&gt;Camera Trapping for Wildlife Research&lt;/i&gt;. Exeter: Pelagic Publishing, UK.&lt;a href="https://pelagicpublishing.com/products/camera-trapping-for-wildlife-research?srsltid=AfmBOormKSlIbYKZ6LlpHlQzLw42FEe5mrOp7fnjFBfe1ncktqb9B10H" target="_blank"&gt;https://pelagicpublishing.com/products/camera-trapping-for-wildlife-research?srsltid=AfmBOormKSlIbYKZ6LlpHlQzLw42FEe5mrOp7fnjFBfe1ncktqb9B10H&lt;/a&gt;&lt;span style="color:white"&gt;[.]{#rovero_zimmermann_2016}}&lt;/span&gt;&lt;/div&gt;&lt;br&gt;</v>
      </c>
      <c r="O376" s="65" t="str">
        <f>"{{ rtxt_"&amp;F376&amp;" }}"</f>
        <v>{{ rtxt_rovero_zimmermann_2016 }}</v>
      </c>
      <c r="P376" s="65" t="str">
        <f>"{{ rbib_"&amp;F376&amp;" }}"</f>
        <v>{{ rbib_rovero_zimmermann_2016 }}</v>
      </c>
      <c r="Q376" s="65" t="str">
        <f>"    rtxt_"&amp;F376&amp;": "&amp;""""&amp;"&lt;a href=\"&amp;""""&amp;"/08_references.html#"&amp;F376&amp;"\"&amp;""""&amp;" target=\"&amp;""""&amp;"_blank\"&amp;""""&amp;"&gt;"&amp;G376&amp;"&lt;/a&gt;"&amp;""""</f>
        <v xml:space="preserve">    rtxt_rovero_zimmermann_2016: "&lt;a href=\"/08_references.html#rovero_zimmermann_2016\" target=\"_blank\"&gt;Rovero &amp; Zimmermann, 2016&lt;/a&gt;"</v>
      </c>
      <c r="R376" s="65" t="str">
        <f>"    rbib_"&amp;F376&amp;": "&amp;""""&amp;K376&amp;"&lt;a href=\"&amp;""""&amp;L376&amp;""""&amp;" target=\"&amp;""""&amp;"_blank\"&amp;""""&amp;"&gt;"&amp;L376&amp;"&lt;/a&gt;"&amp;""""</f>
        <v xml:space="preserve">    rbib_rovero_zimmermann_2016: "Rovero, F., &amp; Zimmermann, F. (2016). &lt;i&gt;Camera Trapping for Wildlife Research&lt;/i&gt;. Exeter: Pelagic Publishing, UK.&lt;a href=\"https://pelagicpublishing.com/products/camera-trapping-for-wildlife-research?srsltid=AfmBOormKSlIbYKZ6LlpHlQzLw42FEe5mrOp7fnjFBfe1ncktqb9B10H" target=\"_blank\"&gt;https://pelagicpublishing.com/products/camera-trapping-for-wildlife-research?srsltid=AfmBOormKSlIbYKZ6LlpHlQzLw42FEe5mrOp7fnjFBfe1ncktqb9B10H&lt;/a&gt;"</v>
      </c>
      <c r="S376" s="65" t="str">
        <f>"    rbib_"&amp;F376&amp;": "&amp;""""&amp;"&lt;div class=\"&amp;""""&amp;"hanging\"&amp;""""&amp;"&gt;"&amp;J376&amp;"&lt;/div&gt;"&amp;""""</f>
        <v xml:space="preserve">    rbib_rovero_zimmermann_2016: "&lt;div class=\"hanging\"&gt;Rovero, F., &amp; Zimmermann, F. (2016). *Camera Trapping for Wildlife Research*. Exeter: Pelagic Publishing, UK. &lt;https://pelagicpublishing.com/products/camera-trapping-for-wildlife-research?srsltid=AfmBOormKSlIbYKZ6LlpHlQzLw42FEe5mrOp7fnjFBfe1ncktqb9B10H&gt;&lt;/div&gt;"</v>
      </c>
      <c r="T376" s="65"/>
    </row>
    <row r="377" spans="1:20" ht="15.75">
      <c r="A377" s="65"/>
      <c r="B377" s="155" t="b">
        <v>1</v>
      </c>
      <c r="C377" s="155" t="b">
        <v>1</v>
      </c>
      <c r="D377" s="155" t="b">
        <v>0</v>
      </c>
      <c r="E377" s="65" t="s">
        <v>1904</v>
      </c>
      <c r="F377" s="65" t="s">
        <v>2451</v>
      </c>
      <c r="G377" s="65" t="s">
        <v>2450</v>
      </c>
      <c r="H377" s="65" t="s">
        <v>2450</v>
      </c>
      <c r="I377" s="65" t="b">
        <v>1</v>
      </c>
      <c r="J377" s="65" t="s">
        <v>2449</v>
      </c>
      <c r="K377" s="65" t="s">
        <v>6085</v>
      </c>
      <c r="L377" s="65" t="s">
        <v>2448</v>
      </c>
      <c r="M377" s="65" t="s">
        <v>984</v>
      </c>
      <c r="N377" s="65" t="str">
        <f>"&lt;div class="&amp;""""&amp;"hanging"&amp;""""&amp;"&gt;"&amp;K377&amp;"&lt;a href="&amp;""""&amp;L377&amp;""""&amp;" target="&amp;""""&amp;"_blank"&amp;""""&amp;"&gt;"&amp;L377&amp;"&lt;/a&gt;&lt;span style="&amp;""""&amp;"color:white"&amp;""""&amp;"&gt;[.]{#"&amp;F377&amp;"}}&lt;/span&gt;&lt;/div&gt;&lt;br&gt;"</f>
        <v>&lt;div class="hanging"&gt;Rovero, F., Zimmermann, F., Berzi, D., &amp; Meek, P. (2013). “Which camera trap type and how many do I need?” A review of camera features and study designs for a range of wildlife research applications. &lt;i&gt;Hystrix, the Italian Journal of Mammalogy, 24&lt;/i&gt;(2), 148-156.&lt;a href="https://doi.org/10.4404/hystrix-24.2-6316" target="_blank"&gt;https://doi.org/10.4404/hystrix-24.2-6316&lt;/a&gt;&lt;span style="color:white"&gt;[.]{#rovero_et_al_2013}}&lt;/span&gt;&lt;/div&gt;&lt;br&gt;</v>
      </c>
      <c r="O377" s="65" t="str">
        <f>"{{ rtxt_"&amp;F377&amp;" }}"</f>
        <v>{{ rtxt_rovero_et_al_2013 }}</v>
      </c>
      <c r="P377" s="65" t="str">
        <f>"{{ rbib_"&amp;F377&amp;" }}"</f>
        <v>{{ rbib_rovero_et_al_2013 }}</v>
      </c>
      <c r="Q377" s="65" t="str">
        <f>"    rtxt_"&amp;F377&amp;": "&amp;""""&amp;"&lt;a href=\"&amp;""""&amp;"/08_references.html#"&amp;F377&amp;"\"&amp;""""&amp;" target=\"&amp;""""&amp;"_blank\"&amp;""""&amp;"&gt;"&amp;G377&amp;"&lt;/a&gt;"&amp;""""</f>
        <v xml:space="preserve">    rtxt_rovero_et_al_2013: "&lt;a href=\"/08_references.html#rovero_et_al_2013\" target=\"_blank\"&gt;Rovero et al., 2013&lt;/a&gt;"</v>
      </c>
      <c r="R377" s="65" t="str">
        <f>"    rbib_"&amp;F377&amp;": "&amp;""""&amp;K377&amp;"&lt;a href=\"&amp;""""&amp;L377&amp;""""&amp;" target=\"&amp;""""&amp;"_blank\"&amp;""""&amp;"&gt;"&amp;L377&amp;"&lt;/a&gt;"&amp;""""</f>
        <v xml:space="preserve">    rbib_rovero_et_al_2013: "Rovero, F., Zimmermann, F., Berzi, D., &amp; Meek, P. (2013). “Which camera trap type and how many do I need?” A review of camera features and study designs for a range of wildlife research applications. &lt;i&gt;Hystrix, the Italian Journal of Mammalogy, 24&lt;/i&gt;(2), 148-156.&lt;a href=\"https://doi.org/10.4404/hystrix-24.2-6316" target=\"_blank\"&gt;https://doi.org/10.4404/hystrix-24.2-6316&lt;/a&gt;"</v>
      </c>
      <c r="S377" s="65" t="str">
        <f>"    rbib_"&amp;F377&amp;": "&amp;""""&amp;"&lt;div class=\"&amp;""""&amp;"hanging\"&amp;""""&amp;"&gt;"&amp;J377&amp;"&lt;/div&gt;"&amp;""""</f>
        <v xml:space="preserve">    rbib_rovero_et_al_2013: "&lt;div class=\"hanging\"&gt;Rovero, F., Zimmermann, F., Berzi, D., &amp; Meek, P. (2013). “Which camera trap type and how many do I need?” A review of camera features and study designs for a range of wildlife research applications. *Hystrix, the Italian Journal of Mammalogy, 24*(2), 148-156. &lt;https://doi.org/10.4404/hystrix-24.2-6316&gt;&lt;/div&gt;"</v>
      </c>
      <c r="T377" s="65"/>
    </row>
    <row r="378" spans="1:20" ht="15.75">
      <c r="A378" s="65"/>
      <c r="B378" s="155" t="b">
        <v>1</v>
      </c>
      <c r="C378" s="155" t="b">
        <v>0</v>
      </c>
      <c r="D378" s="155" t="b">
        <v>0</v>
      </c>
      <c r="E378" s="65" t="s">
        <v>1904</v>
      </c>
      <c r="F378" s="65" t="s">
        <v>2427</v>
      </c>
      <c r="G378" s="65" t="s">
        <v>2426</v>
      </c>
      <c r="H378" s="65" t="s">
        <v>2426</v>
      </c>
      <c r="I378" s="65" t="b">
        <v>1</v>
      </c>
      <c r="J378" s="65" t="s">
        <v>2425</v>
      </c>
      <c r="K378" s="65" t="s">
        <v>5324</v>
      </c>
      <c r="L378" s="65" t="s">
        <v>2424</v>
      </c>
      <c r="M378" s="65" t="s">
        <v>984</v>
      </c>
      <c r="N378" s="65" t="str">
        <f>"&lt;div class="&amp;""""&amp;"hanging"&amp;""""&amp;"&gt;"&amp;K378&amp;"&lt;a href="&amp;""""&amp;L378&amp;""""&amp;" target="&amp;""""&amp;"_blank"&amp;""""&amp;"&gt;"&amp;L378&amp;"&lt;/a&gt;&lt;span style="&amp;""""&amp;"color:white"&amp;""""&amp;"&gt;[.]{#"&amp;F378&amp;"}}&lt;/span&gt;&lt;/div&gt;&lt;br&gt;"</f>
        <v>&lt;div class="hanging"&gt;Rowcliffe, J. M., &amp; Carbone, C. (2008). Surveys Using Camera Traps: Are We Looking to a Brighter Future? &lt;i&gt;Animal Conservation, 11&lt;/i&gt;(3), 185-86.&lt;a href="https://doi.org/10.1111/j.1469-1795.2008.00180.x" target="_blank"&gt;https://doi.org/10.1111/j.1469-1795.2008.00180.x&lt;/a&gt;&lt;span style="color:white"&gt;[.]{#rowcliffe_carbone_2008}}&lt;/span&gt;&lt;/div&gt;&lt;br&gt;</v>
      </c>
      <c r="O378" s="65" t="str">
        <f>"{{ rtxt_"&amp;F378&amp;" }}"</f>
        <v>{{ rtxt_rowcliffe_carbone_2008 }}</v>
      </c>
      <c r="P378" s="65" t="str">
        <f>"{{ rbib_"&amp;F378&amp;" }}"</f>
        <v>{{ rbib_rowcliffe_carbone_2008 }}</v>
      </c>
      <c r="Q378" s="65" t="str">
        <f>"    rtxt_"&amp;F378&amp;": "&amp;""""&amp;"&lt;a href=\"&amp;""""&amp;"/08_references.html#"&amp;F378&amp;"\"&amp;""""&amp;" target=\"&amp;""""&amp;"_blank\"&amp;""""&amp;"&gt;"&amp;G378&amp;"&lt;/a&gt;"&amp;""""</f>
        <v xml:space="preserve">    rtxt_rowcliffe_carbone_2008: "&lt;a href=\"/08_references.html#rowcliffe_carbone_2008\" target=\"_blank\"&gt;Rowcliffe &amp; Carbone, 2008&lt;/a&gt;"</v>
      </c>
      <c r="R378" s="65" t="str">
        <f>"    rbib_"&amp;F378&amp;": "&amp;""""&amp;K378&amp;"&lt;a href=\"&amp;""""&amp;L378&amp;""""&amp;" target=\"&amp;""""&amp;"_blank\"&amp;""""&amp;"&gt;"&amp;L378&amp;"&lt;/a&gt;"&amp;""""</f>
        <v xml:space="preserve">    rbib_rowcliffe_carbone_2008: "Rowcliffe, J. M., &amp; Carbone, C. (2008). Surveys Using Camera Traps: Are We Looking to a Brighter Future? &lt;i&gt;Animal Conservation, 11&lt;/i&gt;(3), 185-86.&lt;a href=\"https://doi.org/10.1111/j.1469-1795.2008.00180.x" target=\"_blank\"&gt;https://doi.org/10.1111/j.1469-1795.2008.00180.x&lt;/a&gt;"</v>
      </c>
      <c r="S378" s="65" t="str">
        <f>"    rbib_"&amp;F378&amp;": "&amp;""""&amp;"&lt;div class=\"&amp;""""&amp;"hanging\"&amp;""""&amp;"&gt;"&amp;J378&amp;"&lt;/div&gt;"&amp;""""</f>
        <v xml:space="preserve">    rbib_rowcliffe_carbone_2008: "&lt;div class=\"hanging\"&gt;Rowcliffe, J. M., &amp; Carbone, C. (2008). Surveys Using Camera Traps: Are We Looking to a Brighter Future? *Animal Conservation, 11*(3), 185-86. &lt;https://doi.org/10.1111/j.1469-1795.2008.00180.x&gt;&lt;/div&gt;"</v>
      </c>
      <c r="T378" s="65"/>
    </row>
    <row r="379" spans="1:20" ht="15.75">
      <c r="A379" s="65" t="s">
        <v>530</v>
      </c>
      <c r="B379" s="155"/>
      <c r="C379" s="155"/>
      <c r="D379" s="155"/>
      <c r="E379" s="65"/>
      <c r="F379" s="65" t="s">
        <v>6033</v>
      </c>
      <c r="G379" s="65" t="s">
        <v>6032</v>
      </c>
      <c r="H379" s="65" t="s">
        <v>6031</v>
      </c>
      <c r="I379" s="65"/>
      <c r="J379" s="65" t="s">
        <v>6042</v>
      </c>
      <c r="K379" s="65" t="s">
        <v>6064</v>
      </c>
      <c r="L379" s="156" t="s">
        <v>6056</v>
      </c>
      <c r="M379" s="65"/>
      <c r="N379" s="65" t="str">
        <f>"&lt;div class="&amp;""""&amp;"hanging"&amp;""""&amp;"&gt;"&amp;K379&amp;"&lt;a href="&amp;""""&amp;L379&amp;""""&amp;" target="&amp;""""&amp;"_blank"&amp;""""&amp;"&gt;"&amp;L379&amp;"&lt;/a&gt;&lt;span style="&amp;""""&amp;"color:white"&amp;""""&amp;"&gt;[.]{#"&amp;F379&amp;"}}&lt;/span&gt;&lt;/div&gt;&lt;br&gt;"</f>
        <v>&lt;div class="hanging"&gt;Rowcliffe, J. M., Cowlishaw, G., &amp; Long, J. (2003). A model of human hunting impacts in multi-prey communities. &lt;i&gt;Journal of Applied Ecology, 40&lt;/i&gt;(5), 872–889.&lt;a href="https://besjournals.onlinelibrary.wiley.com/doi/10.1046/j.1365-2664.2003.00841.x" target="_blank"&gt;https://besjournals.onlinelibrary.wiley.com/doi/10.1046/j.1365-2664.2003.00841.x&lt;/a&gt;&lt;span style="color:white"&gt;[.]{#rowcliffe_et_al_2003}}&lt;/span&gt;&lt;/div&gt;&lt;br&gt;</v>
      </c>
      <c r="O379" s="65" t="str">
        <f>"{{ rtxt_"&amp;F379&amp;" }}"</f>
        <v>{{ rtxt_rowcliffe_et_al_2003 }}</v>
      </c>
      <c r="P379" s="65" t="str">
        <f>"{{ rbib_"&amp;F379&amp;" }}"</f>
        <v>{{ rbib_rowcliffe_et_al_2003 }}</v>
      </c>
      <c r="Q379" s="65" t="str">
        <f>"    rtxt_"&amp;F379&amp;": "&amp;""""&amp;"&lt;a href=\"&amp;""""&amp;"/08_references.html#"&amp;F379&amp;"\"&amp;""""&amp;" target=\"&amp;""""&amp;"_blank\"&amp;""""&amp;"&gt;"&amp;G379&amp;"&lt;/a&gt;"&amp;""""</f>
        <v xml:space="preserve">    rtxt_rowcliffe_et_al_2003: "&lt;a href=\"/08_references.html#rowcliffe_et_al_2003\" target=\"_blank\"&gt;Rowcliffe et al., 2003&lt;/a&gt;"</v>
      </c>
      <c r="R379" s="65" t="str">
        <f>"    rbib_"&amp;F379&amp;": "&amp;""""&amp;K379&amp;"&lt;a href=\"&amp;""""&amp;L379&amp;""""&amp;" target=\"&amp;""""&amp;"_blank\"&amp;""""&amp;"&gt;"&amp;L379&amp;"&lt;/a&gt;"&amp;""""</f>
        <v xml:space="preserve">    rbib_rowcliffe_et_al_2003: "Rowcliffe, J. M., Cowlishaw, G., &amp; Long, J. (2003). A model of human hunting impacts in multi-prey communities. &lt;i&gt;Journal of Applied Ecology, 40&lt;/i&gt;(5), 872–889.&lt;a href=\"https://besjournals.onlinelibrary.wiley.com/doi/10.1046/j.1365-2664.2003.00841.x" target=\"_blank\"&gt;https://besjournals.onlinelibrary.wiley.com/doi/10.1046/j.1365-2664.2003.00841.x&lt;/a&gt;"</v>
      </c>
      <c r="S379" s="65" t="str">
        <f>"    rbib_"&amp;F379&amp;": "&amp;""""&amp;"&lt;div class=\"&amp;""""&amp;"hanging\"&amp;""""&amp;"&gt;"&amp;J379&amp;"&lt;/div&gt;"&amp;""""</f>
        <v xml:space="preserve">    rbib_rowcliffe_et_al_2003: "&lt;div class=\"hanging\"&gt;Rowcliffe, J. M., Cowlishaw, G., &amp; Long, J. (2003). A model of human hunting impacts in multi-prey communities. &lt;i&gt;Journal of Applied Ecology, 40&lt;/i&gt;(5), 872–889. &lt;https://besjournals.onlinelibrary.wiley.com/doi/10.1046/j.1365-2664.2003.00841.x&gt;&lt;/div&gt;"</v>
      </c>
      <c r="T379" s="65"/>
    </row>
    <row r="380" spans="1:20" ht="15.75">
      <c r="A380" s="65"/>
      <c r="B380" s="155" t="b">
        <v>1</v>
      </c>
      <c r="C380" s="155" t="b">
        <v>0</v>
      </c>
      <c r="D380" s="155" t="b">
        <v>1</v>
      </c>
      <c r="E380" s="65" t="s">
        <v>1904</v>
      </c>
      <c r="F380" s="65" t="s">
        <v>2423</v>
      </c>
      <c r="G380" s="65" t="s">
        <v>2422</v>
      </c>
      <c r="H380" s="65" t="s">
        <v>2422</v>
      </c>
      <c r="I380" s="65" t="b">
        <v>1</v>
      </c>
      <c r="J380" s="65" t="s">
        <v>2421</v>
      </c>
      <c r="K380" s="65" t="s">
        <v>6072</v>
      </c>
      <c r="L380" s="65" t="s">
        <v>2420</v>
      </c>
      <c r="M380" s="65" t="s">
        <v>984</v>
      </c>
      <c r="N380" s="65" t="str">
        <f>"&lt;div class="&amp;""""&amp;"hanging"&amp;""""&amp;"&gt;"&amp;K380&amp;"&lt;a href="&amp;""""&amp;L380&amp;""""&amp;" target="&amp;""""&amp;"_blank"&amp;""""&amp;"&gt;"&amp;L380&amp;"&lt;/a&gt;&lt;span style="&amp;""""&amp;"color:white"&amp;""""&amp;"&gt;[.]{#"&amp;F380&amp;"}}&lt;/span&gt;&lt;/div&gt;&lt;br&gt;"</f>
        <v>&lt;div class="hanging"&gt;Rowcliffe, J. M., Field, J., Turvey, S. T., &amp; Carbone, C. (2008). Estimating animal Density using camera traps without the need for individual recognition. &lt;i&gt;Journal of Applied Ecology, 45&lt;/i&gt;(4), 1228-1236.&lt;a href="https://doi.org/10.1111/j.1365-2664.2008.01473.x" target="_blank"&gt;https://doi.org/10.1111/j.1365-2664.2008.01473.x&lt;/a&gt;&lt;span style="color:white"&gt;[.]{#rowcliffe_et_al_2008}}&lt;/span&gt;&lt;/div&gt;&lt;br&gt;</v>
      </c>
      <c r="O380" s="65" t="str">
        <f>"{{ rtxt_"&amp;F380&amp;" }}"</f>
        <v>{{ rtxt_rowcliffe_et_al_2008 }}</v>
      </c>
      <c r="P380" s="65" t="str">
        <f>"{{ rbib_"&amp;F380&amp;" }}"</f>
        <v>{{ rbib_rowcliffe_et_al_2008 }}</v>
      </c>
      <c r="Q380" s="65" t="str">
        <f>"    rtxt_"&amp;F380&amp;": "&amp;""""&amp;"&lt;a href=\"&amp;""""&amp;"/08_references.html#"&amp;F380&amp;"\"&amp;""""&amp;" target=\"&amp;""""&amp;"_blank\"&amp;""""&amp;"&gt;"&amp;G380&amp;"&lt;/a&gt;"&amp;""""</f>
        <v xml:space="preserve">    rtxt_rowcliffe_et_al_2008: "&lt;a href=\"/08_references.html#rowcliffe_et_al_2008\" target=\"_blank\"&gt;Rowcliffe et al., 2008&lt;/a&gt;"</v>
      </c>
      <c r="R380" s="65" t="str">
        <f>"    rbib_"&amp;F380&amp;": "&amp;""""&amp;K380&amp;"&lt;a href=\"&amp;""""&amp;L380&amp;""""&amp;" target=\"&amp;""""&amp;"_blank\"&amp;""""&amp;"&gt;"&amp;L380&amp;"&lt;/a&gt;"&amp;""""</f>
        <v xml:space="preserve">    rbib_rowcliffe_et_al_2008: "Rowcliffe, J. M., Field, J., Turvey, S. T., &amp; Carbone, C. (2008). Estimating animal Density using camera traps without the need for individual recognition. &lt;i&gt;Journal of Applied Ecology, 45&lt;/i&gt;(4), 1228-1236.&lt;a href=\"https://doi.org/10.1111/j.1365-2664.2008.01473.x" target=\"_blank\"&gt;https://doi.org/10.1111/j.1365-2664.2008.01473.x&lt;/a&gt;"</v>
      </c>
      <c r="S380" s="65" t="str">
        <f>"    rbib_"&amp;F380&amp;": "&amp;""""&amp;"&lt;div class=\"&amp;""""&amp;"hanging\"&amp;""""&amp;"&gt;"&amp;J380&amp;"&lt;/div&gt;"&amp;""""</f>
        <v xml:space="preserve">    rbib_rowcliffe_et_al_2008: "&lt;div class=\"hanging\"&gt;Rowcliffe, J. M., Field, J., Turvey, S. T., &amp; Carbone, C. (2008). Estimating animal Density using camera traps without the need for individual recognition. *Journal of Applied Ecology, 45*(4), 1228-1236. &lt;https://doi.org/10.1111/j.1365-2664.2008.01473.x&gt;&lt;/div&gt;"</v>
      </c>
      <c r="T380" s="65"/>
    </row>
    <row r="381" spans="1:20" ht="15.75">
      <c r="A381" s="65"/>
      <c r="B381" s="155" t="b">
        <v>1</v>
      </c>
      <c r="C381" s="155" t="b">
        <v>0</v>
      </c>
      <c r="D381" s="155" t="b">
        <v>0</v>
      </c>
      <c r="E381" s="65" t="s">
        <v>1904</v>
      </c>
      <c r="F381" s="65" t="s">
        <v>2407</v>
      </c>
      <c r="G381" s="65" t="s">
        <v>2406</v>
      </c>
      <c r="H381" s="65" t="s">
        <v>2406</v>
      </c>
      <c r="I381" s="65" t="b">
        <v>1</v>
      </c>
      <c r="J381" s="65" t="s">
        <v>2405</v>
      </c>
      <c r="K381" s="65" t="s">
        <v>5168</v>
      </c>
      <c r="L381" s="65" t="s">
        <v>2404</v>
      </c>
      <c r="M381" s="65" t="s">
        <v>984</v>
      </c>
      <c r="N381" s="65" t="str">
        <f>"&lt;div class="&amp;""""&amp;"hanging"&amp;""""&amp;"&gt;"&amp;K381&amp;"&lt;a href="&amp;""""&amp;L381&amp;""""&amp;" target="&amp;""""&amp;"_blank"&amp;""""&amp;"&gt;"&amp;L381&amp;"&lt;/a&gt;&lt;span style="&amp;""""&amp;"color:white"&amp;""""&amp;"&gt;[.]{#"&amp;F381&amp;"}}&lt;/span&gt;&lt;/div&gt;&lt;br&gt;"</f>
        <v>&lt;div class="hanging"&gt;Rowcliffe, J. M., Jansen, P. A., Kays, R., Kranstauber, B., &amp; Carbone, C. (2016). Wildlife speed cameras: measuring animal travel speed and day range using camera traps. &lt;i&gt;Remote Sensing in Ecology and Conservation, 2&lt;/i&gt;, 84-94.&lt;a href="https://doi.org/10.1002/rse2.17" target="_blank"&gt;https://doi.org/10.1002/rse2.17&lt;/a&gt;&lt;span style="color:white"&gt;[.]{#rowcliffe_et_al_2016}}&lt;/span&gt;&lt;/div&gt;&lt;br&gt;</v>
      </c>
      <c r="O381" s="65" t="str">
        <f>"{{ rtxt_"&amp;F381&amp;" }}"</f>
        <v>{{ rtxt_rowcliffe_et_al_2016 }}</v>
      </c>
      <c r="P381" s="65" t="str">
        <f>"{{ rbib_"&amp;F381&amp;" }}"</f>
        <v>{{ rbib_rowcliffe_et_al_2016 }}</v>
      </c>
      <c r="Q381" s="65" t="str">
        <f>"    rtxt_"&amp;F381&amp;": "&amp;""""&amp;"&lt;a href=\"&amp;""""&amp;"/08_references.html#"&amp;F381&amp;"\"&amp;""""&amp;" target=\"&amp;""""&amp;"_blank\"&amp;""""&amp;"&gt;"&amp;G381&amp;"&lt;/a&gt;"&amp;""""</f>
        <v xml:space="preserve">    rtxt_rowcliffe_et_al_2016: "&lt;a href=\"/08_references.html#rowcliffe_et_al_2016\" target=\"_blank\"&gt;Rowcliffe et al., 2016&lt;/a&gt;"</v>
      </c>
      <c r="R381" s="65" t="str">
        <f>"    rbib_"&amp;F381&amp;": "&amp;""""&amp;K381&amp;"&lt;a href=\"&amp;""""&amp;L381&amp;""""&amp;" target=\"&amp;""""&amp;"_blank\"&amp;""""&amp;"&gt;"&amp;L381&amp;"&lt;/a&gt;"&amp;""""</f>
        <v xml:space="preserve">    rbib_rowcliffe_et_al_2016: "Rowcliffe, J. M., Jansen, P. A., Kays, R., Kranstauber, B., &amp; Carbone, C. (2016). Wildlife speed cameras: measuring animal travel speed and day range using camera traps. &lt;i&gt;Remote Sensing in Ecology and Conservation, 2&lt;/i&gt;, 84-94.&lt;a href=\"https://doi.org/10.1002/rse2.17" target=\"_blank\"&gt;https://doi.org/10.1002/rse2.17&lt;/a&gt;"</v>
      </c>
      <c r="S381" s="65" t="str">
        <f>"    rbib_"&amp;F381&amp;": "&amp;""""&amp;"&lt;div class=\"&amp;""""&amp;"hanging\"&amp;""""&amp;"&gt;"&amp;J381&amp;"&lt;/div&gt;"&amp;""""</f>
        <v xml:space="preserve">    rbib_rowcliffe_et_al_2016: "&lt;div class=\"hanging\"&gt;Rowcliffe, J. M., Jansen, P. A., Kays, R., Kranstauber, B., &amp; Carbone, C. (2016). Wildlife speed cameras: measuring animal travel speed and day range using camera traps. *Remote Sensing in Ecology and Conservation, 2*, 84-94. &lt;https://doi.org/10.1002/rse2.17&gt;&lt;/div&gt;"</v>
      </c>
      <c r="T381" s="65"/>
    </row>
    <row r="382" spans="1:20" ht="15.75">
      <c r="A382" s="65"/>
      <c r="B382" s="155" t="b">
        <v>1</v>
      </c>
      <c r="C382" s="155" t="b">
        <v>0</v>
      </c>
      <c r="D382" s="155" t="b">
        <v>0</v>
      </c>
      <c r="E382" s="65" t="s">
        <v>1904</v>
      </c>
      <c r="F382" s="65" t="s">
        <v>2415</v>
      </c>
      <c r="G382" s="65" t="s">
        <v>2414</v>
      </c>
      <c r="H382" s="65" t="s">
        <v>2414</v>
      </c>
      <c r="I382" s="65" t="b">
        <v>1</v>
      </c>
      <c r="J382" s="65" t="s">
        <v>2413</v>
      </c>
      <c r="K382" s="65" t="s">
        <v>5164</v>
      </c>
      <c r="L382" s="65" t="s">
        <v>2412</v>
      </c>
      <c r="M382" s="65" t="s">
        <v>984</v>
      </c>
      <c r="N382" s="65" t="str">
        <f>"&lt;div class="&amp;""""&amp;"hanging"&amp;""""&amp;"&gt;"&amp;K382&amp;"&lt;a href="&amp;""""&amp;L382&amp;""""&amp;" target="&amp;""""&amp;"_blank"&amp;""""&amp;"&gt;"&amp;L382&amp;"&lt;/a&gt;&lt;span style="&amp;""""&amp;"color:white"&amp;""""&amp;"&gt;[.]{#"&amp;F382&amp;"}}&lt;/span&gt;&lt;/div&gt;&lt;br&gt;"</f>
        <v>&lt;div class="hanging"&gt;Rowcliffe, J. M., Kays, R., Carbone, C., &amp; Jansen, P. A. (2013). Clarifying assumptions behind the estimation of animal Density from camera trap rates. &lt;i&gt;The Journal of Wildlife Management, 77&lt;/i&gt;(5), 876-876.&lt;a href="https://doi.org/10.1002/jwmg.533" target="_blank"&gt;https://doi.org/10.1002/jwmg.533&lt;/a&gt;&lt;span style="color:white"&gt;[.]{#rowcliffe_et_al_2013}}&lt;/span&gt;&lt;/div&gt;&lt;br&gt;</v>
      </c>
      <c r="O382" s="65" t="str">
        <f>"{{ rtxt_"&amp;F382&amp;" }}"</f>
        <v>{{ rtxt_rowcliffe_et_al_2013 }}</v>
      </c>
      <c r="P382" s="65" t="str">
        <f>"{{ rbib_"&amp;F382&amp;" }}"</f>
        <v>{{ rbib_rowcliffe_et_al_2013 }}</v>
      </c>
      <c r="Q382" s="65" t="str">
        <f>"    rtxt_"&amp;F382&amp;": "&amp;""""&amp;"&lt;a href=\"&amp;""""&amp;"/08_references.html#"&amp;F382&amp;"\"&amp;""""&amp;" target=\"&amp;""""&amp;"_blank\"&amp;""""&amp;"&gt;"&amp;G382&amp;"&lt;/a&gt;"&amp;""""</f>
        <v xml:space="preserve">    rtxt_rowcliffe_et_al_2013: "&lt;a href=\"/08_references.html#rowcliffe_et_al_2013\" target=\"_blank\"&gt;Rowcliffe et al., 2013&lt;/a&gt;"</v>
      </c>
      <c r="R382" s="65" t="str">
        <f>"    rbib_"&amp;F382&amp;": "&amp;""""&amp;K382&amp;"&lt;a href=\"&amp;""""&amp;L382&amp;""""&amp;" target=\"&amp;""""&amp;"_blank\"&amp;""""&amp;"&gt;"&amp;L382&amp;"&lt;/a&gt;"&amp;""""</f>
        <v xml:space="preserve">    rbib_rowcliffe_et_al_2013: "Rowcliffe, J. M., Kays, R., Carbone, C., &amp; Jansen, P. A. (2013). Clarifying assumptions behind the estimation of animal Density from camera trap rates. &lt;i&gt;The Journal of Wildlife Management, 77&lt;/i&gt;(5), 876-876.&lt;a href=\"https://doi.org/10.1002/jwmg.533" target=\"_blank\"&gt;https://doi.org/10.1002/jwmg.533&lt;/a&gt;"</v>
      </c>
      <c r="S382" s="65" t="str">
        <f>"    rbib_"&amp;F382&amp;": "&amp;""""&amp;"&lt;div class=\"&amp;""""&amp;"hanging\"&amp;""""&amp;"&gt;"&amp;J382&amp;"&lt;/div&gt;"&amp;""""</f>
        <v xml:space="preserve">    rbib_rowcliffe_et_al_2013: "&lt;div class=\"hanging\"&gt;Rowcliffe, J. M., Kays, R., Carbone, C., &amp; Jansen, P. A. (2013). Clarifying assumptions behind the estimation of animal Density from camera trap rates. *The Journal of Wildlife Management, 77*(5), 876-876. &lt;https://doi.org/10.1002/jwmg.533&gt;&lt;/div&gt;"</v>
      </c>
      <c r="T382" s="65"/>
    </row>
    <row r="383" spans="1:20" ht="15.75">
      <c r="A383" s="65"/>
      <c r="B383" s="155" t="b">
        <v>1</v>
      </c>
      <c r="C383" s="155" t="b">
        <v>0</v>
      </c>
      <c r="D383" s="155" t="b">
        <v>0</v>
      </c>
      <c r="E383" s="65" t="s">
        <v>1904</v>
      </c>
      <c r="F383" s="65" t="s">
        <v>2411</v>
      </c>
      <c r="G383" s="65" t="s">
        <v>2410</v>
      </c>
      <c r="H383" s="65" t="s">
        <v>2410</v>
      </c>
      <c r="I383" s="65" t="b">
        <v>1</v>
      </c>
      <c r="J383" s="65" t="s">
        <v>2409</v>
      </c>
      <c r="K383" s="65" t="s">
        <v>6073</v>
      </c>
      <c r="L383" s="65" t="s">
        <v>2408</v>
      </c>
      <c r="M383" s="65" t="s">
        <v>984</v>
      </c>
      <c r="N383" s="65" t="str">
        <f>"&lt;div class="&amp;""""&amp;"hanging"&amp;""""&amp;"&gt;"&amp;K383&amp;"&lt;a href="&amp;""""&amp;L383&amp;""""&amp;" target="&amp;""""&amp;"_blank"&amp;""""&amp;"&gt;"&amp;L383&amp;"&lt;/a&gt;&lt;span style="&amp;""""&amp;"color:white"&amp;""""&amp;"&gt;[.]{#"&amp;F383&amp;"}}&lt;/span&gt;&lt;/div&gt;&lt;br&gt;"</f>
        <v>&lt;div class="hanging"&gt;Rowcliffe, J. M., Kays, R., Kranstauber, B., Carbone, C., Jansen, P. A., &amp; Fisher, D. (2014). Quantifying levels of animal activity using camera trap data. &lt;i&gt;Methods in Ecology and Evolution, 5&lt;/i&gt;(11), 1170-1179.&lt;a href="https://doi.org/10.1111/2041-210x.12278" target="_blank"&gt;https://doi.org/10.1111/2041-210x.12278&lt;/a&gt;&lt;span style="color:white"&gt;[.]{#rowcliffe_et_al_2014}}&lt;/span&gt;&lt;/div&gt;&lt;br&gt;</v>
      </c>
      <c r="O383" s="65" t="str">
        <f>"{{ rtxt_"&amp;F383&amp;" }}"</f>
        <v>{{ rtxt_rowcliffe_et_al_2014 }}</v>
      </c>
      <c r="P383" s="65" t="str">
        <f>"{{ rbib_"&amp;F383&amp;" }}"</f>
        <v>{{ rbib_rowcliffe_et_al_2014 }}</v>
      </c>
      <c r="Q383" s="65" t="str">
        <f>"    rtxt_"&amp;F383&amp;": "&amp;""""&amp;"&lt;a href=\"&amp;""""&amp;"/08_references.html#"&amp;F383&amp;"\"&amp;""""&amp;" target=\"&amp;""""&amp;"_blank\"&amp;""""&amp;"&gt;"&amp;G383&amp;"&lt;/a&gt;"&amp;""""</f>
        <v xml:space="preserve">    rtxt_rowcliffe_et_al_2014: "&lt;a href=\"/08_references.html#rowcliffe_et_al_2014\" target=\"_blank\"&gt;Rowcliffe et al., 2014&lt;/a&gt;"</v>
      </c>
      <c r="R383" s="65" t="str">
        <f>"    rbib_"&amp;F383&amp;": "&amp;""""&amp;K383&amp;"&lt;a href=\"&amp;""""&amp;L383&amp;""""&amp;" target=\"&amp;""""&amp;"_blank\"&amp;""""&amp;"&gt;"&amp;L383&amp;"&lt;/a&gt;"&amp;""""</f>
        <v xml:space="preserve">    rbib_rowcliffe_et_al_2014: "Rowcliffe, J. M., Kays, R., Kranstauber, B., Carbone, C., Jansen, P. A., &amp; Fisher, D. (2014). Quantifying levels of animal activity using camera trap data. &lt;i&gt;Methods in Ecology and Evolution, 5&lt;/i&gt;(11), 1170-1179.&lt;a href=\"https://doi.org/10.1111/2041-210x.12278" target=\"_blank\"&gt;https://doi.org/10.1111/2041-210x.12278&lt;/a&gt;"</v>
      </c>
      <c r="S383" s="65" t="str">
        <f>"    rbib_"&amp;F383&amp;": "&amp;""""&amp;"&lt;div class=\"&amp;""""&amp;"hanging\"&amp;""""&amp;"&gt;"&amp;J383&amp;"&lt;/div&gt;"&amp;""""</f>
        <v xml:space="preserve">    rbib_rowcliffe_et_al_2014: "&lt;div class=\"hanging\"&gt;Rowcliffe, J. M., Kays, R., Kranstauber, B., Carbone, C., Jansen, P. A., &amp; Fisher, D. (2014). Quantifying levels of animal activity using camera trap data. *Methods in Ecology and Evolution, 5*(11), 1170-1179. &lt;https://doi.org/10.1111/2041-210x.12278&gt;&lt;/div&gt;"</v>
      </c>
      <c r="T383" s="65"/>
    </row>
    <row r="384" spans="1:20" ht="15.75">
      <c r="A384" s="65"/>
      <c r="B384" s="155"/>
      <c r="C384" s="155"/>
      <c r="D384" s="155"/>
      <c r="E384" s="65" t="s">
        <v>1904</v>
      </c>
      <c r="F384" s="65" t="s">
        <v>2435</v>
      </c>
      <c r="G384" s="65" t="s">
        <v>2434</v>
      </c>
      <c r="H384" s="65" t="s">
        <v>2434</v>
      </c>
      <c r="I384" s="65" t="b">
        <v>1</v>
      </c>
      <c r="J384" s="65" t="s">
        <v>2433</v>
      </c>
      <c r="K384" s="65" t="s">
        <v>5404</v>
      </c>
      <c r="L384" s="65" t="s">
        <v>2432</v>
      </c>
      <c r="M384" s="65" t="s">
        <v>984</v>
      </c>
      <c r="N384" s="65" t="str">
        <f>"&lt;div class="&amp;""""&amp;"hanging"&amp;""""&amp;"&gt;"&amp;K384&amp;"&lt;a href="&amp;""""&amp;L384&amp;""""&amp;" target="&amp;""""&amp;"_blank"&amp;""""&amp;"&gt;"&amp;L384&amp;"&lt;/a&gt;&lt;span style="&amp;""""&amp;"color:white"&amp;""""&amp;"&gt;[.]{#"&amp;F384&amp;"}}&lt;/span&gt;&lt;/div&gt;&lt;br&gt;"</f>
        <v>&lt;div class="hanging"&gt;Rowcliffe, M. (2014). &lt;i&gt;Package 'activity': Animal Activity Statistics.&lt;/i&gt; R package version 1.3.4.&lt;a href="https://doi.org/10.32614/CRAN.package.activity" target="_blank"&gt;https://doi.org/10.32614/CRAN.package.activity&lt;/a&gt;&lt;span style="color:white"&gt;[.]{#rowcliffe_2014}}&lt;/span&gt;&lt;/div&gt;&lt;br&gt;</v>
      </c>
      <c r="O384" s="65" t="str">
        <f>"{{ rtxt_"&amp;F384&amp;" }}"</f>
        <v>{{ rtxt_rowcliffe_2014 }}</v>
      </c>
      <c r="P384" s="65" t="str">
        <f>"{{ rbib_"&amp;F384&amp;" }}"</f>
        <v>{{ rbib_rowcliffe_2014 }}</v>
      </c>
      <c r="Q384" s="65" t="str">
        <f>"    rtxt_"&amp;F384&amp;": "&amp;""""&amp;"&lt;a href=\"&amp;""""&amp;"/08_references.html#"&amp;F384&amp;"\"&amp;""""&amp;" target=\"&amp;""""&amp;"_blank\"&amp;""""&amp;"&gt;"&amp;G384&amp;"&lt;/a&gt;"&amp;""""</f>
        <v xml:space="preserve">    rtxt_rowcliffe_2014: "&lt;a href=\"/08_references.html#rowcliffe_2014\" target=\"_blank\"&gt;Rowcliffe, 2014&lt;/a&gt;"</v>
      </c>
      <c r="R384" s="65" t="str">
        <f>"    rbib_"&amp;F384&amp;": "&amp;""""&amp;K384&amp;"&lt;a href=\"&amp;""""&amp;L384&amp;""""&amp;" target=\"&amp;""""&amp;"_blank\"&amp;""""&amp;"&gt;"&amp;L384&amp;"&lt;/a&gt;"&amp;""""</f>
        <v xml:space="preserve">    rbib_rowcliffe_2014: "Rowcliffe, M. (2014). &lt;i&gt;Package 'activity': Animal Activity Statistics.&lt;/i&gt; R package version 1.3.4.&lt;a href=\"https://doi.org/10.32614/CRAN.package.activity" target=\"_blank\"&gt;https://doi.org/10.32614/CRAN.package.activity&lt;/a&gt;"</v>
      </c>
      <c r="S384" s="65" t="str">
        <f>"    rbib_"&amp;F384&amp;": "&amp;""""&amp;"&lt;div class=\"&amp;""""&amp;"hanging\"&amp;""""&amp;"&gt;"&amp;J384&amp;"&lt;/div&gt;"&amp;""""</f>
        <v xml:space="preserve">    rbib_rowcliffe_2014: "&lt;div class=\"hanging\"&gt;Rowcliffe, M. (2014). *Package 'activity': Animal Activity Statistics.* R package version 1.3.4. &lt;https://doi.org/10.32614/CRAN.package.activity&gt;&lt;/div&gt;"</v>
      </c>
      <c r="T384" s="65"/>
    </row>
    <row r="385" spans="1:20" ht="15.75">
      <c r="A385" s="65"/>
      <c r="B385" s="155"/>
      <c r="C385" s="155"/>
      <c r="D385" s="155"/>
      <c r="E385" s="65" t="s">
        <v>2246</v>
      </c>
      <c r="F385" s="65" t="s">
        <v>2431</v>
      </c>
      <c r="G385" s="65" t="s">
        <v>2430</v>
      </c>
      <c r="H385" s="65" t="s">
        <v>2430</v>
      </c>
      <c r="I385" s="65" t="b">
        <v>1</v>
      </c>
      <c r="J385" s="65" t="s">
        <v>2429</v>
      </c>
      <c r="K385" s="65" t="s">
        <v>5120</v>
      </c>
      <c r="L385" s="65" t="s">
        <v>2428</v>
      </c>
      <c r="M385" s="65" t="s">
        <v>984</v>
      </c>
      <c r="N385" s="65" t="str">
        <f>"&lt;div class="&amp;""""&amp;"hanging"&amp;""""&amp;"&gt;"&amp;K385&amp;"&lt;a href="&amp;""""&amp;L385&amp;""""&amp;" target="&amp;""""&amp;"_blank"&amp;""""&amp;"&gt;"&amp;L385&amp;"&lt;/a&gt;&lt;span style="&amp;""""&amp;"color:white"&amp;""""&amp;"&gt;[.]{#"&amp;F385&amp;"}}&lt;/span&gt;&lt;/div&gt;&lt;br&gt;"</f>
        <v>&lt;div class="hanging"&gt;Rowcliffe, M. (2023). &lt;i&gt;Package ‘activity. &lt;/i&gt; R package version 1.3.4.&lt;a href="https://cran.r-project.org/web/packages/activity/index.html" target="_blank"&gt;https://cran.r-project.org/web/packages/activity/index.html&lt;/a&gt;&lt;span style="color:white"&gt;[.]{#rowcliffe_2023}}&lt;/span&gt;&lt;/div&gt;&lt;br&gt;</v>
      </c>
      <c r="O385" s="65" t="str">
        <f>"{{ rtxt_"&amp;F385&amp;" }}"</f>
        <v>{{ rtxt_rowcliffe_2023 }}</v>
      </c>
      <c r="P385" s="65" t="str">
        <f>"{{ rbib_"&amp;F385&amp;" }}"</f>
        <v>{{ rbib_rowcliffe_2023 }}</v>
      </c>
      <c r="Q385" s="65" t="str">
        <f>"    rtxt_"&amp;F385&amp;": "&amp;""""&amp;"&lt;a href=\"&amp;""""&amp;"/08_references.html#"&amp;F385&amp;"\"&amp;""""&amp;" target=\"&amp;""""&amp;"_blank\"&amp;""""&amp;"&gt;"&amp;G385&amp;"&lt;/a&gt;"&amp;""""</f>
        <v xml:space="preserve">    rtxt_rowcliffe_2023: "&lt;a href=\"/08_references.html#rowcliffe_2023\" target=\"_blank\"&gt;Rowcliffe, 2023&lt;/a&gt;"</v>
      </c>
      <c r="R385" s="65" t="str">
        <f>"    rbib_"&amp;F385&amp;": "&amp;""""&amp;K385&amp;"&lt;a href=\"&amp;""""&amp;L385&amp;""""&amp;" target=\"&amp;""""&amp;"_blank\"&amp;""""&amp;"&gt;"&amp;L385&amp;"&lt;/a&gt;"&amp;""""</f>
        <v xml:space="preserve">    rbib_rowcliffe_2023: "Rowcliffe, M. (2023). &lt;i&gt;Package ‘activity. &lt;/i&gt; R package version 1.3.4.&lt;a href=\"https://cran.r-project.org/web/packages/activity/index.html" target=\"_blank\"&gt;https://cran.r-project.org/web/packages/activity/index.html&lt;/a&gt;"</v>
      </c>
      <c r="S385" s="65" t="str">
        <f>"    rbib_"&amp;F385&amp;": "&amp;""""&amp;"&lt;div class=\"&amp;""""&amp;"hanging\"&amp;""""&amp;"&gt;"&amp;J385&amp;"&lt;/div&gt;"&amp;""""</f>
        <v xml:space="preserve">    rbib_rowcliffe_2023: "&lt;div class=\"hanging\"&gt;Rowcliffe, M. (2023). *Package ‘activity. * R package version 1.3.4. &lt;https://cran.r-project.org/web/packages/activity/index.html&gt;&lt;/div&gt;"</v>
      </c>
      <c r="T385" s="65"/>
    </row>
    <row r="386" spans="1:20" ht="15.75">
      <c r="A386" s="65"/>
      <c r="B386" s="155" t="b">
        <v>1</v>
      </c>
      <c r="C386" s="155" t="b">
        <v>0</v>
      </c>
      <c r="D386" s="155" t="b">
        <v>0</v>
      </c>
      <c r="E386" s="65" t="s">
        <v>1904</v>
      </c>
      <c r="F386" s="65" t="s">
        <v>2419</v>
      </c>
      <c r="G386" s="65" t="s">
        <v>2418</v>
      </c>
      <c r="H386" s="65" t="s">
        <v>2418</v>
      </c>
      <c r="I386" s="65" t="b">
        <v>1</v>
      </c>
      <c r="J386" s="65" t="s">
        <v>2417</v>
      </c>
      <c r="K386" s="65" t="s">
        <v>5338</v>
      </c>
      <c r="L386" s="65" t="s">
        <v>2416</v>
      </c>
      <c r="M386" s="65" t="s">
        <v>984</v>
      </c>
      <c r="N386" s="65" t="str">
        <f>"&lt;div class="&amp;""""&amp;"hanging"&amp;""""&amp;"&gt;"&amp;K386&amp;"&lt;a href="&amp;""""&amp;L386&amp;""""&amp;" target="&amp;""""&amp;"_blank"&amp;""""&amp;"&gt;"&amp;L386&amp;"&lt;/a&gt;&lt;span style="&amp;""""&amp;"color:white"&amp;""""&amp;"&gt;[.]{#"&amp;F386&amp;"}}&lt;/span&gt;&lt;/div&gt;&lt;br&gt;"</f>
        <v>&lt;div class="hanging"&gt;Rowcliffe, M. J., Carbone, C., Jansen, P. A., Kays, R., &amp; Kranstauber, B. (2011). Quantifying the sensitivity of camera traps: an adapted distance sampling approach. &lt;i&gt;Methods in Ecology and Evolution, 2&lt;/i&gt;(5), 464-476.&lt;a href="https://doi.org/10.1111/j.2041-210X.2011.00094.x" target="_blank"&gt;https://doi.org/10.1111/j.2041-210X.2011.00094.x&lt;/a&gt;&lt;span style="color:white"&gt;[.]{#rowcliffe_et_al_2011}}&lt;/span&gt;&lt;/div&gt;&lt;br&gt;</v>
      </c>
      <c r="O386" s="65" t="str">
        <f>"{{ rtxt_"&amp;F386&amp;" }}"</f>
        <v>{{ rtxt_rowcliffe_et_al_2011 }}</v>
      </c>
      <c r="P386" s="65" t="str">
        <f>"{{ rbib_"&amp;F386&amp;" }}"</f>
        <v>{{ rbib_rowcliffe_et_al_2011 }}</v>
      </c>
      <c r="Q386" s="65" t="str">
        <f>"    rtxt_"&amp;F386&amp;": "&amp;""""&amp;"&lt;a href=\"&amp;""""&amp;"/08_references.html#"&amp;F386&amp;"\"&amp;""""&amp;" target=\"&amp;""""&amp;"_blank\"&amp;""""&amp;"&gt;"&amp;G386&amp;"&lt;/a&gt;"&amp;""""</f>
        <v xml:space="preserve">    rtxt_rowcliffe_et_al_2011: "&lt;a href=\"/08_references.html#rowcliffe_et_al_2011\" target=\"_blank\"&gt;Rowcliffe et al., 2011&lt;/a&gt;"</v>
      </c>
      <c r="R386" s="65" t="str">
        <f>"    rbib_"&amp;F386&amp;": "&amp;""""&amp;K386&amp;"&lt;a href=\"&amp;""""&amp;L386&amp;""""&amp;" target=\"&amp;""""&amp;"_blank\"&amp;""""&amp;"&gt;"&amp;L386&amp;"&lt;/a&gt;"&amp;""""</f>
        <v xml:space="preserve">    rbib_rowcliffe_et_al_2011: "Rowcliffe, M. J., Carbone, C., Jansen, P. A., Kays, R., &amp; Kranstauber, B. (2011). Quantifying the sensitivity of camera traps: an adapted distance sampling approach. &lt;i&gt;Methods in Ecology and Evolution, 2&lt;/i&gt;(5), 464-476.&lt;a href=\"https://doi.org/10.1111/j.2041-210X.2011.00094.x" target=\"_blank\"&gt;https://doi.org/10.1111/j.2041-210X.2011.00094.x&lt;/a&gt;"</v>
      </c>
      <c r="S386" s="65" t="str">
        <f>"    rbib_"&amp;F386&amp;": "&amp;""""&amp;"&lt;div class=\"&amp;""""&amp;"hanging\"&amp;""""&amp;"&gt;"&amp;J386&amp;"&lt;/div&gt;"&amp;""""</f>
        <v xml:space="preserve">    rbib_rowcliffe_et_al_2011: "&lt;div class=\"hanging\"&gt;Rowcliffe, M. J., Carbone, C., Jansen, P. A., Kays, R., &amp; Kranstauber, B. (2011). Quantifying the sensitivity of camera traps: an adapted distance sampling approach. *Methods in Ecology and Evolution, 2*(5), 464-476. &lt;https://doi.org/10.1111/j.2041-210X.2011.00094.x&gt;&lt;/div&gt;"</v>
      </c>
      <c r="T386" s="65"/>
    </row>
    <row r="387" spans="1:20" ht="15.75">
      <c r="A387" s="65"/>
      <c r="B387" s="155"/>
      <c r="C387" s="155"/>
      <c r="D387" s="155"/>
      <c r="E387" s="65" t="s">
        <v>1945</v>
      </c>
      <c r="F387" s="65" t="s">
        <v>2399</v>
      </c>
      <c r="G387" s="65" t="s">
        <v>2398</v>
      </c>
      <c r="H387" s="65" t="s">
        <v>2397</v>
      </c>
      <c r="I387" s="65" t="b">
        <v>1</v>
      </c>
      <c r="J387" s="65" t="s">
        <v>2396</v>
      </c>
      <c r="K387" s="65" t="s">
        <v>5524</v>
      </c>
      <c r="L387" s="65" t="s">
        <v>2394</v>
      </c>
      <c r="M387" s="65" t="s">
        <v>2395</v>
      </c>
      <c r="N387" s="65" t="str">
        <f>"&lt;div class="&amp;""""&amp;"hanging"&amp;""""&amp;"&gt;"&amp;K387&amp;"&lt;a href="&amp;""""&amp;L387&amp;""""&amp;" target="&amp;""""&amp;"_blank"&amp;""""&amp;"&gt;"&amp;L387&amp;"&lt;/a&gt;&lt;span style="&amp;""""&amp;"color:white"&amp;""""&amp;"&gt;[.]{#"&amp;F387&amp;"}}&lt;/span&gt;&lt;/div&gt;&lt;br&gt;"</f>
        <v>&lt;div class="hanging"&gt;Royle, A. J. (2016, Oct 17). &lt;i&gt;'Spatial Capture-Recapture Modelling.’ CompSustNet.&lt;/i&gt; [Video]. YouTube.&lt;a href="https://www.youtube.com/watch?v=4HKFimATq9E" target="_blank"&gt;https://www.youtube.com/watch?v=4HKFimATq9E&lt;/a&gt;&lt;span style="color:white"&gt;[.]{#royle_2016}}&lt;/span&gt;&lt;/div&gt;&lt;br&gt;</v>
      </c>
      <c r="O387" s="65" t="str">
        <f>"{{ rtxt_"&amp;F387&amp;" }}"</f>
        <v>{{ rtxt_royle_2016 }}</v>
      </c>
      <c r="P387" s="65" t="str">
        <f>"{{ rbib_"&amp;F387&amp;" }}"</f>
        <v>{{ rbib_royle_2016 }}</v>
      </c>
      <c r="Q387" s="65" t="str">
        <f>"    rtxt_"&amp;F387&amp;": "&amp;""""&amp;"&lt;a href=\"&amp;""""&amp;"/08_references.html#"&amp;F387&amp;"\"&amp;""""&amp;" target=\"&amp;""""&amp;"_blank\"&amp;""""&amp;"&gt;"&amp;G387&amp;"&lt;/a&gt;"&amp;""""</f>
        <v xml:space="preserve">    rtxt_royle_2016: "&lt;a href=\"/08_references.html#royle_2016\" target=\"_blank\"&gt;Royle, 2016&lt;/a&gt;"</v>
      </c>
      <c r="R387" s="65" t="str">
        <f>"    rbib_"&amp;F387&amp;": "&amp;""""&amp;K387&amp;"&lt;a href=\"&amp;""""&amp;L387&amp;""""&amp;" target=\"&amp;""""&amp;"_blank\"&amp;""""&amp;"&gt;"&amp;L387&amp;"&lt;/a&gt;"&amp;""""</f>
        <v xml:space="preserve">    rbib_royle_2016: "Royle, A. J. (2016, Oct 17). &lt;i&gt;'Spatial Capture-Recapture Modelling.’ CompSustNet.&lt;/i&gt; [Video]. YouTube.&lt;a href=\"https://www.youtube.com/watch?v=4HKFimATq9E" target=\"_blank\"&gt;https://www.youtube.com/watch?v=4HKFimATq9E&lt;/a&gt;"</v>
      </c>
      <c r="S387" s="65" t="str">
        <f>"    rbib_"&amp;F387&amp;": "&amp;""""&amp;"&lt;div class=\"&amp;""""&amp;"hanging\"&amp;""""&amp;"&gt;"&amp;J387&amp;"&lt;/div&gt;"&amp;""""</f>
        <v xml:space="preserve">    rbib_royle_2016: "&lt;div class=\"hanging\"&gt;Royle, A. J. (2016, Oct 17). *'Spatial Capture-Recapture Modelling.’ CompSustNet* [Video]. YouTube. &lt;https://www.youtube.com/watch?v=4HKFimATq9E&gt;&lt;/div&gt;"</v>
      </c>
      <c r="T387" s="65"/>
    </row>
    <row r="388" spans="1:20" ht="15.75">
      <c r="A388" s="65"/>
      <c r="B388" s="155"/>
      <c r="C388" s="155"/>
      <c r="D388" s="155"/>
      <c r="E388" s="65" t="s">
        <v>1945</v>
      </c>
      <c r="F388" s="65" t="s">
        <v>2393</v>
      </c>
      <c r="G388" s="65" t="s">
        <v>2392</v>
      </c>
      <c r="H388" s="65"/>
      <c r="I388" s="65" t="b">
        <v>1</v>
      </c>
      <c r="J388" s="65" t="s">
        <v>2391</v>
      </c>
      <c r="K388" s="65" t="s">
        <v>5553</v>
      </c>
      <c r="L388" s="65" t="s">
        <v>2389</v>
      </c>
      <c r="M388" s="65" t="s">
        <v>2390</v>
      </c>
      <c r="N388" s="65" t="str">
        <f>"&lt;div class="&amp;""""&amp;"hanging"&amp;""""&amp;"&gt;"&amp;K388&amp;"&lt;a href="&amp;""""&amp;L388&amp;""""&amp;" target="&amp;""""&amp;"_blank"&amp;""""&amp;"&gt;"&amp;L388&amp;"&lt;/a&gt;&lt;span style="&amp;""""&amp;"color:white"&amp;""""&amp;"&gt;[.]{#"&amp;F388&amp;"}}&lt;/span&gt;&lt;/div&gt;&lt;br&gt;"</f>
        <v>&lt;div class="hanging"&gt;Royle, A. J. (2020, Oct 26) &lt;i&gt;Introduction to Spatial Capture-Recapture. oSCR Package.&lt;/i&gt; [Video]. YouTube.&lt;a href="https://www.youtube.com/watch?v=yRRDi07FtPg" target="_blank"&gt;https://www.youtube.com/watch?v=yRRDi07FtPg&lt;/a&gt;&lt;span style="color:white"&gt;[.]{#royle_2020}}&lt;/span&gt;&lt;/div&gt;&lt;br&gt;</v>
      </c>
      <c r="O388" s="65" t="str">
        <f>"{{ rtxt_"&amp;F388&amp;" }}"</f>
        <v>{{ rtxt_royle_2020 }}</v>
      </c>
      <c r="P388" s="65" t="str">
        <f>"{{ rbib_"&amp;F388&amp;" }}"</f>
        <v>{{ rbib_royle_2020 }}</v>
      </c>
      <c r="Q388" s="65" t="str">
        <f>"    rtxt_"&amp;F388&amp;": "&amp;""""&amp;"&lt;a href=\"&amp;""""&amp;"/08_references.html#"&amp;F388&amp;"\"&amp;""""&amp;" target=\"&amp;""""&amp;"_blank\"&amp;""""&amp;"&gt;"&amp;G388&amp;"&lt;/a&gt;"&amp;""""</f>
        <v xml:space="preserve">    rtxt_royle_2020: "&lt;a href=\"/08_references.html#royle_2020\" target=\"_blank\"&gt;Royle, 2020&lt;/a&gt;"</v>
      </c>
      <c r="R388" s="65" t="str">
        <f>"    rbib_"&amp;F388&amp;": "&amp;""""&amp;K388&amp;"&lt;a href=\"&amp;""""&amp;L388&amp;""""&amp;" target=\"&amp;""""&amp;"_blank\"&amp;""""&amp;"&gt;"&amp;L388&amp;"&lt;/a&gt;"&amp;""""</f>
        <v xml:space="preserve">    rbib_royle_2020: "Royle, A. J. (2020, Oct 26) &lt;i&gt;Introduction to Spatial Capture-Recapture. oSCR Package.&lt;/i&gt; [Video]. YouTube.&lt;a href=\"https://www.youtube.com/watch?v=yRRDi07FtPg" target=\"_blank\"&gt;https://www.youtube.com/watch?v=yRRDi07FtPg&lt;/a&gt;"</v>
      </c>
      <c r="S388" s="65" t="str">
        <f>"    rbib_"&amp;F388&amp;": "&amp;""""&amp;"&lt;div class=\"&amp;""""&amp;"hanging\"&amp;""""&amp;"&gt;"&amp;J388&amp;"&lt;/div&gt;"&amp;""""</f>
        <v xml:space="preserve">    rbib_royle_2020: "&lt;div class=\"hanging\"&gt;Royle, A. J. (2020, Oct 26) *Introduction to Spatial Capture-Recapture. oSCR Package*, [Video]. YouTube. &lt;https://www.youtube.com/watch?v=yRRDi07FtPg&gt;&lt;/div&gt;"</v>
      </c>
      <c r="T388" s="65"/>
    </row>
    <row r="389" spans="1:20" ht="15.75">
      <c r="A389" s="65"/>
      <c r="B389" s="155" t="b">
        <v>1</v>
      </c>
      <c r="C389" s="155" t="b">
        <v>0</v>
      </c>
      <c r="D389" s="155" t="b">
        <v>0</v>
      </c>
      <c r="E389" s="65" t="s">
        <v>1904</v>
      </c>
      <c r="F389" s="65" t="s">
        <v>2403</v>
      </c>
      <c r="G389" s="65" t="s">
        <v>2402</v>
      </c>
      <c r="H389" s="65" t="s">
        <v>2402</v>
      </c>
      <c r="I389" s="65" t="b">
        <v>1</v>
      </c>
      <c r="J389" s="65" t="s">
        <v>2401</v>
      </c>
      <c r="K389" s="65" t="s">
        <v>5491</v>
      </c>
      <c r="L389" s="65" t="s">
        <v>2400</v>
      </c>
      <c r="M389" s="65" t="s">
        <v>984</v>
      </c>
      <c r="N389" s="65" t="str">
        <f>"&lt;div class="&amp;""""&amp;"hanging"&amp;""""&amp;"&gt;"&amp;K389&amp;"&lt;a href="&amp;""""&amp;L389&amp;""""&amp;" target="&amp;""""&amp;"_blank"&amp;""""&amp;"&gt;"&amp;L389&amp;"&lt;/a&gt;&lt;span style="&amp;""""&amp;"color:white"&amp;""""&amp;"&gt;[.]{#"&amp;F389&amp;"}}&lt;/span&gt;&lt;/div&gt;&lt;br&gt;"</f>
        <v>&lt;div class="hanging"&gt;Royle, J. A. (2004). N-mixture Models for estimating population size from spatially Repeated Counts. &lt;i&gt;International Biometric Society, 60&lt;/i&gt;(1), 108-115.&lt;a href="https://www.jstor.org/stable/3695558" target="_blank"&gt;https://www.jstor.org/stable/3695558&lt;/a&gt;&lt;span style="color:white"&gt;[.]{#royle_2004}}&lt;/span&gt;&lt;/div&gt;&lt;br&gt;</v>
      </c>
      <c r="O389" s="65" t="str">
        <f>"{{ rtxt_"&amp;F389&amp;" }}"</f>
        <v>{{ rtxt_royle_2004 }}</v>
      </c>
      <c r="P389" s="65" t="str">
        <f>"{{ rbib_"&amp;F389&amp;" }}"</f>
        <v>{{ rbib_royle_2004 }}</v>
      </c>
      <c r="Q389" s="65" t="str">
        <f>"    rtxt_"&amp;F389&amp;": "&amp;""""&amp;"&lt;a href=\"&amp;""""&amp;"/08_references.html#"&amp;F389&amp;"\"&amp;""""&amp;" target=\"&amp;""""&amp;"_blank\"&amp;""""&amp;"&gt;"&amp;G389&amp;"&lt;/a&gt;"&amp;""""</f>
        <v xml:space="preserve">    rtxt_royle_2004: "&lt;a href=\"/08_references.html#royle_2004\" target=\"_blank\"&gt;Royle, 2004&lt;/a&gt;"</v>
      </c>
      <c r="R389" s="65" t="str">
        <f>"    rbib_"&amp;F389&amp;": "&amp;""""&amp;K389&amp;"&lt;a href=\"&amp;""""&amp;L389&amp;""""&amp;" target=\"&amp;""""&amp;"_blank\"&amp;""""&amp;"&gt;"&amp;L389&amp;"&lt;/a&gt;"&amp;""""</f>
        <v xml:space="preserve">    rbib_royle_2004: "Royle, J. A. (2004). N-mixture Models for estimating population size from spatially Repeated Counts. &lt;i&gt;International Biometric Society, 60&lt;/i&gt;(1), 108-115.&lt;a href=\"https://www.jstor.org/stable/3695558" target=\"_blank\"&gt;https://www.jstor.org/stable/3695558&lt;/a&gt;"</v>
      </c>
      <c r="S389" s="65" t="str">
        <f>"    rbib_"&amp;F389&amp;": "&amp;""""&amp;"&lt;div class=\"&amp;""""&amp;"hanging\"&amp;""""&amp;"&gt;"&amp;J389&amp;"&lt;/div&gt;"&amp;""""</f>
        <v xml:space="preserve">    rbib_royle_2004: "&lt;div class=\"hanging\"&gt;Royle, J. A. (2004). N-mixture Models for estimating population size from spatially Repeated Counts. *International Biometric Society, 60*(1), 108-115. &lt;https://www.jstor.org/stable/3695558&gt;&lt;/div&gt;"</v>
      </c>
      <c r="T389" s="65"/>
    </row>
    <row r="390" spans="1:20" ht="15.75">
      <c r="A390" s="65"/>
      <c r="B390" s="155"/>
      <c r="C390" s="155"/>
      <c r="D390" s="155"/>
      <c r="E390" s="65" t="s">
        <v>1939</v>
      </c>
      <c r="F390" s="65" t="s">
        <v>2388</v>
      </c>
      <c r="G390" s="65" t="s">
        <v>2387</v>
      </c>
      <c r="H390" s="65" t="s">
        <v>2387</v>
      </c>
      <c r="I390" s="65" t="b">
        <v>1</v>
      </c>
      <c r="J390" s="65" t="s">
        <v>2386</v>
      </c>
      <c r="K390" s="65" t="s">
        <v>5217</v>
      </c>
      <c r="L390" s="65" t="s">
        <v>2385</v>
      </c>
      <c r="M390" s="65" t="s">
        <v>984</v>
      </c>
      <c r="N390" s="65" t="str">
        <f>"&lt;div class="&amp;""""&amp;"hanging"&amp;""""&amp;"&gt;"&amp;K390&amp;"&lt;a href="&amp;""""&amp;L390&amp;""""&amp;" target="&amp;""""&amp;"_blank"&amp;""""&amp;"&gt;"&amp;L390&amp;"&lt;/a&gt;&lt;span style="&amp;""""&amp;"color:white"&amp;""""&amp;"&gt;[.]{#"&amp;F390&amp;"}}&lt;/span&gt;&lt;/div&gt;&lt;br&gt;"</f>
        <v>&lt;div class="hanging"&gt;Royle, J. A., &amp; Dorazio, R. M. (2008). &lt;i&gt;Hierarchical Modeling and Inference in Ecology: The Analysis of Data from Populations, Metapopulations and Communities.&lt;/i&gt; 1st ed. Academic Press, Amsterdam; Boston.&lt;a href="https://doi.org/10.1016/B978-0-12-374097-7.50001-5" target="_blank"&gt;https://doi.org/10.1016/B978-0-12-374097-7.50001-5&lt;/a&gt;&lt;span style="color:white"&gt;[.]{#royle_dorazio_2008}}&lt;/span&gt;&lt;/div&gt;&lt;br&gt;</v>
      </c>
      <c r="O390" s="65" t="str">
        <f>"{{ rtxt_"&amp;F390&amp;" }}"</f>
        <v>{{ rtxt_royle_dorazio_2008 }}</v>
      </c>
      <c r="P390" s="65" t="str">
        <f>"{{ rbib_"&amp;F390&amp;" }}"</f>
        <v>{{ rbib_royle_dorazio_2008 }}</v>
      </c>
      <c r="Q390" s="65" t="str">
        <f>"    rtxt_"&amp;F390&amp;": "&amp;""""&amp;"&lt;a href=\"&amp;""""&amp;"/08_references.html#"&amp;F390&amp;"\"&amp;""""&amp;" target=\"&amp;""""&amp;"_blank\"&amp;""""&amp;"&gt;"&amp;G390&amp;"&lt;/a&gt;"&amp;""""</f>
        <v xml:space="preserve">    rtxt_royle_dorazio_2008: "&lt;a href=\"/08_references.html#royle_dorazio_2008\" target=\"_blank\"&gt;Royle &amp; Dorazio, 2008&lt;/a&gt;"</v>
      </c>
      <c r="R390" s="65" t="str">
        <f>"    rbib_"&amp;F390&amp;": "&amp;""""&amp;K390&amp;"&lt;a href=\"&amp;""""&amp;L390&amp;""""&amp;" target=\"&amp;""""&amp;"_blank\"&amp;""""&amp;"&gt;"&amp;L390&amp;"&lt;/a&gt;"&amp;""""</f>
        <v xml:space="preserve">    rbib_royle_dorazio_2008: "Royle, J. A., &amp; Dorazio, R. M. (2008). &lt;i&gt;Hierarchical Modeling and Inference in Ecology: The Analysis of Data from Populations, Metapopulations and Communities.&lt;/i&gt; 1st ed. Academic Press, Amsterdam; Boston.&lt;a href=\"https://doi.org/10.1016/B978-0-12-374097-7.50001-5" target=\"_blank\"&gt;https://doi.org/10.1016/B978-0-12-374097-7.50001-5&lt;/a&gt;"</v>
      </c>
      <c r="S390" s="65" t="str">
        <f>"    rbib_"&amp;F390&amp;": "&amp;""""&amp;"&lt;div class=\"&amp;""""&amp;"hanging\"&amp;""""&amp;"&gt;"&amp;J390&amp;"&lt;/div&gt;"&amp;""""</f>
        <v xml:space="preserve">    rbib_royle_dorazio_2008: "&lt;div class=\"hanging\"&gt;Royle, J. A., &amp; Dorazio, R. M. (2008). *Hierarchical Modeling and Inference in Ecology: The Analysis of Data from Populations, Metapopulations and Communities.* 1st ed. Academic Press, Amsterdam; Boston. &lt;https://doi.org/10.1016/B978-0-12-374097-7.50001-5&gt;&lt;/div&gt;"</v>
      </c>
      <c r="T390" s="65"/>
    </row>
    <row r="391" spans="1:20" ht="15.75">
      <c r="A391" s="65"/>
      <c r="B391" s="155"/>
      <c r="C391" s="155"/>
      <c r="D391" s="155"/>
      <c r="E391" s="65" t="s">
        <v>1904</v>
      </c>
      <c r="F391" s="65" t="s">
        <v>2384</v>
      </c>
      <c r="G391" s="65" t="s">
        <v>2383</v>
      </c>
      <c r="H391" s="65" t="s">
        <v>2383</v>
      </c>
      <c r="I391" s="65" t="b">
        <v>1</v>
      </c>
      <c r="J391" s="65" t="s">
        <v>2382</v>
      </c>
      <c r="K391" s="65" t="s">
        <v>5201</v>
      </c>
      <c r="L391" s="65" t="s">
        <v>2381</v>
      </c>
      <c r="M391" s="65" t="s">
        <v>984</v>
      </c>
      <c r="N391" s="65" t="str">
        <f>"&lt;div class="&amp;""""&amp;"hanging"&amp;""""&amp;"&gt;"&amp;K391&amp;"&lt;a href="&amp;""""&amp;L391&amp;""""&amp;" target="&amp;""""&amp;"_blank"&amp;""""&amp;"&gt;"&amp;L391&amp;"&lt;/a&gt;&lt;span style="&amp;""""&amp;"color:white"&amp;""""&amp;"&gt;[.]{#"&amp;F391&amp;"}}&lt;/span&gt;&lt;/div&gt;&lt;br&gt;"</f>
        <v>&lt;div class="hanging"&gt;Royle, J. A., &amp; Dorazio, R. M. (2012). Parameter-expanded data augmentation for Bayesian analysis of capture-recapture models. &lt;i&gt;Journal of Ornithology, 152&lt;/i&gt;(S2), 521-537.&lt;a href="https://doi.org/10.1007/s10336-010-0619-4" target="_blank"&gt;https://doi.org/10.1007/s10336-010-0619-4&lt;/a&gt;&lt;span style="color:white"&gt;[.]{#royle_dorazio_2012}}&lt;/span&gt;&lt;/div&gt;&lt;br&gt;</v>
      </c>
      <c r="O391" s="65" t="str">
        <f>"{{ rtxt_"&amp;F391&amp;" }}"</f>
        <v>{{ rtxt_royle_dorazio_2012 }}</v>
      </c>
      <c r="P391" s="65" t="str">
        <f>"{{ rbib_"&amp;F391&amp;" }}"</f>
        <v>{{ rbib_royle_dorazio_2012 }}</v>
      </c>
      <c r="Q391" s="65" t="str">
        <f>"    rtxt_"&amp;F391&amp;": "&amp;""""&amp;"&lt;a href=\"&amp;""""&amp;"/08_references.html#"&amp;F391&amp;"\"&amp;""""&amp;" target=\"&amp;""""&amp;"_blank\"&amp;""""&amp;"&gt;"&amp;G391&amp;"&lt;/a&gt;"&amp;""""</f>
        <v xml:space="preserve">    rtxt_royle_dorazio_2012: "&lt;a href=\"/08_references.html#royle_dorazio_2012\" target=\"_blank\"&gt;Royle &amp; Dorazio, 2012&lt;/a&gt;"</v>
      </c>
      <c r="R391" s="65" t="str">
        <f>"    rbib_"&amp;F391&amp;": "&amp;""""&amp;K391&amp;"&lt;a href=\"&amp;""""&amp;L391&amp;""""&amp;" target=\"&amp;""""&amp;"_blank\"&amp;""""&amp;"&gt;"&amp;L391&amp;"&lt;/a&gt;"&amp;""""</f>
        <v xml:space="preserve">    rbib_royle_dorazio_2012: "Royle, J. A., &amp; Dorazio, R. M. (2012). Parameter-expanded data augmentation for Bayesian analysis of capture-recapture models. &lt;i&gt;Journal of Ornithology, 152&lt;/i&gt;(S2), 521-537.&lt;a href=\"https://doi.org/10.1007/s10336-010-0619-4" target=\"_blank\"&gt;https://doi.org/10.1007/s10336-010-0619-4&lt;/a&gt;"</v>
      </c>
      <c r="S391" s="65" t="str">
        <f>"    rbib_"&amp;F391&amp;": "&amp;""""&amp;"&lt;div class=\"&amp;""""&amp;"hanging\"&amp;""""&amp;"&gt;"&amp;J391&amp;"&lt;/div&gt;"&amp;""""</f>
        <v xml:space="preserve">    rbib_royle_dorazio_2012: "&lt;div class=\"hanging\"&gt;Royle, J. A., &amp; Dorazio, R. M. (2012). Parameter-expanded data augmentation for Bayesian analysis of capture-recapture models. *Journal of Ornithology, 152*(S2), 521-537. &lt;https://doi.org/10.1007/s10336-010-0619-4&gt;&lt;/div&gt;"</v>
      </c>
      <c r="T391" s="65"/>
    </row>
    <row r="392" spans="1:20" ht="15.75">
      <c r="A392" s="65"/>
      <c r="B392" s="155" t="b">
        <v>1</v>
      </c>
      <c r="C392" s="155" t="b">
        <v>0</v>
      </c>
      <c r="D392" s="155" t="b">
        <v>0</v>
      </c>
      <c r="E392" s="65" t="s">
        <v>1904</v>
      </c>
      <c r="F392" s="65" t="s">
        <v>2367</v>
      </c>
      <c r="G392" s="65" t="s">
        <v>2366</v>
      </c>
      <c r="H392" s="65" t="s">
        <v>2366</v>
      </c>
      <c r="I392" s="65" t="b">
        <v>1</v>
      </c>
      <c r="J392" s="65" t="s">
        <v>2365</v>
      </c>
      <c r="K392" s="65" t="s">
        <v>5379</v>
      </c>
      <c r="L392" s="65" t="s">
        <v>2364</v>
      </c>
      <c r="M392" s="65" t="s">
        <v>984</v>
      </c>
      <c r="N392" s="65" t="str">
        <f>"&lt;div class="&amp;""""&amp;"hanging"&amp;""""&amp;"&gt;"&amp;K392&amp;"&lt;a href="&amp;""""&amp;L392&amp;""""&amp;" target="&amp;""""&amp;"_blank"&amp;""""&amp;"&gt;"&amp;L392&amp;"&lt;/a&gt;&lt;span style="&amp;""""&amp;"color:white"&amp;""""&amp;"&gt;[.]{#"&amp;F392&amp;"}}&lt;/span&gt;&lt;/div&gt;&lt;br&gt;"</f>
        <v>&lt;div class="hanging"&gt;Royle, J. A., &amp; Nichols, J. D. (2003). Estimating abundance from repeated presence-absence data or point counts. &lt;i&gt;Ecology, 84&lt;/i&gt;, 777-790.&lt;a href="https://doi.org/10.1890/0012-9658(2003)084[0777:EAFRPA]2.0.CO;2" target="_blank"&gt;https://doi.org/10.1890/0012-9658(2003)084[0777:EAFRPA]2.0.CO;2&lt;/a&gt;&lt;span style="color:white"&gt;[.]{#royle_nichols_2003}}&lt;/span&gt;&lt;/div&gt;&lt;br&gt;</v>
      </c>
      <c r="O392" s="65" t="str">
        <f>"{{ rtxt_"&amp;F392&amp;" }}"</f>
        <v>{{ rtxt_royle_nichols_2003 }}</v>
      </c>
      <c r="P392" s="65" t="str">
        <f>"{{ rbib_"&amp;F392&amp;" }}"</f>
        <v>{{ rbib_royle_nichols_2003 }}</v>
      </c>
      <c r="Q392" s="65" t="str">
        <f>"    rtxt_"&amp;F392&amp;": "&amp;""""&amp;"&lt;a href=\"&amp;""""&amp;"/08_references.html#"&amp;F392&amp;"\"&amp;""""&amp;" target=\"&amp;""""&amp;"_blank\"&amp;""""&amp;"&gt;"&amp;G392&amp;"&lt;/a&gt;"&amp;""""</f>
        <v xml:space="preserve">    rtxt_royle_nichols_2003: "&lt;a href=\"/08_references.html#royle_nichols_2003\" target=\"_blank\"&gt;Royle &amp; Nichols, 2003&lt;/a&gt;"</v>
      </c>
      <c r="R392" s="65" t="str">
        <f>"    rbib_"&amp;F392&amp;": "&amp;""""&amp;K392&amp;"&lt;a href=\"&amp;""""&amp;L392&amp;""""&amp;" target=\"&amp;""""&amp;"_blank\"&amp;""""&amp;"&gt;"&amp;L392&amp;"&lt;/a&gt;"&amp;""""</f>
        <v xml:space="preserve">    rbib_royle_nichols_2003: "Royle, J. A., &amp; Nichols, J. D. (2003). Estimating abundance from repeated presence-absence data or point counts. &lt;i&gt;Ecology, 84&lt;/i&gt;, 777-790.&lt;a href=\"https://doi.org/10.1890/0012-9658(2003)084[0777:EAFRPA]2.0.CO;2" target=\"_blank\"&gt;https://doi.org/10.1890/0012-9658(2003)084[0777:EAFRPA]2.0.CO;2&lt;/a&gt;"</v>
      </c>
      <c r="S392" s="65" t="str">
        <f>"    rbib_"&amp;F392&amp;": "&amp;""""&amp;"&lt;div class=\"&amp;""""&amp;"hanging\"&amp;""""&amp;"&gt;"&amp;J392&amp;"&lt;/div&gt;"&amp;""""</f>
        <v xml:space="preserve">    rbib_royle_nichols_2003: "&lt;div class=\"hanging\"&gt;Royle, J. A., &amp; Nichols, J. D. (2003). Estimating abundance from repeated presence-absence data or point counts. *Ecology, 84*, 777-790. &lt;https://doi.org/10.1890/0012-9658(2003)084[0777:EAFRPA]2.0.CO;2&gt;&lt;/div&gt;"</v>
      </c>
      <c r="T392" s="65"/>
    </row>
    <row r="393" spans="1:20" ht="15.75">
      <c r="A393" s="65"/>
      <c r="B393" s="155" t="b">
        <v>1</v>
      </c>
      <c r="C393" s="155" t="b">
        <v>1</v>
      </c>
      <c r="D393" s="155" t="b">
        <v>0</v>
      </c>
      <c r="E393" s="65" t="s">
        <v>1904</v>
      </c>
      <c r="F393" s="65" t="s">
        <v>2363</v>
      </c>
      <c r="G393" s="65" t="s">
        <v>2362</v>
      </c>
      <c r="H393" s="65" t="s">
        <v>2362</v>
      </c>
      <c r="I393" s="65" t="b">
        <v>1</v>
      </c>
      <c r="J393" s="65" t="s">
        <v>2361</v>
      </c>
      <c r="K393" s="65" t="s">
        <v>5383</v>
      </c>
      <c r="L393" s="65" t="s">
        <v>2360</v>
      </c>
      <c r="M393" s="65" t="s">
        <v>984</v>
      </c>
      <c r="N393" s="65" t="str">
        <f>"&lt;div class="&amp;""""&amp;"hanging"&amp;""""&amp;"&gt;"&amp;K393&amp;"&lt;a href="&amp;""""&amp;L393&amp;""""&amp;" target="&amp;""""&amp;"_blank"&amp;""""&amp;"&gt;"&amp;L393&amp;"&lt;/a&gt;&lt;span style="&amp;""""&amp;"color:white"&amp;""""&amp;"&gt;[.]{#"&amp;F393&amp;"}}&lt;/span&gt;&lt;/div&gt;&lt;br&gt;"</f>
        <v>&lt;div class="hanging"&gt;Royle, J. A., &amp; Young, K. V. (2008). A hierarchical model for spatial capture-recapture data. &lt;i&gt;Ecology, 89&lt;/i&gt;(8), 2281-2289.&lt;a href="https://doi.org/10.1890/07-0601.1" target="_blank"&gt;https://doi.org/10.1890/07-0601.1&lt;/a&gt;&lt;span style="color:white"&gt;[.]{#royle_young_2008}}&lt;/span&gt;&lt;/div&gt;&lt;br&gt;</v>
      </c>
      <c r="O393" s="65" t="str">
        <f>"{{ rtxt_"&amp;F393&amp;" }}"</f>
        <v>{{ rtxt_royle_young_2008 }}</v>
      </c>
      <c r="P393" s="65" t="str">
        <f>"{{ rbib_"&amp;F393&amp;" }}"</f>
        <v>{{ rbib_royle_young_2008 }}</v>
      </c>
      <c r="Q393" s="65" t="str">
        <f>"    rtxt_"&amp;F393&amp;": "&amp;""""&amp;"&lt;a href=\"&amp;""""&amp;"/08_references.html#"&amp;F393&amp;"\"&amp;""""&amp;" target=\"&amp;""""&amp;"_blank\"&amp;""""&amp;"&gt;"&amp;G393&amp;"&lt;/a&gt;"&amp;""""</f>
        <v xml:space="preserve">    rtxt_royle_young_2008: "&lt;a href=\"/08_references.html#royle_young_2008\" target=\"_blank\"&gt;Royle &amp; Young, 2008&lt;/a&gt;"</v>
      </c>
      <c r="R393" s="65" t="str">
        <f>"    rbib_"&amp;F393&amp;": "&amp;""""&amp;K393&amp;"&lt;a href=\"&amp;""""&amp;L393&amp;""""&amp;" target=\"&amp;""""&amp;"_blank\"&amp;""""&amp;"&gt;"&amp;L393&amp;"&lt;/a&gt;"&amp;""""</f>
        <v xml:space="preserve">    rbib_royle_young_2008: "Royle, J. A., &amp; Young, K. V. (2008). A hierarchical model for spatial capture-recapture data. &lt;i&gt;Ecology, 89&lt;/i&gt;(8), 2281-2289.&lt;a href=\"https://doi.org/10.1890/07-0601.1" target=\"_blank\"&gt;https://doi.org/10.1890/07-0601.1&lt;/a&gt;"</v>
      </c>
      <c r="S393" s="65" t="str">
        <f>"    rbib_"&amp;F393&amp;": "&amp;""""&amp;"&lt;div class=\"&amp;""""&amp;"hanging\"&amp;""""&amp;"&gt;"&amp;J393&amp;"&lt;/div&gt;"&amp;""""</f>
        <v xml:space="preserve">    rbib_royle_young_2008: "&lt;div class=\"hanging\"&gt;Royle, J. A., &amp; Young, K. V. (2008). A hierarchical model for spatial capture-recapture data. *Ecology, 89*(8), 2281-2289. &lt;https://doi.org/10.1890/07-0601.1&gt;&lt;/div&gt;"</v>
      </c>
      <c r="T393" s="65"/>
    </row>
    <row r="394" spans="1:20" ht="15.75">
      <c r="A394" s="65"/>
      <c r="B394" s="155" t="b">
        <v>1</v>
      </c>
      <c r="C394" s="155" t="b">
        <v>0</v>
      </c>
      <c r="D394" s="155" t="b">
        <v>0</v>
      </c>
      <c r="E394" s="65" t="s">
        <v>1904</v>
      </c>
      <c r="F394" s="65" t="s">
        <v>2372</v>
      </c>
      <c r="G394" s="65" t="s">
        <v>2371</v>
      </c>
      <c r="H394" s="65" t="s">
        <v>2370</v>
      </c>
      <c r="I394" s="65" t="b">
        <v>1</v>
      </c>
      <c r="J394" s="65" t="s">
        <v>2369</v>
      </c>
      <c r="K394" s="65" t="s">
        <v>5288</v>
      </c>
      <c r="L394" s="65" t="s">
        <v>2368</v>
      </c>
      <c r="M394" s="65" t="s">
        <v>984</v>
      </c>
      <c r="N394" s="65" t="str">
        <f>"&lt;div class="&amp;""""&amp;"hanging"&amp;""""&amp;"&gt;"&amp;K394&amp;"&lt;a href="&amp;""""&amp;L394&amp;""""&amp;" target="&amp;""""&amp;"_blank"&amp;""""&amp;"&gt;"&amp;L394&amp;"&lt;/a&gt;&lt;span style="&amp;""""&amp;"color:white"&amp;""""&amp;"&gt;[.]{#"&amp;F394&amp;"}}&lt;/span&gt;&lt;/div&gt;&lt;br&gt;"</f>
        <v>&lt;div class="hanging"&gt;Royle, J. A., Converse, S. J., &amp; Freckleton, R. (2014). Hierarchical spatial capture-recapture models: modelling population Density in stratified populations. &lt;i&gt;Methods in Ecology and Evolution, 5&lt;/i&gt;(1), 37-43.&lt;a href="https://doi.org/10.1111/2041-210x.12135" target="_blank"&gt;https://doi.org/10.1111/2041-210x.12135&lt;/a&gt;&lt;span style="color:white"&gt;[.]{#royle_et_al_2014}}&lt;/span&gt;&lt;/div&gt;&lt;br&gt;</v>
      </c>
      <c r="O394" s="65" t="str">
        <f>"{{ rtxt_"&amp;F394&amp;" }}"</f>
        <v>{{ rtxt_royle_et_al_2014 }}</v>
      </c>
      <c r="P394" s="65" t="str">
        <f>"{{ rbib_"&amp;F394&amp;" }}"</f>
        <v>{{ rbib_royle_et_al_2014 }}</v>
      </c>
      <c r="Q394" s="65" t="str">
        <f>"    rtxt_"&amp;F394&amp;": "&amp;""""&amp;"&lt;a href=\"&amp;""""&amp;"/08_references.html#"&amp;F394&amp;"\"&amp;""""&amp;" target=\"&amp;""""&amp;"_blank\"&amp;""""&amp;"&gt;"&amp;G394&amp;"&lt;/a&gt;"&amp;""""</f>
        <v xml:space="preserve">    rtxt_royle_et_al_2014: "&lt;a href=\"/08_references.html#royle_et_al_2014\" target=\"_blank\"&gt;Royle et al., 2014&lt;/a&gt;"</v>
      </c>
      <c r="R394" s="65" t="str">
        <f>"    rbib_"&amp;F394&amp;": "&amp;""""&amp;K394&amp;"&lt;a href=\"&amp;""""&amp;L394&amp;""""&amp;" target=\"&amp;""""&amp;"_blank\"&amp;""""&amp;"&gt;"&amp;L394&amp;"&lt;/a&gt;"&amp;""""</f>
        <v xml:space="preserve">    rbib_royle_et_al_2014: "Royle, J. A., Converse, S. J., &amp; Freckleton, R. (2014). Hierarchical spatial capture-recapture models: modelling population Density in stratified populations. &lt;i&gt;Methods in Ecology and Evolution, 5&lt;/i&gt;(1), 37-43.&lt;a href=\"https://doi.org/10.1111/2041-210x.12135" target=\"_blank\"&gt;https://doi.org/10.1111/2041-210x.12135&lt;/a&gt;"</v>
      </c>
      <c r="S394" s="65" t="str">
        <f>"    rbib_"&amp;F394&amp;": "&amp;""""&amp;"&lt;div class=\"&amp;""""&amp;"hanging\"&amp;""""&amp;"&gt;"&amp;J394&amp;"&lt;/div&gt;"&amp;""""</f>
        <v xml:space="preserve">    rbib_royle_et_al_2014: "&lt;div class=\"hanging\"&gt;Royle, J. A., Converse, S. J., &amp; Freckleton, R. (2014). Hierarchical spatial capture-recapture models: modelling population Density in stratified populations. *Methods in Ecology and Evolution, 5*(1), 37-43. &lt;https://doi.org/10.1111/2041-210x.12135&gt;&lt;/div&gt;"</v>
      </c>
      <c r="T394" s="65"/>
    </row>
    <row r="395" spans="1:20" ht="15.75">
      <c r="A395" s="65"/>
      <c r="B395" s="155" t="b">
        <v>1</v>
      </c>
      <c r="C395" s="155" t="b">
        <v>0</v>
      </c>
      <c r="D395" s="155" t="b">
        <v>0</v>
      </c>
      <c r="E395" s="65" t="s">
        <v>1904</v>
      </c>
      <c r="F395" s="65" t="s">
        <v>2380</v>
      </c>
      <c r="G395" s="65" t="s">
        <v>2379</v>
      </c>
      <c r="H395" s="65" t="s">
        <v>2379</v>
      </c>
      <c r="I395" s="65" t="b">
        <v>1</v>
      </c>
      <c r="J395" s="65" t="s">
        <v>2378</v>
      </c>
      <c r="K395" s="65" t="s">
        <v>5320</v>
      </c>
      <c r="L395" s="65" t="s">
        <v>2377</v>
      </c>
      <c r="M395" s="65" t="s">
        <v>984</v>
      </c>
      <c r="N395" s="65" t="str">
        <f>"&lt;div class="&amp;""""&amp;"hanging"&amp;""""&amp;"&gt;"&amp;K395&amp;"&lt;a href="&amp;""""&amp;L395&amp;""""&amp;" target="&amp;""""&amp;"_blank"&amp;""""&amp;"&gt;"&amp;L395&amp;"&lt;/a&gt;&lt;span style="&amp;""""&amp;"color:white"&amp;""""&amp;"&gt;[.]{#"&amp;F395&amp;"}}&lt;/span&gt;&lt;/div&gt;&lt;br&gt;"</f>
        <v>&lt;div class="hanging"&gt;Royle, J. A., Nichols, J. D., Karanth, K. U., &amp; Gopalaswamy, A. M. (2009). A hierarchical model for estimating Density in camera-trap studies. &lt;i&gt;Journal of Applied Ecology, 46&lt;/i&gt;(1), 118-127.&lt;a href="https://doi.org/10.1111/j.1365-2664.2008.01578.x" target="_blank"&gt;https://doi.org/10.1111/j.1365-2664.2008.01578.x&lt;/a&gt;&lt;span style="color:white"&gt;[.]{#royle_et_al_2009}}&lt;/span&gt;&lt;/div&gt;&lt;br&gt;</v>
      </c>
      <c r="O395" s="65" t="str">
        <f>"{{ rtxt_"&amp;F395&amp;" }}"</f>
        <v>{{ rtxt_royle_et_al_2009 }}</v>
      </c>
      <c r="P395" s="65" t="str">
        <f>"{{ rbib_"&amp;F395&amp;" }}"</f>
        <v>{{ rbib_royle_et_al_2009 }}</v>
      </c>
      <c r="Q395" s="65" t="str">
        <f>"    rtxt_"&amp;F395&amp;": "&amp;""""&amp;"&lt;a href=\"&amp;""""&amp;"/08_references.html#"&amp;F395&amp;"\"&amp;""""&amp;" target=\"&amp;""""&amp;"_blank\"&amp;""""&amp;"&gt;"&amp;G395&amp;"&lt;/a&gt;"&amp;""""</f>
        <v xml:space="preserve">    rtxt_royle_et_al_2009: "&lt;a href=\"/08_references.html#royle_et_al_2009\" target=\"_blank\"&gt;Royle et al., 2009&lt;/a&gt;"</v>
      </c>
      <c r="R395" s="65" t="str">
        <f>"    rbib_"&amp;F395&amp;": "&amp;""""&amp;K395&amp;"&lt;a href=\"&amp;""""&amp;L395&amp;""""&amp;" target=\"&amp;""""&amp;"_blank\"&amp;""""&amp;"&gt;"&amp;L395&amp;"&lt;/a&gt;"&amp;""""</f>
        <v xml:space="preserve">    rbib_royle_et_al_2009: "Royle, J. A., Nichols, J. D., Karanth, K. U., &amp; Gopalaswamy, A. M. (2009). A hierarchical model for estimating Density in camera-trap studies. &lt;i&gt;Journal of Applied Ecology, 46&lt;/i&gt;(1), 118-127.&lt;a href=\"https://doi.org/10.1111/j.1365-2664.2008.01578.x" target=\"_blank\"&gt;https://doi.org/10.1111/j.1365-2664.2008.01578.x&lt;/a&gt;"</v>
      </c>
      <c r="S395" s="65" t="str">
        <f>"    rbib_"&amp;F395&amp;": "&amp;""""&amp;"&lt;div class=\"&amp;""""&amp;"hanging\"&amp;""""&amp;"&gt;"&amp;J395&amp;"&lt;/div&gt;"&amp;""""</f>
        <v xml:space="preserve">    rbib_royle_et_al_2009: "&lt;div class=\"hanging\"&gt;Royle, J. A., Nichols, J. D., Karanth, K. U., &amp; Gopalaswamy, A. M. (2009). A hierarchical model for estimating Density in camera-trap studies. *Journal of Applied Ecology, 46*(1), 118-127. &lt;https://doi.org/10.1111/j.1365-2664.2008.01578.x&gt;&lt;/div&gt;"</v>
      </c>
      <c r="T395" s="65"/>
    </row>
    <row r="396" spans="1:20" ht="15.75">
      <c r="A396" s="65"/>
      <c r="B396" s="155"/>
      <c r="C396" s="155"/>
      <c r="D396" s="155"/>
      <c r="E396" s="65" t="s">
        <v>1939</v>
      </c>
      <c r="F396" s="65" t="s">
        <v>2376</v>
      </c>
      <c r="G396" s="65" t="s">
        <v>2375</v>
      </c>
      <c r="H396" s="65" t="s">
        <v>2375</v>
      </c>
      <c r="I396" s="65" t="b">
        <v>1</v>
      </c>
      <c r="J396" s="65" t="s">
        <v>2374</v>
      </c>
      <c r="K396" s="65" t="s">
        <v>5463</v>
      </c>
      <c r="L396" s="65" t="s">
        <v>2373</v>
      </c>
      <c r="M396" s="65" t="s">
        <v>984</v>
      </c>
      <c r="N396" s="65" t="str">
        <f>"&lt;div class="&amp;""""&amp;"hanging"&amp;""""&amp;"&gt;"&amp;K396&amp;"&lt;a href="&amp;""""&amp;L396&amp;""""&amp;" target="&amp;""""&amp;"_blank"&amp;""""&amp;"&gt;"&amp;L396&amp;"&lt;/a&gt;&lt;span style="&amp;""""&amp;"color:white"&amp;""""&amp;"&gt;[.]{#"&amp;F396&amp;"}}&lt;/span&gt;&lt;/div&gt;&lt;br&gt;"</f>
        <v>&lt;div class="hanging"&gt;Royle, J. Chandler, R. B., Sollmann, R., Gardner, B. (2013). &lt;i&gt;Spatial capture-recapture&lt;/i&gt;. Academic Press, Waltham, MA, USA. 612 pp., ISBN: 978-0-12-405939-9.&lt;a href="https://pubs.usgs.gov/publication/70048654" target="_blank"&gt;https://pubs.usgs.gov/publication/70048654&lt;/a&gt;&lt;span style="color:white"&gt;[.]{#royle_et_al_2013}}&lt;/span&gt;&lt;/div&gt;&lt;br&gt;</v>
      </c>
      <c r="O396" s="65" t="str">
        <f>"{{ rtxt_"&amp;F396&amp;" }}"</f>
        <v>{{ rtxt_royle_et_al_2013 }}</v>
      </c>
      <c r="P396" s="65" t="str">
        <f>"{{ rbib_"&amp;F396&amp;" }}"</f>
        <v>{{ rbib_royle_et_al_2013 }}</v>
      </c>
      <c r="Q396" s="65" t="str">
        <f>"    rtxt_"&amp;F396&amp;": "&amp;""""&amp;"&lt;a href=\"&amp;""""&amp;"/08_references.html#"&amp;F396&amp;"\"&amp;""""&amp;" target=\"&amp;""""&amp;"_blank\"&amp;""""&amp;"&gt;"&amp;G396&amp;"&lt;/a&gt;"&amp;""""</f>
        <v xml:space="preserve">    rtxt_royle_et_al_2013: "&lt;a href=\"/08_references.html#royle_et_al_2013\" target=\"_blank\"&gt;Royle et al., 2013&lt;/a&gt;"</v>
      </c>
      <c r="R396" s="65" t="str">
        <f>"    rbib_"&amp;F396&amp;": "&amp;""""&amp;K396&amp;"&lt;a href=\"&amp;""""&amp;L396&amp;""""&amp;" target=\"&amp;""""&amp;"_blank\"&amp;""""&amp;"&gt;"&amp;L396&amp;"&lt;/a&gt;"&amp;""""</f>
        <v xml:space="preserve">    rbib_royle_et_al_2013: "Royle, J. Chandler, R. B., Sollmann, R., Gardner, B. (2013). &lt;i&gt;Spatial capture-recapture&lt;/i&gt;. Academic Press, Waltham, MA, USA. 612 pp., ISBN: 978-0-12-405939-9.&lt;a href=\"https://pubs.usgs.gov/publication/70048654" target=\"_blank\"&gt;https://pubs.usgs.gov/publication/70048654&lt;/a&gt;"</v>
      </c>
      <c r="S396" s="65" t="str">
        <f>"    rbib_"&amp;F396&amp;": "&amp;""""&amp;"&lt;div class=\"&amp;""""&amp;"hanging\"&amp;""""&amp;"&gt;"&amp;J396&amp;"&lt;/div&gt;"&amp;""""</f>
        <v xml:space="preserve">    rbib_royle_et_al_2013: "&lt;div class=\"hanging\"&gt;Royle, J. Chandler, R. B., Sollmann, R., Gardner, B. (2013). *Spatial capture-recapture*. Academic Press, Waltham, MA, USA. 612 pp., ISBN: 978-0-12-405939-9. &lt;https://pubs.usgs.gov/publication/70048654&gt;&lt;/div&gt;"</v>
      </c>
      <c r="T396" s="65"/>
    </row>
    <row r="397" spans="1:20" ht="15.75">
      <c r="A397" s="65"/>
      <c r="B397" s="155"/>
      <c r="C397" s="155"/>
      <c r="D397" s="155"/>
      <c r="E397" s="65" t="s">
        <v>1945</v>
      </c>
      <c r="F397" s="65" t="s">
        <v>2359</v>
      </c>
      <c r="G397" s="65" t="s">
        <v>2358</v>
      </c>
      <c r="H397" s="65" t="s">
        <v>2358</v>
      </c>
      <c r="I397" s="65" t="b">
        <v>1</v>
      </c>
      <c r="J397" s="65" t="s">
        <v>2357</v>
      </c>
      <c r="K397" s="65" t="s">
        <v>5529</v>
      </c>
      <c r="L397" s="65" t="s">
        <v>2355</v>
      </c>
      <c r="M397" s="65" t="s">
        <v>2356</v>
      </c>
      <c r="N397" s="65" t="str">
        <f>"&lt;div class="&amp;""""&amp;"hanging"&amp;""""&amp;"&gt;"&amp;K397&amp;"&lt;a href="&amp;""""&amp;L397&amp;""""&amp;" target="&amp;""""&amp;"_blank"&amp;""""&amp;"&gt;"&amp;L397&amp;"&lt;/a&gt;&lt;span style="&amp;""""&amp;"color:white"&amp;""""&amp;"&gt;[.]{#"&amp;F397&amp;"}}&lt;/span&gt;&lt;/div&gt;&lt;br&gt;"</f>
        <v>&lt;div class="hanging"&gt;Russell, M. (2020, Nov 29). &lt;i&gt;Fitting Poisson and zero-inflated Poisson models.&lt;/i&gt; [Video]. YouTube.&lt;a href="https://www.youtube.com/watch?v=cD9V1ApYqCk" target="_blank"&gt;https://www.youtube.com/watch?v=cD9V1ApYqCk&lt;/a&gt;&lt;span style="color:white"&gt;[.]{#russel_2020}}&lt;/span&gt;&lt;/div&gt;&lt;br&gt;</v>
      </c>
      <c r="O397" s="65" t="str">
        <f>"{{ rtxt_"&amp;F397&amp;" }}"</f>
        <v>{{ rtxt_russel_2020 }}</v>
      </c>
      <c r="P397" s="65" t="str">
        <f>"{{ rbib_"&amp;F397&amp;" }}"</f>
        <v>{{ rbib_russel_2020 }}</v>
      </c>
      <c r="Q397" s="65" t="str">
        <f>"    rtxt_"&amp;F397&amp;": "&amp;""""&amp;"&lt;a href=\"&amp;""""&amp;"/08_references.html#"&amp;F397&amp;"\"&amp;""""&amp;" target=\"&amp;""""&amp;"_blank\"&amp;""""&amp;"&gt;"&amp;G397&amp;"&lt;/a&gt;"&amp;""""</f>
        <v xml:space="preserve">    rtxt_russel_2020: "&lt;a href=\"/08_references.html#russel_2020\" target=\"_blank\"&gt;Russell, 2020&lt;/a&gt;"</v>
      </c>
      <c r="R397" s="65" t="str">
        <f>"    rbib_"&amp;F397&amp;": "&amp;""""&amp;K397&amp;"&lt;a href=\"&amp;""""&amp;L397&amp;""""&amp;" target=\"&amp;""""&amp;"_blank\"&amp;""""&amp;"&gt;"&amp;L397&amp;"&lt;/a&gt;"&amp;""""</f>
        <v xml:space="preserve">    rbib_russel_2020: "Russell, M. (2020, Nov 29). &lt;i&gt;Fitting Poisson and zero-inflated Poisson models.&lt;/i&gt; [Video]. YouTube.&lt;a href=\"https://www.youtube.com/watch?v=cD9V1ApYqCk" target=\"_blank\"&gt;https://www.youtube.com/watch?v=cD9V1ApYqCk&lt;/a&gt;"</v>
      </c>
      <c r="S397" s="65" t="str">
        <f>"    rbib_"&amp;F397&amp;": "&amp;""""&amp;"&lt;div class=\"&amp;""""&amp;"hanging\"&amp;""""&amp;"&gt;"&amp;J397&amp;"&lt;/div&gt;"&amp;""""</f>
        <v xml:space="preserve">    rbib_russel_2020: "&lt;div class=\"hanging\"&gt;Russell, M. (2020, Nov 29). *Fitting Poisson and zero-inflated Poisson models.* [Video]. YouTube. &lt;https://www.youtube.com/watch?v=cD9V1ApYqCk&gt;&lt;/div&gt;"</v>
      </c>
      <c r="T397" s="65"/>
    </row>
    <row r="398" spans="1:20" ht="15.75">
      <c r="A398" s="65"/>
      <c r="B398" s="155" t="b">
        <v>1</v>
      </c>
      <c r="C398" s="155" t="b">
        <v>1</v>
      </c>
      <c r="D398" s="155" t="b">
        <v>1</v>
      </c>
      <c r="E398" s="65" t="s">
        <v>1904</v>
      </c>
      <c r="F398" s="65" t="s">
        <v>2354</v>
      </c>
      <c r="G398" s="65" t="s">
        <v>2353</v>
      </c>
      <c r="H398" s="65" t="s">
        <v>2353</v>
      </c>
      <c r="I398" s="65" t="b">
        <v>1</v>
      </c>
      <c r="J398" s="65" t="s">
        <v>2352</v>
      </c>
      <c r="K398" s="65" t="s">
        <v>5233</v>
      </c>
      <c r="L398" s="65" t="s">
        <v>2351</v>
      </c>
      <c r="M398" s="65" t="s">
        <v>984</v>
      </c>
      <c r="N398" s="65" t="str">
        <f>"&lt;div class="&amp;""""&amp;"hanging"&amp;""""&amp;"&gt;"&amp;K398&amp;"&lt;a href="&amp;""""&amp;L398&amp;""""&amp;" target="&amp;""""&amp;"_blank"&amp;""""&amp;"&gt;"&amp;L398&amp;"&lt;/a&gt;&lt;span style="&amp;""""&amp;"color:white"&amp;""""&amp;"&gt;[.]{#"&amp;F398&amp;"}}&lt;/span&gt;&lt;/div&gt;&lt;br&gt;"</f>
        <v>&lt;div class="hanging"&gt;Samejima, H., Ong, R., Lagan, P. &amp; Kitayama, K. (2012). Camera-trapping rates of mammals and birds in a Bornean tropical rainforest under sustainable forest management. &lt;i&gt;Forest Ecology and Management, 270&lt;/i&gt;, 248-256.&lt;a href="https://doi.org/10.1016/j.foreco.2012.01.013" target="_blank"&gt;https://doi.org/10.1016/j.foreco.2012.01.013&lt;/a&gt;&lt;span style="color:white"&gt;[.]{#samejima_et_al_2012}}&lt;/span&gt;&lt;/div&gt;&lt;br&gt;</v>
      </c>
      <c r="O398" s="65" t="str">
        <f>"{{ rtxt_"&amp;F398&amp;" }}"</f>
        <v>{{ rtxt_samejima_et_al_2012 }}</v>
      </c>
      <c r="P398" s="65" t="str">
        <f>"{{ rbib_"&amp;F398&amp;" }}"</f>
        <v>{{ rbib_samejima_et_al_2012 }}</v>
      </c>
      <c r="Q398" s="65" t="str">
        <f>"    rtxt_"&amp;F398&amp;": "&amp;""""&amp;"&lt;a href=\"&amp;""""&amp;"/08_references.html#"&amp;F398&amp;"\"&amp;""""&amp;" target=\"&amp;""""&amp;"_blank\"&amp;""""&amp;"&gt;"&amp;G398&amp;"&lt;/a&gt;"&amp;""""</f>
        <v xml:space="preserve">    rtxt_samejima_et_al_2012: "&lt;a href=\"/08_references.html#samejima_et_al_2012\" target=\"_blank\"&gt;Samejima et al., 2012&lt;/a&gt;"</v>
      </c>
      <c r="R398" s="65" t="str">
        <f>"    rbib_"&amp;F398&amp;": "&amp;""""&amp;K398&amp;"&lt;a href=\"&amp;""""&amp;L398&amp;""""&amp;" target=\"&amp;""""&amp;"_blank\"&amp;""""&amp;"&gt;"&amp;L398&amp;"&lt;/a&gt;"&amp;""""</f>
        <v xml:space="preserve">    rbib_samejima_et_al_2012: "Samejima, H., Ong, R., Lagan, P. &amp; Kitayama, K. (2012). Camera-trapping rates of mammals and birds in a Bornean tropical rainforest under sustainable forest management. &lt;i&gt;Forest Ecology and Management, 270&lt;/i&gt;, 248-256.&lt;a href=\"https://doi.org/10.1016/j.foreco.2012.01.013" target=\"_blank\"&gt;https://doi.org/10.1016/j.foreco.2012.01.013&lt;/a&gt;"</v>
      </c>
      <c r="S398" s="65" t="str">
        <f>"    rbib_"&amp;F398&amp;": "&amp;""""&amp;"&lt;div class=\"&amp;""""&amp;"hanging\"&amp;""""&amp;"&gt;"&amp;J398&amp;"&lt;/div&gt;"&amp;""""</f>
        <v xml:space="preserve">    rbib_samejima_et_al_2012: "&lt;div class=\"hanging\"&gt;Samejima, H., Ong, R., Lagan, P. &amp; Kitayama, K. (2012). Camera-trapping rates of mammals and birds in a Bornean tropical rainforest under sustainable forest management. *Forest Ecology and Management, 270*, 248-256. &lt;https://doi.org/10.1016/j.foreco.2012.01.013&gt;&lt;/div&gt;"</v>
      </c>
      <c r="T398" s="65"/>
    </row>
    <row r="399" spans="1:20" ht="15.75">
      <c r="A399" s="65"/>
      <c r="B399" s="155" t="b">
        <v>0</v>
      </c>
      <c r="C399" s="155" t="b">
        <v>0</v>
      </c>
      <c r="D399" s="155" t="s">
        <v>1993</v>
      </c>
      <c r="E399" s="65" t="s">
        <v>1904</v>
      </c>
      <c r="F399" s="65" t="s">
        <v>2350</v>
      </c>
      <c r="G399" s="65" t="s">
        <v>2349</v>
      </c>
      <c r="H399" s="65" t="s">
        <v>2349</v>
      </c>
      <c r="I399" s="65" t="b">
        <v>1</v>
      </c>
      <c r="J399" s="65" t="s">
        <v>2348</v>
      </c>
      <c r="K399" s="65" t="s">
        <v>5223</v>
      </c>
      <c r="L399" s="65" t="s">
        <v>2347</v>
      </c>
      <c r="M399" s="65" t="s">
        <v>984</v>
      </c>
      <c r="N399" s="65" t="str">
        <f>"&lt;div class="&amp;""""&amp;"hanging"&amp;""""&amp;"&gt;"&amp;K399&amp;"&lt;a href="&amp;""""&amp;L399&amp;""""&amp;" target="&amp;""""&amp;"_blank"&amp;""""&amp;"&gt;"&amp;L399&amp;"&lt;/a&gt;&lt;span style="&amp;""""&amp;"color:white"&amp;""""&amp;"&gt;[.]{#"&amp;F399&amp;"}}&lt;/span&gt;&lt;/div&gt;&lt;br&gt;"</f>
        <v>&lt;div class="hanging"&gt;Santini, G., Abolaffio, M., Ossi, F., Franzetti, B., Cagnacci, F., &amp; Focardi, S. (2022) Population Assessment without Individual Identification Using Camera-Traps: A Comparison of Four Methods. &lt;i&gt;Basic and Applied Ecology, 61&lt;/i&gt;, 68-81.&lt;a href="https://doi.org/10.1016/j.baae.2022.03.007" target="_blank"&gt;https://doi.org/10.1016/j.baae.2022.03.007&lt;/a&gt;&lt;span style="color:white"&gt;[.]{#santini_et_al_2020}}&lt;/span&gt;&lt;/div&gt;&lt;br&gt;</v>
      </c>
      <c r="O399" s="65" t="str">
        <f>"{{ rtxt_"&amp;F399&amp;" }}"</f>
        <v>{{ rtxt_santini_et_al_2020 }}</v>
      </c>
      <c r="P399" s="65" t="str">
        <f>"{{ rbib_"&amp;F399&amp;" }}"</f>
        <v>{{ rbib_santini_et_al_2020 }}</v>
      </c>
      <c r="Q399" s="65" t="str">
        <f>"    rtxt_"&amp;F399&amp;": "&amp;""""&amp;"&lt;a href=\"&amp;""""&amp;"/08_references.html#"&amp;F399&amp;"\"&amp;""""&amp;" target=\"&amp;""""&amp;"_blank\"&amp;""""&amp;"&gt;"&amp;G399&amp;"&lt;/a&gt;"&amp;""""</f>
        <v xml:space="preserve">    rtxt_santini_et_al_2020: "&lt;a href=\"/08_references.html#santini_et_al_2020\" target=\"_blank\"&gt;Santini et al., 2020&lt;/a&gt;"</v>
      </c>
      <c r="R399" s="65" t="str">
        <f>"    rbib_"&amp;F399&amp;": "&amp;""""&amp;K399&amp;"&lt;a href=\"&amp;""""&amp;L399&amp;""""&amp;" target=\"&amp;""""&amp;"_blank\"&amp;""""&amp;"&gt;"&amp;L399&amp;"&lt;/a&gt;"&amp;""""</f>
        <v xml:space="preserve">    rbib_santini_et_al_2020: "Santini, G., Abolaffio, M., Ossi, F., Franzetti, B., Cagnacci, F., &amp; Focardi, S. (2022) Population Assessment without Individual Identification Using Camera-Traps: A Comparison of Four Methods. &lt;i&gt;Basic and Applied Ecology, 61&lt;/i&gt;, 68-81.&lt;a href=\"https://doi.org/10.1016/j.baae.2022.03.007" target=\"_blank\"&gt;https://doi.org/10.1016/j.baae.2022.03.007&lt;/a&gt;"</v>
      </c>
      <c r="S399" s="65" t="str">
        <f>"    rbib_"&amp;F399&amp;": "&amp;""""&amp;"&lt;div class=\"&amp;""""&amp;"hanging\"&amp;""""&amp;"&gt;"&amp;J399&amp;"&lt;/div&gt;"&amp;""""</f>
        <v xml:space="preserve">    rbib_santini_et_al_2020: "&lt;div class=\"hanging\"&gt;Santini, G., Abolaffio, M., Ossi, F., Franzetti, B., Cagnacci, F., &amp; Focardi, S. (2022) Population Assessment without Individual Identification Using Camera-Traps: A Comparison of Four Methods. *Basic and Applied Ecology, 61*, 68-81. &lt;https://doi.org/10.1016/j.baae.2022.03.007&gt;&lt;/div&gt;"</v>
      </c>
      <c r="T399" s="65"/>
    </row>
    <row r="400" spans="1:20" ht="15.75">
      <c r="A400" s="65"/>
      <c r="B400" s="155"/>
      <c r="C400" s="155"/>
      <c r="D400" s="155"/>
      <c r="E400" s="65" t="s">
        <v>1904</v>
      </c>
      <c r="F400" s="65" t="s">
        <v>2346</v>
      </c>
      <c r="G400" s="65" t="s">
        <v>2345</v>
      </c>
      <c r="H400" s="65" t="s">
        <v>2345</v>
      </c>
      <c r="I400" s="65" t="b">
        <v>1</v>
      </c>
      <c r="J400" s="65" t="s">
        <v>2344</v>
      </c>
      <c r="K400" s="65" t="s">
        <v>5167</v>
      </c>
      <c r="L400" s="65" t="s">
        <v>2343</v>
      </c>
      <c r="M400" s="65" t="s">
        <v>984</v>
      </c>
      <c r="N400" s="65" t="str">
        <f>"&lt;div class="&amp;""""&amp;"hanging"&amp;""""&amp;"&gt;"&amp;K400&amp;"&lt;a href="&amp;""""&amp;L400&amp;""""&amp;" target="&amp;""""&amp;"_blank"&amp;""""&amp;"&gt;"&amp;L400&amp;"&lt;/a&gt;&lt;span style="&amp;""""&amp;"color:white"&amp;""""&amp;"&gt;[.]{#"&amp;F400&amp;"}}&lt;/span&gt;&lt;/div&gt;&lt;br&gt;"</f>
        <v>&lt;div class="hanging"&gt;Schaus, J., Uzal, A., Gentle, L. K., Baker, P. J., Bearman‐Brown, L., Bullion, S., Gazzard, A., Lockwood, H., North, A., Reader, T., Scott, D. M., Sutherland, C. S., &amp; Yarnell, R. W. (2020). Application of the Random Encounter Model in citizen science projects to monitor animal densities. &lt;i&gt;Remote Sensing in Ecology and Conservation, 6&lt;/i&gt;(4), 514-528.&lt;a href="https://doi.org/10.1002/rse2.153" target="_blank"&gt;https://doi.org/10.1002/rse2.153&lt;/a&gt;&lt;span style="color:white"&gt;[.]{#schaus_et_al_2020}}&lt;/span&gt;&lt;/div&gt;&lt;br&gt;</v>
      </c>
      <c r="O400" s="65" t="str">
        <f>"{{ rtxt_"&amp;F400&amp;" }}"</f>
        <v>{{ rtxt_schaus_et_al_2020 }}</v>
      </c>
      <c r="P400" s="65" t="str">
        <f>"{{ rbib_"&amp;F400&amp;" }}"</f>
        <v>{{ rbib_schaus_et_al_2020 }}</v>
      </c>
      <c r="Q400" s="65" t="str">
        <f>"    rtxt_"&amp;F400&amp;": "&amp;""""&amp;"&lt;a href=\"&amp;""""&amp;"/08_references.html#"&amp;F400&amp;"\"&amp;""""&amp;" target=\"&amp;""""&amp;"_blank\"&amp;""""&amp;"&gt;"&amp;G400&amp;"&lt;/a&gt;"&amp;""""</f>
        <v xml:space="preserve">    rtxt_schaus_et_al_2020: "&lt;a href=\"/08_references.html#schaus_et_al_2020\" target=\"_blank\"&gt;Schaus et al., 2020&lt;/a&gt;"</v>
      </c>
      <c r="R400" s="65" t="str">
        <f>"    rbib_"&amp;F400&amp;": "&amp;""""&amp;K400&amp;"&lt;a href=\"&amp;""""&amp;L400&amp;""""&amp;" target=\"&amp;""""&amp;"_blank\"&amp;""""&amp;"&gt;"&amp;L400&amp;"&lt;/a&gt;"&amp;""""</f>
        <v xml:space="preserve">    rbib_schaus_et_al_2020: "Schaus, J., Uzal, A., Gentle, L. K., Baker, P. J., Bearman‐Brown, L., Bullion, S., Gazzard, A., Lockwood, H., North, A., Reader, T., Scott, D. M., Sutherland, C. S., &amp; Yarnell, R. W. (2020). Application of the Random Encounter Model in citizen science projects to monitor animal densities. &lt;i&gt;Remote Sensing in Ecology and Conservation, 6&lt;/i&gt;(4), 514-528.&lt;a href=\"https://doi.org/10.1002/rse2.153" target=\"_blank\"&gt;https://doi.org/10.1002/rse2.153&lt;/a&gt;"</v>
      </c>
      <c r="S400" s="65" t="str">
        <f>"    rbib_"&amp;F400&amp;": "&amp;""""&amp;"&lt;div class=\"&amp;""""&amp;"hanging\"&amp;""""&amp;"&gt;"&amp;J400&amp;"&lt;/div&gt;"&amp;""""</f>
        <v xml:space="preserve">    rbib_schaus_et_al_2020: "&lt;div class=\"hanging\"&gt;Schaus, J., Uzal, A., Gentle, L. K., Baker, P. J., Bearman‐Brown, L., Bullion, S., Gazzard, A., Lockwood, H., North, A., Reader, T., Scott, D. M., Sutherland, C. S., &amp; Yarnell, R. W. (2020). Application of the Random Encounter Model in citizen science projects to monitor animal densities. *Remote Sensing in Ecology and Conservation, 6*(4), 514-528. &lt;https://doi.org/10.1002/rse2.153&gt;&lt;/div&gt;"</v>
      </c>
      <c r="T400" s="65"/>
    </row>
    <row r="401" spans="1:20" ht="15.75">
      <c r="A401" s="65"/>
      <c r="B401" s="155" t="b">
        <v>1</v>
      </c>
      <c r="C401" s="155" t="b">
        <v>0</v>
      </c>
      <c r="D401" s="155" t="b">
        <v>0</v>
      </c>
      <c r="E401" s="65" t="s">
        <v>1904</v>
      </c>
      <c r="F401" s="65" t="s">
        <v>2342</v>
      </c>
      <c r="G401" s="65" t="s">
        <v>2341</v>
      </c>
      <c r="H401" s="65" t="s">
        <v>2341</v>
      </c>
      <c r="I401" s="65" t="b">
        <v>1</v>
      </c>
      <c r="J401" s="65" t="s">
        <v>2340</v>
      </c>
      <c r="K401" s="65" t="s">
        <v>5110</v>
      </c>
      <c r="L401" s="65" t="s">
        <v>2339</v>
      </c>
      <c r="M401" s="65" t="s">
        <v>984</v>
      </c>
      <c r="N401" s="65" t="str">
        <f>"&lt;div class="&amp;""""&amp;"hanging"&amp;""""&amp;"&gt;"&amp;K401&amp;"&lt;a href="&amp;""""&amp;L401&amp;""""&amp;" target="&amp;""""&amp;"_blank"&amp;""""&amp;"&gt;"&amp;L401&amp;"&lt;/a&gt;&lt;span style="&amp;""""&amp;"color:white"&amp;""""&amp;"&gt;[.]{#"&amp;F401&amp;"}}&lt;/span&gt;&lt;/div&gt;&lt;br&gt;"</f>
        <v>&lt;div class="hanging"&gt;Schenider, S., Taylor, G. W., Linquist, S., &amp; Kremer, S. C. (2018). Past, Present, and Future Approaches Using Computer Vision for Animal Re-Identification from Camera Trap Data. &lt;i&gt;Methods in Ecology and Evolution, 10&lt;/i&gt;, 461-470.&lt;a href="https://besjournals. onlinelibrary. wiley.com/doi/epdf/10.1111/2041-210X. 13133" target="_blank"&gt;https://besjournals. onlinelibrary. wiley.com/doi/epdf/10.1111/2041-210X. 13133&lt;/a&gt;&lt;span style="color:white"&gt;[.]{#schenider_et_al_2018}}&lt;/span&gt;&lt;/div&gt;&lt;br&gt;</v>
      </c>
      <c r="O401" s="65" t="str">
        <f>"{{ rtxt_"&amp;F401&amp;" }}"</f>
        <v>{{ rtxt_schenider_et_al_2018 }}</v>
      </c>
      <c r="P401" s="65" t="str">
        <f>"{{ rbib_"&amp;F401&amp;" }}"</f>
        <v>{{ rbib_schenider_et_al_2018 }}</v>
      </c>
      <c r="Q401" s="65" t="str">
        <f>"    rtxt_"&amp;F401&amp;": "&amp;""""&amp;"&lt;a href=\"&amp;""""&amp;"/08_references.html#"&amp;F401&amp;"\"&amp;""""&amp;" target=\"&amp;""""&amp;"_blank\"&amp;""""&amp;"&gt;"&amp;G401&amp;"&lt;/a&gt;"&amp;""""</f>
        <v xml:space="preserve">    rtxt_schenider_et_al_2018: "&lt;a href=\"/08_references.html#schenider_et_al_2018\" target=\"_blank\"&gt;Schenider et al., 2018&lt;/a&gt;"</v>
      </c>
      <c r="R401" s="65" t="str">
        <f>"    rbib_"&amp;F401&amp;": "&amp;""""&amp;K401&amp;"&lt;a href=\"&amp;""""&amp;L401&amp;""""&amp;" target=\"&amp;""""&amp;"_blank\"&amp;""""&amp;"&gt;"&amp;L401&amp;"&lt;/a&gt;"&amp;""""</f>
        <v xml:space="preserve">    rbib_schenider_et_al_2018: "Schenider, S., Taylor, G. W., Linquist, S., &amp; Kremer, S. C. (2018). Past, Present, and Future Approaches Using Computer Vision for Animal Re-Identification from Camera Trap Data. &lt;i&gt;Methods in Ecology and Evolution, 10&lt;/i&gt;, 461-470.&lt;a href=\"https://besjournals. onlinelibrary. wiley.com/doi/epdf/10.1111/2041-210X. 13133" target=\"_blank\"&gt;https://besjournals. onlinelibrary. wiley.com/doi/epdf/10.1111/2041-210X. 13133&lt;/a&gt;"</v>
      </c>
      <c r="S401" s="65" t="str">
        <f>"    rbib_"&amp;F401&amp;": "&amp;""""&amp;"&lt;div class=\"&amp;""""&amp;"hanging\"&amp;""""&amp;"&gt;"&amp;J401&amp;"&lt;/div&gt;"&amp;""""</f>
        <v xml:space="preserve">    rbib_schenider_et_al_2018: "&lt;div class=\"hanging\"&gt;Schenider, S., Taylor, G. W., Linquist, S., &amp; Kremer, S. C. (2018). Past, Present, and Future Approaches Using Computer Vision for Animal Re-Identification from Camera Trap Data. *Methods in Ecology and Evolution, 10*, 461-470. &lt;https://besjournals. onlinelibrary. wiley.com/doi/epdf/10.1111/2041-210X. 13133&gt;&lt;/div&gt;"</v>
      </c>
      <c r="T401" s="65"/>
    </row>
    <row r="402" spans="1:20" ht="15.75">
      <c r="A402" s="65"/>
      <c r="B402" s="155" t="b">
        <v>1</v>
      </c>
      <c r="C402" s="155" t="b">
        <v>0</v>
      </c>
      <c r="D402" s="155" t="b">
        <v>0</v>
      </c>
      <c r="E402" s="65" t="s">
        <v>1939</v>
      </c>
      <c r="F402" s="65" t="s">
        <v>2338</v>
      </c>
      <c r="G402" s="65" t="s">
        <v>2337</v>
      </c>
      <c r="H402" s="65" t="s">
        <v>2337</v>
      </c>
      <c r="I402" s="65" t="b">
        <v>1</v>
      </c>
      <c r="J402" s="65" t="s">
        <v>2336</v>
      </c>
      <c r="K402" s="65" t="s">
        <v>5486</v>
      </c>
      <c r="L402" s="65" t="s">
        <v>2335</v>
      </c>
      <c r="M402" s="65" t="s">
        <v>984</v>
      </c>
      <c r="N402" s="65" t="str">
        <f>"&lt;div class="&amp;""""&amp;"hanging"&amp;""""&amp;"&gt;"&amp;K402&amp;"&lt;a href="&amp;""""&amp;L402&amp;""""&amp;" target="&amp;""""&amp;"_blank"&amp;""""&amp;"&gt;"&amp;L402&amp;"&lt;/a&gt;&lt;span style="&amp;""""&amp;"color:white"&amp;""""&amp;"&gt;[.]{#"&amp;F402&amp;"}}&lt;/span&gt;&lt;/div&gt;&lt;br&gt;"</f>
        <v>&lt;div class="hanging"&gt;Schlexer, F. V. (2008). Attracting Animals to Detection Devices. In R. A. Long, P. MacKay, W. J. Zielinski, &amp; J. C. Ray (Eds.), &lt;i&gt;Noninvasive Survey Methods for Carnivores&lt;/i&gt; (pp. 263-292). Island Press.&lt;a href="https://www.gwern.net/docs/cat/biology/2008-schlexer.pdf" target="_blank"&gt;https://www.gwern.net/docs/cat/biology/2008-schlexer.pdf&lt;/a&gt;&lt;span style="color:white"&gt;[.]{#schlexer_2008}}&lt;/span&gt;&lt;/div&gt;&lt;br&gt;</v>
      </c>
      <c r="O402" s="65" t="str">
        <f>"{{ rtxt_"&amp;F402&amp;" }}"</f>
        <v>{{ rtxt_schlexer_2008 }}</v>
      </c>
      <c r="P402" s="65" t="str">
        <f>"{{ rbib_"&amp;F402&amp;" }}"</f>
        <v>{{ rbib_schlexer_2008 }}</v>
      </c>
      <c r="Q402" s="65" t="str">
        <f>"    rtxt_"&amp;F402&amp;": "&amp;""""&amp;"&lt;a href=\"&amp;""""&amp;"/08_references.html#"&amp;F402&amp;"\"&amp;""""&amp;" target=\"&amp;""""&amp;"_blank\"&amp;""""&amp;"&gt;"&amp;G402&amp;"&lt;/a&gt;"&amp;""""</f>
        <v xml:space="preserve">    rtxt_schlexer_2008: "&lt;a href=\"/08_references.html#schlexer_2008\" target=\"_blank\"&gt;Schlexer, 2008&lt;/a&gt;"</v>
      </c>
      <c r="R402" s="65" t="str">
        <f>"    rbib_"&amp;F402&amp;": "&amp;""""&amp;K402&amp;"&lt;a href=\"&amp;""""&amp;L402&amp;""""&amp;" target=\"&amp;""""&amp;"_blank\"&amp;""""&amp;"&gt;"&amp;L402&amp;"&lt;/a&gt;"&amp;""""</f>
        <v xml:space="preserve">    rbib_schlexer_2008: "Schlexer, F. V. (2008). Attracting Animals to Detection Devices. In R. A. Long, P. MacKay, W. J. Zielinski, &amp; J. C. Ray (Eds.), &lt;i&gt;Noninvasive Survey Methods for Carnivores&lt;/i&gt; (pp. 263-292). Island Press.&lt;a href=\"https://www.gwern.net/docs/cat/biology/2008-schlexer.pdf" target=\"_blank\"&gt;https://www.gwern.net/docs/cat/biology/2008-schlexer.pdf&lt;/a&gt;"</v>
      </c>
      <c r="S402" s="65" t="str">
        <f>"    rbib_"&amp;F402&amp;": "&amp;""""&amp;"&lt;div class=\"&amp;""""&amp;"hanging\"&amp;""""&amp;"&gt;"&amp;J402&amp;"&lt;/div&gt;"&amp;""""</f>
        <v xml:space="preserve">    rbib_schlexer_2008: "&lt;div class=\"hanging\"&gt;Schlexer, F. V. (2008). Attracting Animals to Detection Devices. In R. A. Long, P. MacKay, W. J. Zielinski, &amp; J. C. Ray (Eds.), *Noninvasive Survey Methods for Carnivores* (pp. 263-292). Island Press. &lt;https://www.gwern.net/docs/cat/biology/2008-schlexer.pdf&gt;&lt;/div&gt;"</v>
      </c>
      <c r="T402" s="65"/>
    </row>
    <row r="403" spans="1:20" ht="15.75">
      <c r="A403" s="65"/>
      <c r="B403" s="155" t="b">
        <v>0</v>
      </c>
      <c r="C403" s="155" t="b">
        <v>0</v>
      </c>
      <c r="D403" s="155"/>
      <c r="E403" s="65" t="s">
        <v>1904</v>
      </c>
      <c r="F403" s="65" t="s">
        <v>2334</v>
      </c>
      <c r="G403" s="65" t="s">
        <v>2333</v>
      </c>
      <c r="H403" s="65" t="s">
        <v>2333</v>
      </c>
      <c r="I403" s="65" t="b">
        <v>1</v>
      </c>
      <c r="J403" s="65" t="s">
        <v>2332</v>
      </c>
      <c r="K403" s="65" t="s">
        <v>5137</v>
      </c>
      <c r="L403" s="65" t="s">
        <v>2331</v>
      </c>
      <c r="M403" s="65" t="s">
        <v>984</v>
      </c>
      <c r="N403" s="65" t="str">
        <f>"&lt;div class="&amp;""""&amp;"hanging"&amp;""""&amp;"&gt;"&amp;K403&amp;"&lt;a href="&amp;""""&amp;L403&amp;""""&amp;" target="&amp;""""&amp;"_blank"&amp;""""&amp;"&gt;"&amp;L403&amp;"&lt;/a&gt;&lt;span style="&amp;""""&amp;"color:white"&amp;""""&amp;"&gt;[.]{#"&amp;F403&amp;"}}&lt;/span&gt;&lt;/div&gt;&lt;br&gt;"</f>
        <v>&lt;div class="hanging"&gt;Schmidt, G. M., Graves, T. A., Pederson, J. C., &amp; Carroll, S. L. (2022). Precision and bias of spatial capture-recapture estimates: A multi‐site, multi‐year Utah black bear case study. &lt;i&gt;Ecological Applications, 32&lt;/i&gt;(5), e2618.&lt;a href="https://doi.org/10.1002/eap.2618" target="_blank"&gt;https://doi.org/10.1002/eap.2618&lt;/a&gt;&lt;span style="color:white"&gt;[.]{#schmidt_et_al_2022}}&lt;/span&gt;&lt;/div&gt;&lt;br&gt;</v>
      </c>
      <c r="O403" s="65" t="str">
        <f>"{{ rtxt_"&amp;F403&amp;" }}"</f>
        <v>{{ rtxt_schmidt_et_al_2022 }}</v>
      </c>
      <c r="P403" s="65" t="str">
        <f>"{{ rbib_"&amp;F403&amp;" }}"</f>
        <v>{{ rbib_schmidt_et_al_2022 }}</v>
      </c>
      <c r="Q403" s="65" t="str">
        <f>"    rtxt_"&amp;F403&amp;": "&amp;""""&amp;"&lt;a href=\"&amp;""""&amp;"/08_references.html#"&amp;F403&amp;"\"&amp;""""&amp;" target=\"&amp;""""&amp;"_blank\"&amp;""""&amp;"&gt;"&amp;G403&amp;"&lt;/a&gt;"&amp;""""</f>
        <v xml:space="preserve">    rtxt_schmidt_et_al_2022: "&lt;a href=\"/08_references.html#schmidt_et_al_2022\" target=\"_blank\"&gt;Schmidt et al., 2022&lt;/a&gt;"</v>
      </c>
      <c r="R403" s="65" t="str">
        <f>"    rbib_"&amp;F403&amp;": "&amp;""""&amp;K403&amp;"&lt;a href=\"&amp;""""&amp;L403&amp;""""&amp;" target=\"&amp;""""&amp;"_blank\"&amp;""""&amp;"&gt;"&amp;L403&amp;"&lt;/a&gt;"&amp;""""</f>
        <v xml:space="preserve">    rbib_schmidt_et_al_2022: "Schmidt, G. M., Graves, T. A., Pederson, J. C., &amp; Carroll, S. L. (2022). Precision and bias of spatial capture-recapture estimates: A multi‐site, multi‐year Utah black bear case study. &lt;i&gt;Ecological Applications, 32&lt;/i&gt;(5), e2618.&lt;a href=\"https://doi.org/10.1002/eap.2618" target=\"_blank\"&gt;https://doi.org/10.1002/eap.2618&lt;/a&gt;"</v>
      </c>
      <c r="S403" s="65" t="str">
        <f>"    rbib_"&amp;F403&amp;": "&amp;""""&amp;"&lt;div class=\"&amp;""""&amp;"hanging\"&amp;""""&amp;"&gt;"&amp;J403&amp;"&lt;/div&gt;"&amp;""""</f>
        <v xml:space="preserve">    rbib_schmidt_et_al_2022: "&lt;div class=\"hanging\"&gt;Schmidt, G. M., Graves, T. A., Pederson, J. C., &amp; Carroll, S. L. (2022). Precision and bias of spatial capture-recapture estimates: A multi‐site, multi‐year Utah black bear case study. *Ecological Applications, 32*(5), e2618. &lt;https://doi.org/10.1002/eap.2618&gt;&lt;/div&gt;"</v>
      </c>
      <c r="T403" s="65"/>
    </row>
    <row r="404" spans="1:20" ht="15.75">
      <c r="A404" s="65"/>
      <c r="B404" s="155" t="b">
        <v>0</v>
      </c>
      <c r="C404" s="155" t="b">
        <v>0</v>
      </c>
      <c r="D404" s="155" t="s">
        <v>1993</v>
      </c>
      <c r="E404" s="65" t="s">
        <v>1904</v>
      </c>
      <c r="F404" s="65" t="s">
        <v>2330</v>
      </c>
      <c r="G404" s="65" t="s">
        <v>2329</v>
      </c>
      <c r="H404" s="65" t="s">
        <v>2329</v>
      </c>
      <c r="I404" s="65" t="b">
        <v>1</v>
      </c>
      <c r="J404" s="65" t="s">
        <v>2328</v>
      </c>
      <c r="K404" s="65" t="s">
        <v>5187</v>
      </c>
      <c r="L404" s="65" t="s">
        <v>2327</v>
      </c>
      <c r="M404" s="65" t="s">
        <v>984</v>
      </c>
      <c r="N404" s="65" t="str">
        <f>"&lt;div class="&amp;""""&amp;"hanging"&amp;""""&amp;"&gt;"&amp;K404&amp;"&lt;a href="&amp;""""&amp;L404&amp;""""&amp;" target="&amp;""""&amp;"_blank"&amp;""""&amp;"&gt;"&amp;L404&amp;"&lt;/a&gt;&lt;span style="&amp;""""&amp;"color:white"&amp;""""&amp;"&gt;[.]{#"&amp;F404&amp;"}}&lt;/span&gt;&lt;/div&gt;&lt;br&gt;"</f>
        <v>&lt;div class="hanging"&gt;Schweiger, A. K. (2020). Spectral Field Campaigns: Planning and Data Collection. In Cavender-Bares, J., Gamon, J. A., &amp; Townsend, P. A (Eds.), &lt;i&gt;Remote Sensing of Plant Biodiversity&lt;/i&gt; (pp. 385-423).&lt;a href="https://doi.org/10.1007/978-3-030-33157-3_15" target="_blank"&gt;https://doi.org/10.1007/978-3-030-33157-3_15&lt;/a&gt;&lt;span style="color:white"&gt;[.]{#schweiger_2020}}&lt;/span&gt;&lt;/div&gt;&lt;br&gt;</v>
      </c>
      <c r="O404" s="65" t="str">
        <f>"{{ rtxt_"&amp;F404&amp;" }}"</f>
        <v>{{ rtxt_schweiger_2020 }}</v>
      </c>
      <c r="P404" s="65" t="str">
        <f>"{{ rbib_"&amp;F404&amp;" }}"</f>
        <v>{{ rbib_schweiger_2020 }}</v>
      </c>
      <c r="Q404" s="65" t="str">
        <f>"    rtxt_"&amp;F404&amp;": "&amp;""""&amp;"&lt;a href=\"&amp;""""&amp;"/08_references.html#"&amp;F404&amp;"\"&amp;""""&amp;" target=\"&amp;""""&amp;"_blank\"&amp;""""&amp;"&gt;"&amp;G404&amp;"&lt;/a&gt;"&amp;""""</f>
        <v xml:space="preserve">    rtxt_schweiger_2020: "&lt;a href=\"/08_references.html#schweiger_2020\" target=\"_blank\"&gt;Schweiger, 2020&lt;/a&gt;"</v>
      </c>
      <c r="R404" s="65" t="str">
        <f>"    rbib_"&amp;F404&amp;": "&amp;""""&amp;K404&amp;"&lt;a href=\"&amp;""""&amp;L404&amp;""""&amp;" target=\"&amp;""""&amp;"_blank\"&amp;""""&amp;"&gt;"&amp;L404&amp;"&lt;/a&gt;"&amp;""""</f>
        <v xml:space="preserve">    rbib_schweiger_2020: "Schweiger, A. K. (2020). Spectral Field Campaigns: Planning and Data Collection. In Cavender-Bares, J., Gamon, J. A., &amp; Townsend, P. A (Eds.), &lt;i&gt;Remote Sensing of Plant Biodiversity&lt;/i&gt; (pp. 385-423).&lt;a href=\"https://doi.org/10.1007/978-3-030-33157-3_15" target=\"_blank\"&gt;https://doi.org/10.1007/978-3-030-33157-3_15&lt;/a&gt;"</v>
      </c>
      <c r="S404" s="65" t="str">
        <f>"    rbib_"&amp;F404&amp;": "&amp;""""&amp;"&lt;div class=\"&amp;""""&amp;"hanging\"&amp;""""&amp;"&gt;"&amp;J404&amp;"&lt;/div&gt;"&amp;""""</f>
        <v xml:space="preserve">    rbib_schweiger_2020: "&lt;div class=\"hanging\"&gt;Schweiger, A. K. (2020). Spectral Field Campaigns: Planning and Data Collection. In Cavender-Bares, J., Gamon, J. A., &amp; Townsend, P. A (Eds.), *Remote Sensing of Plant Biodiversity* (pp. 385-423). &lt;https://doi.org/10.1007/978-3-030-33157-3_15&gt;&lt;/div&gt;"</v>
      </c>
      <c r="T404" s="65"/>
    </row>
    <row r="405" spans="1:20" ht="15.75">
      <c r="A405" s="65"/>
      <c r="B405" s="155" t="b">
        <v>1</v>
      </c>
      <c r="C405" s="155" t="b">
        <v>1</v>
      </c>
      <c r="D405" s="155" t="b">
        <v>0</v>
      </c>
      <c r="E405" s="65" t="s">
        <v>1904</v>
      </c>
      <c r="F405" s="65" t="s">
        <v>2326</v>
      </c>
      <c r="G405" s="65" t="s">
        <v>2325</v>
      </c>
      <c r="H405" s="65" t="s">
        <v>2325</v>
      </c>
      <c r="I405" s="65" t="b">
        <v>1</v>
      </c>
      <c r="J405" s="65" t="s">
        <v>2324</v>
      </c>
      <c r="K405" s="65" t="s">
        <v>5175</v>
      </c>
      <c r="L405" s="65" t="s">
        <v>2323</v>
      </c>
      <c r="M405" s="65" t="s">
        <v>984</v>
      </c>
      <c r="N405" s="65" t="str">
        <f>"&lt;div class="&amp;""""&amp;"hanging"&amp;""""&amp;"&gt;"&amp;K405&amp;"&lt;a href="&amp;""""&amp;L405&amp;""""&amp;" target="&amp;""""&amp;"_blank"&amp;""""&amp;"&gt;"&amp;L405&amp;"&lt;/a&gt;&lt;span style="&amp;""""&amp;"color:white"&amp;""""&amp;"&gt;[.]{#"&amp;F405&amp;"}}&lt;/span&gt;&lt;/div&gt;&lt;br&gt;"</f>
        <v>&lt;div class="hanging"&gt;Scotson, L., Johnston, L. R., Lannarilli, F., Wearn, O. R., Mohd‐Azlan, J., Wong, W. M., Gray, T. N. E., Dinata, Y., Suzuki, A., Willard, C. E., Frechette, J., Loken, B., Steinmetz, R., Moßbrucker, A. M., Clements, G. R., &amp; Fieberg, J. (2017). Best Practices and Software for the Management and Sharing of Camera Trap Data for Small and Large Scales Studies. &lt;i&gt;Remote Sensing in Ecology and Conservation, 3&lt;/i&gt;(3), 158-172.&lt;a href="https://doi.org/10.1002/rse2.54" target="_blank"&gt;https://doi.org/10.1002/rse2.54&lt;/a&gt;&lt;span style="color:white"&gt;[.]{#scotson_et_al_2017}}&lt;/span&gt;&lt;/div&gt;&lt;br&gt;</v>
      </c>
      <c r="O405" s="65" t="str">
        <f>"{{ rtxt_"&amp;F405&amp;" }}"</f>
        <v>{{ rtxt_scotson_et_al_2017 }}</v>
      </c>
      <c r="P405" s="65" t="str">
        <f>"{{ rbib_"&amp;F405&amp;" }}"</f>
        <v>{{ rbib_scotson_et_al_2017 }}</v>
      </c>
      <c r="Q405" s="65" t="str">
        <f>"    rtxt_"&amp;F405&amp;": "&amp;""""&amp;"&lt;a href=\"&amp;""""&amp;"/08_references.html#"&amp;F405&amp;"\"&amp;""""&amp;" target=\"&amp;""""&amp;"_blank\"&amp;""""&amp;"&gt;"&amp;G405&amp;"&lt;/a&gt;"&amp;""""</f>
        <v xml:space="preserve">    rtxt_scotson_et_al_2017: "&lt;a href=\"/08_references.html#scotson_et_al_2017\" target=\"_blank\"&gt;Scotson et al., 2017&lt;/a&gt;"</v>
      </c>
      <c r="R405" s="65" t="str">
        <f>"    rbib_"&amp;F405&amp;": "&amp;""""&amp;K405&amp;"&lt;a href=\"&amp;""""&amp;L405&amp;""""&amp;" target=\"&amp;""""&amp;"_blank\"&amp;""""&amp;"&gt;"&amp;L405&amp;"&lt;/a&gt;"&amp;""""</f>
        <v xml:space="preserve">    rbib_scotson_et_al_2017: "Scotson, L., Johnston, L. R., Lannarilli, F., Wearn, O. R., Mohd‐Azlan, J., Wong, W. M., Gray, T. N. E., Dinata, Y., Suzuki, A., Willard, C. E., Frechette, J., Loken, B., Steinmetz, R., Moßbrucker, A. M., Clements, G. R., &amp; Fieberg, J. (2017). Best Practices and Software for the Management and Sharing of Camera Trap Data for Small and Large Scales Studies. &lt;i&gt;Remote Sensing in Ecology and Conservation, 3&lt;/i&gt;(3), 158-172.&lt;a href=\"https://doi.org/10.1002/rse2.54" target=\"_blank\"&gt;https://doi.org/10.1002/rse2.54&lt;/a&gt;"</v>
      </c>
      <c r="S405" s="65" t="str">
        <f>"    rbib_"&amp;F405&amp;": "&amp;""""&amp;"&lt;div class=\"&amp;""""&amp;"hanging\"&amp;""""&amp;"&gt;"&amp;J405&amp;"&lt;/div&gt;"&amp;""""</f>
        <v xml:space="preserve">    rbib_scotson_et_al_2017: "&lt;div class=\"hanging\"&gt;Scotson, L., Johnston, L. R., Lannarilli, F., Wearn, O. R., Mohd‐Azlan, J., Wong, W. M., Gray, T. N. E., Dinata, Y., Suzuki, A., Willard, C. E., Frechette, J., Loken, B., Steinmetz, R., Moßbrucker, A. M., Clements, G. R., &amp; Fieberg, J. (2017). Best Practices and Software for the Management and Sharing of Camera Trap Data for Small and Large Scales Studies. *Remote Sensing in Ecology and Conservation*, 3(3), 158-172. &lt;https://doi.org/10.1002/rse2.54&gt;&lt;/div&gt;"</v>
      </c>
      <c r="T405" s="65"/>
    </row>
    <row r="406" spans="1:20" ht="15.75">
      <c r="A406" s="65"/>
      <c r="B406" s="155" t="b">
        <v>1</v>
      </c>
      <c r="C406" s="155" t="b">
        <v>0</v>
      </c>
      <c r="D406" s="155" t="b">
        <v>0</v>
      </c>
      <c r="E406" s="65" t="s">
        <v>984</v>
      </c>
      <c r="F406" s="65" t="s">
        <v>2322</v>
      </c>
      <c r="G406" s="65" t="s">
        <v>2321</v>
      </c>
      <c r="H406" s="65" t="s">
        <v>2321</v>
      </c>
      <c r="I406" s="65" t="b">
        <v>1</v>
      </c>
      <c r="J406" s="65" t="s">
        <v>2320</v>
      </c>
      <c r="K406" s="65" t="s">
        <v>5518</v>
      </c>
      <c r="L406" s="65" t="s">
        <v>2319</v>
      </c>
      <c r="M406" s="65" t="s">
        <v>984</v>
      </c>
      <c r="N406" s="65" t="str">
        <f>"&lt;div class="&amp;""""&amp;"hanging"&amp;""""&amp;"&gt;"&amp;K406&amp;"&lt;a href="&amp;""""&amp;L406&amp;""""&amp;" target="&amp;""""&amp;"_blank"&amp;""""&amp;"&gt;"&amp;L406&amp;"&lt;/a&gt;&lt;span style="&amp;""""&amp;"color:white"&amp;""""&amp;"&gt;[.]{#"&amp;F406&amp;"}}&lt;/span&gt;&lt;/div&gt;&lt;br&gt;"</f>
        <v>&lt;div class="hanging"&gt;Seccombe, S. (2017). &lt;i&gt;ZSL Trail Camera Comparison Testing.&lt;/i&gt; Zoological Society of London: Conservation Technology Unit.&lt;a href="https://www.wildlabs.net/sites/default/files/community/files/zsl_trail_camera_comparison_for_external_use.pdf" target="_blank"&gt;https://www.wildlabs.net/sites/default/files/community/files/zsl_trail_camera_comparison_for_external_use.pdf&lt;/a&gt;&lt;span style="color:white"&gt;[.]{#seccombe_2017}}&lt;/span&gt;&lt;/div&gt;&lt;br&gt;</v>
      </c>
      <c r="O406" s="65" t="str">
        <f>"{{ rtxt_"&amp;F406&amp;" }}"</f>
        <v>{{ rtxt_seccombe_2017 }}</v>
      </c>
      <c r="P406" s="65" t="str">
        <f>"{{ rbib_"&amp;F406&amp;" }}"</f>
        <v>{{ rbib_seccombe_2017 }}</v>
      </c>
      <c r="Q406" s="65" t="str">
        <f>"    rtxt_"&amp;F406&amp;": "&amp;""""&amp;"&lt;a href=\"&amp;""""&amp;"/08_references.html#"&amp;F406&amp;"\"&amp;""""&amp;" target=\"&amp;""""&amp;"_blank\"&amp;""""&amp;"&gt;"&amp;G406&amp;"&lt;/a&gt;"&amp;""""</f>
        <v xml:space="preserve">    rtxt_seccombe_2017: "&lt;a href=\"/08_references.html#seccombe_2017\" target=\"_blank\"&gt;Seccombe, 2017&lt;/a&gt;"</v>
      </c>
      <c r="R406" s="65" t="str">
        <f>"    rbib_"&amp;F406&amp;": "&amp;""""&amp;K406&amp;"&lt;a href=\"&amp;""""&amp;L406&amp;""""&amp;" target=\"&amp;""""&amp;"_blank\"&amp;""""&amp;"&gt;"&amp;L406&amp;"&lt;/a&gt;"&amp;""""</f>
        <v xml:space="preserve">    rbib_seccombe_2017: "Seccombe, S. (2017). &lt;i&gt;ZSL Trail Camera Comparison Testing.&lt;/i&gt; Zoological Society of London: Conservation Technology Unit.&lt;a href=\"https://www.wildlabs.net/sites/default/files/community/files/zsl_trail_camera_comparison_for_external_use.pdf" target=\"_blank\"&gt;https://www.wildlabs.net/sites/default/files/community/files/zsl_trail_camera_comparison_for_external_use.pdf&lt;/a&gt;"</v>
      </c>
      <c r="S406" s="65" t="str">
        <f>"    rbib_"&amp;F406&amp;": "&amp;""""&amp;"&lt;div class=\"&amp;""""&amp;"hanging\"&amp;""""&amp;"&gt;"&amp;J406&amp;"&lt;/div&gt;"&amp;""""</f>
        <v xml:space="preserve">    rbib_seccombe_2017: "&lt;div class=\"hanging\"&gt;Seccombe, S. (2017). *ZSL Trail Camera Comparison Testing.* Zoological Society of London: Conservation Technology Unit. &lt;https://www.wildlabs.net/sites/default/files/community/files/zsl_trail_camera_comparison_for_external_use.pdf&gt;&lt;/div&gt;"</v>
      </c>
      <c r="T406" s="65"/>
    </row>
    <row r="407" spans="1:20" ht="15.75">
      <c r="A407" s="65"/>
      <c r="B407" s="155" t="b">
        <v>1</v>
      </c>
      <c r="C407" s="155" t="b">
        <v>0</v>
      </c>
      <c r="D407" s="155" t="b">
        <v>0</v>
      </c>
      <c r="E407" s="65" t="s">
        <v>1904</v>
      </c>
      <c r="F407" s="65" t="s">
        <v>2318</v>
      </c>
      <c r="G407" s="65" t="s">
        <v>2317</v>
      </c>
      <c r="H407" s="65" t="s">
        <v>2316</v>
      </c>
      <c r="I407" s="65" t="b">
        <v>1</v>
      </c>
      <c r="J407" s="65" t="s">
        <v>2315</v>
      </c>
      <c r="K407" s="65" t="s">
        <v>5343</v>
      </c>
      <c r="L407" s="65" t="s">
        <v>2314</v>
      </c>
      <c r="M407" s="65" t="s">
        <v>984</v>
      </c>
      <c r="N407" s="65" t="str">
        <f>"&lt;div class="&amp;""""&amp;"hanging"&amp;""""&amp;"&gt;"&amp;K407&amp;"&lt;a href="&amp;""""&amp;L407&amp;""""&amp;" target="&amp;""""&amp;"_blank"&amp;""""&amp;"&gt;"&amp;L407&amp;"&lt;/a&gt;&lt;span style="&amp;""""&amp;"color:white"&amp;""""&amp;"&gt;[.]{#"&amp;F407&amp;"}}&lt;/span&gt;&lt;/div&gt;&lt;br&gt;"</f>
        <v>&lt;div class="hanging"&gt;Séquin, E. S., Jaeger M. M., Brussard P. F., &amp; Barrett, R. H. (2003). Wariness of Coyotes to Camera Traps Relative to Social Status and Territory Boundaries. Lincoln, NE, USA: University of Nebraska-Lincoln.&lt;a href="https://doi.org/10.1139/z03-204" target="_blank"&gt;https://doi.org/10.1139/z03-204&lt;/a&gt;&lt;span style="color:white"&gt;[.]{#sequin_et_al_2003}}&lt;/span&gt;&lt;/div&gt;&lt;br&gt;</v>
      </c>
      <c r="O407" s="65" t="str">
        <f>"{{ rtxt_"&amp;F407&amp;" }}"</f>
        <v>{{ rtxt_sequin_et_al_2003 }}</v>
      </c>
      <c r="P407" s="65" t="str">
        <f>"{{ rbib_"&amp;F407&amp;" }}"</f>
        <v>{{ rbib_sequin_et_al_2003 }}</v>
      </c>
      <c r="Q407" s="65" t="str">
        <f>"    rtxt_"&amp;F407&amp;": "&amp;""""&amp;"&lt;a href=\"&amp;""""&amp;"/08_references.html#"&amp;F407&amp;"\"&amp;""""&amp;" target=\"&amp;""""&amp;"_blank\"&amp;""""&amp;"&gt;"&amp;G407&amp;"&lt;/a&gt;"&amp;""""</f>
        <v xml:space="preserve">    rtxt_sequin_et_al_2003: "&lt;a href=\"/08_references.html#sequin_et_al_2003\" target=\"_blank\"&gt;Séquin et al., 2003&lt;/a&gt;"</v>
      </c>
      <c r="R407" s="65" t="str">
        <f>"    rbib_"&amp;F407&amp;": "&amp;""""&amp;K407&amp;"&lt;a href=\"&amp;""""&amp;L407&amp;""""&amp;" target=\"&amp;""""&amp;"_blank\"&amp;""""&amp;"&gt;"&amp;L407&amp;"&lt;/a&gt;"&amp;""""</f>
        <v xml:space="preserve">    rbib_sequin_et_al_2003: "Séquin, E. S., Jaeger M. M., Brussard P. F., &amp; Barrett, R. H. (2003). Wariness of Coyotes to Camera Traps Relative to Social Status and Territory Boundaries. Lincoln, NE, USA: University of Nebraska-Lincoln.&lt;a href=\"https://doi.org/10.1139/z03-204" target=\"_blank\"&gt;https://doi.org/10.1139/z03-204&lt;/a&gt;"</v>
      </c>
      <c r="S407" s="65" t="str">
        <f>"    rbib_"&amp;F407&amp;": "&amp;""""&amp;"&lt;div class=\"&amp;""""&amp;"hanging\"&amp;""""&amp;"&gt;"&amp;J407&amp;"&lt;/div&gt;"&amp;""""</f>
        <v xml:space="preserve">    rbib_sequin_et_al_2003: "&lt;div class=\"hanging\"&gt;Séquin, E. S., Jaeger M. M., Brussard P. F., &amp; Barrett, R. H. (2003). Wariness of Coyotes to Camera Traps Relative to Social Status and Territory Boundaries. Lincoln, NE, USA: University of Nebraska-Lincoln. &lt;https://doi.org/10.1139/z03-204&gt;&lt;/div&gt;"</v>
      </c>
      <c r="T407" s="65"/>
    </row>
    <row r="408" spans="1:20" ht="15.75">
      <c r="A408" s="65"/>
      <c r="B408" s="155" t="b">
        <v>1</v>
      </c>
      <c r="C408" s="155" t="b">
        <v>0</v>
      </c>
      <c r="D408" s="155" t="b">
        <v>1</v>
      </c>
      <c r="E408" s="65" t="s">
        <v>1904</v>
      </c>
      <c r="F408" s="65" t="s">
        <v>2313</v>
      </c>
      <c r="G408" s="65" t="s">
        <v>2312</v>
      </c>
      <c r="H408" s="65" t="s">
        <v>2312</v>
      </c>
      <c r="I408" s="65" t="b">
        <v>1</v>
      </c>
      <c r="J408" s="65" t="s">
        <v>2311</v>
      </c>
      <c r="K408" s="65" t="s">
        <v>5419</v>
      </c>
      <c r="L408" s="65" t="s">
        <v>2310</v>
      </c>
      <c r="M408" s="65" t="s">
        <v>984</v>
      </c>
      <c r="N408" s="65" t="str">
        <f>"&lt;div class="&amp;""""&amp;"hanging"&amp;""""&amp;"&gt;"&amp;K408&amp;"&lt;a href="&amp;""""&amp;L408&amp;""""&amp;" target="&amp;""""&amp;"_blank"&amp;""""&amp;"&gt;"&amp;L408&amp;"&lt;/a&gt;&lt;span style="&amp;""""&amp;"color:white"&amp;""""&amp;"&gt;[.]{#"&amp;F408&amp;"}}&lt;/span&gt;&lt;/div&gt;&lt;br&gt;"</f>
        <v>&lt;div class="hanging"&gt;Shannon, G., Lewis, J. S. &amp; Gerber, B. D. (2014). Recommended Survey Designs for Occupancy Modelling using Motion-activated Cameras: Insights from Empirical Wildlife Data. &lt;i&gt;PeerJ, 2&lt;/i&gt;, e532.&lt;a href="https://doi.org/10.7717/peerj.532" target="_blank"&gt;https://doi.org/10.7717/peerj.532&lt;/a&gt;&lt;span style="color:white"&gt;[.]{#shannon_et_al_2014}}&lt;/span&gt;&lt;/div&gt;&lt;br&gt;</v>
      </c>
      <c r="O408" s="65" t="str">
        <f>"{{ rtxt_"&amp;F408&amp;" }}"</f>
        <v>{{ rtxt_shannon_et_al_2014 }}</v>
      </c>
      <c r="P408" s="65" t="str">
        <f>"{{ rbib_"&amp;F408&amp;" }}"</f>
        <v>{{ rbib_shannon_et_al_2014 }}</v>
      </c>
      <c r="Q408" s="65" t="str">
        <f>"    rtxt_"&amp;F408&amp;": "&amp;""""&amp;"&lt;a href=\"&amp;""""&amp;"/08_references.html#"&amp;F408&amp;"\"&amp;""""&amp;" target=\"&amp;""""&amp;"_blank\"&amp;""""&amp;"&gt;"&amp;G408&amp;"&lt;/a&gt;"&amp;""""</f>
        <v xml:space="preserve">    rtxt_shannon_et_al_2014: "&lt;a href=\"/08_references.html#shannon_et_al_2014\" target=\"_blank\"&gt;Shannon et al., 2014&lt;/a&gt;"</v>
      </c>
      <c r="R408" s="65" t="str">
        <f>"    rbib_"&amp;F408&amp;": "&amp;""""&amp;K408&amp;"&lt;a href=\"&amp;""""&amp;L408&amp;""""&amp;" target=\"&amp;""""&amp;"_blank\"&amp;""""&amp;"&gt;"&amp;L408&amp;"&lt;/a&gt;"&amp;""""</f>
        <v xml:space="preserve">    rbib_shannon_et_al_2014: "Shannon, G., Lewis, J. S. &amp; Gerber, B. D. (2014). Recommended Survey Designs for Occupancy Modelling using Motion-activated Cameras: Insights from Empirical Wildlife Data. &lt;i&gt;PeerJ, 2&lt;/i&gt;, e532.&lt;a href=\"https://doi.org/10.7717/peerj.532" target=\"_blank\"&gt;https://doi.org/10.7717/peerj.532&lt;/a&gt;"</v>
      </c>
      <c r="S408" s="65" t="str">
        <f>"    rbib_"&amp;F408&amp;": "&amp;""""&amp;"&lt;div class=\"&amp;""""&amp;"hanging\"&amp;""""&amp;"&gt;"&amp;J408&amp;"&lt;/div&gt;"&amp;""""</f>
        <v xml:space="preserve">    rbib_shannon_et_al_2014: "&lt;div class=\"hanging\"&gt;Shannon, G., Lewis, J. S. &amp; Gerber, B. D. (2014). Recommended Survey Designs for Occupancy Modelling using Motion-activated Cameras: Insights from Empirical Wildlife Data. *PeerJ, 2*, e532. &lt;https://doi.org/10.7717/peerj.532&gt;&lt;/div&gt;"</v>
      </c>
      <c r="T408" s="65"/>
    </row>
    <row r="409" spans="1:20" ht="15.75">
      <c r="A409" s="65"/>
      <c r="B409" s="155" t="b">
        <v>0</v>
      </c>
      <c r="C409" s="155" t="b">
        <v>0</v>
      </c>
      <c r="D409" s="155" t="b">
        <v>1</v>
      </c>
      <c r="E409" s="65" t="s">
        <v>1904</v>
      </c>
      <c r="F409" s="65" t="s">
        <v>2309</v>
      </c>
      <c r="G409" s="65" t="s">
        <v>2308</v>
      </c>
      <c r="H409" s="65" t="s">
        <v>2308</v>
      </c>
      <c r="I409" s="65" t="b">
        <v>1</v>
      </c>
      <c r="J409" s="65" t="s">
        <v>2307</v>
      </c>
      <c r="K409" s="65" t="s">
        <v>5325</v>
      </c>
      <c r="L409" s="65" t="s">
        <v>2306</v>
      </c>
      <c r="M409" s="65" t="s">
        <v>984</v>
      </c>
      <c r="N409" s="65" t="str">
        <f>"&lt;div class="&amp;""""&amp;"hanging"&amp;""""&amp;"&gt;"&amp;K409&amp;"&lt;a href="&amp;""""&amp;L409&amp;""""&amp;" target="&amp;""""&amp;"_blank"&amp;""""&amp;"&gt;"&amp;L409&amp;"&lt;/a&gt;&lt;span style="&amp;""""&amp;"color:white"&amp;""""&amp;"&gt;[.]{#"&amp;F409&amp;"}}&lt;/span&gt;&lt;/div&gt;&lt;br&gt;"</f>
        <v>&lt;div class="hanging"&gt;Sharma, R.K., Jhala, Y., Qureshi, Q., Vattakaven, J., Gopal, R. &amp; Nayak, K. (2010). Evaluating capture-recapture population and Density estimation of tigers in a population with known parameters. &lt;i&gt;Animal Conservation, 13&lt;/i&gt;(1), 94-103.&lt;a href="https://doi.org/10.1111/j.1469-1795.2009.00305.x" target="_blank"&gt;https://doi.org/10.1111/j.1469-1795.2009.00305.x&lt;/a&gt;&lt;span style="color:white"&gt;[.]{#sharma_et_al_2010}}&lt;/span&gt;&lt;/div&gt;&lt;br&gt;</v>
      </c>
      <c r="O409" s="65" t="str">
        <f>"{{ rtxt_"&amp;F409&amp;" }}"</f>
        <v>{{ rtxt_sharma_et_al_2010 }}</v>
      </c>
      <c r="P409" s="65" t="str">
        <f>"{{ rbib_"&amp;F409&amp;" }}"</f>
        <v>{{ rbib_sharma_et_al_2010 }}</v>
      </c>
      <c r="Q409" s="65" t="str">
        <f>"    rtxt_"&amp;F409&amp;": "&amp;""""&amp;"&lt;a href=\"&amp;""""&amp;"/08_references.html#"&amp;F409&amp;"\"&amp;""""&amp;" target=\"&amp;""""&amp;"_blank\"&amp;""""&amp;"&gt;"&amp;G409&amp;"&lt;/a&gt;"&amp;""""</f>
        <v xml:space="preserve">    rtxt_sharma_et_al_2010: "&lt;a href=\"/08_references.html#sharma_et_al_2010\" target=\"_blank\"&gt;Sharma et al., 2010&lt;/a&gt;"</v>
      </c>
      <c r="R409" s="65" t="str">
        <f>"    rbib_"&amp;F409&amp;": "&amp;""""&amp;K409&amp;"&lt;a href=\"&amp;""""&amp;L409&amp;""""&amp;" target=\"&amp;""""&amp;"_blank\"&amp;""""&amp;"&gt;"&amp;L409&amp;"&lt;/a&gt;"&amp;""""</f>
        <v xml:space="preserve">    rbib_sharma_et_al_2010: "Sharma, R.K., Jhala, Y., Qureshi, Q., Vattakaven, J., Gopal, R. &amp; Nayak, K. (2010). Evaluating capture-recapture population and Density estimation of tigers in a population with known parameters. &lt;i&gt;Animal Conservation, 13&lt;/i&gt;(1), 94-103.&lt;a href=\"https://doi.org/10.1111/j.1469-1795.2009.00305.x" target=\"_blank\"&gt;https://doi.org/10.1111/j.1469-1795.2009.00305.x&lt;/a&gt;"</v>
      </c>
      <c r="S409" s="65" t="str">
        <f>"    rbib_"&amp;F409&amp;": "&amp;""""&amp;"&lt;div class=\"&amp;""""&amp;"hanging\"&amp;""""&amp;"&gt;"&amp;J409&amp;"&lt;/div&gt;"&amp;""""</f>
        <v xml:space="preserve">    rbib_sharma_et_al_2010: "&lt;div class=\"hanging\"&gt;Sharma, R.K., Jhala, Y., Qureshi, Q., Vattakaven, J., Gopal, R. &amp; Nayak, K. (2010). Evaluating capture-recapture population and Density estimation of tigers in a population with known parameters. *Animal Conservation, 13*(1), 94-103. &lt;https://doi.org/10.1111/j.1469-1795.2009.00305.x&gt;&lt;/div&gt;"</v>
      </c>
      <c r="T409" s="65"/>
    </row>
    <row r="410" spans="1:20" ht="15.75">
      <c r="A410" s="65"/>
      <c r="B410" s="155"/>
      <c r="C410" s="155"/>
      <c r="D410" s="155"/>
      <c r="E410" s="65" t="s">
        <v>1904</v>
      </c>
      <c r="F410" s="65" t="s">
        <v>2305</v>
      </c>
      <c r="G410" s="65" t="s">
        <v>2304</v>
      </c>
      <c r="H410" s="65" t="s">
        <v>2304</v>
      </c>
      <c r="I410" s="65" t="b">
        <v>1</v>
      </c>
      <c r="J410" s="65" t="s">
        <v>2303</v>
      </c>
      <c r="K410" s="65" t="s">
        <v>5420</v>
      </c>
      <c r="L410" s="65" t="s">
        <v>2302</v>
      </c>
      <c r="M410" s="65" t="s">
        <v>984</v>
      </c>
      <c r="N410" s="65" t="str">
        <f>"&lt;div class="&amp;""""&amp;"hanging"&amp;""""&amp;"&gt;"&amp;K410&amp;"&lt;a href="&amp;""""&amp;L410&amp;""""&amp;" target="&amp;""""&amp;"_blank"&amp;""""&amp;"&gt;"&amp;L410&amp;"&lt;/a&gt;&lt;span style="&amp;""""&amp;"color:white"&amp;""""&amp;"&gt;[.]{#"&amp;F410&amp;"}}&lt;/span&gt;&lt;/div&gt;&lt;br&gt;"</f>
        <v>&lt;div class="hanging"&gt;Shirane, Y., Mori, F., Yamanaka, M., Nakanishi, M., Ishinazaka, T., Mano, T., Jimbo, M., Sashika, M., Tsubota, T., &amp; Shimozuru, M. (2020). Development of a noninvasive photograph-based method for the evaluation of body condition in free-ranging brown bears. &lt;i&gt;PeerJ, 8&lt;/i&gt;, e9982.&lt;a href="https://doi.org/10.7717/peerj.9982" target="_blank"&gt;https://doi.org/10.7717/peerj.9982&lt;/a&gt;&lt;span style="color:white"&gt;[.]{#shirane_et_al_2020}}&lt;/span&gt;&lt;/div&gt;&lt;br&gt;</v>
      </c>
      <c r="O410" s="65" t="str">
        <f>"{{ rtxt_"&amp;F410&amp;" }}"</f>
        <v>{{ rtxt_shirane_et_al_2020 }}</v>
      </c>
      <c r="P410" s="65" t="str">
        <f>"{{ rbib_"&amp;F410&amp;" }}"</f>
        <v>{{ rbib_shirane_et_al_2020 }}</v>
      </c>
      <c r="Q410" s="65" t="str">
        <f>"    rtxt_"&amp;F410&amp;": "&amp;""""&amp;"&lt;a href=\"&amp;""""&amp;"/08_references.html#"&amp;F410&amp;"\"&amp;""""&amp;" target=\"&amp;""""&amp;"_blank\"&amp;""""&amp;"&gt;"&amp;G410&amp;"&lt;/a&gt;"&amp;""""</f>
        <v xml:space="preserve">    rtxt_shirane_et_al_2020: "&lt;a href=\"/08_references.html#shirane_et_al_2020\" target=\"_blank\"&gt;Shirane et al., 2020&lt;/a&gt;"</v>
      </c>
      <c r="R410" s="65" t="str">
        <f>"    rbib_"&amp;F410&amp;": "&amp;""""&amp;K410&amp;"&lt;a href=\"&amp;""""&amp;L410&amp;""""&amp;" target=\"&amp;""""&amp;"_blank\"&amp;""""&amp;"&gt;"&amp;L410&amp;"&lt;/a&gt;"&amp;""""</f>
        <v xml:space="preserve">    rbib_shirane_et_al_2020: "Shirane, Y., Mori, F., Yamanaka, M., Nakanishi, M., Ishinazaka, T., Mano, T., Jimbo, M., Sashika, M., Tsubota, T., &amp; Shimozuru, M. (2020). Development of a noninvasive photograph-based method for the evaluation of body condition in free-ranging brown bears. &lt;i&gt;PeerJ, 8&lt;/i&gt;, e9982.&lt;a href=\"https://doi.org/10.7717/peerj.9982" target=\"_blank\"&gt;https://doi.org/10.7717/peerj.9982&lt;/a&gt;"</v>
      </c>
      <c r="S410" s="65" t="str">
        <f>"    rbib_"&amp;F410&amp;": "&amp;""""&amp;"&lt;div class=\"&amp;""""&amp;"hanging\"&amp;""""&amp;"&gt;"&amp;J410&amp;"&lt;/div&gt;"&amp;""""</f>
        <v xml:space="preserve">    rbib_shirane_et_al_2020: "&lt;div class=\"hanging\"&gt;Shirane, Y., Mori, F., Yamanaka, M., Nakanishi, M., Ishinazaka, T., Mano, T., Jimbo, M., Sashika, M., Tsubota, T., &amp; Shimozuru, M. (2020). Development of a noninvasive photograph-based method for the evaluation of body condition in free-ranging brown bears. *PeerJ, 8*, e9982. &lt;https://doi.org/10.7717/peerj.9982&gt;&lt;/div&gt;"</v>
      </c>
      <c r="T410" s="65"/>
    </row>
    <row r="411" spans="1:20" ht="15.75">
      <c r="A411" s="65"/>
      <c r="B411" s="155" t="b">
        <v>1</v>
      </c>
      <c r="C411" s="155" t="b">
        <v>0</v>
      </c>
      <c r="D411" s="155" t="b">
        <v>1</v>
      </c>
      <c r="E411" s="65" t="s">
        <v>1904</v>
      </c>
      <c r="F411" s="65" t="s">
        <v>2301</v>
      </c>
      <c r="G411" s="65" t="s">
        <v>2300</v>
      </c>
      <c r="H411" s="65" t="s">
        <v>2299</v>
      </c>
      <c r="I411" s="65" t="b">
        <v>1</v>
      </c>
      <c r="J411" s="65" t="s">
        <v>2298</v>
      </c>
      <c r="K411" s="65" t="s">
        <v>5417</v>
      </c>
      <c r="L411" s="65" t="s">
        <v>2297</v>
      </c>
      <c r="M411" s="65" t="s">
        <v>984</v>
      </c>
      <c r="N411" s="65" t="str">
        <f>"&lt;div class="&amp;""""&amp;"hanging"&amp;""""&amp;"&gt;"&amp;K411&amp;"&lt;a href="&amp;""""&amp;L411&amp;""""&amp;" target="&amp;""""&amp;"_blank"&amp;""""&amp;"&gt;"&amp;L411&amp;"&lt;/a&gt;&lt;span style="&amp;""""&amp;"color:white"&amp;""""&amp;"&gt;[.]{#"&amp;F411&amp;"}}&lt;/span&gt;&lt;/div&gt;&lt;br&gt;"</f>
        <v>&lt;div class="hanging"&gt;Si, X., Kays, R., &amp; Ding, P. (2014). How long is enough to detect terrestrial animals? Estimating the minimum trapping effort on camera traps. &lt;i&gt;PeerJ, 2&lt;/i&gt;, e374.&lt;a href="https://doi.org/10.7717/peerj.374" target="_blank"&gt;https://doi.org/10.7717/peerj.374&lt;/a&gt;&lt;span style="color:white"&gt;[.]{#si_et_al_2014}}&lt;/span&gt;&lt;/div&gt;&lt;br&gt;</v>
      </c>
      <c r="O411" s="65" t="str">
        <f>"{{ rtxt_"&amp;F411&amp;" }}"</f>
        <v>{{ rtxt_si_et_al_2014 }}</v>
      </c>
      <c r="P411" s="65" t="str">
        <f>"{{ rbib_"&amp;F411&amp;" }}"</f>
        <v>{{ rbib_si_et_al_2014 }}</v>
      </c>
      <c r="Q411" s="65" t="str">
        <f>"    rtxt_"&amp;F411&amp;": "&amp;""""&amp;"&lt;a href=\"&amp;""""&amp;"/08_references.html#"&amp;F411&amp;"\"&amp;""""&amp;" target=\"&amp;""""&amp;"_blank\"&amp;""""&amp;"&gt;"&amp;G411&amp;"&lt;/a&gt;"&amp;""""</f>
        <v xml:space="preserve">    rtxt_si_et_al_2014: "&lt;a href=\"/08_references.html#si_et_al_2014\" target=\"_blank\"&gt;Si et al., 2014&lt;/a&gt;"</v>
      </c>
      <c r="R411" s="65" t="str">
        <f>"    rbib_"&amp;F411&amp;": "&amp;""""&amp;K411&amp;"&lt;a href=\"&amp;""""&amp;L411&amp;""""&amp;" target=\"&amp;""""&amp;"_blank\"&amp;""""&amp;"&gt;"&amp;L411&amp;"&lt;/a&gt;"&amp;""""</f>
        <v xml:space="preserve">    rbib_si_et_al_2014: "Si, X., Kays, R., &amp; Ding, P. (2014). How long is enough to detect terrestrial animals? Estimating the minimum trapping effort on camera traps. &lt;i&gt;PeerJ, 2&lt;/i&gt;, e374.&lt;a href=\"https://doi.org/10.7717/peerj.374" target=\"_blank\"&gt;https://doi.org/10.7717/peerj.374&lt;/a&gt;"</v>
      </c>
      <c r="S411" s="65" t="str">
        <f>"    rbib_"&amp;F411&amp;": "&amp;""""&amp;"&lt;div class=\"&amp;""""&amp;"hanging\"&amp;""""&amp;"&gt;"&amp;J411&amp;"&lt;/div&gt;"&amp;""""</f>
        <v xml:space="preserve">    rbib_si_et_al_2014: "&lt;div class=\"hanging\"&gt;Si, X., Kays, R., &amp; Ding, P. (2014). How long is enough to detect terrestrial animals? Estimating the minimum trapping effort on camera traps. *PeerJ, 2*, e374. &lt;https://doi.org/10.7717/peerj.374&gt;&lt;/div&gt;"</v>
      </c>
      <c r="T411" s="65"/>
    </row>
    <row r="412" spans="1:20" ht="15.75">
      <c r="A412" s="65" t="s">
        <v>530</v>
      </c>
      <c r="B412" s="155"/>
      <c r="C412" s="155"/>
      <c r="D412" s="155"/>
      <c r="E412" s="65"/>
      <c r="F412" s="65" t="s">
        <v>6035</v>
      </c>
      <c r="G412" s="65" t="s">
        <v>6046</v>
      </c>
      <c r="H412" s="65" t="s">
        <v>6046</v>
      </c>
      <c r="I412" s="65"/>
      <c r="J412" s="65" t="s">
        <v>6045</v>
      </c>
      <c r="K412" s="65" t="s">
        <v>6066</v>
      </c>
      <c r="L412" s="156" t="s">
        <v>6060</v>
      </c>
      <c r="M412" s="65"/>
      <c r="N412" s="65" t="str">
        <f>"&lt;div class="&amp;""""&amp;"hanging"&amp;""""&amp;"&gt;"&amp;K412&amp;"&lt;a href="&amp;""""&amp;L412&amp;""""&amp;" target="&amp;""""&amp;"_blank"&amp;""""&amp;"&gt;"&amp;L412&amp;"&lt;/a&gt;&lt;span style="&amp;""""&amp;"color:white"&amp;""""&amp;"&gt;[.]{#"&amp;F412&amp;"}}&lt;/span&gt;&lt;/div&gt;&lt;br&gt;"</f>
        <v>&lt;div class="hanging"&gt;Silva, M., &amp; Downing, J. A. (1994). Allometric scaling of minimal mammal densities. &lt;i&gt;Conservation Biology, 8&lt;/i&gt;(3), 732–743.&lt;a href="https://www.jstor.org/stable/2386515" target="_blank"&gt;https://www.jstor.org/stable/2386515&lt;/a&gt;&lt;span style="color:white"&gt;[.]{#silva_downing_1994}}&lt;/span&gt;&lt;/div&gt;&lt;br&gt;</v>
      </c>
      <c r="O412" s="65" t="str">
        <f>"{{ rtxt_"&amp;F412&amp;" }}"</f>
        <v>{{ rtxt_silva_downing_1994 }}</v>
      </c>
      <c r="P412" s="65" t="str">
        <f>"{{ rbib_"&amp;F412&amp;" }}"</f>
        <v>{{ rbib_silva_downing_1994 }}</v>
      </c>
      <c r="Q412" s="65" t="str">
        <f>"    rtxt_"&amp;F412&amp;": "&amp;""""&amp;"&lt;a href=\"&amp;""""&amp;"/08_references.html#"&amp;F412&amp;"\"&amp;""""&amp;" target=\"&amp;""""&amp;"_blank\"&amp;""""&amp;"&gt;"&amp;G412&amp;"&lt;/a&gt;"&amp;""""</f>
        <v xml:space="preserve">    rtxt_silva_downing_1994: "&lt;a href=\"/08_references.html#silva_downing_1994\" target=\"_blank\"&gt;Silva &amp; Downing, 1994&lt;/a&gt;"</v>
      </c>
      <c r="R412" s="65" t="str">
        <f>"    rbib_"&amp;F412&amp;": "&amp;""""&amp;K412&amp;"&lt;a href=\"&amp;""""&amp;L412&amp;""""&amp;" target=\"&amp;""""&amp;"_blank\"&amp;""""&amp;"&gt;"&amp;L412&amp;"&lt;/a&gt;"&amp;""""</f>
        <v xml:space="preserve">    rbib_silva_downing_1994: "Silva, M., &amp; Downing, J. A. (1994). Allometric scaling of minimal mammal densities. &lt;i&gt;Conservation Biology, 8&lt;/i&gt;(3), 732–743.&lt;a href=\"https://www.jstor.org/stable/2386515" target=\"_blank\"&gt;https://www.jstor.org/stable/2386515&lt;/a&gt;"</v>
      </c>
      <c r="S412" s="65" t="str">
        <f>"    rbib_"&amp;F412&amp;": "&amp;""""&amp;"&lt;div class=\"&amp;""""&amp;"hanging\"&amp;""""&amp;"&gt;"&amp;J412&amp;"&lt;/div&gt;"&amp;""""</f>
        <v xml:space="preserve">    rbib_silva_downing_1994: "&lt;div class=\"hanging\"&gt;Silva, M., &amp; Downing, J. A. (1994). Allometric scaling of minimal mammal densities. &lt;i&gt;Conservation Biology, 8&lt;/i&gt;(3), 732–743. &lt;https://www.jstor.org/stable/2386515&gt;&lt;/div&gt;"</v>
      </c>
      <c r="T412" s="65"/>
    </row>
    <row r="413" spans="1:20" ht="15.75">
      <c r="A413" s="65" t="s">
        <v>530</v>
      </c>
      <c r="B413" s="155"/>
      <c r="C413" s="155"/>
      <c r="D413" s="155"/>
      <c r="E413" s="65"/>
      <c r="F413" s="65" t="s">
        <v>6036</v>
      </c>
      <c r="G413" s="65" t="s">
        <v>6047</v>
      </c>
      <c r="H413" s="65" t="s">
        <v>6047</v>
      </c>
      <c r="I413" s="65"/>
      <c r="J413" s="65" t="s">
        <v>6044</v>
      </c>
      <c r="K413" s="65" t="s">
        <v>6067</v>
      </c>
      <c r="L413" s="65" t="s">
        <v>6057</v>
      </c>
      <c r="M413" s="65"/>
      <c r="N413" s="65" t="str">
        <f>"&lt;div class="&amp;""""&amp;"hanging"&amp;""""&amp;"&gt;"&amp;K413&amp;"&lt;a href="&amp;""""&amp;L413&amp;""""&amp;" target="&amp;""""&amp;"_blank"&amp;""""&amp;"&gt;"&amp;L413&amp;"&lt;/a&gt;&lt;span style="&amp;""""&amp;"color:white"&amp;""""&amp;"&gt;[.]{#"&amp;F413&amp;"}}&lt;/span&gt;&lt;/div&gt;&lt;br&gt;"</f>
        <v>&lt;div class="hanging"&gt;Carbone, C., &amp; Gittleman, J. L. (2002). A common rule for the scaling of carnivore density. &lt;i&gt;Science, 295&lt;/i&gt;, 2273–2276.&lt;a href="https://doi.org/10.1086/285764" target="_blank"&gt;https://doi.org/10.1086/285764&lt;/a&gt;&lt;span style="color:white"&gt;[.]{#silva_downing_1995}}&lt;/span&gt;&lt;/div&gt;&lt;br&gt;</v>
      </c>
      <c r="O413" s="65" t="str">
        <f>"{{ rtxt_"&amp;F413&amp;" }}"</f>
        <v>{{ rtxt_silva_downing_1995 }}</v>
      </c>
      <c r="P413" s="65" t="str">
        <f>"{{ rbib_"&amp;F413&amp;" }}"</f>
        <v>{{ rbib_silva_downing_1995 }}</v>
      </c>
      <c r="Q413" s="65" t="str">
        <f>"    rtxt_"&amp;F413&amp;": "&amp;""""&amp;"&lt;a href=\"&amp;""""&amp;"/08_references.html#"&amp;F413&amp;"\"&amp;""""&amp;" target=\"&amp;""""&amp;"_blank\"&amp;""""&amp;"&gt;"&amp;G413&amp;"&lt;/a&gt;"&amp;""""</f>
        <v xml:space="preserve">    rtxt_silva_downing_1995: "&lt;a href=\"/08_references.html#silva_downing_1995\" target=\"_blank\"&gt;Silva &amp; Downing, 1995&lt;/a&gt;"</v>
      </c>
      <c r="R413" s="65" t="str">
        <f>"    rbib_"&amp;F413&amp;": "&amp;""""&amp;K413&amp;"&lt;a href=\"&amp;""""&amp;L413&amp;""""&amp;" target=\"&amp;""""&amp;"_blank\"&amp;""""&amp;"&gt;"&amp;L413&amp;"&lt;/a&gt;"&amp;""""</f>
        <v xml:space="preserve">    rbib_silva_downing_1995: "Carbone, C., &amp; Gittleman, J. L. (2002). A common rule for the scaling of carnivore density. &lt;i&gt;Science, 295&lt;/i&gt;, 2273–2276.&lt;a href=\"https://doi.org/10.1086/285764" target=\"_blank\"&gt;https://doi.org/10.1086/285764&lt;/a&gt;"</v>
      </c>
      <c r="S413" s="65" t="str">
        <f>"    rbib_"&amp;F413&amp;": "&amp;""""&amp;"&lt;div class=\"&amp;""""&amp;"hanging\"&amp;""""&amp;"&gt;"&amp;J413&amp;"&lt;/div&gt;"&amp;""""</f>
        <v xml:space="preserve">    rbib_silva_downing_1995: "&lt;div class=\"hanging\"&gt;Silva, M., &amp; Downing, J. A. (1995). The allometric scaling of density and bodymass: a nonlinear relationship for terrestrial mammals. &lt;i&gt;American Naturalist, 145&lt;/i&gt;(5), 704-727. &lt;https://doi.org/10.1086/285764&gt;&lt;/div&gt;"</v>
      </c>
      <c r="T413" s="65"/>
    </row>
    <row r="414" spans="1:20" ht="15.75">
      <c r="A414" s="65"/>
      <c r="B414" s="155"/>
      <c r="C414" s="155"/>
      <c r="D414" s="155"/>
      <c r="E414" s="65" t="s">
        <v>2296</v>
      </c>
      <c r="F414" s="65" t="s">
        <v>2295</v>
      </c>
      <c r="G414" s="65" t="s">
        <v>2294</v>
      </c>
      <c r="H414" s="65" t="s">
        <v>2294</v>
      </c>
      <c r="I414" s="65" t="b">
        <v>1</v>
      </c>
      <c r="J414" s="65" t="s">
        <v>2293</v>
      </c>
      <c r="K414" s="65" t="s">
        <v>5496</v>
      </c>
      <c r="L414" s="65" t="s">
        <v>2292</v>
      </c>
      <c r="M414" s="65" t="s">
        <v>984</v>
      </c>
      <c r="N414" s="65" t="str">
        <f>"&lt;div class="&amp;""""&amp;"hanging"&amp;""""&amp;"&gt;"&amp;K414&amp;"&lt;a href="&amp;""""&amp;L414&amp;""""&amp;" target="&amp;""""&amp;"_blank"&amp;""""&amp;"&gt;"&amp;L414&amp;"&lt;/a&gt;&lt;span style="&amp;""""&amp;"color:white"&amp;""""&amp;"&gt;[.]{#"&amp;F414&amp;"}}&lt;/span&gt;&lt;/div&gt;&lt;br&gt;"</f>
        <v>&lt;div class="hanging"&gt;Singh, P., Gopalaswamy, A. M., Royle, A. J., Kumar, N. S. &amp; Karanth, K. U. (2010). SPACECAP: A Program to Estimate Animal Abundance and Density using Bayesian Spatially-Explicit Capture-Recapture Models. &lt;i&gt;Wildlife Conservation Society - India Program&lt;/i&gt;, Centre for Wildlife Studies, Bangalure, India. Version 1.0.&lt;a href="https://www.mbr-pwrc.usgs.gov/software/spacecap.html" target="_blank"&gt;https://www.mbr-pwrc.usgs.gov/software/spacecap.html&lt;/a&gt;&lt;span style="color:white"&gt;[.]{#singh_et_al_2010}}&lt;/span&gt;&lt;/div&gt;&lt;br&gt;</v>
      </c>
      <c r="O414" s="65" t="str">
        <f>"{{ rtxt_"&amp;F414&amp;" }}"</f>
        <v>{{ rtxt_singh_et_al_2010 }}</v>
      </c>
      <c r="P414" s="65" t="str">
        <f>"{{ rbib_"&amp;F414&amp;" }}"</f>
        <v>{{ rbib_singh_et_al_2010 }}</v>
      </c>
      <c r="Q414" s="65" t="str">
        <f>"    rtxt_"&amp;F414&amp;": "&amp;""""&amp;"&lt;a href=\"&amp;""""&amp;"/08_references.html#"&amp;F414&amp;"\"&amp;""""&amp;" target=\"&amp;""""&amp;"_blank\"&amp;""""&amp;"&gt;"&amp;G414&amp;"&lt;/a&gt;"&amp;""""</f>
        <v xml:space="preserve">    rtxt_singh_et_al_2010: "&lt;a href=\"/08_references.html#singh_et_al_2010\" target=\"_blank\"&gt;Singh et al., 2010&lt;/a&gt;"</v>
      </c>
      <c r="R414" s="65" t="str">
        <f>"    rbib_"&amp;F414&amp;": "&amp;""""&amp;K414&amp;"&lt;a href=\"&amp;""""&amp;L414&amp;""""&amp;" target=\"&amp;""""&amp;"_blank\"&amp;""""&amp;"&gt;"&amp;L414&amp;"&lt;/a&gt;"&amp;""""</f>
        <v xml:space="preserve">    rbib_singh_et_al_2010: "Singh, P., Gopalaswamy, A. M., Royle, A. J., Kumar, N. S. &amp; Karanth, K. U. (2010). SPACECAP: A Program to Estimate Animal Abundance and Density using Bayesian Spatially-Explicit Capture-Recapture Models. &lt;i&gt;Wildlife Conservation Society - India Program&lt;/i&gt;, Centre for Wildlife Studies, Bangalure, India. Version 1.0.&lt;a href=\"https://www.mbr-pwrc.usgs.gov/software/spacecap.html" target=\"_blank\"&gt;https://www.mbr-pwrc.usgs.gov/software/spacecap.html&lt;/a&gt;"</v>
      </c>
      <c r="S414" s="65" t="str">
        <f>"    rbib_"&amp;F414&amp;": "&amp;""""&amp;"&lt;div class=\"&amp;""""&amp;"hanging\"&amp;""""&amp;"&gt;"&amp;J414&amp;"&lt;/div&gt;"&amp;""""</f>
        <v xml:space="preserve">    rbib_singh_et_al_2010: "&lt;div class=\"hanging\"&gt;Singh, P., Gopalaswamy, A. M., Royle, A. J., Kumar, N. S. &amp; Karanth, K. U. (2010). SPACECAP: A Program to Estimate Animal Abundance and Density using Bayesian Spatially-Explicit Capture-Recapture Models. *Wildlife Conservation Society - India Program*, Centre for Wildlife Studies, Bangalure, India. Version 1.0. &lt;https://www.mbr-pwrc.usgs.gov/software/spacecap.html&gt;&lt;/div&gt;"</v>
      </c>
      <c r="T414" s="65"/>
    </row>
    <row r="415" spans="1:20" ht="15.75">
      <c r="A415" s="65"/>
      <c r="B415" s="155" t="b">
        <v>1</v>
      </c>
      <c r="C415" s="155" t="b">
        <v>0</v>
      </c>
      <c r="D415" s="155" t="b">
        <v>0</v>
      </c>
      <c r="E415" s="65" t="s">
        <v>1904</v>
      </c>
      <c r="F415" s="65" t="s">
        <v>2291</v>
      </c>
      <c r="G415" s="65" t="s">
        <v>2290</v>
      </c>
      <c r="H415" s="65" t="s">
        <v>2290</v>
      </c>
      <c r="I415" s="65" t="b">
        <v>1</v>
      </c>
      <c r="J415" s="65" t="s">
        <v>2289</v>
      </c>
      <c r="K415" s="65" t="s">
        <v>5177</v>
      </c>
      <c r="L415" s="65" t="s">
        <v>2288</v>
      </c>
      <c r="M415" s="65" t="s">
        <v>984</v>
      </c>
      <c r="N415" s="65" t="str">
        <f>"&lt;div class="&amp;""""&amp;"hanging"&amp;""""&amp;"&gt;"&amp;K415&amp;"&lt;a href="&amp;""""&amp;L415&amp;""""&amp;" target="&amp;""""&amp;"_blank"&amp;""""&amp;"&gt;"&amp;L415&amp;"&lt;/a&gt;&lt;span style="&amp;""""&amp;"color:white"&amp;""""&amp;"&gt;[.]{#"&amp;F415&amp;"}}&lt;/span&gt;&lt;/div&gt;&lt;br&gt;"</f>
        <v>&lt;div class="hanging"&gt;Sirén, A. P. K., Somos‐Valenzuela, M., Callahan, C., Kilborn, J. R., Duclos, T., Tragert, C., &amp; Morelli., T. L. (2018) Looking beyond Wildlife: Using Remote Cameras to Evaluate Accuracy of Gridded Snow Data. Edited by Marcus Rowcliffe and Sadie Ryan. &lt;i&gt;Remote Sensing in Ecology and Conservation, 4&lt;/i&gt;(4), 375-86.&lt;a href="https://doi.org/10.1002/rse2.85" target="_blank"&gt;https://doi.org/10.1002/rse2.85&lt;/a&gt;&lt;span style="color:white"&gt;[.]{#siren_et_al_2018}}&lt;/span&gt;&lt;/div&gt;&lt;br&gt;</v>
      </c>
      <c r="O415" s="65" t="str">
        <f>"{{ rtxt_"&amp;F415&amp;" }}"</f>
        <v>{{ rtxt_siren_et_al_2018 }}</v>
      </c>
      <c r="P415" s="65" t="str">
        <f>"{{ rbib_"&amp;F415&amp;" }}"</f>
        <v>{{ rbib_siren_et_al_2018 }}</v>
      </c>
      <c r="Q415" s="65" t="str">
        <f>"    rtxt_"&amp;F415&amp;": "&amp;""""&amp;"&lt;a href=\"&amp;""""&amp;"/08_references.html#"&amp;F415&amp;"\"&amp;""""&amp;" target=\"&amp;""""&amp;"_blank\"&amp;""""&amp;"&gt;"&amp;G415&amp;"&lt;/a&gt;"&amp;""""</f>
        <v xml:space="preserve">    rtxt_siren_et_al_2018: "&lt;a href=\"/08_references.html#siren_et_al_2018\" target=\"_blank\"&gt;Sirén et al., 2018&lt;/a&gt;"</v>
      </c>
      <c r="R415" s="65" t="str">
        <f>"    rbib_"&amp;F415&amp;": "&amp;""""&amp;K415&amp;"&lt;a href=\"&amp;""""&amp;L415&amp;""""&amp;" target=\"&amp;""""&amp;"_blank\"&amp;""""&amp;"&gt;"&amp;L415&amp;"&lt;/a&gt;"&amp;""""</f>
        <v xml:space="preserve">    rbib_siren_et_al_2018: "Sirén, A. P. K., Somos‐Valenzuela, M., Callahan, C., Kilborn, J. R., Duclos, T., Tragert, C., &amp; Morelli., T. L. (2018) Looking beyond Wildlife: Using Remote Cameras to Evaluate Accuracy of Gridded Snow Data. Edited by Marcus Rowcliffe and Sadie Ryan. &lt;i&gt;Remote Sensing in Ecology and Conservation, 4&lt;/i&gt;(4), 375-86.&lt;a href=\"https://doi.org/10.1002/rse2.85" target=\"_blank\"&gt;https://doi.org/10.1002/rse2.85&lt;/a&gt;"</v>
      </c>
      <c r="S415" s="65" t="str">
        <f>"    rbib_"&amp;F415&amp;": "&amp;""""&amp;"&lt;div class=\"&amp;""""&amp;"hanging\"&amp;""""&amp;"&gt;"&amp;J415&amp;"&lt;/div&gt;"&amp;""""</f>
        <v xml:space="preserve">    rbib_siren_et_al_2018: "&lt;div class=\"hanging\"&gt;Sirén, A. P. K., Somos‐Valenzuela, M., Callahan, C., Kilborn, J. R., Duclos, T., Tragert, C., &amp; Morelli., T. L. (2018) Looking beyond Wildlife: Using Remote Cameras to Evaluate Accuracy of Gridded Snow Data. Edited by Marcus Rowcliffe and Sadie Ryan. *Remote Sensing in Ecology and Conservation, 4*(4), 375-86. &lt;https://doi.org/10.1002/rse2.85&gt;&lt;/div&gt;"</v>
      </c>
      <c r="T415" s="65"/>
    </row>
    <row r="416" spans="1:20" ht="15.75">
      <c r="A416" s="65"/>
      <c r="B416" s="155"/>
      <c r="C416" s="155"/>
      <c r="D416" s="155"/>
      <c r="E416" s="65" t="s">
        <v>1945</v>
      </c>
      <c r="F416" s="65" t="s">
        <v>2287</v>
      </c>
      <c r="G416" s="65" t="s">
        <v>2286</v>
      </c>
      <c r="H416" s="65" t="s">
        <v>2286</v>
      </c>
      <c r="I416" s="65" t="b">
        <v>1</v>
      </c>
      <c r="J416" s="65" t="s">
        <v>2285</v>
      </c>
      <c r="K416" s="65" t="s">
        <v>5528</v>
      </c>
      <c r="L416" s="65" t="s">
        <v>2283</v>
      </c>
      <c r="M416" s="65" t="s">
        <v>2284</v>
      </c>
      <c r="N416" s="65" t="str">
        <f>"&lt;div class="&amp;""""&amp;"hanging"&amp;""""&amp;"&gt;"&amp;K416&amp;"&lt;a href="&amp;""""&amp;L416&amp;""""&amp;" target="&amp;""""&amp;"_blank"&amp;""""&amp;"&gt;"&amp;L416&amp;"&lt;/a&gt;&lt;span style="&amp;""""&amp;"color:white"&amp;""""&amp;"&gt;[.]{#"&amp;F416&amp;"}}&lt;/span&gt;&lt;/div&gt;&lt;br&gt;"</f>
        <v>&lt;div class="hanging"&gt;Snow Leopard Network. (2020a, Aug 1). &lt;i&gt;PAWS: Spatial Capture Recapture Data Analysis Part 1.&lt;/i&gt; [Video]. YouTube.&lt;a href="https://www.youtube.com/watch?v=aTbk-jWyMcU" target="_blank"&gt;https://www.youtube.com/watch?v=aTbk-jWyMcU&lt;/a&gt;&lt;span style="color:white"&gt;[.]{#snow_leopard_network_2020a}}&lt;/span&gt;&lt;/div&gt;&lt;br&gt;</v>
      </c>
      <c r="O416" s="65" t="str">
        <f>"{{ rtxt_"&amp;F416&amp;" }}"</f>
        <v>{{ rtxt_snow_leopard_network_2020a }}</v>
      </c>
      <c r="P416" s="65" t="str">
        <f>"{{ rbib_"&amp;F416&amp;" }}"</f>
        <v>{{ rbib_snow_leopard_network_2020a }}</v>
      </c>
      <c r="Q416" s="65" t="str">
        <f>"    rtxt_"&amp;F416&amp;": "&amp;""""&amp;"&lt;a href=\"&amp;""""&amp;"/08_references.html#"&amp;F416&amp;"\"&amp;""""&amp;" target=\"&amp;""""&amp;"_blank\"&amp;""""&amp;"&gt;"&amp;G416&amp;"&lt;/a&gt;"&amp;""""</f>
        <v xml:space="preserve">    rtxt_snow_leopard_network_2020a: "&lt;a href=\"/08_references.html#snow_leopard_network_2020a\" target=\"_blank\"&gt;Snow Leopard Network, 2020a&lt;/a&gt;"</v>
      </c>
      <c r="R416" s="65" t="str">
        <f>"    rbib_"&amp;F416&amp;": "&amp;""""&amp;K416&amp;"&lt;a href=\"&amp;""""&amp;L416&amp;""""&amp;" target=\"&amp;""""&amp;"_blank\"&amp;""""&amp;"&gt;"&amp;L416&amp;"&lt;/a&gt;"&amp;""""</f>
        <v xml:space="preserve">    rbib_snow_leopard_network_2020a: "Snow Leopard Network. (2020a, Aug 1). &lt;i&gt;PAWS: Spatial Capture Recapture Data Analysis Part 1.&lt;/i&gt; [Video]. YouTube.&lt;a href=\"https://www.youtube.com/watch?v=aTbk-jWyMcU" target=\"_blank\"&gt;https://www.youtube.com/watch?v=aTbk-jWyMcU&lt;/a&gt;"</v>
      </c>
      <c r="S416" s="65" t="str">
        <f>"    rbib_"&amp;F416&amp;": "&amp;""""&amp;"&lt;div class=\"&amp;""""&amp;"hanging\"&amp;""""&amp;"&gt;"&amp;J416&amp;"&lt;/div&gt;"&amp;""""</f>
        <v xml:space="preserve">    rbib_snow_leopard_network_2020a: "&lt;div class=\"hanging\"&gt;Snow Leopard Network. (2020a, Aug 1). *PAWS: Spatial Capture Recapture Data Analysis Part 1.* [Video]. YouTube. &lt;https://www.youtube.com/watch?v=aTbk-jWyMcU&gt;&lt;/div&gt;"</v>
      </c>
      <c r="T416" s="65"/>
    </row>
    <row r="417" spans="1:20" ht="15.75">
      <c r="A417" s="65"/>
      <c r="B417" s="155"/>
      <c r="C417" s="155"/>
      <c r="D417" s="155"/>
      <c r="E417" s="65" t="s">
        <v>1945</v>
      </c>
      <c r="F417" s="65" t="s">
        <v>2282</v>
      </c>
      <c r="G417" s="65" t="s">
        <v>2281</v>
      </c>
      <c r="H417" s="65" t="s">
        <v>2281</v>
      </c>
      <c r="I417" s="65" t="b">
        <v>1</v>
      </c>
      <c r="J417" s="65" t="s">
        <v>3952</v>
      </c>
      <c r="K417" s="65" t="s">
        <v>5096</v>
      </c>
      <c r="L417" s="157" t="s">
        <v>5562</v>
      </c>
      <c r="M417" s="65" t="s">
        <v>2280</v>
      </c>
      <c r="N417" s="65" t="str">
        <f>"&lt;div class="&amp;""""&amp;"hanging"&amp;""""&amp;"&gt;"&amp;K417&amp;"&lt;a href="&amp;""""&amp;L417&amp;""""&amp;" target="&amp;""""&amp;"_blank"&amp;""""&amp;"&gt;"&amp;L417&amp;"&lt;/a&gt;&lt;span style="&amp;""""&amp;"color:white"&amp;""""&amp;"&gt;[.]{#"&amp;F417&amp;"}}&lt;/span&gt;&lt;/div&gt;&lt;br&gt;"</f>
        <v>&lt;div class="hanging"&gt;Snow Leopard Network. (2020b, Aug 2).&lt;i&gt;PAWS: Spatial Capture Recapture Data Analysis Part 2.&lt;/i&gt; [Video]. YouTube.&lt;a href="https://www.youtube.com/watch?v=IHVez1a_hqg&amp;t=2675s" target="_blank"&gt;https://www.youtube.com/watch?v=IHVez1a_hqg&amp;t=2675s&lt;/a&gt;&lt;span style="color:white"&gt;[.]{#snow_leopard_network_2020b}}&lt;/span&gt;&lt;/div&gt;&lt;br&gt;</v>
      </c>
      <c r="O417" s="65" t="str">
        <f>"{{ rtxt_"&amp;F417&amp;" }}"</f>
        <v>{{ rtxt_snow_leopard_network_2020b }}</v>
      </c>
      <c r="P417" s="65" t="str">
        <f>"{{ rbib_"&amp;F417&amp;" }}"</f>
        <v>{{ rbib_snow_leopard_network_2020b }}</v>
      </c>
      <c r="Q417" s="65" t="str">
        <f>"    rtxt_"&amp;F417&amp;": "&amp;""""&amp;"&lt;a href=\"&amp;""""&amp;"/08_references.html#"&amp;F417&amp;"\"&amp;""""&amp;" target=\"&amp;""""&amp;"_blank\"&amp;""""&amp;"&gt;"&amp;G417&amp;"&lt;/a&gt;"&amp;""""</f>
        <v xml:space="preserve">    rtxt_snow_leopard_network_2020b: "&lt;a href=\"/08_references.html#snow_leopard_network_2020b\" target=\"_blank\"&gt;Snow Leopard Network, 2020b&lt;/a&gt;"</v>
      </c>
      <c r="R417" s="65" t="str">
        <f>"    rbib_"&amp;F417&amp;": "&amp;""""&amp;K417&amp;"&lt;a href=\"&amp;""""&amp;L417&amp;""""&amp;" target=\"&amp;""""&amp;"_blank\"&amp;""""&amp;"&gt;"&amp;L417&amp;"&lt;/a&gt;"&amp;""""</f>
        <v xml:space="preserve">    rbib_snow_leopard_network_2020b: "Snow Leopard Network. (2020b, Aug 2).&lt;i&gt;PAWS: Spatial Capture Recapture Data Analysis Part 2.&lt;/i&gt; [Video]. YouTube.&lt;a href=\"https://www.youtube.com/watch?v=IHVez1a_hqg&amp;t=2675s" target=\"_blank\"&gt;https://www.youtube.com/watch?v=IHVez1a_hqg&amp;t=2675s&lt;/a&gt;"</v>
      </c>
      <c r="S417" s="65" t="str">
        <f>"    rbib_"&amp;F417&amp;": "&amp;""""&amp;"&lt;div class=\"&amp;""""&amp;"hanging\"&amp;""""&amp;"&gt;"&amp;J417&amp;"&lt;/div&gt;"&amp;""""</f>
        <v xml:space="preserve">    rbib_snow_leopard_network_2020b: "&lt;div class=\"hanging\"&gt;Snow Leopard Network. (2020b, Aug 2).*PAWS: Spatial Capture Recapture Data Analysis Part 2.* [Video]. YouTube. &lt;https://www.youtube.com/watch?v=IHVez1a_hqg&amp;t=2675s&gt;&lt;/div&gt;"</v>
      </c>
      <c r="T417" s="65"/>
    </row>
    <row r="418" spans="1:20" ht="15.75">
      <c r="A418" s="65"/>
      <c r="B418" s="155"/>
      <c r="C418" s="155"/>
      <c r="D418" s="155"/>
      <c r="E418" s="65" t="s">
        <v>1904</v>
      </c>
      <c r="F418" s="65" t="s">
        <v>2279</v>
      </c>
      <c r="G418" s="65" t="s">
        <v>2278</v>
      </c>
      <c r="H418" s="65" t="s">
        <v>2278</v>
      </c>
      <c r="I418" s="65" t="b">
        <v>1</v>
      </c>
      <c r="J418" s="65" t="s">
        <v>2277</v>
      </c>
      <c r="K418" s="65" t="s">
        <v>5255</v>
      </c>
      <c r="L418" s="65" t="s">
        <v>2276</v>
      </c>
      <c r="M418" s="65" t="s">
        <v>984</v>
      </c>
      <c r="N418" s="65" t="str">
        <f>"&lt;div class="&amp;""""&amp;"hanging"&amp;""""&amp;"&gt;"&amp;K418&amp;"&lt;a href="&amp;""""&amp;L418&amp;""""&amp;" target="&amp;""""&amp;"_blank"&amp;""""&amp;"&gt;"&amp;L418&amp;"&lt;/a&gt;&lt;span style="&amp;""""&amp;"color:white"&amp;""""&amp;"&gt;[.]{#"&amp;F418&amp;"}}&lt;/span&gt;&lt;/div&gt;&lt;br&gt;"</f>
        <v>&lt;div class="hanging"&gt;Soberón, J., &amp; Llorente, J. (1993). The Use of Species Accumulation Functions for the Prediction of Species Richness. &lt;i&gt;Conservation Biology, 7&lt;/i&gt;(3), 480-488.&lt;a href="https://doi.org/10.1046/j.1523-1739.1993.07030480.x" target="_blank"&gt;https://doi.org/10.1046/j.1523-1739.1993.07030480.x&lt;/a&gt;&lt;span style="color:white"&gt;[.]{#soberon_lorente_1993}}&lt;/span&gt;&lt;/div&gt;&lt;br&gt;</v>
      </c>
      <c r="O418" s="65" t="str">
        <f>"{{ rtxt_"&amp;F418&amp;" }}"</f>
        <v>{{ rtxt_soberon_lorente_1993 }}</v>
      </c>
      <c r="P418" s="65" t="str">
        <f>"{{ rbib_"&amp;F418&amp;" }}"</f>
        <v>{{ rbib_soberon_lorente_1993 }}</v>
      </c>
      <c r="Q418" s="65" t="str">
        <f>"    rtxt_"&amp;F418&amp;": "&amp;""""&amp;"&lt;a href=\"&amp;""""&amp;"/08_references.html#"&amp;F418&amp;"\"&amp;""""&amp;" target=\"&amp;""""&amp;"_blank\"&amp;""""&amp;"&gt;"&amp;G418&amp;"&lt;/a&gt;"&amp;""""</f>
        <v xml:space="preserve">    rtxt_soberon_lorente_1993: "&lt;a href=\"/08_references.html#soberon_lorente_1993\" target=\"_blank\"&gt;Soberón &amp; Llorente, 1993&lt;/a&gt;"</v>
      </c>
      <c r="R418" s="65" t="str">
        <f>"    rbib_"&amp;F418&amp;": "&amp;""""&amp;K418&amp;"&lt;a href=\"&amp;""""&amp;L418&amp;""""&amp;" target=\"&amp;""""&amp;"_blank\"&amp;""""&amp;"&gt;"&amp;L418&amp;"&lt;/a&gt;"&amp;""""</f>
        <v xml:space="preserve">    rbib_soberon_lorente_1993: "Soberón, J., &amp; Llorente, J. (1993). The Use of Species Accumulation Functions for the Prediction of Species Richness. &lt;i&gt;Conservation Biology, 7&lt;/i&gt;(3), 480-488.&lt;a href=\"https://doi.org/10.1046/j.1523-1739.1993.07030480.x" target=\"_blank\"&gt;https://doi.org/10.1046/j.1523-1739.1993.07030480.x&lt;/a&gt;"</v>
      </c>
      <c r="S418" s="65" t="str">
        <f>"    rbib_"&amp;F418&amp;": "&amp;""""&amp;"&lt;div class=\"&amp;""""&amp;"hanging\"&amp;""""&amp;"&gt;"&amp;J418&amp;"&lt;/div&gt;"&amp;""""</f>
        <v xml:space="preserve">    rbib_soberon_lorente_1993: "&lt;div class=\"hanging\"&gt;Soberón, J., &amp; Llorente, J. (1993). The Use of Species Accumulation Functions for the Prediction of Species Richness. *Conservation Biology, 7*(3), 480-488. &lt;https://doi.org/10.1046/j.1523-1739.1993.07030480.x&gt;&lt;/div&gt;"</v>
      </c>
      <c r="T418" s="65"/>
    </row>
    <row r="419" spans="1:20" ht="15.75">
      <c r="A419" s="65"/>
      <c r="B419" s="155" t="b">
        <v>1</v>
      </c>
      <c r="C419" s="155" t="b">
        <v>0</v>
      </c>
      <c r="D419" s="155" t="b">
        <v>0</v>
      </c>
      <c r="E419" s="65" t="s">
        <v>1904</v>
      </c>
      <c r="F419" s="65" t="s">
        <v>2275</v>
      </c>
      <c r="G419" s="65" t="s">
        <v>2274</v>
      </c>
      <c r="H419" s="65" t="s">
        <v>2274</v>
      </c>
      <c r="I419" s="65" t="b">
        <v>1</v>
      </c>
      <c r="J419" s="65" t="s">
        <v>2273</v>
      </c>
      <c r="K419" s="65" t="s">
        <v>5301</v>
      </c>
      <c r="L419" s="65" t="s">
        <v>2272</v>
      </c>
      <c r="M419" s="65" t="s">
        <v>984</v>
      </c>
      <c r="N419" s="65" t="str">
        <f>"&lt;div class="&amp;""""&amp;"hanging"&amp;""""&amp;"&gt;"&amp;K419&amp;"&lt;a href="&amp;""""&amp;L419&amp;""""&amp;" target="&amp;""""&amp;"_blank"&amp;""""&amp;"&gt;"&amp;L419&amp;"&lt;/a&gt;&lt;span style="&amp;""""&amp;"color:white"&amp;""""&amp;"&gt;[.]{#"&amp;F419&amp;"}}&lt;/span&gt;&lt;/div&gt;&lt;br&gt;"</f>
        <v>&lt;div class="hanging"&gt;Sollmann, R. (2018). A gentle introduction to camera‐trap data analysis. &lt;i&gt;African Journal of Ecology,&lt;/i&gt; 56, 740-749.&lt;a href="https://doi.org/10.1111/aje.12557" target="_blank"&gt;https://doi.org/10.1111/aje.12557&lt;/a&gt;&lt;span style="color:white"&gt;[.]{#sollmann_2018}}&lt;/span&gt;&lt;/div&gt;&lt;br&gt;</v>
      </c>
      <c r="O419" s="65" t="str">
        <f>"{{ rtxt_"&amp;F419&amp;" }}"</f>
        <v>{{ rtxt_sollmann_2018 }}</v>
      </c>
      <c r="P419" s="65" t="str">
        <f>"{{ rbib_"&amp;F419&amp;" }}"</f>
        <v>{{ rbib_sollmann_2018 }}</v>
      </c>
      <c r="Q419" s="65" t="str">
        <f>"    rtxt_"&amp;F419&amp;": "&amp;""""&amp;"&lt;a href=\"&amp;""""&amp;"/08_references.html#"&amp;F419&amp;"\"&amp;""""&amp;" target=\"&amp;""""&amp;"_blank\"&amp;""""&amp;"&gt;"&amp;G419&amp;"&lt;/a&gt;"&amp;""""</f>
        <v xml:space="preserve">    rtxt_sollmann_2018: "&lt;a href=\"/08_references.html#sollmann_2018\" target=\"_blank\"&gt;Sollmann et al., 2018&lt;/a&gt;"</v>
      </c>
      <c r="R419" s="65" t="str">
        <f>"    rbib_"&amp;F419&amp;": "&amp;""""&amp;K419&amp;"&lt;a href=\"&amp;""""&amp;L419&amp;""""&amp;" target=\"&amp;""""&amp;"_blank\"&amp;""""&amp;"&gt;"&amp;L419&amp;"&lt;/a&gt;"&amp;""""</f>
        <v xml:space="preserve">    rbib_sollmann_2018: "Sollmann, R. (2018). A gentle introduction to camera‐trap data analysis. &lt;i&gt;African Journal of Ecology,&lt;/i&gt; 56, 740-749.&lt;a href=\"https://doi.org/10.1111/aje.12557" target=\"_blank\"&gt;https://doi.org/10.1111/aje.12557&lt;/a&gt;"</v>
      </c>
      <c r="S419" s="65" t="str">
        <f>"    rbib_"&amp;F419&amp;": "&amp;""""&amp;"&lt;div class=\"&amp;""""&amp;"hanging\"&amp;""""&amp;"&gt;"&amp;J419&amp;"&lt;/div&gt;"&amp;""""</f>
        <v xml:space="preserve">    rbib_sollmann_2018: "&lt;div class=\"hanging\"&gt;Sollmann, R. (2018). A gentle introduction to camera‐trap data analysis. *African Journal of Ecology,* 56, 740-749. &lt;https://doi.org/10.1111/aje.12557&gt;&lt;/div&gt;"</v>
      </c>
      <c r="T419" s="65"/>
    </row>
    <row r="420" spans="1:20" ht="15.75">
      <c r="A420" s="65"/>
      <c r="B420" s="155" t="b">
        <v>1</v>
      </c>
      <c r="C420" s="155" t="b">
        <v>0</v>
      </c>
      <c r="D420" s="155" t="b">
        <v>0</v>
      </c>
      <c r="E420" s="65" t="s">
        <v>1904</v>
      </c>
      <c r="F420" s="65" t="s">
        <v>2271</v>
      </c>
      <c r="G420" s="65" t="s">
        <v>2270</v>
      </c>
      <c r="H420" s="65" t="s">
        <v>2270</v>
      </c>
      <c r="I420" s="65" t="b">
        <v>1</v>
      </c>
      <c r="J420" s="65" t="s">
        <v>2269</v>
      </c>
      <c r="K420" s="65" t="s">
        <v>5225</v>
      </c>
      <c r="L420" s="65" t="s">
        <v>2268</v>
      </c>
      <c r="M420" s="65" t="s">
        <v>984</v>
      </c>
      <c r="N420" s="65" t="str">
        <f>"&lt;div class="&amp;""""&amp;"hanging"&amp;""""&amp;"&gt;"&amp;K420&amp;"&lt;a href="&amp;""""&amp;L420&amp;""""&amp;" target="&amp;""""&amp;"_blank"&amp;""""&amp;"&gt;"&amp;L420&amp;"&lt;/a&gt;&lt;span style="&amp;""""&amp;"color:white"&amp;""""&amp;"&gt;[.]{#"&amp;F420&amp;"}}&lt;/span&gt;&lt;/div&gt;&lt;br&gt;"</f>
        <v>&lt;div class="hanging"&gt;Sollmann, R., Furtado, M. M., Gardner, B., Hofer, H., Jácomo, A. T. A., Tôrres, N. M., &amp; Silveira, L. (2011). Improving Density Estimates for Elusive Carnivores: Accounting for Sex-Specific Detection and Movements Using Spatial Capture-Recapture Models for Jaguars in Central Brazil. &lt;i&gt;Biological Conservation, 144&lt;/i&gt;(3), 1017-24.&lt;a href="https://doi.org/10.1016/j.biocon.2010.12.011" target="_blank"&gt;https://doi.org/10.1016/j.biocon.2010.12.011&lt;/a&gt;&lt;span style="color:white"&gt;[.]{#sollmann_et_al_2011}}&lt;/span&gt;&lt;/div&gt;&lt;br&gt;</v>
      </c>
      <c r="O420" s="65" t="str">
        <f>"{{ rtxt_"&amp;F420&amp;" }}"</f>
        <v>{{ rtxt_sollmann_et_al_2011 }}</v>
      </c>
      <c r="P420" s="65" t="str">
        <f>"{{ rbib_"&amp;F420&amp;" }}"</f>
        <v>{{ rbib_sollmann_et_al_2011 }}</v>
      </c>
      <c r="Q420" s="65" t="str">
        <f>"    rtxt_"&amp;F420&amp;": "&amp;""""&amp;"&lt;a href=\"&amp;""""&amp;"/08_references.html#"&amp;F420&amp;"\"&amp;""""&amp;" target=\"&amp;""""&amp;"_blank\"&amp;""""&amp;"&gt;"&amp;G420&amp;"&lt;/a&gt;"&amp;""""</f>
        <v xml:space="preserve">    rtxt_sollmann_et_al_2011: "&lt;a href=\"/08_references.html#sollmann_et_al_2011\" target=\"_blank\"&gt;Sollmann et al., 2011&lt;/a&gt;"</v>
      </c>
      <c r="R420" s="65" t="str">
        <f>"    rbib_"&amp;F420&amp;": "&amp;""""&amp;K420&amp;"&lt;a href=\"&amp;""""&amp;L420&amp;""""&amp;" target=\"&amp;""""&amp;"_blank\"&amp;""""&amp;"&gt;"&amp;L420&amp;"&lt;/a&gt;"&amp;""""</f>
        <v xml:space="preserve">    rbib_sollmann_et_al_2011: "Sollmann, R., Furtado, M. M., Gardner, B., Hofer, H., Jácomo, A. T. A., Tôrres, N. M., &amp; Silveira, L. (2011). Improving Density Estimates for Elusive Carnivores: Accounting for Sex-Specific Detection and Movements Using Spatial Capture-Recapture Models for Jaguars in Central Brazil. &lt;i&gt;Biological Conservation, 144&lt;/i&gt;(3), 1017-24.&lt;a href=\"https://doi.org/10.1016/j.biocon.2010.12.011" target=\"_blank\"&gt;https://doi.org/10.1016/j.biocon.2010.12.011&lt;/a&gt;"</v>
      </c>
      <c r="S420" s="65" t="str">
        <f>"    rbib_"&amp;F420&amp;": "&amp;""""&amp;"&lt;div class=\"&amp;""""&amp;"hanging\"&amp;""""&amp;"&gt;"&amp;J420&amp;"&lt;/div&gt;"&amp;""""</f>
        <v xml:space="preserve">    rbib_sollmann_et_al_2011: "&lt;div class=\"hanging\"&gt;Sollmann, R., Furtado, M. M., Gardner, B., Hofer, H., Jácomo, A. T. A., Tôrres, N. M., &amp; Silveira, L. (2011). Improving Density Estimates for Elusive Carnivores: Accounting for Sex-Specific Detection and Movements Using Spatial Capture-Recapture Models for Jaguars in Central Brazil. *Biological Conservation*, 144(3), 1017-24. &lt;https://doi.org/10.1016/j.biocon.2010.12.011&gt;&lt;/div&gt;"</v>
      </c>
      <c r="T420" s="65"/>
    </row>
    <row r="421" spans="1:20" ht="15.75">
      <c r="A421" s="65"/>
      <c r="B421" s="155" t="b">
        <v>1</v>
      </c>
      <c r="C421" s="155" t="b">
        <v>0</v>
      </c>
      <c r="D421" s="155" t="b">
        <v>0</v>
      </c>
      <c r="E421" s="65" t="s">
        <v>1904</v>
      </c>
      <c r="F421" s="65" t="s">
        <v>2267</v>
      </c>
      <c r="G421" s="65" t="s">
        <v>2266</v>
      </c>
      <c r="H421" s="65" t="s">
        <v>2266</v>
      </c>
      <c r="I421" s="65" t="b">
        <v>1</v>
      </c>
      <c r="J421" s="65" t="s">
        <v>2265</v>
      </c>
      <c r="K421" s="65" t="s">
        <v>5356</v>
      </c>
      <c r="L421" s="65" t="s">
        <v>2264</v>
      </c>
      <c r="M421" s="65" t="s">
        <v>984</v>
      </c>
      <c r="N421" s="65" t="str">
        <f>"&lt;div class="&amp;""""&amp;"hanging"&amp;""""&amp;"&gt;"&amp;K421&amp;"&lt;a href="&amp;""""&amp;L421&amp;""""&amp;" target="&amp;""""&amp;"_blank"&amp;""""&amp;"&gt;"&amp;L421&amp;"&lt;/a&gt;&lt;span style="&amp;""""&amp;"color:white"&amp;""""&amp;"&gt;[.]{#"&amp;F421&amp;"}}&lt;/span&gt;&lt;/div&gt;&lt;br&gt;"</f>
        <v>&lt;div class="hanging"&gt;Sollmann, R., Gardner, B., &amp; Belant, J. L. (2012). How does Spatial Study Design Influence Density Estimates from Spatial capture-recapture models? &lt;i&gt;PLoS One, 7&lt;/i&gt;, e34575.&lt;a href="https://doi.org/10.1371/journal.pone.0034575" target="_blank"&gt;https://doi.org/10.1371/journal.pone.0034575&lt;/a&gt;&lt;span style="color:white"&gt;[.]{#sollmann_et_al_2012}}&lt;/span&gt;&lt;/div&gt;&lt;br&gt;</v>
      </c>
      <c r="O421" s="65" t="str">
        <f>"{{ rtxt_"&amp;F421&amp;" }}"</f>
        <v>{{ rtxt_sollmann_et_al_2012 }}</v>
      </c>
      <c r="P421" s="65" t="str">
        <f>"{{ rbib_"&amp;F421&amp;" }}"</f>
        <v>{{ rbib_sollmann_et_al_2012 }}</v>
      </c>
      <c r="Q421" s="65" t="str">
        <f>"    rtxt_"&amp;F421&amp;": "&amp;""""&amp;"&lt;a href=\"&amp;""""&amp;"/08_references.html#"&amp;F421&amp;"\"&amp;""""&amp;" target=\"&amp;""""&amp;"_blank\"&amp;""""&amp;"&gt;"&amp;G421&amp;"&lt;/a&gt;"&amp;""""</f>
        <v xml:space="preserve">    rtxt_sollmann_et_al_2012: "&lt;a href=\"/08_references.html#sollmann_et_al_2012\" target=\"_blank\"&gt;Sollmann et al., 2012&lt;/a&gt;"</v>
      </c>
      <c r="R421" s="65" t="str">
        <f>"    rbib_"&amp;F421&amp;": "&amp;""""&amp;K421&amp;"&lt;a href=\"&amp;""""&amp;L421&amp;""""&amp;" target=\"&amp;""""&amp;"_blank\"&amp;""""&amp;"&gt;"&amp;L421&amp;"&lt;/a&gt;"&amp;""""</f>
        <v xml:space="preserve">    rbib_sollmann_et_al_2012: "Sollmann, R., Gardner, B., &amp; Belant, J. L. (2012). How does Spatial Study Design Influence Density Estimates from Spatial capture-recapture models? &lt;i&gt;PLoS One, 7&lt;/i&gt;, e34575.&lt;a href=\"https://doi.org/10.1371/journal.pone.0034575" target=\"_blank\"&gt;https://doi.org/10.1371/journal.pone.0034575&lt;/a&gt;"</v>
      </c>
      <c r="S421" s="65" t="str">
        <f>"    rbib_"&amp;F421&amp;": "&amp;""""&amp;"&lt;div class=\"&amp;""""&amp;"hanging\"&amp;""""&amp;"&gt;"&amp;J421&amp;"&lt;/div&gt;"&amp;""""</f>
        <v xml:space="preserve">    rbib_sollmann_et_al_2012: "&lt;div class=\"hanging\"&gt;Sollmann, R., Gardner, B., &amp; Belant, J. L. (2012). How does Spatial Study Design Influence Density Estimates from Spatial capture-recapture models? *PLoS One, 7*, e34575. &lt;https://doi.org/10.1371/journal.pone.0034575&gt;&lt;/div&gt;"</v>
      </c>
      <c r="T421" s="65"/>
    </row>
    <row r="422" spans="1:20" ht="15.75">
      <c r="A422" s="65"/>
      <c r="B422" s="155" t="b">
        <v>1</v>
      </c>
      <c r="C422" s="155" t="b">
        <v>0</v>
      </c>
      <c r="D422" s="155" t="b">
        <v>0</v>
      </c>
      <c r="E422" s="65" t="s">
        <v>1904</v>
      </c>
      <c r="F422" s="65" t="s">
        <v>2263</v>
      </c>
      <c r="G422" s="65" t="s">
        <v>2262</v>
      </c>
      <c r="H422" s="65" t="s">
        <v>2262</v>
      </c>
      <c r="I422" s="65" t="b">
        <v>1</v>
      </c>
      <c r="J422" s="65" t="s">
        <v>2261</v>
      </c>
      <c r="K422" s="65" t="s">
        <v>5280</v>
      </c>
      <c r="L422" s="65" t="s">
        <v>2260</v>
      </c>
      <c r="M422" s="65" t="s">
        <v>984</v>
      </c>
      <c r="N422" s="65" t="str">
        <f>"&lt;div class="&amp;""""&amp;"hanging"&amp;""""&amp;"&gt;"&amp;K422&amp;"&lt;a href="&amp;""""&amp;L422&amp;""""&amp;" target="&amp;""""&amp;"_blank"&amp;""""&amp;"&gt;"&amp;L422&amp;"&lt;/a&gt;&lt;span style="&amp;""""&amp;"color:white"&amp;""""&amp;"&gt;[.]{#"&amp;F422&amp;"}}&lt;/span&gt;&lt;/div&gt;&lt;br&gt;"</f>
        <v>&lt;div class="hanging"&gt;Sollmann, R., Gardner, B., Chandler, R. B., Shindle, D. B., Onorato, D. P., Royle, J. A., O'Connell, A. F., &amp; Lukacs, P. (2013a). Using multiple data sources provides Density estimates for endangered Florida panther. &lt;i&gt;Journal of Applied Ecology, 50&lt;/i&gt;(4), 961-968.&lt;a href="https://doi.org/10.1111/1365-2664.12098" target="_blank"&gt;https://doi.org/10.1111/1365-2664.12098&lt;/a&gt;&lt;span style="color:white"&gt;[.]{#sollmann_et_al_2013a}}&lt;/span&gt;&lt;/div&gt;&lt;br&gt;</v>
      </c>
      <c r="O422" s="65" t="str">
        <f>"{{ rtxt_"&amp;F422&amp;" }}"</f>
        <v>{{ rtxt_sollmann_et_al_2013a }}</v>
      </c>
      <c r="P422" s="65" t="str">
        <f>"{{ rbib_"&amp;F422&amp;" }}"</f>
        <v>{{ rbib_sollmann_et_al_2013a }}</v>
      </c>
      <c r="Q422" s="65" t="str">
        <f>"    rtxt_"&amp;F422&amp;": "&amp;""""&amp;"&lt;a href=\"&amp;""""&amp;"/08_references.html#"&amp;F422&amp;"\"&amp;""""&amp;" target=\"&amp;""""&amp;"_blank\"&amp;""""&amp;"&gt;"&amp;G422&amp;"&lt;/a&gt;"&amp;""""</f>
        <v xml:space="preserve">    rtxt_sollmann_et_al_2013a: "&lt;a href=\"/08_references.html#sollmann_et_al_2013a\" target=\"_blank\"&gt;Sollmann et al., 2013a&lt;/a&gt;"</v>
      </c>
      <c r="R422" s="65" t="str">
        <f>"    rbib_"&amp;F422&amp;": "&amp;""""&amp;K422&amp;"&lt;a href=\"&amp;""""&amp;L422&amp;""""&amp;" target=\"&amp;""""&amp;"_blank\"&amp;""""&amp;"&gt;"&amp;L422&amp;"&lt;/a&gt;"&amp;""""</f>
        <v xml:space="preserve">    rbib_sollmann_et_al_2013a: "Sollmann, R., Gardner, B., Chandler, R. B., Shindle, D. B., Onorato, D. P., Royle, J. A., O'Connell, A. F., &amp; Lukacs, P. (2013a). Using multiple data sources provides Density estimates for endangered Florida panther. &lt;i&gt;Journal of Applied Ecology, 50&lt;/i&gt;(4), 961-968.&lt;a href=\"https://doi.org/10.1111/1365-2664.12098" target=\"_blank\"&gt;https://doi.org/10.1111/1365-2664.12098&lt;/a&gt;"</v>
      </c>
      <c r="S422" s="65" t="str">
        <f>"    rbib_"&amp;F422&amp;": "&amp;""""&amp;"&lt;div class=\"&amp;""""&amp;"hanging\"&amp;""""&amp;"&gt;"&amp;J422&amp;"&lt;/div&gt;"&amp;""""</f>
        <v xml:space="preserve">    rbib_sollmann_et_al_2013a: "&lt;div class=\"hanging\"&gt;Sollmann, R., Gardner, B., Chandler, R. B., Shindle, D. B., Onorato, D. P., Royle, J. A., O'Connell, A. F., &amp; Lukacs, P. (2013a). Using multiple data sources provides Density estimates for endangered Florida panther. *Journal of Applied Ecology, 50*(4), 961-968. &lt;https://doi.org/10.1111/1365-2664.12098&gt;&lt;/div&gt;"</v>
      </c>
      <c r="T422" s="65"/>
    </row>
    <row r="423" spans="1:20" ht="15.75">
      <c r="A423" s="65"/>
      <c r="B423" s="155" t="b">
        <v>1</v>
      </c>
      <c r="C423" s="155" t="b">
        <v>0</v>
      </c>
      <c r="D423" s="155" t="b">
        <v>0</v>
      </c>
      <c r="E423" s="65" t="s">
        <v>1904</v>
      </c>
      <c r="F423" s="65" t="s">
        <v>2259</v>
      </c>
      <c r="G423" s="65" t="s">
        <v>2258</v>
      </c>
      <c r="H423" s="65" t="s">
        <v>2258</v>
      </c>
      <c r="I423" s="65" t="b">
        <v>1</v>
      </c>
      <c r="J423" s="65" t="s">
        <v>2257</v>
      </c>
      <c r="K423" s="65" t="s">
        <v>5386</v>
      </c>
      <c r="L423" s="65" t="s">
        <v>2256</v>
      </c>
      <c r="M423" s="65" t="s">
        <v>984</v>
      </c>
      <c r="N423" s="65" t="str">
        <f>"&lt;div class="&amp;""""&amp;"hanging"&amp;""""&amp;"&gt;"&amp;K423&amp;"&lt;a href="&amp;""""&amp;L423&amp;""""&amp;" target="&amp;""""&amp;"_blank"&amp;""""&amp;"&gt;"&amp;L423&amp;"&lt;/a&gt;&lt;span style="&amp;""""&amp;"color:white"&amp;""""&amp;"&gt;[.]{#"&amp;F423&amp;"}}&lt;/span&gt;&lt;/div&gt;&lt;br&gt;"</f>
        <v>&lt;div class="hanging"&gt;Sollmann, R., Gardner, B., Parsons, A. W., Stocking, J. J., McClintock, B. T., Simons, T. R., Pollock, K. H., &amp; O'Connell, A. F. (2013b). A Spatial Mark-Resight Model Augmented with Telemetry Data. &lt;i&gt;Ecology, 94&lt;/i&gt;(3), 553-559.&lt;a href="https://doi.org/10.1890/12-1256.1" target="_blank"&gt;https://doi.org/10.1890/12-1256.1&lt;/a&gt;&lt;span style="color:white"&gt;[.]{#sollmann_et_al_2013b}}&lt;/span&gt;&lt;/div&gt;&lt;br&gt;</v>
      </c>
      <c r="O423" s="65" t="str">
        <f>"{{ rtxt_"&amp;F423&amp;" }}"</f>
        <v>{{ rtxt_sollmann_et_al_2013b }}</v>
      </c>
      <c r="P423" s="65" t="str">
        <f>"{{ rbib_"&amp;F423&amp;" }}"</f>
        <v>{{ rbib_sollmann_et_al_2013b }}</v>
      </c>
      <c r="Q423" s="65" t="str">
        <f>"    rtxt_"&amp;F423&amp;": "&amp;""""&amp;"&lt;a href=\"&amp;""""&amp;"/08_references.html#"&amp;F423&amp;"\"&amp;""""&amp;" target=\"&amp;""""&amp;"_blank\"&amp;""""&amp;"&gt;"&amp;G423&amp;"&lt;/a&gt;"&amp;""""</f>
        <v xml:space="preserve">    rtxt_sollmann_et_al_2013b: "&lt;a href=\"/08_references.html#sollmann_et_al_2013b\" target=\"_blank\"&gt;Sollmann et al., 2013b&lt;/a&gt;"</v>
      </c>
      <c r="R423" s="65" t="str">
        <f>"    rbib_"&amp;F423&amp;": "&amp;""""&amp;K423&amp;"&lt;a href=\"&amp;""""&amp;L423&amp;""""&amp;" target=\"&amp;""""&amp;"_blank\"&amp;""""&amp;"&gt;"&amp;L423&amp;"&lt;/a&gt;"&amp;""""</f>
        <v xml:space="preserve">    rbib_sollmann_et_al_2013b: "Sollmann, R., Gardner, B., Parsons, A. W., Stocking, J. J., McClintock, B. T., Simons, T. R., Pollock, K. H., &amp; O'Connell, A. F. (2013b). A Spatial Mark-Resight Model Augmented with Telemetry Data. &lt;i&gt;Ecology, 94&lt;/i&gt;(3), 553-559.&lt;a href=\"https://doi.org/10.1890/12-1256.1" target=\"_blank\"&gt;https://doi.org/10.1890/12-1256.1&lt;/a&gt;"</v>
      </c>
      <c r="S423" s="65" t="str">
        <f>"    rbib_"&amp;F423&amp;": "&amp;""""&amp;"&lt;div class=\"&amp;""""&amp;"hanging\"&amp;""""&amp;"&gt;"&amp;J423&amp;"&lt;/div&gt;"&amp;""""</f>
        <v xml:space="preserve">    rbib_sollmann_et_al_2013b: "&lt;div class=\"hanging\"&gt;Sollmann, R., Gardner, B., Parsons, A. W., Stocking, J. J., McClintock, B. T., Simons, T. R., Pollock, K. H., &amp; O'Connell, A. F. (2013b). A Spatial Mark-Resight Model Augmented with Telemetry Data. *Ecology, 94*(3), 553-559. &lt;https://doi.org/10.1890/12-1256.1&gt;&lt;/div&gt;"</v>
      </c>
      <c r="T423" s="65"/>
    </row>
    <row r="424" spans="1:20" ht="15.75">
      <c r="A424" s="65"/>
      <c r="B424" s="155" t="b">
        <v>1</v>
      </c>
      <c r="C424" s="155" t="b">
        <v>0</v>
      </c>
      <c r="D424" s="155" t="b">
        <v>0</v>
      </c>
      <c r="E424" s="65" t="s">
        <v>1904</v>
      </c>
      <c r="F424" s="65" t="s">
        <v>2255</v>
      </c>
      <c r="G424" s="65" t="s">
        <v>2254</v>
      </c>
      <c r="H424" s="65" t="s">
        <v>2254</v>
      </c>
      <c r="I424" s="65" t="b">
        <v>1</v>
      </c>
      <c r="J424" s="65" t="s">
        <v>2253</v>
      </c>
      <c r="K424" s="65" t="s">
        <v>5227</v>
      </c>
      <c r="L424" s="65" t="s">
        <v>2252</v>
      </c>
      <c r="M424" s="65" t="s">
        <v>984</v>
      </c>
      <c r="N424" s="65" t="str">
        <f>"&lt;div class="&amp;""""&amp;"hanging"&amp;""""&amp;"&gt;"&amp;K424&amp;"&lt;a href="&amp;""""&amp;L424&amp;""""&amp;" target="&amp;""""&amp;"_blank"&amp;""""&amp;"&gt;"&amp;L424&amp;"&lt;/a&gt;&lt;span style="&amp;""""&amp;"color:white"&amp;""""&amp;"&gt;[.]{#"&amp;F424&amp;"}}&lt;/span&gt;&lt;/div&gt;&lt;br&gt;"</f>
        <v>&lt;div class="hanging"&gt;Sollmann, R., Mohamed, A., Samejima, H., &amp; Wilting, A. (2013c). Risky Business or Simple Solution - Relative Abundance Indices from Camera-Trapping. &lt;i&gt;Biological Conservation, 159&lt;/i&gt;, 405-412.&lt;a href="https://doi.org/10.1016/j.biocon.2012.12.025" target="_blank"&gt;https://doi.org/10.1016/j.biocon.2012.12.025&lt;/a&gt;&lt;span style="color:white"&gt;[.]{#sollmann_et_al_2013c}}&lt;/span&gt;&lt;/div&gt;&lt;br&gt;</v>
      </c>
      <c r="O424" s="65" t="str">
        <f>"{{ rtxt_"&amp;F424&amp;" }}"</f>
        <v>{{ rtxt_sollmann_et_al_2013c }}</v>
      </c>
      <c r="P424" s="65" t="str">
        <f>"{{ rbib_"&amp;F424&amp;" }}"</f>
        <v>{{ rbib_sollmann_et_al_2013c }}</v>
      </c>
      <c r="Q424" s="65" t="str">
        <f>"    rtxt_"&amp;F424&amp;": "&amp;""""&amp;"&lt;a href=\"&amp;""""&amp;"/08_references.html#"&amp;F424&amp;"\"&amp;""""&amp;" target=\"&amp;""""&amp;"_blank\"&amp;""""&amp;"&gt;"&amp;G424&amp;"&lt;/a&gt;"&amp;""""</f>
        <v xml:space="preserve">    rtxt_sollmann_et_al_2013c: "&lt;a href=\"/08_references.html#sollmann_et_al_2013c\" target=\"_blank\"&gt;Sollmann et al., 2013c&lt;/a&gt;"</v>
      </c>
      <c r="R424" s="65" t="str">
        <f>"    rbib_"&amp;F424&amp;": "&amp;""""&amp;K424&amp;"&lt;a href=\"&amp;""""&amp;L424&amp;""""&amp;" target=\"&amp;""""&amp;"_blank\"&amp;""""&amp;"&gt;"&amp;L424&amp;"&lt;/a&gt;"&amp;""""</f>
        <v xml:space="preserve">    rbib_sollmann_et_al_2013c: "Sollmann, R., Mohamed, A., Samejima, H., &amp; Wilting, A. (2013c). Risky Business or Simple Solution - Relative Abundance Indices from Camera-Trapping. &lt;i&gt;Biological Conservation, 159&lt;/i&gt;, 405-412.&lt;a href=\"https://doi.org/10.1016/j.biocon.2012.12.025" target=\"_blank\"&gt;https://doi.org/10.1016/j.biocon.2012.12.025&lt;/a&gt;"</v>
      </c>
      <c r="S424" s="65" t="str">
        <f>"    rbib_"&amp;F424&amp;": "&amp;""""&amp;"&lt;div class=\"&amp;""""&amp;"hanging\"&amp;""""&amp;"&gt;"&amp;J424&amp;"&lt;/div&gt;"&amp;""""</f>
        <v xml:space="preserve">    rbib_sollmann_et_al_2013c: "&lt;div class=\"hanging\"&gt;Sollmann, R., Mohamed, A., Samejima, H., &amp; Wilting, A. (2013c). Risky Business or Simple Solution - Relative Abundance Indices from Camera-Trapping. *Biological Conservation, 159*, 405-412. &lt;https://doi.org/10.1016/j.biocon.2012.12.025&gt;&lt;/div&gt;"</v>
      </c>
      <c r="T424" s="65"/>
    </row>
    <row r="425" spans="1:20" ht="15.75">
      <c r="A425" s="65"/>
      <c r="B425" s="155"/>
      <c r="C425" s="155"/>
      <c r="D425" s="155"/>
      <c r="E425" s="65" t="s">
        <v>2246</v>
      </c>
      <c r="F425" s="65" t="s">
        <v>2251</v>
      </c>
      <c r="G425" s="65" t="s">
        <v>2250</v>
      </c>
      <c r="H425" s="65" t="s">
        <v>2249</v>
      </c>
      <c r="I425" s="65" t="b">
        <v>1</v>
      </c>
      <c r="J425" s="65" t="s">
        <v>2248</v>
      </c>
      <c r="K425" s="65" t="s">
        <v>5121</v>
      </c>
      <c r="L425" s="65" t="s">
        <v>2247</v>
      </c>
      <c r="M425" s="65" t="s">
        <v>984</v>
      </c>
      <c r="N425" s="65" t="str">
        <f>"&lt;div class="&amp;""""&amp;"hanging"&amp;""""&amp;"&gt;"&amp;K425&amp;"&lt;a href="&amp;""""&amp;L425&amp;""""&amp;" target="&amp;""""&amp;"_blank"&amp;""""&amp;"&gt;"&amp;L425&amp;"&lt;/a&gt;&lt;span style="&amp;""""&amp;"color:white"&amp;""""&amp;"&gt;[.]{#"&amp;F425&amp;"}}&lt;/span&gt;&lt;/div&gt;&lt;br&gt;"</f>
        <v>&lt;div class="hanging"&gt;Solymos, P. (2023). &lt;i&gt;Package ‘detect': Analyzing Wildlife Data with Detection Error.&lt;/i&gt; R package version 0.4-6.&lt;a href="https://cran.r-project.org/web/packages/detect/detect.pdf" target="_blank"&gt;https://cran.r-project.org/web/packages/detect/detect.pdf&lt;/a&gt;&lt;span style="color:white"&gt;[.]{#solymos_2023}}&lt;/span&gt;&lt;/div&gt;&lt;br&gt;</v>
      </c>
      <c r="O425" s="65" t="str">
        <f>"{{ rtxt_"&amp;F425&amp;" }}"</f>
        <v>{{ rtxt_solymos_2023 }}</v>
      </c>
      <c r="P425" s="65" t="str">
        <f>"{{ rbib_"&amp;F425&amp;" }}"</f>
        <v>{{ rbib_solymos_2023 }}</v>
      </c>
      <c r="Q425" s="65" t="str">
        <f>"    rtxt_"&amp;F425&amp;": "&amp;""""&amp;"&lt;a href=\"&amp;""""&amp;"/08_references.html#"&amp;F425&amp;"\"&amp;""""&amp;" target=\"&amp;""""&amp;"_blank\"&amp;""""&amp;"&gt;"&amp;G425&amp;"&lt;/a&gt;"&amp;""""</f>
        <v xml:space="preserve">    rtxt_solymos_2023: "&lt;a href=\"/08_references.html#solymos_2023\" target=\"_blank\"&gt;Solymos, 2024&lt;/a&gt;"</v>
      </c>
      <c r="R425" s="65" t="str">
        <f>"    rbib_"&amp;F425&amp;": "&amp;""""&amp;K425&amp;"&lt;a href=\"&amp;""""&amp;L425&amp;""""&amp;" target=\"&amp;""""&amp;"_blank\"&amp;""""&amp;"&gt;"&amp;L425&amp;"&lt;/a&gt;"&amp;""""</f>
        <v xml:space="preserve">    rbib_solymos_2023: "Solymos, P. (2023). &lt;i&gt;Package ‘detect': Analyzing Wildlife Data with Detection Error.&lt;/i&gt; R package version 0.4-6.&lt;a href=\"https://cran.r-project.org/web/packages/detect/detect.pdf" target=\"_blank\"&gt;https://cran.r-project.org/web/packages/detect/detect.pdf&lt;/a&gt;"</v>
      </c>
      <c r="S425" s="65" t="str">
        <f>"    rbib_"&amp;F425&amp;": "&amp;""""&amp;"&lt;div class=\"&amp;""""&amp;"hanging\"&amp;""""&amp;"&gt;"&amp;J425&amp;"&lt;/div&gt;"&amp;""""</f>
        <v xml:space="preserve">    rbib_solymos_2023: "&lt;div class=\"hanging\"&gt;Solymos, P. (2023). *Package ‘detect': Analyzing Wildlife Data with Detection Error.* R package version 0.4-6. &lt;https://cran.r-project.org/web/packages/detect/detect.pdf&gt;&lt;/div&gt;"</v>
      </c>
      <c r="T425" s="65"/>
    </row>
    <row r="426" spans="1:20" ht="15.75">
      <c r="A426" s="65"/>
      <c r="B426" s="155" t="b">
        <v>0</v>
      </c>
      <c r="C426" s="155" t="b">
        <v>0</v>
      </c>
      <c r="D426" s="155"/>
      <c r="E426" s="65" t="s">
        <v>2246</v>
      </c>
      <c r="F426" s="65" t="s">
        <v>2245</v>
      </c>
      <c r="G426" s="65" t="s">
        <v>2244</v>
      </c>
      <c r="H426" s="65" t="s">
        <v>2243</v>
      </c>
      <c r="I426" s="65" t="b">
        <v>1</v>
      </c>
      <c r="J426" s="65" t="s">
        <v>2242</v>
      </c>
      <c r="K426" s="65" t="s">
        <v>5437</v>
      </c>
      <c r="L426" s="65" t="s">
        <v>2241</v>
      </c>
      <c r="M426" s="65" t="s">
        <v>984</v>
      </c>
      <c r="N426" s="65" t="str">
        <f>"&lt;div class="&amp;""""&amp;"hanging"&amp;""""&amp;"&gt;"&amp;K426&amp;"&lt;a href="&amp;""""&amp;L426&amp;""""&amp;" target="&amp;""""&amp;"_blank"&amp;""""&amp;"&gt;"&amp;L426&amp;"&lt;/a&gt;&lt;span style="&amp;""""&amp;"color:white"&amp;""""&amp;"&gt;[.]{#"&amp;F426&amp;"}}&lt;/span&gt;&lt;/div&gt;&lt;br&gt;"</f>
        <v>&lt;div class="hanging"&gt;Solymos, P., Moreno M., &amp; Lele, S. R. (2024). &lt;i&gt;detect: Analyzing Wildlife Data with Detection Error&lt;/i&gt;. R package version 0.5-0,&lt;a href="https://github.com/psolymos/detect" target="_blank"&gt;https://github.com/psolymos/detect&lt;/a&gt;&lt;span style="color:white"&gt;[.]{#solymos_et_al_2024}}&lt;/span&gt;&lt;/div&gt;&lt;br&gt;</v>
      </c>
      <c r="O426" s="65" t="str">
        <f>"{{ rtxt_"&amp;F426&amp;" }}"</f>
        <v>{{ rtxt_solymos_et_al_2024 }}</v>
      </c>
      <c r="P426" s="65" t="str">
        <f>"{{ rbib_"&amp;F426&amp;" }}"</f>
        <v>{{ rbib_solymos_et_al_2024 }}</v>
      </c>
      <c r="Q426" s="65" t="str">
        <f>"    rtxt_"&amp;F426&amp;": "&amp;""""&amp;"&lt;a href=\"&amp;""""&amp;"/08_references.html#"&amp;F426&amp;"\"&amp;""""&amp;" target=\"&amp;""""&amp;"_blank\"&amp;""""&amp;"&gt;"&amp;G426&amp;"&lt;/a&gt;"&amp;""""</f>
        <v xml:space="preserve">    rtxt_solymos_et_al_2024: "&lt;a href=\"/08_references.html#solymos_et_al_2024\" target=\"_blank\"&gt;Solymos et al., 2024&lt;/a&gt;"</v>
      </c>
      <c r="R426" s="65" t="str">
        <f>"    rbib_"&amp;F426&amp;": "&amp;""""&amp;K426&amp;"&lt;a href=\"&amp;""""&amp;L426&amp;""""&amp;" target=\"&amp;""""&amp;"_blank\"&amp;""""&amp;"&gt;"&amp;L426&amp;"&lt;/a&gt;"&amp;""""</f>
        <v xml:space="preserve">    rbib_solymos_et_al_2024: "Solymos, P., Moreno M., &amp; Lele, S. R. (2024). &lt;i&gt;detect: Analyzing Wildlife Data with Detection Error&lt;/i&gt;. R package version 0.5-0,&lt;a href=\"https://github.com/psolymos/detect" target=\"_blank\"&gt;https://github.com/psolymos/detect&lt;/a&gt;"</v>
      </c>
      <c r="S426" s="65" t="str">
        <f>"    rbib_"&amp;F426&amp;": "&amp;""""&amp;"&lt;div class=\"&amp;""""&amp;"hanging\"&amp;""""&amp;"&gt;"&amp;J426&amp;"&lt;/div&gt;"&amp;""""</f>
        <v xml:space="preserve">    rbib_solymos_et_al_2024: "&lt;div class=\"hanging\"&gt;Solymos, P., Moreno M., &amp; Lele, S. R. (2024). *detect: Analyzing Wildlife Data with Detection Error*. R package version 0.5-0, &lt;https://github.com/psolymos/detect&gt;&lt;/div&gt;"</v>
      </c>
      <c r="T426" s="65"/>
    </row>
    <row r="427" spans="1:20" ht="15.75">
      <c r="A427" s="65"/>
      <c r="B427" s="155" t="b">
        <v>1</v>
      </c>
      <c r="C427" s="155" t="b">
        <v>0</v>
      </c>
      <c r="D427" s="155" t="b">
        <v>0</v>
      </c>
      <c r="E427" s="65" t="s">
        <v>1904</v>
      </c>
      <c r="F427" s="65" t="s">
        <v>2240</v>
      </c>
      <c r="G427" s="65" t="s">
        <v>2239</v>
      </c>
      <c r="H427" s="65" t="s">
        <v>2239</v>
      </c>
      <c r="I427" s="65" t="b">
        <v>1</v>
      </c>
      <c r="J427" s="65" t="s">
        <v>2238</v>
      </c>
      <c r="K427" s="65" t="s">
        <v>6100</v>
      </c>
      <c r="L427" s="65" t="s">
        <v>2237</v>
      </c>
      <c r="M427" s="65" t="s">
        <v>984</v>
      </c>
      <c r="N427" s="65" t="str">
        <f>"&lt;div class="&amp;""""&amp;"hanging"&amp;""""&amp;"&gt;"&amp;K427&amp;"&lt;a href="&amp;""""&amp;L427&amp;""""&amp;" target="&amp;""""&amp;"_blank"&amp;""""&amp;"&gt;"&amp;L427&amp;"&lt;/a&gt;&lt;span style="&amp;""""&amp;"color:white"&amp;""""&amp;"&gt;[.]{#"&amp;F427&amp;"}}&lt;/span&gt;&lt;/div&gt;&lt;br&gt;"</f>
        <v>&lt;div class="hanging"&gt;Soria-Díaz, L., Monroy-Vilchis, O., Rodríguez-Soto, C., Zarco-González, M., &amp; Urios, V. (2010). Variation of Abundance and Density of &lt;i&gt;Puma concolor&lt;/i&gt; in Zones of High and Low Concentration of Camera Traps in Central Mexico. &lt;i&gt;Animal Biology, 60&lt;/i&gt;(4), 361-371.&lt;a href="https://doi.org/10.1163/157075610X523251" target="_blank"&gt;https://doi.org/10.1163/157075610X523251&lt;/a&gt;&lt;span style="color:white"&gt;[.]{#soria_diaz_et_al_2010}}&lt;/span&gt;&lt;/div&gt;&lt;br&gt;</v>
      </c>
      <c r="O427" s="65" t="str">
        <f>"{{ rtxt_"&amp;F427&amp;" }}"</f>
        <v>{{ rtxt_soria_diaz_et_al_2010 }}</v>
      </c>
      <c r="P427" s="65" t="str">
        <f>"{{ rbib_"&amp;F427&amp;" }}"</f>
        <v>{{ rbib_soria_diaz_et_al_2010 }}</v>
      </c>
      <c r="Q427" s="65" t="str">
        <f>"    rtxt_"&amp;F427&amp;": "&amp;""""&amp;"&lt;a href=\"&amp;""""&amp;"/08_references.html#"&amp;F427&amp;"\"&amp;""""&amp;" target=\"&amp;""""&amp;"_blank\"&amp;""""&amp;"&gt;"&amp;G427&amp;"&lt;/a&gt;"&amp;""""</f>
        <v xml:space="preserve">    rtxt_soria_diaz_et_al_2010: "&lt;a href=\"/08_references.html#soria_diaz_et_al_2010\" target=\"_blank\"&gt;Soria-Díaz et al., 2010&lt;/a&gt;"</v>
      </c>
      <c r="R427" s="65" t="str">
        <f>"    rbib_"&amp;F427&amp;": "&amp;""""&amp;K427&amp;"&lt;a href=\"&amp;""""&amp;L427&amp;""""&amp;" target=\"&amp;""""&amp;"_blank\"&amp;""""&amp;"&gt;"&amp;L427&amp;"&lt;/a&gt;"&amp;""""</f>
        <v xml:space="preserve">    rbib_soria_diaz_et_al_2010: "Soria-Díaz, L., Monroy-Vilchis, O., Rodríguez-Soto, C., Zarco-González, M., &amp; Urios, V. (2010). Variation of Abundance and Density of &lt;i&gt;Puma concolor&lt;/i&gt; in Zones of High and Low Concentration of Camera Traps in Central Mexico. &lt;i&gt;Animal Biology, 60&lt;/i&gt;(4), 361-371.&lt;a href=\"https://doi.org/10.1163/157075610X523251" target=\"_blank\"&gt;https://doi.org/10.1163/157075610X523251&lt;/a&gt;"</v>
      </c>
      <c r="S427" s="65" t="str">
        <f>"    rbib_"&amp;F427&amp;": "&amp;""""&amp;"&lt;div class=\"&amp;""""&amp;"hanging\"&amp;""""&amp;"&gt;"&amp;J427&amp;"&lt;/div&gt;"&amp;""""</f>
        <v xml:space="preserve">    rbib_soria_diaz_et_al_2010: "&lt;div class=\"hanging\"&gt;Soria-Díaz, L., Monroy-Vilchis, O., Rodríguez-Soto, C., Zarco-González, M., &amp; Urios, V. (2010). Variation of Abundance and Density of *Puma concolor* in Zones of High and Low Concentration of Camera Traps in Central Mexico. *Animal Biology, 60*(4), 361-371. &lt;https://doi.org/10.1163/157075610X523251&gt;&lt;/div&gt;"</v>
      </c>
      <c r="T427" s="65"/>
    </row>
    <row r="428" spans="1:20" ht="15.75">
      <c r="A428" s="65"/>
      <c r="B428" s="155" t="b">
        <v>0</v>
      </c>
      <c r="C428" s="155" t="b">
        <v>0</v>
      </c>
      <c r="D428" s="155" t="s">
        <v>1993</v>
      </c>
      <c r="E428" s="65" t="s">
        <v>1904</v>
      </c>
      <c r="F428" s="65" t="s">
        <v>2236</v>
      </c>
      <c r="G428" s="65" t="s">
        <v>2235</v>
      </c>
      <c r="H428" s="65" t="s">
        <v>2235</v>
      </c>
      <c r="I428" s="65" t="b">
        <v>1</v>
      </c>
      <c r="J428" s="65" t="s">
        <v>2234</v>
      </c>
      <c r="K428" s="65" t="s">
        <v>5134</v>
      </c>
      <c r="L428" s="65" t="s">
        <v>2233</v>
      </c>
      <c r="M428" s="65" t="s">
        <v>984</v>
      </c>
      <c r="N428" s="65" t="str">
        <f>"&lt;div class="&amp;""""&amp;"hanging"&amp;""""&amp;"&gt;"&amp;K428&amp;"&lt;a href="&amp;""""&amp;L428&amp;""""&amp;" target="&amp;""""&amp;"_blank"&amp;""""&amp;"&gt;"&amp;L428&amp;"&lt;/a&gt;&lt;span style="&amp;""""&amp;"color:white"&amp;""""&amp;"&gt;[.]{#"&amp;F428&amp;"}}&lt;/span&gt;&lt;/div&gt;&lt;br&gt;"</f>
        <v>&lt;div class="hanging"&gt;Southwell, D. M., Einoder, L. D., Lahoz‐Monfort, J. J., Fisher, A., Gillespie, G. R., &amp; Wintle, B. A. (2019). Spatially explicit power analysis for detecting occupancy trends for multiple species. &lt;i&gt;Ecological Applications, 29&lt;/i&gt;, e01950.&lt;a href="https://doi.org/10.1002/eap.1950" target="_blank"&gt;https://doi.org/10.1002/eap.1950&lt;/a&gt;&lt;span style="color:white"&gt;[.]{#southwell_et_al_2019}}&lt;/span&gt;&lt;/div&gt;&lt;br&gt;</v>
      </c>
      <c r="O428" s="65" t="str">
        <f>"{{ rtxt_"&amp;F428&amp;" }}"</f>
        <v>{{ rtxt_southwell_et_al_2019 }}</v>
      </c>
      <c r="P428" s="65" t="str">
        <f>"{{ rbib_"&amp;F428&amp;" }}"</f>
        <v>{{ rbib_southwell_et_al_2019 }}</v>
      </c>
      <c r="Q428" s="65" t="str">
        <f>"    rtxt_"&amp;F428&amp;": "&amp;""""&amp;"&lt;a href=\"&amp;""""&amp;"/08_references.html#"&amp;F428&amp;"\"&amp;""""&amp;" target=\"&amp;""""&amp;"_blank\"&amp;""""&amp;"&gt;"&amp;G428&amp;"&lt;/a&gt;"&amp;""""</f>
        <v xml:space="preserve">    rtxt_southwell_et_al_2019: "&lt;a href=\"/08_references.html#southwell_et_al_2019\" target=\"_blank\"&gt;Southwell et al., 2019&lt;/a&gt;"</v>
      </c>
      <c r="R428" s="65" t="str">
        <f>"    rbib_"&amp;F428&amp;": "&amp;""""&amp;K428&amp;"&lt;a href=\"&amp;""""&amp;L428&amp;""""&amp;" target=\"&amp;""""&amp;"_blank\"&amp;""""&amp;"&gt;"&amp;L428&amp;"&lt;/a&gt;"&amp;""""</f>
        <v xml:space="preserve">    rbib_southwell_et_al_2019: "Southwell, D. M., Einoder, L. D., Lahoz‐Monfort, J. J., Fisher, A., Gillespie, G. R., &amp; Wintle, B. A. (2019). Spatially explicit power analysis for detecting occupancy trends for multiple species. &lt;i&gt;Ecological Applications, 29&lt;/i&gt;, e01950.&lt;a href=\"https://doi.org/10.1002/eap.1950" target=\"_blank\"&gt;https://doi.org/10.1002/eap.1950&lt;/a&gt;"</v>
      </c>
      <c r="S428" s="65" t="str">
        <f>"    rbib_"&amp;F428&amp;": "&amp;""""&amp;"&lt;div class=\"&amp;""""&amp;"hanging\"&amp;""""&amp;"&gt;"&amp;J428&amp;"&lt;/div&gt;"&amp;""""</f>
        <v xml:space="preserve">    rbib_southwell_et_al_2019: "&lt;div class=\"hanging\"&gt;Southwell, D. M., Einoder, L. D., Lahoz‐Monfort, J. J., Fisher, A., Gillespie, G. R., &amp; Wintle, B. A. (2019). Spatially explicit power analysis for detecting occupancy trends for multiple species. *Ecological Applications, 29*, e01950. &lt;https://doi.org/10.1002/eap.1950&gt;&lt;/div&gt;"</v>
      </c>
      <c r="T428" s="65"/>
    </row>
    <row r="429" spans="1:20" ht="15.75">
      <c r="A429" s="65"/>
      <c r="B429" s="155"/>
      <c r="C429" s="155"/>
      <c r="D429" s="155"/>
      <c r="E429" s="65" t="s">
        <v>1904</v>
      </c>
      <c r="F429" s="65" t="s">
        <v>2232</v>
      </c>
      <c r="G429" s="65" t="s">
        <v>2231</v>
      </c>
      <c r="H429" s="65" t="s">
        <v>2231</v>
      </c>
      <c r="I429" s="65" t="b">
        <v>1</v>
      </c>
      <c r="J429" s="65" t="s">
        <v>2230</v>
      </c>
      <c r="K429" s="65" t="s">
        <v>5374</v>
      </c>
      <c r="L429" s="65" t="s">
        <v>2229</v>
      </c>
      <c r="M429" s="65" t="s">
        <v>984</v>
      </c>
      <c r="N429" s="65" t="str">
        <f>"&lt;div class="&amp;""""&amp;"hanging"&amp;""""&amp;"&gt;"&amp;K429&amp;"&lt;a href="&amp;""""&amp;L429&amp;""""&amp;" target="&amp;""""&amp;"_blank"&amp;""""&amp;"&gt;"&amp;L429&amp;"&lt;/a&gt;&lt;span style="&amp;""""&amp;"color:white"&amp;""""&amp;"&gt;[.]{#"&amp;F429&amp;"}}&lt;/span&gt;&lt;/div&gt;&lt;br&gt;"</f>
        <v>&lt;div class="hanging"&gt;Spencer, W. D. (2012). Home ranges and the value of spatial information. &lt;i&gt;Journal of Mammalogy, 93&lt;/i&gt;(4), 929-947.&lt;a href="https://doi.org/10.1644/12-MAMM-S-061.1" target="_blank"&gt;https://doi.org/10.1644/12-MAMM-S-061.1&lt;/a&gt;&lt;span style="color:white"&gt;[.]{#spencer_2012}}&lt;/span&gt;&lt;/div&gt;&lt;br&gt;</v>
      </c>
      <c r="O429" s="65" t="str">
        <f>"{{ rtxt_"&amp;F429&amp;" }}"</f>
        <v>{{ rtxt_spencer_2012 }}</v>
      </c>
      <c r="P429" s="65" t="str">
        <f>"{{ rbib_"&amp;F429&amp;" }}"</f>
        <v>{{ rbib_spencer_2012 }}</v>
      </c>
      <c r="Q429" s="65" t="str">
        <f>"    rtxt_"&amp;F429&amp;": "&amp;""""&amp;"&lt;a href=\"&amp;""""&amp;"/08_references.html#"&amp;F429&amp;"\"&amp;""""&amp;" target=\"&amp;""""&amp;"_blank\"&amp;""""&amp;"&gt;"&amp;G429&amp;"&lt;/a&gt;"&amp;""""</f>
        <v xml:space="preserve">    rtxt_spencer_2012: "&lt;a href=\"/08_references.html#spencer_2012\" target=\"_blank\"&gt;Spencer, 2012&lt;/a&gt;"</v>
      </c>
      <c r="R429" s="65" t="str">
        <f>"    rbib_"&amp;F429&amp;": "&amp;""""&amp;K429&amp;"&lt;a href=\"&amp;""""&amp;L429&amp;""""&amp;" target=\"&amp;""""&amp;"_blank\"&amp;""""&amp;"&gt;"&amp;L429&amp;"&lt;/a&gt;"&amp;""""</f>
        <v xml:space="preserve">    rbib_spencer_2012: "Spencer, W. D. (2012). Home ranges and the value of spatial information. &lt;i&gt;Journal of Mammalogy, 93&lt;/i&gt;(4), 929-947.&lt;a href=\"https://doi.org/10.1644/12-MAMM-S-061.1" target=\"_blank\"&gt;https://doi.org/10.1644/12-MAMM-S-061.1&lt;/a&gt;"</v>
      </c>
      <c r="S429" s="65" t="str">
        <f>"    rbib_"&amp;F429&amp;": "&amp;""""&amp;"&lt;div class=\"&amp;""""&amp;"hanging\"&amp;""""&amp;"&gt;"&amp;J429&amp;"&lt;/div&gt;"&amp;""""</f>
        <v xml:space="preserve">    rbib_spencer_2012: "&lt;div class=\"hanging\"&gt;Spencer, W. D. (2012). Home ranges and the value of spatial information. *Journal of Mammalogy, 93*(4), 929-947. &lt;https://doi.org/10.1644/12-MAMM-S-061.1&gt;&lt;/div&gt;"</v>
      </c>
      <c r="T429" s="65"/>
    </row>
    <row r="430" spans="1:20" ht="15.75">
      <c r="A430" s="65"/>
      <c r="B430" s="155"/>
      <c r="C430" s="155"/>
      <c r="D430" s="155"/>
      <c r="E430" s="65" t="s">
        <v>1904</v>
      </c>
      <c r="F430" s="65" t="s">
        <v>2228</v>
      </c>
      <c r="G430" s="65" t="s">
        <v>2227</v>
      </c>
      <c r="H430" s="65" t="s">
        <v>2227</v>
      </c>
      <c r="I430" s="65" t="b">
        <v>1</v>
      </c>
      <c r="J430" s="65" t="s">
        <v>2226</v>
      </c>
      <c r="K430" s="65" t="s">
        <v>5222</v>
      </c>
      <c r="L430" s="65" t="s">
        <v>2225</v>
      </c>
      <c r="M430" s="65" t="s">
        <v>984</v>
      </c>
      <c r="N430" s="65" t="str">
        <f>"&lt;div class="&amp;""""&amp;"hanging"&amp;""""&amp;"&gt;"&amp;K430&amp;"&lt;a href="&amp;""""&amp;L430&amp;""""&amp;" target="&amp;""""&amp;"_blank"&amp;""""&amp;"&gt;"&amp;L430&amp;"&lt;/a&gt;&lt;span style="&amp;""""&amp;"color:white"&amp;""""&amp;"&gt;[.]{#"&amp;F430&amp;"}}&lt;/span&gt;&lt;/div&gt;&lt;br&gt;"</f>
        <v>&lt;div class="hanging"&gt;Stanton, L. A., Sullivan, M. S., &amp; Fazio, J. M. (2015). A standardized ethogram for the felidae: A tool for behavioral researchers. &lt;i&gt;Applied Animal Behaviour Science, 173&lt;/i&gt;, 3-16.&lt;a href="https://doi.org/10.1016/j.applanim.2015.04.001" target="_blank"&gt;https://doi.org/10.1016/j.applanim.2015.04.001&lt;/a&gt;&lt;span style="color:white"&gt;[.]{#stanton_et_al_2015}}&lt;/span&gt;&lt;/div&gt;&lt;br&gt;</v>
      </c>
      <c r="O430" s="65" t="str">
        <f>"{{ rtxt_"&amp;F430&amp;" }}"</f>
        <v>{{ rtxt_stanton_et_al_2015 }}</v>
      </c>
      <c r="P430" s="65" t="str">
        <f>"{{ rbib_"&amp;F430&amp;" }}"</f>
        <v>{{ rbib_stanton_et_al_2015 }}</v>
      </c>
      <c r="Q430" s="65" t="str">
        <f>"    rtxt_"&amp;F430&amp;": "&amp;""""&amp;"&lt;a href=\"&amp;""""&amp;"/08_references.html#"&amp;F430&amp;"\"&amp;""""&amp;" target=\"&amp;""""&amp;"_blank\"&amp;""""&amp;"&gt;"&amp;G430&amp;"&lt;/a&gt;"&amp;""""</f>
        <v xml:space="preserve">    rtxt_stanton_et_al_2015: "&lt;a href=\"/08_references.html#stanton_et_al_2015\" target=\"_blank\"&gt;Stanton et al., 2015&lt;/a&gt;"</v>
      </c>
      <c r="R430" s="65" t="str">
        <f>"    rbib_"&amp;F430&amp;": "&amp;""""&amp;K430&amp;"&lt;a href=\"&amp;""""&amp;L430&amp;""""&amp;" target=\"&amp;""""&amp;"_blank\"&amp;""""&amp;"&gt;"&amp;L430&amp;"&lt;/a&gt;"&amp;""""</f>
        <v xml:space="preserve">    rbib_stanton_et_al_2015: "Stanton, L. A., Sullivan, M. S., &amp; Fazio, J. M. (2015). A standardized ethogram for the felidae: A tool for behavioral researchers. &lt;i&gt;Applied Animal Behaviour Science, 173&lt;/i&gt;, 3-16.&lt;a href=\"https://doi.org/10.1016/j.applanim.2015.04.001" target=\"_blank\"&gt;https://doi.org/10.1016/j.applanim.2015.04.001&lt;/a&gt;"</v>
      </c>
      <c r="S430" s="65" t="str">
        <f>"    rbib_"&amp;F430&amp;": "&amp;""""&amp;"&lt;div class=\"&amp;""""&amp;"hanging\"&amp;""""&amp;"&gt;"&amp;J430&amp;"&lt;/div&gt;"&amp;""""</f>
        <v xml:space="preserve">    rbib_stanton_et_al_2015: "&lt;div class=\"hanging\"&gt;Stanton, L. A., Sullivan, M. S., &amp; Fazio, J. M. (2015). A standardized ethogram for the felidae: A tool for behavioral researchers. *Applied Animal Behaviour Science, 173*, 3-16. &lt;https://doi.org/10.1016/j.applanim.2015.04.001&gt;&lt;/div&gt;"</v>
      </c>
      <c r="T430" s="65"/>
    </row>
    <row r="431" spans="1:20" ht="15.75">
      <c r="A431" s="65"/>
      <c r="B431" s="155" t="b">
        <v>1</v>
      </c>
      <c r="C431" s="155" t="b">
        <v>1</v>
      </c>
      <c r="D431" s="155" t="b">
        <v>0</v>
      </c>
      <c r="E431" s="65" t="s">
        <v>1904</v>
      </c>
      <c r="F431" s="65" t="s">
        <v>2219</v>
      </c>
      <c r="G431" s="65" t="s">
        <v>2218</v>
      </c>
      <c r="H431" s="65" t="s">
        <v>2218</v>
      </c>
      <c r="I431" s="65" t="b">
        <v>1</v>
      </c>
      <c r="J431" s="65" t="s">
        <v>2217</v>
      </c>
      <c r="K431" s="65" t="s">
        <v>6074</v>
      </c>
      <c r="L431" s="65" t="s">
        <v>2216</v>
      </c>
      <c r="M431" s="65" t="s">
        <v>984</v>
      </c>
      <c r="N431" s="65" t="str">
        <f>"&lt;div class="&amp;""""&amp;"hanging"&amp;""""&amp;"&gt;"&amp;K431&amp;"&lt;a href="&amp;""""&amp;L431&amp;""""&amp;" target="&amp;""""&amp;"_blank"&amp;""""&amp;"&gt;"&amp;L431&amp;"&lt;/a&gt;&lt;span style="&amp;""""&amp;"color:white"&amp;""""&amp;"&gt;[.]{#"&amp;F431&amp;"}}&lt;/span&gt;&lt;/div&gt;&lt;br&gt;"</f>
        <v>&lt;div class="hanging"&gt;Steenweg, R., Hebblewhite, M., Kays, R., Ahumada, J., Fisher, J. T., Burton, C., Townsend, S. E., Carbone, C., Rowcliffe, J. M., Whittington, J., Brodie, J., Royle, J. A., Switalski, A., Clevenger, A. P., Heim, N., &amp; Rich, L. N. (2017). Scaling‐up Camera Traps: Monitoring the Planet’s Biodiversity with Networks of Remote Sensors. &lt;i&gt;Frontiers in Ecology and the Environment, 15&lt;/i&gt;(1), 26-34.&lt;a href="https://doi.org/10.1002/fee.l448" target="_blank"&gt;https://doi.org/10.1002/fee.l448&lt;/a&gt;&lt;span style="color:white"&gt;[.]{#steenweg_et_al_2017}}&lt;/span&gt;&lt;/div&gt;&lt;br&gt;</v>
      </c>
      <c r="O431" s="65" t="str">
        <f>"{{ rtxt_"&amp;F431&amp;" }}"</f>
        <v>{{ rtxt_steenweg_et_al_2017 }}</v>
      </c>
      <c r="P431" s="65" t="str">
        <f>"{{ rbib_"&amp;F431&amp;" }}"</f>
        <v>{{ rbib_steenweg_et_al_2017 }}</v>
      </c>
      <c r="Q431" s="65" t="str">
        <f>"    rtxt_"&amp;F431&amp;": "&amp;""""&amp;"&lt;a href=\"&amp;""""&amp;"/08_references.html#"&amp;F431&amp;"\"&amp;""""&amp;" target=\"&amp;""""&amp;"_blank\"&amp;""""&amp;"&gt;"&amp;G431&amp;"&lt;/a&gt;"&amp;""""</f>
        <v xml:space="preserve">    rtxt_steenweg_et_al_2017: "&lt;a href=\"/08_references.html#steenweg_et_al_2017\" target=\"_blank\"&gt;Steenweg et al., 2017&lt;/a&gt;"</v>
      </c>
      <c r="R431" s="65" t="str">
        <f>"    rbib_"&amp;F431&amp;": "&amp;""""&amp;K431&amp;"&lt;a href=\"&amp;""""&amp;L431&amp;""""&amp;" target=\"&amp;""""&amp;"_blank\"&amp;""""&amp;"&gt;"&amp;L431&amp;"&lt;/a&gt;"&amp;""""</f>
        <v xml:space="preserve">    rbib_steenweg_et_al_2017: "Steenweg, R., Hebblewhite, M., Kays, R., Ahumada, J., Fisher, J. T., Burton, C., Townsend, S. E., Carbone, C., Rowcliffe, J. M., Whittington, J., Brodie, J., Royle, J. A., Switalski, A., Clevenger, A. P., Heim, N., &amp; Rich, L. N. (2017). Scaling‐up Camera Traps: Monitoring the Planet’s Biodiversity with Networks of Remote Sensors. &lt;i&gt;Frontiers in Ecology and the Environment, 15&lt;/i&gt;(1), 26-34.&lt;a href=\"https://doi.org/10.1002/fee.l448" target=\"_blank\"&gt;https://doi.org/10.1002/fee.l448&lt;/a&gt;"</v>
      </c>
      <c r="S431" s="65" t="str">
        <f>"    rbib_"&amp;F431&amp;": "&amp;""""&amp;"&lt;div class=\"&amp;""""&amp;"hanging\"&amp;""""&amp;"&gt;"&amp;J431&amp;"&lt;/div&gt;"&amp;""""</f>
        <v xml:space="preserve">    rbib_steenweg_et_al_2017: "&lt;div class=\"hanging\"&gt;Steenweg, R., Hebblewhite, M., Kays, R., Ahumada, J., Fisher, J. T., Burton, C., Townsend, S. E., Carbone, C., Rowcliffe, J. M., Whittington, J., Brodie, J., Royle, J. A., Switalski, A., Clevenger, A. P., Heim, N., &amp; Rich, L. N. (2017). Scaling‐up Camera Traps: Monitoring the Planet’s Biodiversity with Networks of Remote Sensors. *Frontiers in Ecology and the Environment, 15*(1), 26-34. &lt;https://doi.org/10.1002/fee.l448&gt;&lt;/div&gt;"</v>
      </c>
      <c r="T431" s="65"/>
    </row>
    <row r="432" spans="1:20" ht="15.75">
      <c r="A432" s="65"/>
      <c r="B432" s="155" t="b">
        <v>1</v>
      </c>
      <c r="C432" s="155" t="b">
        <v>0</v>
      </c>
      <c r="D432" s="155" t="b">
        <v>0</v>
      </c>
      <c r="E432" s="65" t="s">
        <v>1904</v>
      </c>
      <c r="F432" s="65" t="s">
        <v>2211</v>
      </c>
      <c r="G432" s="65" t="s">
        <v>2210</v>
      </c>
      <c r="H432" s="65" t="s">
        <v>2210</v>
      </c>
      <c r="I432" s="65" t="b">
        <v>1</v>
      </c>
      <c r="J432" s="65" t="s">
        <v>2209</v>
      </c>
      <c r="K432" s="65" t="s">
        <v>5152</v>
      </c>
      <c r="L432" s="65" t="s">
        <v>2208</v>
      </c>
      <c r="M432" s="65" t="s">
        <v>984</v>
      </c>
      <c r="N432" s="65" t="str">
        <f>"&lt;div class="&amp;""""&amp;"hanging"&amp;""""&amp;"&gt;"&amp;K432&amp;"&lt;a href="&amp;""""&amp;L432&amp;""""&amp;" target="&amp;""""&amp;"_blank"&amp;""""&amp;"&gt;"&amp;L432&amp;"&lt;/a&gt;&lt;span style="&amp;""""&amp;"color:white"&amp;""""&amp;"&gt;[.]{#"&amp;F432&amp;"}}&lt;/span&gt;&lt;/div&gt;&lt;br&gt;"</f>
        <v>&lt;div class="hanging"&gt;Steenweg, R., Hebblewhite, M., Whittington, J., &amp; Mckelvey, K. (2019). Species‐specific Differences in Detection and Occupancy Probabilities Help Drive Ability to Detect Trends in Occupancy. &lt;i&gt;Ecosphere, 10&lt;/i&gt;(4), Article e02639.&lt;a href="https://doi.org/10.1002/ecs2.2639" target="_blank"&gt;https://doi.org/10.1002/ecs2.2639&lt;/a&gt;&lt;span style="color:white"&gt;[.]{#steenweg_et_al_2019}}&lt;/span&gt;&lt;/div&gt;&lt;br&gt;</v>
      </c>
      <c r="O432" s="65" t="str">
        <f>"{{ rtxt_"&amp;F432&amp;" }}"</f>
        <v>{{ rtxt_steenweg_et_al_2019 }}</v>
      </c>
      <c r="P432" s="65" t="str">
        <f>"{{ rbib_"&amp;F432&amp;" }}"</f>
        <v>{{ rbib_steenweg_et_al_2019 }}</v>
      </c>
      <c r="Q432" s="65" t="str">
        <f>"    rtxt_"&amp;F432&amp;": "&amp;""""&amp;"&lt;a href=\"&amp;""""&amp;"/08_references.html#"&amp;F432&amp;"\"&amp;""""&amp;" target=\"&amp;""""&amp;"_blank\"&amp;""""&amp;"&gt;"&amp;G432&amp;"&lt;/a&gt;"&amp;""""</f>
        <v xml:space="preserve">    rtxt_steenweg_et_al_2019: "&lt;a href=\"/08_references.html#steenweg_et_al_2019\" target=\"_blank\"&gt;Steenweg et al., 2019&lt;/a&gt;"</v>
      </c>
      <c r="R432" s="65" t="str">
        <f>"    rbib_"&amp;F432&amp;": "&amp;""""&amp;K432&amp;"&lt;a href=\"&amp;""""&amp;L432&amp;""""&amp;" target=\"&amp;""""&amp;"_blank\"&amp;""""&amp;"&gt;"&amp;L432&amp;"&lt;/a&gt;"&amp;""""</f>
        <v xml:space="preserve">    rbib_steenweg_et_al_2019: "Steenweg, R., Hebblewhite, M., Whittington, J., &amp; Mckelvey, K. (2019). Species‐specific Differences in Detection and Occupancy Probabilities Help Drive Ability to Detect Trends in Occupancy. &lt;i&gt;Ecosphere, 10&lt;/i&gt;(4), Article e02639.&lt;a href=\"https://doi.org/10.1002/ecs2.2639" target=\"_blank\"&gt;https://doi.org/10.1002/ecs2.2639&lt;/a&gt;"</v>
      </c>
      <c r="S432" s="65" t="str">
        <f>"    rbib_"&amp;F432&amp;": "&amp;""""&amp;"&lt;div class=\"&amp;""""&amp;"hanging\"&amp;""""&amp;"&gt;"&amp;J432&amp;"&lt;/div&gt;"&amp;""""</f>
        <v xml:space="preserve">    rbib_steenweg_et_al_2019: "&lt;div class=\"hanging\"&gt;Steenweg, R., Hebblewhite, M., Whittington, J., &amp; Mckelvey, K. (2019). Species‐specific Differences in Detection and Occupancy Probabilities Help Drive Ability to Detect Trends in Occupancy. *Ecosphere, 10*(4), Article e02639. &lt;https://doi.org/10.1002/ecs2.2639&gt;&lt;/div&gt;"</v>
      </c>
      <c r="T432" s="65"/>
    </row>
    <row r="433" spans="1:20" ht="15.75">
      <c r="A433" s="65"/>
      <c r="B433" s="155" t="b">
        <v>1</v>
      </c>
      <c r="C433" s="155" t="b">
        <v>0</v>
      </c>
      <c r="D433" s="155" t="b">
        <v>0</v>
      </c>
      <c r="E433" s="65" t="s">
        <v>1904</v>
      </c>
      <c r="F433" s="65" t="s">
        <v>2215</v>
      </c>
      <c r="G433" s="65" t="s">
        <v>2214</v>
      </c>
      <c r="H433" s="65" t="s">
        <v>2214</v>
      </c>
      <c r="I433" s="65" t="b">
        <v>1</v>
      </c>
      <c r="J433" s="65" t="s">
        <v>2213</v>
      </c>
      <c r="K433" s="65" t="s">
        <v>6075</v>
      </c>
      <c r="L433" s="65" t="s">
        <v>2212</v>
      </c>
      <c r="M433" s="65" t="s">
        <v>984</v>
      </c>
      <c r="N433" s="65" t="str">
        <f>"&lt;div class="&amp;""""&amp;"hanging"&amp;""""&amp;"&gt;"&amp;K433&amp;"&lt;a href="&amp;""""&amp;L433&amp;""""&amp;" target="&amp;""""&amp;"_blank"&amp;""""&amp;"&gt;"&amp;L433&amp;"&lt;/a&gt;&lt;span style="&amp;""""&amp;"color:white"&amp;""""&amp;"&gt;[.]{#"&amp;F433&amp;"}}&lt;/span&gt;&lt;/div&gt;&lt;br&gt;"</f>
        <v>&lt;div class="hanging"&gt;Steenweg, R., Hebblewhite, M., Whittington, J., Lukacs, P., &amp; McKelvey, K. (2018). Sampling scales define occupancy and underlying occupancy-abundance relationships in animals. &lt;i&gt;Ecology, 99&lt;/i&gt;(1), 172-183.&lt;a href="https://doi.org/10.1002/ecy.2054" target="_blank"&gt;https://doi.org/10.1002/ecy.2054&lt;/a&gt;&lt;span style="color:white"&gt;[.]{#steenweg_et_al_2018}}&lt;/span&gt;&lt;/div&gt;&lt;br&gt;</v>
      </c>
      <c r="O433" s="65" t="str">
        <f>"{{ rtxt_"&amp;F433&amp;" }}"</f>
        <v>{{ rtxt_steenweg_et_al_2018 }}</v>
      </c>
      <c r="P433" s="65" t="str">
        <f>"{{ rbib_"&amp;F433&amp;" }}"</f>
        <v>{{ rbib_steenweg_et_al_2018 }}</v>
      </c>
      <c r="Q433" s="65" t="str">
        <f>"    rtxt_"&amp;F433&amp;": "&amp;""""&amp;"&lt;a href=\"&amp;""""&amp;"/08_references.html#"&amp;F433&amp;"\"&amp;""""&amp;" target=\"&amp;""""&amp;"_blank\"&amp;""""&amp;"&gt;"&amp;G433&amp;"&lt;/a&gt;"&amp;""""</f>
        <v xml:space="preserve">    rtxt_steenweg_et_al_2018: "&lt;a href=\"/08_references.html#steenweg_et_al_2018\" target=\"_blank\"&gt;Steenweg et al., 2018&lt;/a&gt;"</v>
      </c>
      <c r="R433" s="65" t="str">
        <f>"    rbib_"&amp;F433&amp;": "&amp;""""&amp;K433&amp;"&lt;a href=\"&amp;""""&amp;L433&amp;""""&amp;" target=\"&amp;""""&amp;"_blank\"&amp;""""&amp;"&gt;"&amp;L433&amp;"&lt;/a&gt;"&amp;""""</f>
        <v xml:space="preserve">    rbib_steenweg_et_al_2018: "Steenweg, R., Hebblewhite, M., Whittington, J., Lukacs, P., &amp; McKelvey, K. (2018). Sampling scales define occupancy and underlying occupancy-abundance relationships in animals. &lt;i&gt;Ecology, 99&lt;/i&gt;(1), 172-183.&lt;a href=\"https://doi.org/10.1002/ecy.2054" target=\"_blank\"&gt;https://doi.org/10.1002/ecy.2054&lt;/a&gt;"</v>
      </c>
      <c r="S433" s="65" t="str">
        <f>"    rbib_"&amp;F433&amp;": "&amp;""""&amp;"&lt;div class=\"&amp;""""&amp;"hanging\"&amp;""""&amp;"&gt;"&amp;J433&amp;"&lt;/div&gt;"&amp;""""</f>
        <v xml:space="preserve">    rbib_steenweg_et_al_2018: "&lt;div class=\"hanging\"&gt;Steenweg, R., Hebblewhite, M., Whittington, J., Lukacs, P., &amp; McKelvey, K. (2018). Sampling scales define occupancy and underlying occupancy-abundance relationships in animals. *Ecology, 99*(1), 172-183. &lt;https://doi.org/10.1002/ecy.2054&gt;&lt;/div&gt;"</v>
      </c>
      <c r="T433" s="65"/>
    </row>
    <row r="434" spans="1:20" ht="15.75">
      <c r="A434" s="65"/>
      <c r="B434" s="155" t="b">
        <v>1</v>
      </c>
      <c r="C434" s="155" t="b">
        <v>1</v>
      </c>
      <c r="D434" s="155" t="b">
        <v>0</v>
      </c>
      <c r="E434" s="65" t="s">
        <v>1904</v>
      </c>
      <c r="F434" s="65" t="s">
        <v>2224</v>
      </c>
      <c r="G434" s="65" t="s">
        <v>2223</v>
      </c>
      <c r="H434" s="65" t="s">
        <v>2222</v>
      </c>
      <c r="I434" s="65" t="b">
        <v>1</v>
      </c>
      <c r="J434" s="65" t="s">
        <v>2221</v>
      </c>
      <c r="K434" s="65" t="s">
        <v>5101</v>
      </c>
      <c r="L434" s="65" t="s">
        <v>2220</v>
      </c>
      <c r="M434" s="65" t="s">
        <v>984</v>
      </c>
      <c r="N434" s="65" t="str">
        <f>"&lt;div class="&amp;""""&amp;"hanging"&amp;""""&amp;"&gt;"&amp;K434&amp;"&lt;a href="&amp;""""&amp;L434&amp;""""&amp;" target="&amp;""""&amp;"_blank"&amp;""""&amp;"&gt;"&amp;L434&amp;"&lt;/a&gt;&lt;span style="&amp;""""&amp;"color:white"&amp;""""&amp;"&gt;[.]{#"&amp;F434&amp;"}}&lt;/span&gt;&lt;/div&gt;&lt;br&gt;"</f>
        <v>&lt;div class="hanging"&gt;Steenweg, R., Whittington, J., &amp; Hebblewhite, M. (2015). &lt;i&gt;Canadian Rockies remote camera multi-species occupancy project: Examining trends in carnivore populations and their prey&lt;/i&gt;. University of Montana.&lt;a href="http://parkscanadahistory.com/wildlife/steenweg-2015.pdf" target="_blank"&gt;http://parkscanadahistory.com/wildlife/steenweg-2015.pdf&lt;/a&gt;&lt;span style="color:white"&gt;[.]{#steenweg_et_al_2015}}&lt;/span&gt;&lt;/div&gt;&lt;br&gt;</v>
      </c>
      <c r="O434" s="65" t="str">
        <f>"{{ rtxt_"&amp;F434&amp;" }}"</f>
        <v>{{ rtxt_steenweg_et_al_2015 }}</v>
      </c>
      <c r="P434" s="65" t="str">
        <f>"{{ rbib_"&amp;F434&amp;" }}"</f>
        <v>{{ rbib_steenweg_et_al_2015 }}</v>
      </c>
      <c r="Q434" s="65" t="str">
        <f>"    rtxt_"&amp;F434&amp;": "&amp;""""&amp;"&lt;a href=\"&amp;""""&amp;"/08_references.html#"&amp;F434&amp;"\"&amp;""""&amp;" target=\"&amp;""""&amp;"_blank\"&amp;""""&amp;"&gt;"&amp;G434&amp;"&lt;/a&gt;"&amp;""""</f>
        <v xml:space="preserve">    rtxt_steenweg_et_al_2015: "&lt;a href=\"/08_references.html#steenweg_et_al_2015\" target=\"_blank\"&gt;Steenweg et al., 2015&lt;/a&gt;"</v>
      </c>
      <c r="R434" s="65" t="str">
        <f>"    rbib_"&amp;F434&amp;": "&amp;""""&amp;K434&amp;"&lt;a href=\"&amp;""""&amp;L434&amp;""""&amp;" target=\"&amp;""""&amp;"_blank\"&amp;""""&amp;"&gt;"&amp;L434&amp;"&lt;/a&gt;"&amp;""""</f>
        <v xml:space="preserve">    rbib_steenweg_et_al_2015: "Steenweg, R., Whittington, J., &amp; Hebblewhite, M. (2015). &lt;i&gt;Canadian Rockies remote camera multi-species occupancy project: Examining trends in carnivore populations and their prey&lt;/i&gt;. University of Montana.&lt;a href=\"http://parkscanadahistory.com/wildlife/steenweg-2015.pdf" target=\"_blank\"&gt;http://parkscanadahistory.com/wildlife/steenweg-2015.pdf&lt;/a&gt;"</v>
      </c>
      <c r="S434" s="65" t="str">
        <f>"    rbib_"&amp;F434&amp;": "&amp;""""&amp;"&lt;div class=\"&amp;""""&amp;"hanging\"&amp;""""&amp;"&gt;"&amp;J434&amp;"&lt;/div&gt;"&amp;""""</f>
        <v xml:space="preserve">    rbib_steenweg_et_al_2015: "&lt;div class=\"hanging\"&gt;Steenweg, R., Whittington, J., &amp; Hebblewhite, M. (2015). *Canadian Rockies remote camera multi-species occupancy project: Examining trends in carnivore populations and their prey*. University of Montana. &lt;http://parkscanadahistory.com/wildlife/steenweg-2015.pdf&gt;&lt;/div&gt;"</v>
      </c>
      <c r="T434" s="65"/>
    </row>
    <row r="435" spans="1:20" ht="15.75">
      <c r="A435" s="65"/>
      <c r="B435" s="155" t="b">
        <v>1</v>
      </c>
      <c r="C435" s="155" t="b">
        <v>0</v>
      </c>
      <c r="D435" s="155" t="b">
        <v>0</v>
      </c>
      <c r="E435" s="65" t="s">
        <v>1904</v>
      </c>
      <c r="F435" s="65" t="s">
        <v>2207</v>
      </c>
      <c r="G435" s="65" t="s">
        <v>2206</v>
      </c>
      <c r="H435" s="65" t="s">
        <v>2206</v>
      </c>
      <c r="I435" s="65" t="b">
        <v>1</v>
      </c>
      <c r="J435" s="65" t="s">
        <v>2205</v>
      </c>
      <c r="K435" s="65" t="s">
        <v>5265</v>
      </c>
      <c r="L435" s="65" t="s">
        <v>2204</v>
      </c>
      <c r="M435" s="65" t="s">
        <v>984</v>
      </c>
      <c r="N435" s="65" t="str">
        <f>"&lt;div class="&amp;""""&amp;"hanging"&amp;""""&amp;"&gt;"&amp;K435&amp;"&lt;a href="&amp;""""&amp;L435&amp;""""&amp;" target="&amp;""""&amp;"_blank"&amp;""""&amp;"&gt;"&amp;L435&amp;"&lt;/a&gt;&lt;span style="&amp;""""&amp;"color:white"&amp;""""&amp;"&gt;[.]{#"&amp;F435&amp;"}}&lt;/span&gt;&lt;/div&gt;&lt;br&gt;"</f>
        <v>&lt;div class="hanging"&gt;Steinbeiser, C. M., Kioko, J., Maresi, A., Kaitilia, R., &amp; Kiffner, C. (2019). Relative Abundance and Activity Patterns Explain Method-Related Differences in Mammalian Species Richness Estimates. &lt;i&gt;Journal of Mammalogy, 100&lt;/i&gt;(1), 192-201.&lt;a href="https://doi.org/10.1093/jmammal/gyy175" target="_blank"&gt;https://doi.org/10.1093/jmammal/gyy175&lt;/a&gt;&lt;span style="color:white"&gt;[.]{#steinbeiser_et_al_2019}}&lt;/span&gt;&lt;/div&gt;&lt;br&gt;</v>
      </c>
      <c r="O435" s="65" t="str">
        <f>"{{ rtxt_"&amp;F435&amp;" }}"</f>
        <v>{{ rtxt_steinbeiser_et_al_2019 }}</v>
      </c>
      <c r="P435" s="65" t="str">
        <f>"{{ rbib_"&amp;F435&amp;" }}"</f>
        <v>{{ rbib_steinbeiser_et_al_2019 }}</v>
      </c>
      <c r="Q435" s="65" t="str">
        <f>"    rtxt_"&amp;F435&amp;": "&amp;""""&amp;"&lt;a href=\"&amp;""""&amp;"/08_references.html#"&amp;F435&amp;"\"&amp;""""&amp;" target=\"&amp;""""&amp;"_blank\"&amp;""""&amp;"&gt;"&amp;G435&amp;"&lt;/a&gt;"&amp;""""</f>
        <v xml:space="preserve">    rtxt_steinbeiser_et_al_2019: "&lt;a href=\"/08_references.html#steinbeiser_et_al_2019\" target=\"_blank\"&gt;Steinbeiser et al., 2019&lt;/a&gt;"</v>
      </c>
      <c r="R435" s="65" t="str">
        <f>"    rbib_"&amp;F435&amp;": "&amp;""""&amp;K435&amp;"&lt;a href=\"&amp;""""&amp;L435&amp;""""&amp;" target=\"&amp;""""&amp;"_blank\"&amp;""""&amp;"&gt;"&amp;L435&amp;"&lt;/a&gt;"&amp;""""</f>
        <v xml:space="preserve">    rbib_steinbeiser_et_al_2019: "Steinbeiser, C. M., Kioko, J., Maresi, A., Kaitilia, R., &amp; Kiffner, C. (2019). Relative Abundance and Activity Patterns Explain Method-Related Differences in Mammalian Species Richness Estimates. &lt;i&gt;Journal of Mammalogy, 100&lt;/i&gt;(1), 192-201.&lt;a href=\"https://doi.org/10.1093/jmammal/gyy175" target=\"_blank\"&gt;https://doi.org/10.1093/jmammal/gyy175&lt;/a&gt;"</v>
      </c>
      <c r="S435" s="65" t="str">
        <f>"    rbib_"&amp;F435&amp;": "&amp;""""&amp;"&lt;div class=\"&amp;""""&amp;"hanging\"&amp;""""&amp;"&gt;"&amp;J435&amp;"&lt;/div&gt;"&amp;""""</f>
        <v xml:space="preserve">    rbib_steinbeiser_et_al_2019: "&lt;div class=\"hanging\"&gt;Steinbeiser, C. M., Kioko, J., Maresi, A., Kaitilia, R., &amp; Kiffner, C. (2019). Relative Abundance and Activity Patterns Explain Method-Related Differences in Mammalian Species Richness Estimates. *Journal of Mammalogy, 100*(1), 192-201. &lt;https://doi.org/10.1093/jmammal/gyy175&gt;&lt;/div&gt;"</v>
      </c>
      <c r="T435" s="65"/>
    </row>
    <row r="436" spans="1:20" ht="15.75">
      <c r="A436" s="65"/>
      <c r="B436" s="155"/>
      <c r="C436" s="155"/>
      <c r="D436" s="155"/>
      <c r="E436" s="65" t="s">
        <v>1904</v>
      </c>
      <c r="F436" s="65" t="s">
        <v>2203</v>
      </c>
      <c r="G436" s="65" t="s">
        <v>2202</v>
      </c>
      <c r="H436" s="65" t="s">
        <v>2202</v>
      </c>
      <c r="I436" s="65" t="b">
        <v>1</v>
      </c>
      <c r="J436" s="65" t="s">
        <v>2201</v>
      </c>
      <c r="K436" s="65" t="s">
        <v>5149</v>
      </c>
      <c r="L436" s="65" t="s">
        <v>2200</v>
      </c>
      <c r="M436" s="65" t="s">
        <v>984</v>
      </c>
      <c r="N436" s="65" t="str">
        <f>"&lt;div class="&amp;""""&amp;"hanging"&amp;""""&amp;"&gt;"&amp;K436&amp;"&lt;a href="&amp;""""&amp;L436&amp;""""&amp;" target="&amp;""""&amp;"_blank"&amp;""""&amp;"&gt;"&amp;L436&amp;"&lt;/a&gt;&lt;span style="&amp;""""&amp;"color:white"&amp;""""&amp;"&gt;[.]{#"&amp;F436&amp;"}}&lt;/span&gt;&lt;/div&gt;&lt;br&gt;"</f>
        <v>&lt;div class="hanging"&gt;Stewart, F. E. C., Fisher, J. T., Burton, A. C., &amp; Volpe, J. P. (2018). Species occurrence data reflect the magnitude of animal movements better than the proximity of animal space use. &lt;i&gt;Ecosphere, 9&lt;/i&gt;(2), e02112.&lt;a href="https://doi.org/10.1002/ecs2.2112" target="_blank"&gt;https://doi.org/10.1002/ecs2.2112&lt;/a&gt;&lt;span style="color:white"&gt;[.]{#stewart_et_al_2018}}&lt;/span&gt;&lt;/div&gt;&lt;br&gt;</v>
      </c>
      <c r="O436" s="65" t="str">
        <f>"{{ rtxt_"&amp;F436&amp;" }}"</f>
        <v>{{ rtxt_stewart_et_al_2018 }}</v>
      </c>
      <c r="P436" s="65" t="str">
        <f>"{{ rbib_"&amp;F436&amp;" }}"</f>
        <v>{{ rbib_stewart_et_al_2018 }}</v>
      </c>
      <c r="Q436" s="65" t="str">
        <f>"    rtxt_"&amp;F436&amp;": "&amp;""""&amp;"&lt;a href=\"&amp;""""&amp;"/08_references.html#"&amp;F436&amp;"\"&amp;""""&amp;" target=\"&amp;""""&amp;"_blank\"&amp;""""&amp;"&gt;"&amp;G436&amp;"&lt;/a&gt;"&amp;""""</f>
        <v xml:space="preserve">    rtxt_stewart_et_al_2018: "&lt;a href=\"/08_references.html#stewart_et_al_2018\" target=\"_blank\"&gt;Stewart et al., 2018&lt;/a&gt;"</v>
      </c>
      <c r="R436" s="65" t="str">
        <f>"    rbib_"&amp;F436&amp;": "&amp;""""&amp;K436&amp;"&lt;a href=\"&amp;""""&amp;L436&amp;""""&amp;" target=\"&amp;""""&amp;"_blank\"&amp;""""&amp;"&gt;"&amp;L436&amp;"&lt;/a&gt;"&amp;""""</f>
        <v xml:space="preserve">    rbib_stewart_et_al_2018: "Stewart, F. E. C., Fisher, J. T., Burton, A. C., &amp; Volpe, J. P. (2018). Species occurrence data reflect the magnitude of animal movements better than the proximity of animal space use. &lt;i&gt;Ecosphere, 9&lt;/i&gt;(2), e02112.&lt;a href=\"https://doi.org/10.1002/ecs2.2112" target=\"_blank\"&gt;https://doi.org/10.1002/ecs2.2112&lt;/a&gt;"</v>
      </c>
      <c r="S436" s="65" t="str">
        <f>"    rbib_"&amp;F436&amp;": "&amp;""""&amp;"&lt;div class=\"&amp;""""&amp;"hanging\"&amp;""""&amp;"&gt;"&amp;J436&amp;"&lt;/div&gt;"&amp;""""</f>
        <v xml:space="preserve">    rbib_stewart_et_al_2018: "&lt;div class=\"hanging\"&gt;Stewart, F. E. C., Fisher, J. T., Burton, A. C., &amp; Volpe, J. P. (2018). Species occurrence data reflect the magnitude of animal movements better than the proximity of animal space use. *Ecosphere, 9*(2), e02112. &lt;https://doi.org/10.1002/ecs2.2112&gt;&lt;/div&gt;"</v>
      </c>
      <c r="T436" s="65"/>
    </row>
    <row r="437" spans="1:20" ht="15.75">
      <c r="A437" s="65"/>
      <c r="B437" s="155"/>
      <c r="C437" s="155"/>
      <c r="D437" s="155"/>
      <c r="E437" s="65" t="s">
        <v>1904</v>
      </c>
      <c r="F437" s="65" t="s">
        <v>2195</v>
      </c>
      <c r="G437" s="65" t="s">
        <v>2194</v>
      </c>
      <c r="H437" s="65" t="s">
        <v>2194</v>
      </c>
      <c r="I437" s="65" t="b">
        <v>1</v>
      </c>
      <c r="J437" s="65" t="s">
        <v>2193</v>
      </c>
      <c r="K437" s="65" t="s">
        <v>5159</v>
      </c>
      <c r="L437" s="65" t="s">
        <v>2192</v>
      </c>
      <c r="M437" s="65" t="s">
        <v>984</v>
      </c>
      <c r="N437" s="65" t="str">
        <f>"&lt;div class="&amp;""""&amp;"hanging"&amp;""""&amp;"&gt;"&amp;K437&amp;"&lt;a href="&amp;""""&amp;L437&amp;""""&amp;" target="&amp;""""&amp;"_blank"&amp;""""&amp;"&gt;"&amp;L437&amp;"&lt;/a&gt;&lt;span style="&amp;""""&amp;"color:white"&amp;""""&amp;"&gt;[.]{#"&amp;F437&amp;"}}&lt;/span&gt;&lt;/div&gt;&lt;br&gt;"</f>
        <v>&lt;div class="hanging"&gt;Stewart, F. E. C., Volpe, J. P., &amp; Fisher, J. T. (2019b). The Debate About Bait: A Red Herring in Wildlife Research. &lt;i&gt;The Journal of Wildlife Management, 83&lt;/i&gt;(4), 985-992.&lt;a href="https://doi.org/10.1002/jwmg.21657" target="_blank"&gt;https://doi.org/10.1002/jwmg.21657&lt;/a&gt;&lt;span style="color:white"&gt;[.]{#stewart_et_al_2019b}}&lt;/span&gt;&lt;/div&gt;&lt;br&gt;</v>
      </c>
      <c r="O437" s="65" t="str">
        <f>"{{ rtxt_"&amp;F437&amp;" }}"</f>
        <v>{{ rtxt_stewart_et_al_2019b }}</v>
      </c>
      <c r="P437" s="65" t="str">
        <f>"{{ rbib_"&amp;F437&amp;" }}"</f>
        <v>{{ rbib_stewart_et_al_2019b }}</v>
      </c>
      <c r="Q437" s="65" t="str">
        <f>"    rtxt_"&amp;F437&amp;": "&amp;""""&amp;"&lt;a href=\"&amp;""""&amp;"/08_references.html#"&amp;F437&amp;"\"&amp;""""&amp;" target=\"&amp;""""&amp;"_blank\"&amp;""""&amp;"&gt;"&amp;G437&amp;"&lt;/a&gt;"&amp;""""</f>
        <v xml:space="preserve">    rtxt_stewart_et_al_2019b: "&lt;a href=\"/08_references.html#stewart_et_al_2019b\" target=\"_blank\"&gt;Stewart et al., 2019b&lt;/a&gt;"</v>
      </c>
      <c r="R437" s="65" t="str">
        <f>"    rbib_"&amp;F437&amp;": "&amp;""""&amp;K437&amp;"&lt;a href=\"&amp;""""&amp;L437&amp;""""&amp;" target=\"&amp;""""&amp;"_blank\"&amp;""""&amp;"&gt;"&amp;L437&amp;"&lt;/a&gt;"&amp;""""</f>
        <v xml:space="preserve">    rbib_stewart_et_al_2019b: "Stewart, F. E. C., Volpe, J. P., &amp; Fisher, J. T. (2019b). The Debate About Bait: A Red Herring in Wildlife Research. &lt;i&gt;The Journal of Wildlife Management, 83&lt;/i&gt;(4), 985-992.&lt;a href=\"https://doi.org/10.1002/jwmg.21657" target=\"_blank\"&gt;https://doi.org/10.1002/jwmg.21657&lt;/a&gt;"</v>
      </c>
      <c r="S437" s="65" t="str">
        <f>"    rbib_"&amp;F437&amp;": "&amp;""""&amp;"&lt;div class=\"&amp;""""&amp;"hanging\"&amp;""""&amp;"&gt;"&amp;J437&amp;"&lt;/div&gt;"&amp;""""</f>
        <v xml:space="preserve">    rbib_stewart_et_al_2019b: "&lt;div class=\"hanging\"&gt;Stewart, F. E. C., Volpe, J. P., &amp; Fisher, J. T. (2019b). The Debate About Bait: A Red Herring in Wildlife Research. *The Journal of Wildlife Management, 83*(4), 985-992. &lt;https://doi.org/10.1002/jwmg.21657&gt;&lt;/div&gt;"</v>
      </c>
      <c r="T437" s="65"/>
    </row>
    <row r="438" spans="1:20" ht="15.75">
      <c r="A438" s="65"/>
      <c r="B438" s="155"/>
      <c r="C438" s="155"/>
      <c r="D438" s="155"/>
      <c r="E438" s="65" t="s">
        <v>1904</v>
      </c>
      <c r="F438" s="65" t="s">
        <v>2199</v>
      </c>
      <c r="G438" s="65" t="s">
        <v>2198</v>
      </c>
      <c r="H438" s="65" t="s">
        <v>2198</v>
      </c>
      <c r="I438" s="65" t="b">
        <v>1</v>
      </c>
      <c r="J438" s="65" t="s">
        <v>2197</v>
      </c>
      <c r="K438" s="65" t="s">
        <v>5228</v>
      </c>
      <c r="L438" s="65" t="s">
        <v>2196</v>
      </c>
      <c r="M438" s="65" t="s">
        <v>984</v>
      </c>
      <c r="N438" s="65" t="str">
        <f>"&lt;div class="&amp;""""&amp;"hanging"&amp;""""&amp;"&gt;"&amp;K438&amp;"&lt;a href="&amp;""""&amp;L438&amp;""""&amp;" target="&amp;""""&amp;"_blank"&amp;""""&amp;"&gt;"&amp;L438&amp;"&lt;/a&gt;&lt;span style="&amp;""""&amp;"color:white"&amp;""""&amp;"&gt;[.]{#"&amp;F438&amp;"}}&lt;/span&gt;&lt;/div&gt;&lt;br&gt;"</f>
        <v>&lt;div class="hanging"&gt;Stewart, F. E. C., Volpe, J. P., Eaton, B. R., Hood, G. A., Vujnovic, D., &amp; Fisher, J. T. (2019b). Protected areas alone rarely predict mammalian biodiversity across spatial scales in an Albertan working landscape. &lt;i&gt;Biological Conservation, 240&lt;/i&gt;, 108252.&lt;a href="https://doi.org/10.1016/j.biocon.2019.108252" target="_blank"&gt;https://doi.org/10.1016/j.biocon.2019.108252&lt;/a&gt;&lt;span style="color:white"&gt;[.]{#stewart_et_al_2019a}}&lt;/span&gt;&lt;/div&gt;&lt;br&gt;</v>
      </c>
      <c r="O438" s="65" t="str">
        <f>"{{ rtxt_"&amp;F438&amp;" }}"</f>
        <v>{{ rtxt_stewart_et_al_2019a }}</v>
      </c>
      <c r="P438" s="65" t="str">
        <f>"{{ rbib_"&amp;F438&amp;" }}"</f>
        <v>{{ rbib_stewart_et_al_2019a }}</v>
      </c>
      <c r="Q438" s="65" t="str">
        <f>"    rtxt_"&amp;F438&amp;": "&amp;""""&amp;"&lt;a href=\"&amp;""""&amp;"/08_references.html#"&amp;F438&amp;"\"&amp;""""&amp;" target=\"&amp;""""&amp;"_blank\"&amp;""""&amp;"&gt;"&amp;G438&amp;"&lt;/a&gt;"&amp;""""</f>
        <v xml:space="preserve">    rtxt_stewart_et_al_2019a: "&lt;a href=\"/08_references.html#stewart_et_al_2019a\" target=\"_blank\"&gt;Stewart et al., 2019a&lt;/a&gt;"</v>
      </c>
      <c r="R438" s="65" t="str">
        <f>"    rbib_"&amp;F438&amp;": "&amp;""""&amp;K438&amp;"&lt;a href=\"&amp;""""&amp;L438&amp;""""&amp;" target=\"&amp;""""&amp;"_blank\"&amp;""""&amp;"&gt;"&amp;L438&amp;"&lt;/a&gt;"&amp;""""</f>
        <v xml:space="preserve">    rbib_stewart_et_al_2019a: "Stewart, F. E. C., Volpe, J. P., Eaton, B. R., Hood, G. A., Vujnovic, D., &amp; Fisher, J. T. (2019b). Protected areas alone rarely predict mammalian biodiversity across spatial scales in an Albertan working landscape. &lt;i&gt;Biological Conservation, 240&lt;/i&gt;, 108252.&lt;a href=\"https://doi.org/10.1016/j.biocon.2019.108252" target=\"_blank\"&gt;https://doi.org/10.1016/j.biocon.2019.108252&lt;/a&gt;"</v>
      </c>
      <c r="S438" s="65" t="str">
        <f>"    rbib_"&amp;F438&amp;": "&amp;""""&amp;"&lt;div class=\"&amp;""""&amp;"hanging\"&amp;""""&amp;"&gt;"&amp;J438&amp;"&lt;/div&gt;"&amp;""""</f>
        <v xml:space="preserve">    rbib_stewart_et_al_2019a: "&lt;div class=\"hanging\"&gt;Stewart, F. E. C., Volpe, J. P., Eaton, B. R., Hood, G. A., Vujnovic, D., &amp; Fisher, J. T. (2019b). Protected areas alone rarely predict mammalian biodiversity across spatial scales in an Albertan working landscape. *Biological Conservation, 240*, 108252. &lt;https://doi.org/10.1016/j.biocon.2019.108252&gt;&lt;/div&gt;"</v>
      </c>
      <c r="T438" s="65"/>
    </row>
    <row r="439" spans="1:20" ht="15.75">
      <c r="A439" s="65"/>
      <c r="B439" s="155" t="b">
        <v>1</v>
      </c>
      <c r="C439" s="155" t="b">
        <v>0</v>
      </c>
      <c r="D439" s="155" t="b">
        <v>0</v>
      </c>
      <c r="E439" s="65" t="s">
        <v>1904</v>
      </c>
      <c r="F439" s="65" t="s">
        <v>2191</v>
      </c>
      <c r="G439" s="65" t="s">
        <v>2190</v>
      </c>
      <c r="H439" s="65" t="s">
        <v>2190</v>
      </c>
      <c r="I439" s="65" t="b">
        <v>1</v>
      </c>
      <c r="J439" s="65" t="s">
        <v>2189</v>
      </c>
      <c r="K439" s="65" t="s">
        <v>5256</v>
      </c>
      <c r="L439" s="65" t="s">
        <v>2188</v>
      </c>
      <c r="M439" s="65" t="s">
        <v>984</v>
      </c>
      <c r="N439" s="65" t="str">
        <f>"&lt;div class="&amp;""""&amp;"hanging"&amp;""""&amp;"&gt;"&amp;K439&amp;"&lt;a href="&amp;""""&amp;L439&amp;""""&amp;" target="&amp;""""&amp;"_blank"&amp;""""&amp;"&gt;"&amp;L439&amp;"&lt;/a&gt;&lt;span style="&amp;""""&amp;"color:white"&amp;""""&amp;"&gt;[.]{#"&amp;F439&amp;"}}&lt;/span&gt;&lt;/div&gt;&lt;br&gt;"</f>
        <v>&lt;div class="hanging"&gt;Stokeld, D., Frank, A. S., Hill, B., Choy, J. L., Mahney, T., Stevens, A., &amp; Gillespie, G. R. (2016). Multiple Cameras Required to Reliably Detect Feral Cats in Northern Australian Tropical Savannah: An Evaluation of Sampling Design When Using Camera Traps. &lt;i&gt;Wildlife Research, 42&lt;/i&gt;(8), 642-649.&lt;a href="https://doi.org/10.1071/WR15083" target="_blank"&gt;https://doi.org/10.1071/WR15083&lt;/a&gt;&lt;span style="color:white"&gt;[.]{#stokeld_et_al_2016}}&lt;/span&gt;&lt;/div&gt;&lt;br&gt;</v>
      </c>
      <c r="O439" s="65" t="str">
        <f>"{{ rtxt_"&amp;F439&amp;" }}"</f>
        <v>{{ rtxt_stokeld_et_al_2016 }}</v>
      </c>
      <c r="P439" s="65" t="str">
        <f>"{{ rbib_"&amp;F439&amp;" }}"</f>
        <v>{{ rbib_stokeld_et_al_2016 }}</v>
      </c>
      <c r="Q439" s="65" t="str">
        <f>"    rtxt_"&amp;F439&amp;": "&amp;""""&amp;"&lt;a href=\"&amp;""""&amp;"/08_references.html#"&amp;F439&amp;"\"&amp;""""&amp;" target=\"&amp;""""&amp;"_blank\"&amp;""""&amp;"&gt;"&amp;G439&amp;"&lt;/a&gt;"&amp;""""</f>
        <v xml:space="preserve">    rtxt_stokeld_et_al_2016: "&lt;a href=\"/08_references.html#stokeld_et_al_2016\" target=\"_blank\"&gt;Stokeld et al., 2016&lt;/a&gt;"</v>
      </c>
      <c r="R439" s="65" t="str">
        <f>"    rbib_"&amp;F439&amp;": "&amp;""""&amp;K439&amp;"&lt;a href=\"&amp;""""&amp;L439&amp;""""&amp;" target=\"&amp;""""&amp;"_blank\"&amp;""""&amp;"&gt;"&amp;L439&amp;"&lt;/a&gt;"&amp;""""</f>
        <v xml:space="preserve">    rbib_stokeld_et_al_2016: "Stokeld, D., Frank, A. S., Hill, B., Choy, J. L., Mahney, T., Stevens, A., &amp; Gillespie, G. R. (2016). Multiple Cameras Required to Reliably Detect Feral Cats in Northern Australian Tropical Savannah: An Evaluation of Sampling Design When Using Camera Traps. &lt;i&gt;Wildlife Research, 42&lt;/i&gt;(8), 642-649.&lt;a href=\"https://doi.org/10.1071/WR15083" target=\"_blank\"&gt;https://doi.org/10.1071/WR15083&lt;/a&gt;"</v>
      </c>
      <c r="S439" s="65" t="str">
        <f>"    rbib_"&amp;F439&amp;": "&amp;""""&amp;"&lt;div class=\"&amp;""""&amp;"hanging\"&amp;""""&amp;"&gt;"&amp;J439&amp;"&lt;/div&gt;"&amp;""""</f>
        <v xml:space="preserve">    rbib_stokeld_et_al_2016: "&lt;div class=\"hanging\"&gt;Stokeld, D., Frank, A. S., Hill, B., Choy, J. L., Mahney, T., Stevens, A., &amp; Gillespie, G. R. (2016). Multiple Cameras Required to Reliably Detect Feral Cats in Northern Australian Tropical Savannah: An Evaluation of Sampling Design When Using Camera Traps. *Wildlife Research, 42*(8), 642-649. &lt;https://doi.org/10.1071/WR15083&gt;&lt;/div&gt;"</v>
      </c>
      <c r="T439" s="65"/>
    </row>
    <row r="440" spans="1:20" ht="15.75">
      <c r="A440" s="65"/>
      <c r="B440" s="155"/>
      <c r="C440" s="155"/>
      <c r="D440" s="155"/>
      <c r="E440" s="65" t="s">
        <v>1904</v>
      </c>
      <c r="F440" s="65" t="s">
        <v>2187</v>
      </c>
      <c r="G440" s="65" t="s">
        <v>2186</v>
      </c>
      <c r="H440" s="65" t="s">
        <v>2186</v>
      </c>
      <c r="I440" s="65" t="b">
        <v>1</v>
      </c>
      <c r="J440" s="65" t="s">
        <v>2185</v>
      </c>
      <c r="K440" s="65" t="s">
        <v>5426</v>
      </c>
      <c r="L440" s="65" t="s">
        <v>2184</v>
      </c>
      <c r="M440" s="65" t="s">
        <v>984</v>
      </c>
      <c r="N440" s="65" t="str">
        <f>"&lt;div class="&amp;""""&amp;"hanging"&amp;""""&amp;"&gt;"&amp;K440&amp;"&lt;a href="&amp;""""&amp;L440&amp;""""&amp;" target="&amp;""""&amp;"_blank"&amp;""""&amp;"&gt;"&amp;L440&amp;"&lt;/a&gt;&lt;span style="&amp;""""&amp;"color:white"&amp;""""&amp;"&gt;[.]{#"&amp;F440&amp;"}}&lt;/span&gt;&lt;/div&gt;&lt;br&gt;"</f>
        <v>&lt;div class="hanging"&gt;Strimas-Mackey, M., Hochachka, W. M., Ruiz-Gutierrez, V., Robinson, O. J., Miller, E. T., Auer, T., Kelling, S., Fink, D., &amp; Johnston, A. (2023). &lt;i&gt;Best Practices for Using eBird Data.&lt;/i&gt; Version 2.0.&lt;a href="https://ebird.github.io/ebird-best-practices. Cornell Lab of Ornithology, Ithaca, New York. " target="_blank"&gt;https://ebird.github.io/ebird-best-practices. Cornell Lab of Ornithology, Ithaca, New York. &lt;/a&gt;&lt;span style="color:white"&gt;[.]{#strimasmackey_et_al_2023}}&lt;/span&gt;&lt;/div&gt;&lt;br&gt;</v>
      </c>
      <c r="O440" s="65" t="str">
        <f>"{{ rtxt_"&amp;F440&amp;" }}"</f>
        <v>{{ rtxt_strimasmackey_et_al_2023 }}</v>
      </c>
      <c r="P440" s="65" t="str">
        <f>"{{ rbib_"&amp;F440&amp;" }}"</f>
        <v>{{ rbib_strimasmackey_et_al_2023 }}</v>
      </c>
      <c r="Q440" s="65" t="str">
        <f>"    rtxt_"&amp;F440&amp;": "&amp;""""&amp;"&lt;a href=\"&amp;""""&amp;"/08_references.html#"&amp;F440&amp;"\"&amp;""""&amp;" target=\"&amp;""""&amp;"_blank\"&amp;""""&amp;"&gt;"&amp;G440&amp;"&lt;/a&gt;"&amp;""""</f>
        <v xml:space="preserve">    rtxt_strimasmackey_et_al_2023: "&lt;a href=\"/08_references.html#strimasmackey_et_al_2023\" target=\"_blank\"&gt;Strimas-Mackey et al., 2023&lt;/a&gt;"</v>
      </c>
      <c r="R440" s="65" t="str">
        <f>"    rbib_"&amp;F440&amp;": "&amp;""""&amp;K440&amp;"&lt;a href=\"&amp;""""&amp;L440&amp;""""&amp;" target=\"&amp;""""&amp;"_blank\"&amp;""""&amp;"&gt;"&amp;L440&amp;"&lt;/a&gt;"&amp;""""</f>
        <v xml:space="preserve">    rbib_strimasmackey_et_al_2023: "Strimas-Mackey, M., Hochachka, W. M., Ruiz-Gutierrez, V., Robinson, O. J., Miller, E. T., Auer, T., Kelling, S., Fink, D., &amp; Johnston, A. (2023). &lt;i&gt;Best Practices for Using eBird Data.&lt;/i&gt; Version 2.0.&lt;a href=\"https://ebird.github.io/ebird-best-practices. Cornell Lab of Ornithology, Ithaca, New York. " target=\"_blank\"&gt;https://ebird.github.io/ebird-best-practices. Cornell Lab of Ornithology, Ithaca, New York. &lt;/a&gt;"</v>
      </c>
      <c r="S440" s="65" t="str">
        <f>"    rbib_"&amp;F440&amp;": "&amp;""""&amp;"&lt;div class=\"&amp;""""&amp;"hanging\"&amp;""""&amp;"&gt;"&amp;J440&amp;"&lt;/div&gt;"&amp;""""</f>
        <v xml:space="preserve">    rbib_strimasmackey_et_al_2023: "&lt;div class=\"hanging\"&gt;Strimas-Mackey, M., Hochachka, W. M., Ruiz-Gutierrez, V., Robinson, O. J., Miller, E. T., Auer, T., Kelling, S., Fink, D., &amp; Johnston, A. (2023). *Best Practices for Using eBird Data. Version 2.0*. Cornell Lab of Ornithology, Ithaca, New York. &lt;https://ebird.github.io/ebird-best-practices&gt;; &lt;https://doi.org/10.5281/zenodo.3620739&gt;&lt;/div&gt;"</v>
      </c>
      <c r="T440" s="65" t="s">
        <v>2183</v>
      </c>
    </row>
    <row r="441" spans="1:20" ht="15.75">
      <c r="A441" s="65"/>
      <c r="B441" s="155" t="b">
        <v>0</v>
      </c>
      <c r="C441" s="155" t="b">
        <v>0</v>
      </c>
      <c r="D441" s="155"/>
      <c r="E441" s="65" t="s">
        <v>1945</v>
      </c>
      <c r="F441" s="65" t="s">
        <v>2182</v>
      </c>
      <c r="G441" s="65" t="s">
        <v>2181</v>
      </c>
      <c r="H441" s="65" t="s">
        <v>2181</v>
      </c>
      <c r="I441" s="65" t="b">
        <v>1</v>
      </c>
      <c r="J441" s="65" t="s">
        <v>2180</v>
      </c>
      <c r="K441" s="65" t="s">
        <v>5536</v>
      </c>
      <c r="L441" s="65" t="s">
        <v>2178</v>
      </c>
      <c r="M441" s="65" t="s">
        <v>2179</v>
      </c>
      <c r="N441" s="65" t="str">
        <f>"&lt;div class="&amp;""""&amp;"hanging"&amp;""""&amp;"&gt;"&amp;K441&amp;"&lt;a href="&amp;""""&amp;L441&amp;""""&amp;" target="&amp;""""&amp;"_blank"&amp;""""&amp;"&gt;"&amp;L441&amp;"&lt;/a&gt;&lt;span style="&amp;""""&amp;"color:white"&amp;""""&amp;"&gt;[.]{#"&amp;F441&amp;"}}&lt;/span&gt;&lt;/div&gt;&lt;br&gt;"</f>
        <v>&lt;div class="hanging"&gt;Styring, A. (2020a, May 4). &lt;i&gt;Field Ecology - Diversity Metrics in R.&lt;/i&gt; [Video]. YouTube.&lt;a href="https://www.youtube.com/watch?v=KBByV3kR3IA" target="_blank"&gt;https://www.youtube.com/watch?v=KBByV3kR3IA&lt;/a&gt;&lt;span style="color:white"&gt;[.]{#styring_2020a}}&lt;/span&gt;&lt;/div&gt;&lt;br&gt;</v>
      </c>
      <c r="O441" s="65" t="str">
        <f>"{{ rtxt_"&amp;F441&amp;" }}"</f>
        <v>{{ rtxt_styring_2020a }}</v>
      </c>
      <c r="P441" s="65" t="str">
        <f>"{{ rbib_"&amp;F441&amp;" }}"</f>
        <v>{{ rbib_styring_2020a }}</v>
      </c>
      <c r="Q441" s="65" t="str">
        <f>"    rtxt_"&amp;F441&amp;": "&amp;""""&amp;"&lt;a href=\"&amp;""""&amp;"/08_references.html#"&amp;F441&amp;"\"&amp;""""&amp;" target=\"&amp;""""&amp;"_blank\"&amp;""""&amp;"&gt;"&amp;G441&amp;"&lt;/a&gt;"&amp;""""</f>
        <v xml:space="preserve">    rtxt_styring_2020a: "&lt;a href=\"/08_references.html#styring_2020a\" target=\"_blank\"&gt;Styring, 2020a&lt;/a&gt;"</v>
      </c>
      <c r="R441" s="65" t="str">
        <f>"    rbib_"&amp;F441&amp;": "&amp;""""&amp;K441&amp;"&lt;a href=\"&amp;""""&amp;L441&amp;""""&amp;" target=\"&amp;""""&amp;"_blank\"&amp;""""&amp;"&gt;"&amp;L441&amp;"&lt;/a&gt;"&amp;""""</f>
        <v xml:space="preserve">    rbib_styring_2020a: "Styring, A. (2020a, May 4). &lt;i&gt;Field Ecology - Diversity Metrics in R.&lt;/i&gt; [Video]. YouTube.&lt;a href=\"https://www.youtube.com/watch?v=KBByV3kR3IA" target=\"_blank\"&gt;https://www.youtube.com/watch?v=KBByV3kR3IA&lt;/a&gt;"</v>
      </c>
      <c r="S441" s="65" t="str">
        <f>"    rbib_"&amp;F441&amp;": "&amp;""""&amp;"&lt;div class=\"&amp;""""&amp;"hanging\"&amp;""""&amp;"&gt;"&amp;J441&amp;"&lt;/div&gt;"&amp;""""</f>
        <v xml:space="preserve">    rbib_styring_2020a: "&lt;div class=\"hanging\"&gt;Styring, A. (2020a, May 4). *Field Ecology - Diversity Metrics in R.* [Video]. YouTube. &lt;https://www.youtube.com/watch?v=KBByV3kR3IA&gt;&lt;/div&gt;"</v>
      </c>
      <c r="T441" s="65"/>
    </row>
    <row r="442" spans="1:20" ht="15.75">
      <c r="A442" s="65"/>
      <c r="B442" s="155" t="b">
        <v>0</v>
      </c>
      <c r="C442" s="155" t="b">
        <v>0</v>
      </c>
      <c r="D442" s="155"/>
      <c r="E442" s="65" t="s">
        <v>1945</v>
      </c>
      <c r="F442" s="65" t="s">
        <v>2177</v>
      </c>
      <c r="G442" s="65" t="s">
        <v>2176</v>
      </c>
      <c r="H442" s="65" t="s">
        <v>2176</v>
      </c>
      <c r="I442" s="65" t="b">
        <v>1</v>
      </c>
      <c r="J442" s="65" t="s">
        <v>3960</v>
      </c>
      <c r="K442" s="65" t="s">
        <v>5521</v>
      </c>
      <c r="L442" s="65" t="s">
        <v>2174</v>
      </c>
      <c r="M442" s="65" t="s">
        <v>2175</v>
      </c>
      <c r="N442" s="65" t="str">
        <f>"&lt;div class="&amp;""""&amp;"hanging"&amp;""""&amp;"&gt;"&amp;K442&amp;"&lt;a href="&amp;""""&amp;L442&amp;""""&amp;" target="&amp;""""&amp;"_blank"&amp;""""&amp;"&gt;"&amp;L442&amp;"&lt;/a&gt;&lt;span style="&amp;""""&amp;"color:white"&amp;""""&amp;"&gt;[.]{#"&amp;F442&amp;"}}&lt;/span&gt;&lt;/div&gt;&lt;br&gt;"</f>
        <v>&lt;div class="hanging"&gt;Styring, A. (2020b, Jun 22). &lt;i&gt;Generating a species accumulation plot in excel for BBS data.&lt;/i&gt; [Video]. YouTube.&lt;a href="https://www.youtube.com/watch?reload=9&amp;app=desktop&amp;v=OEWdPm3zg9I" target="_blank"&gt;https://www.youtube.com/watch?reload=9&amp;app=desktop&amp;v=OEWdPm3zg9I&lt;/a&gt;&lt;span style="color:white"&gt;[.]{#styring_2020b}}&lt;/span&gt;&lt;/div&gt;&lt;br&gt;</v>
      </c>
      <c r="O442" s="65" t="str">
        <f>"{{ rtxt_"&amp;F442&amp;" }}"</f>
        <v>{{ rtxt_styring_2020b }}</v>
      </c>
      <c r="P442" s="65" t="str">
        <f>"{{ rbib_"&amp;F442&amp;" }}"</f>
        <v>{{ rbib_styring_2020b }}</v>
      </c>
      <c r="Q442" s="65" t="str">
        <f>"    rtxt_"&amp;F442&amp;": "&amp;""""&amp;"&lt;a href=\"&amp;""""&amp;"/08_references.html#"&amp;F442&amp;"\"&amp;""""&amp;" target=\"&amp;""""&amp;"_blank\"&amp;""""&amp;"&gt;"&amp;G442&amp;"&lt;/a&gt;"&amp;""""</f>
        <v xml:space="preserve">    rtxt_styring_2020b: "&lt;a href=\"/08_references.html#styring_2020b\" target=\"_blank\"&gt;Styring, 2020b&lt;/a&gt;"</v>
      </c>
      <c r="R442" s="65" t="str">
        <f>"    rbib_"&amp;F442&amp;": "&amp;""""&amp;K442&amp;"&lt;a href=\"&amp;""""&amp;L442&amp;""""&amp;" target=\"&amp;""""&amp;"_blank\"&amp;""""&amp;"&gt;"&amp;L442&amp;"&lt;/a&gt;"&amp;""""</f>
        <v xml:space="preserve">    rbib_styring_2020b: "Styring, A. (2020b, Jun 22). &lt;i&gt;Generating a species accumulation plot in excel for BBS data.&lt;/i&gt; [Video]. YouTube.&lt;a href=\"https://www.youtube.com/watch?reload=9&amp;app=desktop&amp;v=OEWdPm3zg9I" target=\"_blank\"&gt;https://www.youtube.com/watch?reload=9&amp;app=desktop&amp;v=OEWdPm3zg9I&lt;/a&gt;"</v>
      </c>
      <c r="S442" s="65" t="str">
        <f>"    rbib_"&amp;F442&amp;": "&amp;""""&amp;"&lt;div class=\"&amp;""""&amp;"hanging\"&amp;""""&amp;"&gt;"&amp;J442&amp;"&lt;/div&gt;"&amp;""""</f>
        <v xml:space="preserve">    rbib_styring_2020b: "&lt;div class=\"hanging\"&gt;Styring, A. (2020b, Jun 22). *Generating a species accumulation plot in excel for BBS data.* [Video]. YouTube. &lt;https://www.youtube.com/watch?reload=9&amp;app=desktop&amp;v=OEWdPm3zg9I&gt;&lt;/div&gt;"</v>
      </c>
      <c r="T442" s="65"/>
    </row>
    <row r="443" spans="1:20" ht="15.75">
      <c r="A443" s="65"/>
      <c r="B443" s="155" t="b">
        <v>0</v>
      </c>
      <c r="C443" s="155" t="b">
        <v>0</v>
      </c>
      <c r="D443" s="155" t="b">
        <v>1</v>
      </c>
      <c r="E443" s="65" t="s">
        <v>1904</v>
      </c>
      <c r="F443" s="65" t="s">
        <v>2173</v>
      </c>
      <c r="G443" s="65" t="s">
        <v>2172</v>
      </c>
      <c r="H443" s="65" t="s">
        <v>2172</v>
      </c>
      <c r="I443" s="65" t="b">
        <v>1</v>
      </c>
      <c r="J443" s="65" t="s">
        <v>2171</v>
      </c>
      <c r="K443" s="65" t="s">
        <v>5202</v>
      </c>
      <c r="L443" s="65" t="s">
        <v>2170</v>
      </c>
      <c r="M443" s="65" t="s">
        <v>984</v>
      </c>
      <c r="N443" s="65" t="str">
        <f>"&lt;div class="&amp;""""&amp;"hanging"&amp;""""&amp;"&gt;"&amp;K443&amp;"&lt;a href="&amp;""""&amp;L443&amp;""""&amp;" target="&amp;""""&amp;"_blank"&amp;""""&amp;"&gt;"&amp;L443&amp;"&lt;/a&gt;&lt;span style="&amp;""""&amp;"color:white"&amp;""""&amp;"&gt;[.]{#"&amp;F443&amp;"}}&lt;/span&gt;&lt;/div&gt;&lt;br&gt;"</f>
        <v>&lt;div class="hanging"&gt;Suárez-Tangil, B. D., &amp; Rodríguez, A. (2017). Detection of Iberian terrestrial mammals employing olfactory, visual and auditory attractants. &lt;i&gt;European Journal of Wildlife Research, 63&lt;/i&gt;(6).&lt;a href="https://doi.org/10.1007/s10344-017-1150-1" target="_blank"&gt;https://doi.org/10.1007/s10344-017-1150-1&lt;/a&gt;&lt;span style="color:white"&gt;[.]{#suarez_tangil_et_al_2017}}&lt;/span&gt;&lt;/div&gt;&lt;br&gt;</v>
      </c>
      <c r="O443" s="65" t="str">
        <f>"{{ rtxt_"&amp;F443&amp;" }}"</f>
        <v>{{ rtxt_suarez_tangil_et_al_2017 }}</v>
      </c>
      <c r="P443" s="65" t="str">
        <f>"{{ rbib_"&amp;F443&amp;" }}"</f>
        <v>{{ rbib_suarez_tangil_et_al_2017 }}</v>
      </c>
      <c r="Q443" s="65" t="str">
        <f>"    rtxt_"&amp;F443&amp;": "&amp;""""&amp;"&lt;a href=\"&amp;""""&amp;"/08_references.html#"&amp;F443&amp;"\"&amp;""""&amp;" target=\"&amp;""""&amp;"_blank\"&amp;""""&amp;"&gt;"&amp;G443&amp;"&lt;/a&gt;"&amp;""""</f>
        <v xml:space="preserve">    rtxt_suarez_tangil_et_al_2017: "&lt;a href=\"/08_references.html#suarez_tangil_et_al_2017\" target=\"_blank\"&gt;Suárez-Tangil et al., 2017&lt;/a&gt;"</v>
      </c>
      <c r="R443" s="65" t="str">
        <f>"    rbib_"&amp;F443&amp;": "&amp;""""&amp;K443&amp;"&lt;a href=\"&amp;""""&amp;L443&amp;""""&amp;" target=\"&amp;""""&amp;"_blank\"&amp;""""&amp;"&gt;"&amp;L443&amp;"&lt;/a&gt;"&amp;""""</f>
        <v xml:space="preserve">    rbib_suarez_tangil_et_al_2017: "Suárez-Tangil, B. D., &amp; Rodríguez, A. (2017). Detection of Iberian terrestrial mammals employing olfactory, visual and auditory attractants. &lt;i&gt;European Journal of Wildlife Research, 63&lt;/i&gt;(6).&lt;a href=\"https://doi.org/10.1007/s10344-017-1150-1" target=\"_blank\"&gt;https://doi.org/10.1007/s10344-017-1150-1&lt;/a&gt;"</v>
      </c>
      <c r="S443" s="65" t="str">
        <f>"    rbib_"&amp;F443&amp;": "&amp;""""&amp;"&lt;div class=\"&amp;""""&amp;"hanging\"&amp;""""&amp;"&gt;"&amp;J443&amp;"&lt;/div&gt;"&amp;""""</f>
        <v xml:space="preserve">    rbib_suarez_tangil_et_al_2017: "&lt;div class=\"hanging\"&gt;Suárez-Tangil, B. D., &amp; Rodríguez, A. (2017). Detection of Iberian terrestrial mammals employing olfactory, visual and auditory attractants. *European Journal of Wildlife Research, 63*(6). &lt;https://doi.org/10.1007/s10344-017-1150-1&gt;&lt;/div&gt;"</v>
      </c>
      <c r="T443" s="65"/>
    </row>
    <row r="444" spans="1:20" ht="15.75">
      <c r="A444" s="65"/>
      <c r="B444" s="155" t="b">
        <v>1</v>
      </c>
      <c r="C444" s="155" t="b">
        <v>0</v>
      </c>
      <c r="D444" s="155" t="b">
        <v>0</v>
      </c>
      <c r="E444" s="65" t="s">
        <v>1904</v>
      </c>
      <c r="F444" s="65" t="s">
        <v>2169</v>
      </c>
      <c r="G444" s="65" t="s">
        <v>2168</v>
      </c>
      <c r="H444" s="65" t="s">
        <v>2167</v>
      </c>
      <c r="I444" s="65" t="b">
        <v>1</v>
      </c>
      <c r="J444" s="65" t="s">
        <v>2166</v>
      </c>
      <c r="K444" s="65" t="s">
        <v>5359</v>
      </c>
      <c r="L444" s="65" t="s">
        <v>2165</v>
      </c>
      <c r="M444" s="65" t="s">
        <v>984</v>
      </c>
      <c r="N444" s="65" t="str">
        <f>"&lt;div class="&amp;""""&amp;"hanging"&amp;""""&amp;"&gt;"&amp;K444&amp;"&lt;a href="&amp;""""&amp;L444&amp;""""&amp;" target="&amp;""""&amp;"_blank"&amp;""""&amp;"&gt;"&amp;L444&amp;"&lt;/a&gt;&lt;span style="&amp;""""&amp;"color:white"&amp;""""&amp;"&gt;[.]{#"&amp;F444&amp;"}}&lt;/span&gt;&lt;/div&gt;&lt;br&gt;"</f>
        <v>&lt;div class="hanging"&gt;Sun, C. C., Fuller, A. K., &amp; Royle., J. A. (2014). Trap Configuration and Spacing Influences Parameter Estimates in Spatial Capture-Recapture Models. &lt;i&gt;PLoS One, 9&lt;/i&gt;(2): e88025.&lt;a href="https://doi.org/10.1371/journal.pone.0088025" target="_blank"&gt;https://doi.org/10.1371/journal.pone.0088025&lt;/a&gt;&lt;span style="color:white"&gt;[.]{#sun_et_al_2014}}&lt;/span&gt;&lt;/div&gt;&lt;br&gt;</v>
      </c>
      <c r="O444" s="65" t="str">
        <f>"{{ rtxt_"&amp;F444&amp;" }}"</f>
        <v>{{ rtxt_sun_et_al_2014 }}</v>
      </c>
      <c r="P444" s="65" t="str">
        <f>"{{ rbib_"&amp;F444&amp;" }}"</f>
        <v>{{ rbib_sun_et_al_2014 }}</v>
      </c>
      <c r="Q444" s="65" t="str">
        <f>"    rtxt_"&amp;F444&amp;": "&amp;""""&amp;"&lt;a href=\"&amp;""""&amp;"/08_references.html#"&amp;F444&amp;"\"&amp;""""&amp;" target=\"&amp;""""&amp;"_blank\"&amp;""""&amp;"&gt;"&amp;G444&amp;"&lt;/a&gt;"&amp;""""</f>
        <v xml:space="preserve">    rtxt_sun_et_al_2014: "&lt;a href=\"/08_references.html#sun_et_al_2014\" target=\"_blank\"&gt;Sun et al., 2014&lt;/a&gt;"</v>
      </c>
      <c r="R444" s="65" t="str">
        <f>"    rbib_"&amp;F444&amp;": "&amp;""""&amp;K444&amp;"&lt;a href=\"&amp;""""&amp;L444&amp;""""&amp;" target=\"&amp;""""&amp;"_blank\"&amp;""""&amp;"&gt;"&amp;L444&amp;"&lt;/a&gt;"&amp;""""</f>
        <v xml:space="preserve">    rbib_sun_et_al_2014: "Sun, C. C., Fuller, A. K., &amp; Royle., J. A. (2014). Trap Configuration and Spacing Influences Parameter Estimates in Spatial Capture-Recapture Models. &lt;i&gt;PLoS One, 9&lt;/i&gt;(2): e88025.&lt;a href=\"https://doi.org/10.1371/journal.pone.0088025" target=\"_blank\"&gt;https://doi.org/10.1371/journal.pone.0088025&lt;/a&gt;"</v>
      </c>
      <c r="S444" s="65" t="str">
        <f>"    rbib_"&amp;F444&amp;": "&amp;""""&amp;"&lt;div class=\"&amp;""""&amp;"hanging\"&amp;""""&amp;"&gt;"&amp;J444&amp;"&lt;/div&gt;"&amp;""""</f>
        <v xml:space="preserve">    rbib_sun_et_al_2014: "&lt;div class=\"hanging\"&gt;Sun, C. C., Fuller, A. K., &amp; Royle., J. A. (2014). Trap Configuration and Spacing Influences Parameter Estimates in Spatial Capture-Recapture Models. *PLoS One, 9*(2): e88025. &lt;https://doi.org/10.1371/journal.pone.0088025&gt;&lt;/div&gt;"</v>
      </c>
      <c r="T444" s="65"/>
    </row>
    <row r="445" spans="1:20" ht="15.75">
      <c r="A445" s="65"/>
      <c r="B445" s="155" t="b">
        <v>1</v>
      </c>
      <c r="C445" s="155" t="b">
        <v>1</v>
      </c>
      <c r="D445" s="155" t="b">
        <v>0</v>
      </c>
      <c r="E445" s="65" t="s">
        <v>1904</v>
      </c>
      <c r="F445" s="65" t="s">
        <v>2164</v>
      </c>
      <c r="G445" s="65" t="s">
        <v>2163</v>
      </c>
      <c r="H445" s="65" t="s">
        <v>2163</v>
      </c>
      <c r="I445" s="65" t="b">
        <v>1</v>
      </c>
      <c r="J445" s="65" t="s">
        <v>2162</v>
      </c>
      <c r="K445" s="65" t="s">
        <v>5169</v>
      </c>
      <c r="L445" s="65" t="s">
        <v>2161</v>
      </c>
      <c r="M445" s="65" t="s">
        <v>984</v>
      </c>
      <c r="N445" s="65" t="str">
        <f>"&lt;div class="&amp;""""&amp;"hanging"&amp;""""&amp;"&gt;"&amp;K445&amp;"&lt;a href="&amp;""""&amp;L445&amp;""""&amp;" target="&amp;""""&amp;"_blank"&amp;""""&amp;"&gt;"&amp;L445&amp;"&lt;/a&gt;&lt;span style="&amp;""""&amp;"color:white"&amp;""""&amp;"&gt;[.]{#"&amp;F445&amp;"}}&lt;/span&gt;&lt;/div&gt;&lt;br&gt;"</f>
        <v>&lt;div class="hanging"&gt;Sun, C., Beirne, C., Burgar, J. M., Howey, T., Fisher, J. T., Burton, A. C., Rowcliffe, M., &amp; Hofmeester, T. (2021). Simultaneous Monitoring of Vegetation Dynamics and Wildlife Activity with Camera Traps to Assess Habitat Change. &lt;i&gt;Remote Sensing in Ecology and Conservation, 7&lt;/i&gt;(4), 666-684.&lt;a href="https://doi.org/10.1002/rse2.222" target="_blank"&gt;https://doi.org/10.1002/rse2.222&lt;/a&gt;&lt;span style="color:white"&gt;[.]{#sun_et_al_2021}}&lt;/span&gt;&lt;/div&gt;&lt;br&gt;</v>
      </c>
      <c r="O445" s="65" t="str">
        <f>"{{ rtxt_"&amp;F445&amp;" }}"</f>
        <v>{{ rtxt_sun_et_al_2021 }}</v>
      </c>
      <c r="P445" s="65" t="str">
        <f>"{{ rbib_"&amp;F445&amp;" }}"</f>
        <v>{{ rbib_sun_et_al_2021 }}</v>
      </c>
      <c r="Q445" s="65" t="str">
        <f>"    rtxt_"&amp;F445&amp;": "&amp;""""&amp;"&lt;a href=\"&amp;""""&amp;"/08_references.html#"&amp;F445&amp;"\"&amp;""""&amp;" target=\"&amp;""""&amp;"_blank\"&amp;""""&amp;"&gt;"&amp;G445&amp;"&lt;/a&gt;"&amp;""""</f>
        <v xml:space="preserve">    rtxt_sun_et_al_2021: "&lt;a href=\"/08_references.html#sun_et_al_2021\" target=\"_blank\"&gt;Sun et al., 2021&lt;/a&gt;"</v>
      </c>
      <c r="R445" s="65" t="str">
        <f>"    rbib_"&amp;F445&amp;": "&amp;""""&amp;K445&amp;"&lt;a href=\"&amp;""""&amp;L445&amp;""""&amp;" target=\"&amp;""""&amp;"_blank\"&amp;""""&amp;"&gt;"&amp;L445&amp;"&lt;/a&gt;"&amp;""""</f>
        <v xml:space="preserve">    rbib_sun_et_al_2021: "Sun, C., Beirne, C., Burgar, J. M., Howey, T., Fisher, J. T., Burton, A. C., Rowcliffe, M., &amp; Hofmeester, T. (2021). Simultaneous Monitoring of Vegetation Dynamics and Wildlife Activity with Camera Traps to Assess Habitat Change. &lt;i&gt;Remote Sensing in Ecology and Conservation, 7&lt;/i&gt;(4), 666-684.&lt;a href=\"https://doi.org/10.1002/rse2.222" target=\"_blank\"&gt;https://doi.org/10.1002/rse2.222&lt;/a&gt;"</v>
      </c>
      <c r="S445" s="65" t="str">
        <f>"    rbib_"&amp;F445&amp;": "&amp;""""&amp;"&lt;div class=\"&amp;""""&amp;"hanging\"&amp;""""&amp;"&gt;"&amp;J445&amp;"&lt;/div&gt;"&amp;""""</f>
        <v xml:space="preserve">    rbib_sun_et_al_2021: "&lt;div class=\"hanging\"&gt;Sun, C., Beirne, C., Burgar, J. M., Howey, T., Fisher, J. T., Burton, A. C., Rowcliffe, M., &amp; Hofmeester, T. (2021). Simultaneous Monitoring of Vegetation Dynamics and Wildlife Activity with Camera Traps to Assess Habitat Change. *Remote Sensing in Ecology and Conservation, 7*(4), 666-684. &lt;https://doi.org/10.1002/rse2.222&gt;&lt;/div&gt;"</v>
      </c>
      <c r="T445" s="65"/>
    </row>
    <row r="446" spans="1:20" ht="15.75">
      <c r="A446" s="65"/>
      <c r="B446" s="155" t="b">
        <v>1</v>
      </c>
      <c r="C446" s="155" t="b">
        <v>0</v>
      </c>
      <c r="D446" s="155" t="b">
        <v>0</v>
      </c>
      <c r="E446" s="65" t="s">
        <v>1939</v>
      </c>
      <c r="F446" s="65" t="s">
        <v>2160</v>
      </c>
      <c r="G446" s="65" t="s">
        <v>2159</v>
      </c>
      <c r="H446" s="65" t="s">
        <v>2159</v>
      </c>
      <c r="I446" s="65" t="b">
        <v>1</v>
      </c>
      <c r="J446" s="65" t="s">
        <v>2158</v>
      </c>
      <c r="K446" s="65" t="s">
        <v>5239</v>
      </c>
      <c r="L446" s="65" t="s">
        <v>2157</v>
      </c>
      <c r="M446" s="65" t="s">
        <v>984</v>
      </c>
      <c r="N446" s="65" t="str">
        <f>"&lt;div class="&amp;""""&amp;"hanging"&amp;""""&amp;"&gt;"&amp;K446&amp;"&lt;a href="&amp;""""&amp;L446&amp;""""&amp;" target="&amp;""""&amp;"_blank"&amp;""""&amp;"&gt;"&amp;L446&amp;"&lt;/a&gt;&lt;span style="&amp;""""&amp;"color:white"&amp;""""&amp;"&gt;[.]{#"&amp;F446&amp;"}}&lt;/span&gt;&lt;/div&gt;&lt;br&gt;"</f>
        <v>&lt;div class="hanging"&gt;Sun, C., Burgar, J. M., Fisher, J. T., &amp; Burton, A. C. (2022). A Cautionary Tale Comparing Spatial Count and Partial Identity Models for Estimating Densities of Threatened and Unmarked Populations. &lt;i&gt;Global Ecology and Conservation, 38&lt;/i&gt;, e02268.&lt;a href="https://doi.org/10.1016/j.gecco.2022.e02268" target="_blank"&gt;https://doi.org/10.1016/j.gecco.2022.e02268&lt;/a&gt;&lt;span style="color:white"&gt;[.]{#sun_et_al_2022}}&lt;/span&gt;&lt;/div&gt;&lt;br&gt;</v>
      </c>
      <c r="O446" s="65" t="str">
        <f>"{{ rtxt_"&amp;F446&amp;" }}"</f>
        <v>{{ rtxt_sun_et_al_2022 }}</v>
      </c>
      <c r="P446" s="65" t="str">
        <f>"{{ rbib_"&amp;F446&amp;" }}"</f>
        <v>{{ rbib_sun_et_al_2022 }}</v>
      </c>
      <c r="Q446" s="65" t="str">
        <f>"    rtxt_"&amp;F446&amp;": "&amp;""""&amp;"&lt;a href=\"&amp;""""&amp;"/08_references.html#"&amp;F446&amp;"\"&amp;""""&amp;" target=\"&amp;""""&amp;"_blank\"&amp;""""&amp;"&gt;"&amp;G446&amp;"&lt;/a&gt;"&amp;""""</f>
        <v xml:space="preserve">    rtxt_sun_et_al_2022: "&lt;a href=\"/08_references.html#sun_et_al_2022\" target=\"_blank\"&gt;Sun et al., 2022&lt;/a&gt;"</v>
      </c>
      <c r="R446" s="65" t="str">
        <f>"    rbib_"&amp;F446&amp;": "&amp;""""&amp;K446&amp;"&lt;a href=\"&amp;""""&amp;L446&amp;""""&amp;" target=\"&amp;""""&amp;"_blank\"&amp;""""&amp;"&gt;"&amp;L446&amp;"&lt;/a&gt;"&amp;""""</f>
        <v xml:space="preserve">    rbib_sun_et_al_2022: "Sun, C., Burgar, J. M., Fisher, J. T., &amp; Burton, A. C. (2022). A Cautionary Tale Comparing Spatial Count and Partial Identity Models for Estimating Densities of Threatened and Unmarked Populations. &lt;i&gt;Global Ecology and Conservation, 38&lt;/i&gt;, e02268.&lt;a href=\"https://doi.org/10.1016/j.gecco.2022.e02268" target=\"_blank\"&gt;https://doi.org/10.1016/j.gecco.2022.e02268&lt;/a&gt;"</v>
      </c>
      <c r="S446" s="65" t="str">
        <f>"    rbib_"&amp;F446&amp;": "&amp;""""&amp;"&lt;div class=\"&amp;""""&amp;"hanging\"&amp;""""&amp;"&gt;"&amp;J446&amp;"&lt;/div&gt;"&amp;""""</f>
        <v xml:space="preserve">    rbib_sun_et_al_2022: "&lt;div class=\"hanging\"&gt;Sun, C., Burgar, J. M., Fisher, J. T., &amp; Burton, A. C. (2022). A Cautionary Tale Comparing Spatial Count and Partial Identity Models for Estimating Densities of Threatened and Unmarked Populations. *Global Ecology and Conservation, 38*, e02268. &lt;https://doi.org/10.1016/j.gecco.2022.e02268&gt;&lt;/div&gt;"</v>
      </c>
      <c r="T446" s="65"/>
    </row>
    <row r="447" spans="1:20" ht="15.75">
      <c r="A447" s="65"/>
      <c r="B447" s="155"/>
      <c r="C447" s="155"/>
      <c r="D447" s="155"/>
      <c r="E447" s="65" t="s">
        <v>1904</v>
      </c>
      <c r="F447" s="65" t="s">
        <v>2156</v>
      </c>
      <c r="G447" s="65" t="s">
        <v>2155</v>
      </c>
      <c r="H447" s="65" t="s">
        <v>2154</v>
      </c>
      <c r="I447" s="65" t="b">
        <v>1</v>
      </c>
      <c r="J447" s="65" t="s">
        <v>2153</v>
      </c>
      <c r="K447" s="65" t="s">
        <v>5312</v>
      </c>
      <c r="L447" s="65" t="s">
        <v>2152</v>
      </c>
      <c r="M447" s="65" t="s">
        <v>984</v>
      </c>
      <c r="N447" s="65" t="str">
        <f>"&lt;div class="&amp;""""&amp;"hanging"&amp;""""&amp;"&gt;"&amp;K447&amp;"&lt;a href="&amp;""""&amp;L447&amp;""""&amp;" target="&amp;""""&amp;"_blank"&amp;""""&amp;"&gt;"&amp;L447&amp;"&lt;/a&gt;&lt;span style="&amp;""""&amp;"color:white"&amp;""""&amp;"&gt;[.]{#"&amp;F447&amp;"}}&lt;/span&gt;&lt;/div&gt;&lt;br&gt;"</f>
        <v>&lt;div class="hanging"&gt;Sutherland, C., Royle, J. A., &amp; Linden, D. W. (2019). oSCR: A spatial capture-recapture R package for inference about spatial ecological processes. &lt;i&gt;Ecography, 42&lt;/i&gt;(9), 1459-1469.&lt;a href="https://doi.org/10.1111/ecog.04551" target="_blank"&gt;https://doi.org/10.1111/ecog.04551&lt;/a&gt;&lt;span style="color:white"&gt;[.]{#sutherland_et_al_2019}}&lt;/span&gt;&lt;/div&gt;&lt;br&gt;</v>
      </c>
      <c r="O447" s="65" t="str">
        <f>"{{ rtxt_"&amp;F447&amp;" }}"</f>
        <v>{{ rtxt_sutherland_et_al_2019 }}</v>
      </c>
      <c r="P447" s="65" t="str">
        <f>"{{ rbib_"&amp;F447&amp;" }}"</f>
        <v>{{ rbib_sutherland_et_al_2019 }}</v>
      </c>
      <c r="Q447" s="65" t="str">
        <f>"    rtxt_"&amp;F447&amp;": "&amp;""""&amp;"&lt;a href=\"&amp;""""&amp;"/08_references.html#"&amp;F447&amp;"\"&amp;""""&amp;" target=\"&amp;""""&amp;"_blank\"&amp;""""&amp;"&gt;"&amp;G447&amp;"&lt;/a&gt;"&amp;""""</f>
        <v xml:space="preserve">    rtxt_sutherland_et_al_2019: "&lt;a href=\"/08_references.html#sutherland_et_al_2019\" target=\"_blank\"&gt;Sutherland et al., 2019&lt;/a&gt;"</v>
      </c>
      <c r="R447" s="65" t="str">
        <f>"    rbib_"&amp;F447&amp;": "&amp;""""&amp;K447&amp;"&lt;a href=\"&amp;""""&amp;L447&amp;""""&amp;" target=\"&amp;""""&amp;"_blank\"&amp;""""&amp;"&gt;"&amp;L447&amp;"&lt;/a&gt;"&amp;""""</f>
        <v xml:space="preserve">    rbib_sutherland_et_al_2019: "Sutherland, C., Royle, J. A., &amp; Linden, D. W. (2019). oSCR: A spatial capture-recapture R package for inference about spatial ecological processes. &lt;i&gt;Ecography, 42&lt;/i&gt;(9), 1459-1469.&lt;a href=\"https://doi.org/10.1111/ecog.04551" target=\"_blank\"&gt;https://doi.org/10.1111/ecog.04551&lt;/a&gt;"</v>
      </c>
      <c r="S447" s="65" t="str">
        <f>"    rbib_"&amp;F447&amp;": "&amp;""""&amp;"&lt;div class=\"&amp;""""&amp;"hanging\"&amp;""""&amp;"&gt;"&amp;J447&amp;"&lt;/div&gt;"&amp;""""</f>
        <v xml:space="preserve">    rbib_sutherland_et_al_2019: "&lt;div class=\"hanging\"&gt;Sutherland, C., Royle, J. A., &amp; Linden, D. W. (2019). oSCR: A spatial capture-recapture R package for inference about spatial ecological processes. *Ecography, 42*(9), 1459-1469. &lt;https://doi.org/10.1111/ecog.04551&gt;&lt;/div&gt;"</v>
      </c>
      <c r="T447" s="65"/>
    </row>
    <row r="448" spans="1:20" ht="15.75">
      <c r="A448" s="65"/>
      <c r="B448" s="155" t="b">
        <v>1</v>
      </c>
      <c r="C448" s="155" t="b">
        <v>1</v>
      </c>
      <c r="D448" s="155" t="b">
        <v>0</v>
      </c>
      <c r="E448" s="65" t="s">
        <v>1904</v>
      </c>
      <c r="F448" s="65" t="s">
        <v>2151</v>
      </c>
      <c r="G448" s="65" t="s">
        <v>2150</v>
      </c>
      <c r="H448" s="65" t="s">
        <v>2150</v>
      </c>
      <c r="I448" s="65" t="b">
        <v>1</v>
      </c>
      <c r="J448" s="65" t="s">
        <v>2149</v>
      </c>
      <c r="K448" s="65" t="s">
        <v>5516</v>
      </c>
      <c r="L448" s="65" t="s">
        <v>2148</v>
      </c>
      <c r="M448" s="65" t="s">
        <v>984</v>
      </c>
      <c r="N448" s="65" t="str">
        <f>"&lt;div class="&amp;""""&amp;"hanging"&amp;""""&amp;"&gt;"&amp;K448&amp;"&lt;a href="&amp;""""&amp;L448&amp;""""&amp;" target="&amp;""""&amp;"_blank"&amp;""""&amp;"&gt;"&amp;L448&amp;"&lt;/a&gt;&lt;span style="&amp;""""&amp;"color:white"&amp;""""&amp;"&gt;[.]{#"&amp;F448&amp;"}}&lt;/span&gt;&lt;/div&gt;&lt;br&gt;"</f>
        <v>&lt;div class="hanging"&gt;Suwanrat, S., Ngoprasert, D., Sutherland, C., Suwanwareea, P., Savini, T. (2015). Estimating Density of secretive terrestrial birds (Siamese Fireback) in pristine and degraded forest using camera traps and distance sampling. &lt;i&gt;Global Ecology and Conservation, 3&lt;/i&gt;, 596-606.&lt;a href="https://www.sciencedirect.com/science/article/pii/S2351989415000116" target="_blank"&gt;https://www.sciencedirect.com/science/article/pii/S2351989415000116&lt;/a&gt;&lt;span style="color:white"&gt;[.]{#suwanrat_et_al_2015}}&lt;/span&gt;&lt;/div&gt;&lt;br&gt;</v>
      </c>
      <c r="O448" s="65" t="str">
        <f>"{{ rtxt_"&amp;F448&amp;" }}"</f>
        <v>{{ rtxt_suwanrat_et_al_2015 }}</v>
      </c>
      <c r="P448" s="65" t="str">
        <f>"{{ rbib_"&amp;F448&amp;" }}"</f>
        <v>{{ rbib_suwanrat_et_al_2015 }}</v>
      </c>
      <c r="Q448" s="65" t="str">
        <f>"    rtxt_"&amp;F448&amp;": "&amp;""""&amp;"&lt;a href=\"&amp;""""&amp;"/08_references.html#"&amp;F448&amp;"\"&amp;""""&amp;" target=\"&amp;""""&amp;"_blank\"&amp;""""&amp;"&gt;"&amp;G448&amp;"&lt;/a&gt;"&amp;""""</f>
        <v xml:space="preserve">    rtxt_suwanrat_et_al_2015: "&lt;a href=\"/08_references.html#suwanrat_et_al_2015\" target=\"_blank\"&gt;Suwanrat et al., 2015&lt;/a&gt;"</v>
      </c>
      <c r="R448" s="65" t="str">
        <f>"    rbib_"&amp;F448&amp;": "&amp;""""&amp;K448&amp;"&lt;a href=\"&amp;""""&amp;L448&amp;""""&amp;" target=\"&amp;""""&amp;"_blank\"&amp;""""&amp;"&gt;"&amp;L448&amp;"&lt;/a&gt;"&amp;""""</f>
        <v xml:space="preserve">    rbib_suwanrat_et_al_2015: "Suwanrat, S., Ngoprasert, D., Sutherland, C., Suwanwareea, P., Savini, T. (2015). Estimating Density of secretive terrestrial birds (Siamese Fireback) in pristine and degraded forest using camera traps and distance sampling. &lt;i&gt;Global Ecology and Conservation, 3&lt;/i&gt;, 596-606.&lt;a href=\"https://www.sciencedirect.com/science/article/pii/S2351989415000116" target=\"_blank\"&gt;https://www.sciencedirect.com/science/article/pii/S2351989415000116&lt;/a&gt;"</v>
      </c>
      <c r="S448" s="65" t="str">
        <f>"    rbib_"&amp;F448&amp;": "&amp;""""&amp;"&lt;div class=\"&amp;""""&amp;"hanging\"&amp;""""&amp;"&gt;"&amp;J448&amp;"&lt;/div&gt;"&amp;""""</f>
        <v xml:space="preserve">    rbib_suwanrat_et_al_2015: "&lt;div class=\"hanging\"&gt;Suwanrat, S., Ngoprasert, D., Sutherland, C., Suwanwareea, P., Savini, T. (2015). Estimating Density of secretive terrestrial birds (Siamese Fireback) in pristine and degraded forest using camera traps and distance sampling. *Global Ecology and Conservation, 3*, 596-606. &lt;https://www.sciencedirect.com/science/article/pii/S2351989415000116&gt;&lt;/div&gt;"</v>
      </c>
      <c r="T448" s="65"/>
    </row>
    <row r="449" spans="1:20" ht="15.75">
      <c r="A449" s="65"/>
      <c r="B449" s="155" t="b">
        <v>1</v>
      </c>
      <c r="C449" s="155" t="b">
        <v>0</v>
      </c>
      <c r="D449" s="155" t="b">
        <v>0</v>
      </c>
      <c r="E449" s="65" t="s">
        <v>1904</v>
      </c>
      <c r="F449" s="65" t="s">
        <v>2147</v>
      </c>
      <c r="G449" s="65" t="s">
        <v>2146</v>
      </c>
      <c r="H449" s="65" t="s">
        <v>2146</v>
      </c>
      <c r="I449" s="65" t="b">
        <v>1</v>
      </c>
      <c r="J449" s="65" t="s">
        <v>2145</v>
      </c>
      <c r="K449" s="65" t="s">
        <v>5292</v>
      </c>
      <c r="L449" s="65" t="s">
        <v>2144</v>
      </c>
      <c r="M449" s="65" t="s">
        <v>984</v>
      </c>
      <c r="N449" s="65" t="str">
        <f>"&lt;div class="&amp;""""&amp;"hanging"&amp;""""&amp;"&gt;"&amp;K449&amp;"&lt;a href="&amp;""""&amp;L449&amp;""""&amp;" target="&amp;""""&amp;"_blank"&amp;""""&amp;"&gt;"&amp;L449&amp;"&lt;/a&gt;&lt;span style="&amp;""""&amp;"color:white"&amp;""""&amp;"&gt;[.]{#"&amp;F449&amp;"}}&lt;/span&gt;&lt;/div&gt;&lt;br&gt;"</f>
        <v>&lt;div class="hanging"&gt;Tabak, M. A., Norouzzadeh, M. S., Wolfson, D. W., Sweeney, S. J., Vercauteren, K. C., Snow, N. P., Halseth, J. M., Di Salvo, P. A., Lewis, J. S., White, M. D., Teton, B., Beasley, J. C., Schlichting, P. E., Boughton, R. K., Wight, B., Newkirk, E. S., Ivan, J. S., Odell, E. A., Brook, R. K., . . . Photopoulou, T. (2018). Machine Learning to Classify Animal Species in Camera Trap Images: Applications in Ecology. &lt;i&gt;Methods in Ecology and Evolution, 10&lt;/i&gt;(4), 585-590.&lt;a href="https://doi.org/10.1111/2041-210x.13120" target="_blank"&gt;https://doi.org/10.1111/2041-210x.13120&lt;/a&gt;&lt;span style="color:white"&gt;[.]{#tabak_et_al_2018}}&lt;/span&gt;&lt;/div&gt;&lt;br&gt;</v>
      </c>
      <c r="O449" s="65" t="str">
        <f>"{{ rtxt_"&amp;F449&amp;" }}"</f>
        <v>{{ rtxt_tabak_et_al_2018 }}</v>
      </c>
      <c r="P449" s="65" t="str">
        <f>"{{ rbib_"&amp;F449&amp;" }}"</f>
        <v>{{ rbib_tabak_et_al_2018 }}</v>
      </c>
      <c r="Q449" s="65" t="str">
        <f>"    rtxt_"&amp;F449&amp;": "&amp;""""&amp;"&lt;a href=\"&amp;""""&amp;"/08_references.html#"&amp;F449&amp;"\"&amp;""""&amp;" target=\"&amp;""""&amp;"_blank\"&amp;""""&amp;"&gt;"&amp;G449&amp;"&lt;/a&gt;"&amp;""""</f>
        <v xml:space="preserve">    rtxt_tabak_et_al_2018: "&lt;a href=\"/08_references.html#tabak_et_al_2018\" target=\"_blank\"&gt;Tabak et al., 2018&lt;/a&gt;"</v>
      </c>
      <c r="R449" s="65" t="str">
        <f>"    rbib_"&amp;F449&amp;": "&amp;""""&amp;K449&amp;"&lt;a href=\"&amp;""""&amp;L449&amp;""""&amp;" target=\"&amp;""""&amp;"_blank\"&amp;""""&amp;"&gt;"&amp;L449&amp;"&lt;/a&gt;"&amp;""""</f>
        <v xml:space="preserve">    rbib_tabak_et_al_2018: "Tabak, M. A., Norouzzadeh, M. S., Wolfson, D. W., Sweeney, S. J., Vercauteren, K. C., Snow, N. P., Halseth, J. M., Di Salvo, P. A., Lewis, J. S., White, M. D., Teton, B., Beasley, J. C., Schlichting, P. E., Boughton, R. K., Wight, B., Newkirk, E. S., Ivan, J. S., Odell, E. A., Brook, R. K., . . . Photopoulou, T. (2018). Machine Learning to Classify Animal Species in Camera Trap Images: Applications in Ecology. &lt;i&gt;Methods in Ecology and Evolution, 10&lt;/i&gt;(4), 585-590.&lt;a href=\"https://doi.org/10.1111/2041-210x.13120" target=\"_blank\"&gt;https://doi.org/10.1111/2041-210x.13120&lt;/a&gt;"</v>
      </c>
      <c r="S449" s="65" t="str">
        <f>"    rbib_"&amp;F449&amp;": "&amp;""""&amp;"&lt;div class=\"&amp;""""&amp;"hanging\"&amp;""""&amp;"&gt;"&amp;J449&amp;"&lt;/div&gt;"&amp;""""</f>
        <v xml:space="preserve">    rbib_tabak_et_al_2018: "&lt;div class=\"hanging\"&gt;Tabak, M. A., Norouzzadeh, M. S., Wolfson, D. W., Sweeney, S. J., Vercauteren, K. C., Snow, N. P., Halseth, J. M., Di Salvo, P. A., Lewis, J. S., White, M. D., Teton, B., Beasley, J. C., Schlichting, P. E., Boughton, R. K., Wight, B., Newkirk, E. S., Ivan, J. S., Odell, E. A., Brook, R. K., . . . Photopoulou, T. (2018). Machine Learning to Classify Animal Species in Camera Trap Images: Applications in Ecology. *Methods in Ecology and Evolution, 10*(4), 585-590. &lt;https://doi.org/10.1111/2041-210x.13120&gt;&lt;/div&gt;"</v>
      </c>
      <c r="T449" s="65"/>
    </row>
    <row r="450" spans="1:20" ht="15.75">
      <c r="A450" s="65"/>
      <c r="B450" s="155"/>
      <c r="C450" s="155"/>
      <c r="D450" s="155" t="s">
        <v>1993</v>
      </c>
      <c r="E450" s="65" t="s">
        <v>1904</v>
      </c>
      <c r="F450" s="65" t="s">
        <v>2143</v>
      </c>
      <c r="G450" s="65" t="s">
        <v>2142</v>
      </c>
      <c r="H450" s="65" t="s">
        <v>2141</v>
      </c>
      <c r="I450" s="65" t="b">
        <v>1</v>
      </c>
      <c r="J450" s="65" t="s">
        <v>2140</v>
      </c>
      <c r="K450" s="65" t="s">
        <v>5250</v>
      </c>
      <c r="L450" s="65" t="s">
        <v>2139</v>
      </c>
      <c r="M450" s="65" t="s">
        <v>984</v>
      </c>
      <c r="N450" s="65" t="str">
        <f>"&lt;div class="&amp;""""&amp;"hanging"&amp;""""&amp;"&gt;"&amp;K450&amp;"&lt;a href="&amp;""""&amp;L450&amp;""""&amp;" target="&amp;""""&amp;"_blank"&amp;""""&amp;"&gt;"&amp;L450&amp;"&lt;/a&gt;&lt;span style="&amp;""""&amp;"color:white"&amp;""""&amp;"&gt;[.]{#"&amp;F450&amp;"}}&lt;/span&gt;&lt;/div&gt;&lt;br&gt;"</f>
        <v>&lt;div class="hanging"&gt;Tanwar, K. S., Sadhu, A., &amp; Jhala, Y. V. (2021). Camera trap placement for evaluating species richness, abundance, and activity. &lt;i&gt;Scientific Reports, 11&lt;/i&gt;(1), 23050.&lt;a href="https://doi.org/10.1038/s41598-021-02459-w" target="_blank"&gt;https://doi.org/10.1038/s41598-021-02459-w&lt;/a&gt;&lt;span style="color:white"&gt;[.]{#tanwar_et_al_2021}}&lt;/span&gt;&lt;/div&gt;&lt;br&gt;</v>
      </c>
      <c r="O450" s="65" t="str">
        <f>"{{ rtxt_"&amp;F450&amp;" }}"</f>
        <v>{{ rtxt_tanwar_et_al_2021 }}</v>
      </c>
      <c r="P450" s="65" t="str">
        <f>"{{ rbib_"&amp;F450&amp;" }}"</f>
        <v>{{ rbib_tanwar_et_al_2021 }}</v>
      </c>
      <c r="Q450" s="65" t="str">
        <f>"    rtxt_"&amp;F450&amp;": "&amp;""""&amp;"&lt;a href=\"&amp;""""&amp;"/08_references.html#"&amp;F450&amp;"\"&amp;""""&amp;" target=\"&amp;""""&amp;"_blank\"&amp;""""&amp;"&gt;"&amp;G450&amp;"&lt;/a&gt;"&amp;""""</f>
        <v xml:space="preserve">    rtxt_tanwar_et_al_2021: "&lt;a href=\"/08_references.html#tanwar_et_al_2021\" target=\"_blank\"&gt;Tanwar et al., 2021&lt;/a&gt;"</v>
      </c>
      <c r="R450" s="65" t="str">
        <f>"    rbib_"&amp;F450&amp;": "&amp;""""&amp;K450&amp;"&lt;a href=\"&amp;""""&amp;L450&amp;""""&amp;" target=\"&amp;""""&amp;"_blank\"&amp;""""&amp;"&gt;"&amp;L450&amp;"&lt;/a&gt;"&amp;""""</f>
        <v xml:space="preserve">    rbib_tanwar_et_al_2021: "Tanwar, K. S., Sadhu, A., &amp; Jhala, Y. V. (2021). Camera trap placement for evaluating species richness, abundance, and activity. &lt;i&gt;Scientific Reports, 11&lt;/i&gt;(1), 23050.&lt;a href=\"https://doi.org/10.1038/s41598-021-02459-w" target=\"_blank\"&gt;https://doi.org/10.1038/s41598-021-02459-w&lt;/a&gt;"</v>
      </c>
      <c r="S450" s="65" t="str">
        <f>"    rbib_"&amp;F450&amp;": "&amp;""""&amp;"&lt;div class=\"&amp;""""&amp;"hanging\"&amp;""""&amp;"&gt;"&amp;J450&amp;"&lt;/div&gt;"&amp;""""</f>
        <v xml:space="preserve">    rbib_tanwar_et_al_2021: "&lt;div class=\"hanging\"&gt;Tanwar, K. S., Sadhu, A., &amp; Jhala, Y. V. (2021). Camera trap placement for evaluating species richness, abundance, and activity. *Scientific Reports, 11*(1), 23050. &lt;https://doi.org/10.1038/s41598-021-02459-w&gt;&lt;/div&gt;"</v>
      </c>
      <c r="T450" s="65"/>
    </row>
    <row r="451" spans="1:20" ht="15.75">
      <c r="A451" s="65"/>
      <c r="B451" s="155" t="b">
        <v>1</v>
      </c>
      <c r="C451" s="155" t="b">
        <v>0</v>
      </c>
      <c r="D451" s="155" t="b">
        <v>0</v>
      </c>
      <c r="E451" s="65" t="s">
        <v>1950</v>
      </c>
      <c r="F451" s="65" t="s">
        <v>1949</v>
      </c>
      <c r="G451" s="65" t="s">
        <v>1948</v>
      </c>
      <c r="H451" s="65" t="s">
        <v>1948</v>
      </c>
      <c r="I451" s="65" t="b">
        <v>1</v>
      </c>
      <c r="J451" s="65" t="s">
        <v>1947</v>
      </c>
      <c r="K451" s="65" t="s">
        <v>5517</v>
      </c>
      <c r="L451" s="65" t="s">
        <v>1946</v>
      </c>
      <c r="M451" s="65" t="s">
        <v>984</v>
      </c>
      <c r="N451" s="65" t="str">
        <f>"&lt;div class="&amp;""""&amp;"hanging"&amp;""""&amp;"&gt;"&amp;K451&amp;"&lt;a href="&amp;""""&amp;L451&amp;""""&amp;" target="&amp;""""&amp;"_blank"&amp;""""&amp;"&gt;"&amp;L451&amp;"&lt;/a&gt;&lt;span style="&amp;""""&amp;"color:white"&amp;""""&amp;"&gt;[.]{#"&amp;F451&amp;"}}&lt;/span&gt;&lt;/div&gt;&lt;br&gt;"</f>
        <v>&lt;div class="hanging"&gt;The WILDLABS Partnership (2021). &lt;i&gt;How do I get started with Megadetector?&lt;/i&gt; Siyu Y.&lt;a href="https://www.wildlabs.net/event/how-do-i-get-started-megadetector" target="_blank"&gt;https://www.wildlabs.net/event/how-do-i-get-started-megadetector&lt;/a&gt;&lt;span style="color:white"&gt;[.]{#wildlabs_2021}}&lt;/span&gt;&lt;/div&gt;&lt;br&gt;</v>
      </c>
      <c r="O451" s="65" t="str">
        <f>"{{ rtxt_"&amp;F451&amp;" }}"</f>
        <v>{{ rtxt_wildlabs_2021 }}</v>
      </c>
      <c r="P451" s="65" t="str">
        <f>"{{ rbib_"&amp;F451&amp;" }}"</f>
        <v>{{ rbib_wildlabs_2021 }}</v>
      </c>
      <c r="Q451" s="65" t="str">
        <f>"    rtxt_"&amp;F451&amp;": "&amp;""""&amp;"&lt;a href=\"&amp;""""&amp;"/08_references.html#"&amp;F451&amp;"\"&amp;""""&amp;" target=\"&amp;""""&amp;"_blank\"&amp;""""&amp;"&gt;"&amp;G451&amp;"&lt;/a&gt;"&amp;""""</f>
        <v xml:space="preserve">    rtxt_wildlabs_2021: "&lt;a href=\"/08_references.html#wildlabs_2021\" target=\"_blank\"&gt;The WILDLABS Partnership, 2021&lt;/a&gt;"</v>
      </c>
      <c r="R451" s="65" t="str">
        <f>"    rbib_"&amp;F451&amp;": "&amp;""""&amp;K451&amp;"&lt;a href=\"&amp;""""&amp;L451&amp;""""&amp;" target=\"&amp;""""&amp;"_blank\"&amp;""""&amp;"&gt;"&amp;L451&amp;"&lt;/a&gt;"&amp;""""</f>
        <v xml:space="preserve">    rbib_wildlabs_2021: "The WILDLABS Partnership (2021). &lt;i&gt;How do I get started with Megadetector?&lt;/i&gt; Siyu Y.&lt;a href=\"https://www.wildlabs.net/event/how-do-i-get-started-megadetector" target=\"_blank\"&gt;https://www.wildlabs.net/event/how-do-i-get-started-megadetector&lt;/a&gt;"</v>
      </c>
      <c r="S451" s="65" t="str">
        <f>"    rbib_"&amp;F451&amp;": "&amp;""""&amp;"&lt;div class=\"&amp;""""&amp;"hanging\"&amp;""""&amp;"&gt;"&amp;J451&amp;"&lt;/div&gt;"&amp;""""</f>
        <v xml:space="preserve">    rbib_wildlabs_2021: "&lt;div class=\"hanging\"&gt;The WILDLABS Partnership (2021). *How do I get started with Megadetector?* Siyu Y. &lt;https://www.wildlabs.net/event/how-do-i-get-started-megadetector&gt;&lt;/div&gt;"</v>
      </c>
      <c r="T451" s="65"/>
    </row>
    <row r="452" spans="1:20" ht="15.75">
      <c r="A452" s="65"/>
      <c r="B452" s="155"/>
      <c r="C452" s="155"/>
      <c r="D452" s="155"/>
      <c r="E452" s="65" t="s">
        <v>1945</v>
      </c>
      <c r="F452" s="65" t="s">
        <v>1944</v>
      </c>
      <c r="G452" s="65" t="s">
        <v>1943</v>
      </c>
      <c r="H452" s="65" t="s">
        <v>1943</v>
      </c>
      <c r="I452" s="65" t="b">
        <v>1</v>
      </c>
      <c r="J452" s="65" t="s">
        <v>1942</v>
      </c>
      <c r="K452" s="65" t="s">
        <v>5534</v>
      </c>
      <c r="L452" s="65" t="s">
        <v>1940</v>
      </c>
      <c r="M452" s="65" t="s">
        <v>1941</v>
      </c>
      <c r="N452" s="65" t="str">
        <f>"&lt;div class="&amp;""""&amp;"hanging"&amp;""""&amp;"&gt;"&amp;K452&amp;"&lt;a href="&amp;""""&amp;L452&amp;""""&amp;" target="&amp;""""&amp;"_blank"&amp;""""&amp;"&gt;"&amp;L452&amp;"&lt;/a&gt;&lt;span style="&amp;""""&amp;"color:white"&amp;""""&amp;"&gt;[.]{#"&amp;F452&amp;"}}&lt;/span&gt;&lt;/div&gt;&lt;br&gt;"</f>
        <v>&lt;div class="hanging"&gt;The Wildlife Degree (2022, Feb 3). &lt;i&gt;Rarefied Species Accumulation Curves (the simple way) tutorial.&lt;/i&gt; [Video]. YouTube.&lt;a href="https://www.youtube.com/watch?v=h3MLWK9IJ4A" target="_blank"&gt;https://www.youtube.com/watch?v=h3MLWK9IJ4A&lt;/a&gt;&lt;span style="color:white"&gt;[.]{#wildlifedegree_2022}}&lt;/span&gt;&lt;/div&gt;&lt;br&gt;</v>
      </c>
      <c r="O452" s="65" t="str">
        <f>"{{ rtxt_"&amp;F452&amp;" }}"</f>
        <v>{{ rtxt_wildlifedegree_2022 }}</v>
      </c>
      <c r="P452" s="65" t="str">
        <f>"{{ rbib_"&amp;F452&amp;" }}"</f>
        <v>{{ rbib_wildlifedegree_2022 }}</v>
      </c>
      <c r="Q452" s="65" t="str">
        <f>"    rtxt_"&amp;F452&amp;": "&amp;""""&amp;"&lt;a href=\"&amp;""""&amp;"/08_references.html#"&amp;F452&amp;"\"&amp;""""&amp;" target=\"&amp;""""&amp;"_blank\"&amp;""""&amp;"&gt;"&amp;G452&amp;"&lt;/a&gt;"&amp;""""</f>
        <v xml:space="preserve">    rtxt_wildlifedegree_2022: "&lt;a href=\"/08_references.html#wildlifedegree_2022\" target=\"_blank\"&gt;The Wildlife Degree (2022)&lt;/a&gt;"</v>
      </c>
      <c r="R452" s="65" t="str">
        <f>"    rbib_"&amp;F452&amp;": "&amp;""""&amp;K452&amp;"&lt;a href=\"&amp;""""&amp;L452&amp;""""&amp;" target=\"&amp;""""&amp;"_blank\"&amp;""""&amp;"&gt;"&amp;L452&amp;"&lt;/a&gt;"&amp;""""</f>
        <v xml:space="preserve">    rbib_wildlifedegree_2022: "The Wildlife Degree (2022, Feb 3). &lt;i&gt;Rarefied Species Accumulation Curves (the simple way) tutorial.&lt;/i&gt; [Video]. YouTube.&lt;a href=\"https://www.youtube.com/watch?v=h3MLWK9IJ4A" target=\"_blank\"&gt;https://www.youtube.com/watch?v=h3MLWK9IJ4A&lt;/a&gt;"</v>
      </c>
      <c r="S452" s="65" t="str">
        <f>"    rbib_"&amp;F452&amp;": "&amp;""""&amp;"&lt;div class=\"&amp;""""&amp;"hanging\"&amp;""""&amp;"&gt;"&amp;J452&amp;"&lt;/div&gt;"&amp;""""</f>
        <v xml:space="preserve">    rbib_wildlifedegree_2022: "&lt;div class=\"hanging\"&gt;The Wildlife Degree (2022, Feb 3). *Rarefied Species Accumulation Curves (the simple way) tutorial.* [Video]. YouTube. &lt;https://www.youtube.com/watch?v=h3MLWK9IJ4A&gt;&lt;/div&gt;"</v>
      </c>
      <c r="T452" s="65"/>
    </row>
    <row r="453" spans="1:20" ht="15.75">
      <c r="A453" s="65"/>
      <c r="B453" s="155"/>
      <c r="C453" s="155"/>
      <c r="D453" s="155"/>
      <c r="E453" s="65" t="s">
        <v>2138</v>
      </c>
      <c r="F453" s="65" t="s">
        <v>2137</v>
      </c>
      <c r="G453" s="65" t="s">
        <v>2136</v>
      </c>
      <c r="H453" s="65" t="s">
        <v>2136</v>
      </c>
      <c r="I453" s="65" t="b">
        <v>1</v>
      </c>
      <c r="J453" s="65" t="s">
        <v>2135</v>
      </c>
      <c r="K453" s="65" t="s">
        <v>5462</v>
      </c>
      <c r="L453" s="65" t="s">
        <v>2134</v>
      </c>
      <c r="M453" s="65" t="s">
        <v>984</v>
      </c>
      <c r="N453" s="65" t="str">
        <f>"&lt;div class="&amp;""""&amp;"hanging"&amp;""""&amp;"&gt;"&amp;K453&amp;"&lt;a href="&amp;""""&amp;L453&amp;""""&amp;" target="&amp;""""&amp;"_blank"&amp;""""&amp;"&gt;"&amp;L453&amp;"&lt;/a&gt;&lt;span style="&amp;""""&amp;"color:white"&amp;""""&amp;"&gt;[.]{#"&amp;F453&amp;"}}&lt;/span&gt;&lt;/div&gt;&lt;br&gt;"</f>
        <v>&lt;div class="hanging"&gt;Thompson, P. R. (2024) &lt;i&gt;Zone of Influence Effect Size and Buffer Distance Calculator&lt;/i&gt;. University of Alberta, Canada.&lt;a href="https://pthompson234.shinyapps.io/calculate-zoi/" target="_blank"&gt;https://pthompson234.shinyapps.io/calculate-zoi/&lt;/a&gt;&lt;span style="color:white"&gt;[.]{#thompson_2024}}&lt;/span&gt;&lt;/div&gt;&lt;br&gt;</v>
      </c>
      <c r="O453" s="65" t="str">
        <f>"{{ rtxt_"&amp;F453&amp;" }}"</f>
        <v>{{ rtxt_thompson_2024 }}</v>
      </c>
      <c r="P453" s="65" t="str">
        <f>"{{ rbib_"&amp;F453&amp;" }}"</f>
        <v>{{ rbib_thompson_2024 }}</v>
      </c>
      <c r="Q453" s="65" t="str">
        <f>"    rtxt_"&amp;F453&amp;": "&amp;""""&amp;"&lt;a href=\"&amp;""""&amp;"/08_references.html#"&amp;F453&amp;"\"&amp;""""&amp;" target=\"&amp;""""&amp;"_blank\"&amp;""""&amp;"&gt;"&amp;G453&amp;"&lt;/a&gt;"&amp;""""</f>
        <v xml:space="preserve">    rtxt_thompson_2024: "&lt;a href=\"/08_references.html#thompson_2024\" target=\"_blank\"&gt;Thompson, 2024&lt;/a&gt;"</v>
      </c>
      <c r="R453" s="65" t="str">
        <f>"    rbib_"&amp;F453&amp;": "&amp;""""&amp;K453&amp;"&lt;a href=\"&amp;""""&amp;L453&amp;""""&amp;" target=\"&amp;""""&amp;"_blank\"&amp;""""&amp;"&gt;"&amp;L453&amp;"&lt;/a&gt;"&amp;""""</f>
        <v xml:space="preserve">    rbib_thompson_2024: "Thompson, P. R. (2024) &lt;i&gt;Zone of Influence Effect Size and Buffer Distance Calculator&lt;/i&gt;. University of Alberta, Canada.&lt;a href=\"https://pthompson234.shinyapps.io/calculate-zoi/" target=\"_blank\"&gt;https://pthompson234.shinyapps.io/calculate-zoi/&lt;/a&gt;"</v>
      </c>
      <c r="S453" s="65" t="str">
        <f>"    rbib_"&amp;F453&amp;": "&amp;""""&amp;"&lt;div class=\"&amp;""""&amp;"hanging\"&amp;""""&amp;"&gt;"&amp;J453&amp;"&lt;/div&gt;"&amp;""""</f>
        <v xml:space="preserve">    rbib_thompson_2024: "&lt;div class=\"hanging\"&gt;Thompson, P. R. (2024) *Zone of Influence Effect Size and Buffer Distance Calculator*. University of Alberta, Canada. &lt;https://pthompson234.shinyapps.io/calculate-zoi/&gt;&lt;/div&gt;"</v>
      </c>
      <c r="T453" s="65"/>
    </row>
    <row r="454" spans="1:20" ht="15.75">
      <c r="A454" s="65"/>
      <c r="B454" s="155"/>
      <c r="C454" s="155"/>
      <c r="D454" s="155"/>
      <c r="E454" s="65"/>
      <c r="F454" s="65" t="s">
        <v>2133</v>
      </c>
      <c r="G454" s="65" t="s">
        <v>2132</v>
      </c>
      <c r="H454" s="65" t="s">
        <v>2131</v>
      </c>
      <c r="I454" s="65" t="b">
        <v>1</v>
      </c>
      <c r="J454" s="65" t="s">
        <v>2130</v>
      </c>
      <c r="K454" s="65" t="s">
        <v>5219</v>
      </c>
      <c r="L454" s="65" t="s">
        <v>2129</v>
      </c>
      <c r="M454" s="65" t="s">
        <v>984</v>
      </c>
      <c r="N454" s="65" t="str">
        <f>"&lt;div class="&amp;""""&amp;"hanging"&amp;""""&amp;"&gt;"&amp;K454&amp;"&lt;a href="&amp;""""&amp;L454&amp;""""&amp;" target="&amp;""""&amp;"_blank"&amp;""""&amp;"&gt;"&amp;L454&amp;"&lt;/a&gt;&lt;span style="&amp;""""&amp;"color:white"&amp;""""&amp;"&gt;[.]{#"&amp;F454&amp;"}}&lt;/span&gt;&lt;/div&gt;&lt;br&gt;"</f>
        <v>&lt;div class="hanging"&gt;Thompson, W. L., White, G. C., &amp; Gowan, C. (1998). “Chapter 3 - Enumeration Methods.” In &lt;i&gt;Monitoring Vertebrate Populations&lt;/i&gt;, edited by Thompson, W. L., White, G. C., &amp; Gowan, C., 75-121. San Diego: Academic Press.&lt;a href="https://doi.org/10.1016/B978-0126889604/50003-4" target="_blank"&gt;https://doi.org/10.1016/B978-0126889604/50003-4&lt;/a&gt;&lt;span style="color:white"&gt;[.]{#thompson_et_al_1998}}&lt;/span&gt;&lt;/div&gt;&lt;br&gt;</v>
      </c>
      <c r="O454" s="65" t="str">
        <f>"{{ rtxt_"&amp;F454&amp;" }}"</f>
        <v>{{ rtxt_thompson_et_al_1998 }}</v>
      </c>
      <c r="P454" s="65" t="str">
        <f>"{{ rbib_"&amp;F454&amp;" }}"</f>
        <v>{{ rbib_thompson_et_al_1998 }}</v>
      </c>
      <c r="Q454" s="65" t="str">
        <f>"    rtxt_"&amp;F454&amp;": "&amp;""""&amp;"&lt;a href=\"&amp;""""&amp;"/08_references.html#"&amp;F454&amp;"\"&amp;""""&amp;" target=\"&amp;""""&amp;"_blank\"&amp;""""&amp;"&gt;"&amp;G454&amp;"&lt;/a&gt;"&amp;""""</f>
        <v xml:space="preserve">    rtxt_thompson_et_al_1998: "&lt;a href=\"/08_references.html#thompson_et_al_1998\" target=\"_blank\"&gt;Thompson et al., 1998&lt;/a&gt;"</v>
      </c>
      <c r="R454" s="65" t="str">
        <f>"    rbib_"&amp;F454&amp;": "&amp;""""&amp;K454&amp;"&lt;a href=\"&amp;""""&amp;L454&amp;""""&amp;" target=\"&amp;""""&amp;"_blank\"&amp;""""&amp;"&gt;"&amp;L454&amp;"&lt;/a&gt;"&amp;""""</f>
        <v xml:space="preserve">    rbib_thompson_et_al_1998: "Thompson, W. L., White, G. C., &amp; Gowan, C. (1998). “Chapter 3 - Enumeration Methods.” In &lt;i&gt;Monitoring Vertebrate Populations&lt;/i&gt;, edited by Thompson, W. L., White, G. C., &amp; Gowan, C., 75-121. San Diego: Academic Press.&lt;a href=\"https://doi.org/10.1016/B978-0126889604/50003-4" target=\"_blank\"&gt;https://doi.org/10.1016/B978-0126889604/50003-4&lt;/a&gt;"</v>
      </c>
      <c r="S454" s="65" t="str">
        <f>"    rbib_"&amp;F454&amp;": "&amp;""""&amp;"&lt;div class=\"&amp;""""&amp;"hanging\"&amp;""""&amp;"&gt;"&amp;J454&amp;"&lt;/div&gt;"&amp;""""</f>
        <v xml:space="preserve">    rbib_thompson_et_al_1998: "&lt;div class=\"hanging\"&gt;Thompson, W. L., White, G. C., &amp; Gowan, C. (1998). “Chapter 3 - Enumeration Methods.” In *Monitoring Vertebrate Populations*, edited by Thompson, W. L., White, G. C., &amp; Gowan, C., 75-121. San Diego: Academic Press. &lt;https://doi.org/10.1016/B978-0126889604/50003-4&gt;&lt;/div&gt;"</v>
      </c>
      <c r="T454" s="65"/>
    </row>
    <row r="455" spans="1:20" ht="15.75">
      <c r="A455" s="65"/>
      <c r="B455" s="155" t="b">
        <v>1</v>
      </c>
      <c r="C455" s="155" t="b">
        <v>0</v>
      </c>
      <c r="D455" s="155" t="b">
        <v>0</v>
      </c>
      <c r="E455" s="65" t="s">
        <v>1904</v>
      </c>
      <c r="F455" s="65" t="s">
        <v>2128</v>
      </c>
      <c r="G455" s="65" t="s">
        <v>2127</v>
      </c>
      <c r="H455" s="65" t="s">
        <v>2127</v>
      </c>
      <c r="I455" s="65" t="b">
        <v>1</v>
      </c>
      <c r="J455" s="65" t="s">
        <v>2126</v>
      </c>
      <c r="K455" s="65" t="s">
        <v>5413</v>
      </c>
      <c r="L455" s="65" t="s">
        <v>2125</v>
      </c>
      <c r="M455" s="65" t="s">
        <v>984</v>
      </c>
      <c r="N455" s="65" t="str">
        <f>"&lt;div class="&amp;""""&amp;"hanging"&amp;""""&amp;"&gt;"&amp;K455&amp;"&lt;a href="&amp;""""&amp;L455&amp;""""&amp;" target="&amp;""""&amp;"_blank"&amp;""""&amp;"&gt;"&amp;L455&amp;"&lt;/a&gt;&lt;span style="&amp;""""&amp;"color:white"&amp;""""&amp;"&gt;[.]{#"&amp;F455&amp;"}}&lt;/span&gt;&lt;/div&gt;&lt;br&gt;"</f>
        <v>&lt;div class="hanging"&gt;Thorn, M., Scott, D. M., Green, M., Bateman, P. W., &amp; Cameron, E. Z. (2009). Estimating Brown Hyaena Occupancy using Baited Camera Traps. &lt;i&gt;South African Journal of Wildlife Research, 39&lt;/i&gt;(1), 1-10.&lt;a href="https://doi.org/10.3957/056.039.0101" target="_blank"&gt;https://doi.org/10.3957/056.039.0101&lt;/a&gt;&lt;span style="color:white"&gt;[.]{#thorn_et_al_2009}}&lt;/span&gt;&lt;/div&gt;&lt;br&gt;</v>
      </c>
      <c r="O455" s="65" t="str">
        <f>"{{ rtxt_"&amp;F455&amp;" }}"</f>
        <v>{{ rtxt_thorn_et_al_2009 }}</v>
      </c>
      <c r="P455" s="65" t="str">
        <f>"{{ rbib_"&amp;F455&amp;" }}"</f>
        <v>{{ rbib_thorn_et_al_2009 }}</v>
      </c>
      <c r="Q455" s="65" t="str">
        <f>"    rtxt_"&amp;F455&amp;": "&amp;""""&amp;"&lt;a href=\"&amp;""""&amp;"/08_references.html#"&amp;F455&amp;"\"&amp;""""&amp;" target=\"&amp;""""&amp;"_blank\"&amp;""""&amp;"&gt;"&amp;G455&amp;"&lt;/a&gt;"&amp;""""</f>
        <v xml:space="preserve">    rtxt_thorn_et_al_2009: "&lt;a href=\"/08_references.html#thorn_et_al_2009\" target=\"_blank\"&gt;Thorn et al., 2009&lt;/a&gt;"</v>
      </c>
      <c r="R455" s="65" t="str">
        <f>"    rbib_"&amp;F455&amp;": "&amp;""""&amp;K455&amp;"&lt;a href=\"&amp;""""&amp;L455&amp;""""&amp;" target=\"&amp;""""&amp;"_blank\"&amp;""""&amp;"&gt;"&amp;L455&amp;"&lt;/a&gt;"&amp;""""</f>
        <v xml:space="preserve">    rbib_thorn_et_al_2009: "Thorn, M., Scott, D. M., Green, M., Bateman, P. W., &amp; Cameron, E. Z. (2009). Estimating Brown Hyaena Occupancy using Baited Camera Traps. &lt;i&gt;South African Journal of Wildlife Research, 39&lt;/i&gt;(1), 1-10.&lt;a href=\"https://doi.org/10.3957/056.039.0101" target=\"_blank\"&gt;https://doi.org/10.3957/056.039.0101&lt;/a&gt;"</v>
      </c>
      <c r="S455" s="65" t="str">
        <f>"    rbib_"&amp;F455&amp;": "&amp;""""&amp;"&lt;div class=\"&amp;""""&amp;"hanging\"&amp;""""&amp;"&gt;"&amp;J455&amp;"&lt;/div&gt;"&amp;""""</f>
        <v xml:space="preserve">    rbib_thorn_et_al_2009: "&lt;div class=\"hanging\"&gt;Thorn, M., Scott, D. M., Green, M., Bateman, P. W., &amp; Cameron, E. Z. (2009). Estimating Brown Hyaena Occupancy using Baited Camera Traps. *South African Journal of Wildlife Research, 39*(1), 1-10. &lt;https://doi.org/10.3957/056.039.0101&gt;&lt;/div&gt;"</v>
      </c>
      <c r="T455" s="65"/>
    </row>
    <row r="456" spans="1:20" ht="15.75">
      <c r="A456" s="65"/>
      <c r="B456" s="155" t="b">
        <v>0</v>
      </c>
      <c r="C456" s="155" t="b">
        <v>1</v>
      </c>
      <c r="D456" s="155" t="b">
        <v>0</v>
      </c>
      <c r="E456" s="65" t="s">
        <v>1904</v>
      </c>
      <c r="F456" s="65" t="s">
        <v>2124</v>
      </c>
      <c r="G456" s="65" t="s">
        <v>2123</v>
      </c>
      <c r="H456" s="65" t="s">
        <v>2122</v>
      </c>
      <c r="I456" s="65" t="b">
        <v>1</v>
      </c>
      <c r="J456" s="65" t="s">
        <v>2121</v>
      </c>
      <c r="K456" s="65" t="s">
        <v>5165</v>
      </c>
      <c r="L456" s="65" t="s">
        <v>2120</v>
      </c>
      <c r="M456" s="65" t="s">
        <v>984</v>
      </c>
      <c r="N456" s="65" t="str">
        <f>"&lt;div class="&amp;""""&amp;"hanging"&amp;""""&amp;"&gt;"&amp;K456&amp;"&lt;a href="&amp;""""&amp;L456&amp;""""&amp;" target="&amp;""""&amp;"_blank"&amp;""""&amp;"&gt;"&amp;L456&amp;"&lt;/a&gt;&lt;span style="&amp;""""&amp;"color:white"&amp;""""&amp;"&gt;[.]{#"&amp;F456&amp;"}}&lt;/span&gt;&lt;/div&gt;&lt;br&gt;"</f>
        <v>&lt;div class="hanging"&gt;Tigner, J., Bayne, E. M., &amp; Boutin, S. (2014). Black bear use of seismic lines in Northern Canada. &lt;i&gt;Journal of Wildlife Management, 78&lt;/i&gt;(2), 282-292.&lt;a href="https://doi.org/10.1002/jwmg.664" target="_blank"&gt;https://doi.org/10.1002/jwmg.664&lt;/a&gt;&lt;span style="color:white"&gt;[.]{#tigner_et_al_2014}}&lt;/span&gt;&lt;/div&gt;&lt;br&gt;</v>
      </c>
      <c r="O456" s="65" t="str">
        <f>"{{ rtxt_"&amp;F456&amp;" }}"</f>
        <v>{{ rtxt_tigner_et_al_2014 }}</v>
      </c>
      <c r="P456" s="65" t="str">
        <f>"{{ rbib_"&amp;F456&amp;" }}"</f>
        <v>{{ rbib_tigner_et_al_2014 }}</v>
      </c>
      <c r="Q456" s="65" t="str">
        <f>"    rtxt_"&amp;F456&amp;": "&amp;""""&amp;"&lt;a href=\"&amp;""""&amp;"/08_references.html#"&amp;F456&amp;"\"&amp;""""&amp;" target=\"&amp;""""&amp;"_blank\"&amp;""""&amp;"&gt;"&amp;G456&amp;"&lt;/a&gt;"&amp;""""</f>
        <v xml:space="preserve">    rtxt_tigner_et_al_2014: "&lt;a href=\"/08_references.html#tigner_et_al_2014\" target=\"_blank\"&gt;Tigner et al., 2014&lt;/a&gt;"</v>
      </c>
      <c r="R456" s="65" t="str">
        <f>"    rbib_"&amp;F456&amp;": "&amp;""""&amp;K456&amp;"&lt;a href=\"&amp;""""&amp;L456&amp;""""&amp;" target=\"&amp;""""&amp;"_blank\"&amp;""""&amp;"&gt;"&amp;L456&amp;"&lt;/a&gt;"&amp;""""</f>
        <v xml:space="preserve">    rbib_tigner_et_al_2014: "Tigner, J., Bayne, E. M., &amp; Boutin, S. (2014). Black bear use of seismic lines in Northern Canada. &lt;i&gt;Journal of Wildlife Management, 78&lt;/i&gt;(2), 282-292.&lt;a href=\"https://doi.org/10.1002/jwmg.664" target=\"_blank\"&gt;https://doi.org/10.1002/jwmg.664&lt;/a&gt;"</v>
      </c>
      <c r="S456" s="65" t="str">
        <f>"    rbib_"&amp;F456&amp;": "&amp;""""&amp;"&lt;div class=\"&amp;""""&amp;"hanging\"&amp;""""&amp;"&gt;"&amp;J456&amp;"&lt;/div&gt;"&amp;""""</f>
        <v xml:space="preserve">    rbib_tigner_et_al_2014: "&lt;div class=\"hanging\"&gt;Tigner, J., Bayne, E. M., &amp; Boutin, S. (2014). Black bear use of seismic lines in Northern Canada. *Journal of Wildlife Management, 78* (2), 282-292. &lt;https://doi.org/10.1002/jwmg.664&gt;&lt;/div&gt;"</v>
      </c>
      <c r="T456" s="65"/>
    </row>
    <row r="457" spans="1:20" ht="15.75">
      <c r="A457" s="65"/>
      <c r="B457" s="155"/>
      <c r="C457" s="155"/>
      <c r="D457" s="155"/>
      <c r="E457" s="65" t="s">
        <v>1945</v>
      </c>
      <c r="F457" s="65" t="s">
        <v>2119</v>
      </c>
      <c r="G457" s="65" t="s">
        <v>2118</v>
      </c>
      <c r="H457" s="65" t="s">
        <v>2118</v>
      </c>
      <c r="I457" s="65" t="b">
        <v>1</v>
      </c>
      <c r="J457" s="65" t="s">
        <v>2117</v>
      </c>
      <c r="K457" s="65" t="s">
        <v>5556</v>
      </c>
      <c r="L457" s="65" t="s">
        <v>2115</v>
      </c>
      <c r="M457" s="65" t="s">
        <v>2116</v>
      </c>
      <c r="N457" s="65" t="str">
        <f>"&lt;div class="&amp;""""&amp;"hanging"&amp;""""&amp;"&gt;"&amp;K457&amp;"&lt;a href="&amp;""""&amp;L457&amp;""""&amp;" target="&amp;""""&amp;"_blank"&amp;""""&amp;"&gt;"&amp;L457&amp;"&lt;/a&gt;&lt;span style="&amp;""""&amp;"color:white"&amp;""""&amp;"&gt;[.]{#"&amp;F457&amp;"}}&lt;/span&gt;&lt;/div&gt;&lt;br&gt;"</f>
        <v>&lt;div class="hanging"&gt;TileStats (2021, Apr 18). &lt;i&gt;Zero-inflated Poisson (ZIP) regression.&lt;/i&gt; [Video]. YouTube.&lt;a href="https://www.youtube.com/watch?v=ztNQvAabgtU" target="_blank"&gt;https://www.youtube.com/watch?v=ztNQvAabgtU&lt;/a&gt;&lt;span style="color:white"&gt;[.]{#tilestats_2021}}&lt;/span&gt;&lt;/div&gt;&lt;br&gt;</v>
      </c>
      <c r="O457" s="65" t="str">
        <f>"{{ rtxt_"&amp;F457&amp;" }}"</f>
        <v>{{ rtxt_tilestats_2021 }}</v>
      </c>
      <c r="P457" s="65" t="str">
        <f>"{{ rbib_"&amp;F457&amp;" }}"</f>
        <v>{{ rbib_tilestats_2021 }}</v>
      </c>
      <c r="Q457" s="65" t="str">
        <f>"    rtxt_"&amp;F457&amp;": "&amp;""""&amp;"&lt;a href=\"&amp;""""&amp;"/08_references.html#"&amp;F457&amp;"\"&amp;""""&amp;" target=\"&amp;""""&amp;"_blank\"&amp;""""&amp;"&gt;"&amp;G457&amp;"&lt;/a&gt;"&amp;""""</f>
        <v xml:space="preserve">    rtxt_tilestats_2021: "&lt;a href=\"/08_references.html#tilestats_2021\" target=\"_blank\"&gt;TileStats, 2021&lt;/a&gt;"</v>
      </c>
      <c r="R457" s="65" t="str">
        <f>"    rbib_"&amp;F457&amp;": "&amp;""""&amp;K457&amp;"&lt;a href=\"&amp;""""&amp;L457&amp;""""&amp;" target=\"&amp;""""&amp;"_blank\"&amp;""""&amp;"&gt;"&amp;L457&amp;"&lt;/a&gt;"&amp;""""</f>
        <v xml:space="preserve">    rbib_tilestats_2021: "TileStats (2021, Apr 18). &lt;i&gt;Zero-inflated Poisson (ZIP) regression.&lt;/i&gt; [Video]. YouTube.&lt;a href=\"https://www.youtube.com/watch?v=ztNQvAabgtU" target=\"_blank\"&gt;https://www.youtube.com/watch?v=ztNQvAabgtU&lt;/a&gt;"</v>
      </c>
      <c r="S457" s="65" t="str">
        <f>"    rbib_"&amp;F457&amp;": "&amp;""""&amp;"&lt;div class=\"&amp;""""&amp;"hanging\"&amp;""""&amp;"&gt;"&amp;J457&amp;"&lt;/div&gt;"&amp;""""</f>
        <v xml:space="preserve">    rbib_tilestats_2021: "&lt;div class=\"hanging\"&gt;TileStats (2021, Apr 18). *Zero-inflated Poisson (ZIP) regression.* [Video]. YouTube. &lt;https://www.youtube.com/watch?v=ztNQvAabgtU&gt;&lt;/div&gt;"</v>
      </c>
      <c r="T457" s="65"/>
    </row>
    <row r="458" spans="1:20" ht="15.75">
      <c r="A458" s="65"/>
      <c r="B458" s="155" t="b">
        <v>1</v>
      </c>
      <c r="C458" s="155" t="b">
        <v>0</v>
      </c>
      <c r="D458" s="155" t="b">
        <v>1</v>
      </c>
      <c r="E458" s="65" t="s">
        <v>1904</v>
      </c>
      <c r="F458" s="65" t="s">
        <v>2110</v>
      </c>
      <c r="G458" s="65" t="s">
        <v>2109</v>
      </c>
      <c r="H458" s="65" t="s">
        <v>2109</v>
      </c>
      <c r="I458" s="65" t="b">
        <v>1</v>
      </c>
      <c r="J458" s="65" t="s">
        <v>2108</v>
      </c>
      <c r="K458" s="65" t="s">
        <v>5226</v>
      </c>
      <c r="L458" s="65" t="s">
        <v>2107</v>
      </c>
      <c r="M458" s="65" t="s">
        <v>984</v>
      </c>
      <c r="N458" s="65" t="str">
        <f>"&lt;div class="&amp;""""&amp;"hanging"&amp;""""&amp;"&gt;"&amp;K458&amp;"&lt;a href="&amp;""""&amp;L458&amp;""""&amp;" target="&amp;""""&amp;"_blank"&amp;""""&amp;"&gt;"&amp;L458&amp;"&lt;/a&gt;&lt;span style="&amp;""""&amp;"color:white"&amp;""""&amp;"&gt;[.]{#"&amp;F458&amp;"}}&lt;/span&gt;&lt;/div&gt;&lt;br&gt;"</f>
        <v>&lt;div class="hanging"&gt;Tobler, M. W. &amp; Powell, G. V. N. (2013). Estimating jaguar densities with camera traps: problems with current designs and recommendations for future studies. &lt;i&gt;Biological Conservation, 159&lt;/i&gt;, 109-118.&lt;a href="https://doi.org/10.1016/j.biocon.2012.12.009" target="_blank"&gt;https://doi.org/10.1016/j.biocon.2012.12.009&lt;/a&gt;&lt;span style="color:white"&gt;[.]{#tobler_powell_2013}}&lt;/span&gt;&lt;/div&gt;&lt;br&gt;</v>
      </c>
      <c r="O458" s="65" t="str">
        <f>"{{ rtxt_"&amp;F458&amp;" }}"</f>
        <v>{{ rtxt_tobler_powell_2013 }}</v>
      </c>
      <c r="P458" s="65" t="str">
        <f>"{{ rbib_"&amp;F458&amp;" }}"</f>
        <v>{{ rbib_tobler_powell_2013 }}</v>
      </c>
      <c r="Q458" s="65" t="str">
        <f>"    rtxt_"&amp;F458&amp;": "&amp;""""&amp;"&lt;a href=\"&amp;""""&amp;"/08_references.html#"&amp;F458&amp;"\"&amp;""""&amp;" target=\"&amp;""""&amp;"_blank\"&amp;""""&amp;"&gt;"&amp;G458&amp;"&lt;/a&gt;"&amp;""""</f>
        <v xml:space="preserve">    rtxt_tobler_powell_2013: "&lt;a href=\"/08_references.html#tobler_powell_2013\" target=\"_blank\"&gt;Tobler &amp; Powell, 2013&lt;/a&gt;"</v>
      </c>
      <c r="R458" s="65" t="str">
        <f>"    rbib_"&amp;F458&amp;": "&amp;""""&amp;K458&amp;"&lt;a href=\"&amp;""""&amp;L458&amp;""""&amp;" target=\"&amp;""""&amp;"_blank\"&amp;""""&amp;"&gt;"&amp;L458&amp;"&lt;/a&gt;"&amp;""""</f>
        <v xml:space="preserve">    rbib_tobler_powell_2013: "Tobler, M. W. &amp; Powell, G. V. N. (2013). Estimating jaguar densities with camera traps: problems with current designs and recommendations for future studies. &lt;i&gt;Biological Conservation, 159&lt;/i&gt;, 109-118.&lt;a href=\"https://doi.org/10.1016/j.biocon.2012.12.009" target=\"_blank\"&gt;https://doi.org/10.1016/j.biocon.2012.12.009&lt;/a&gt;"</v>
      </c>
      <c r="S458" s="65" t="str">
        <f>"    rbib_"&amp;F458&amp;": "&amp;""""&amp;"&lt;div class=\"&amp;""""&amp;"hanging\"&amp;""""&amp;"&gt;"&amp;J458&amp;"&lt;/div&gt;"&amp;""""</f>
        <v xml:space="preserve">    rbib_tobler_powell_2013: "&lt;div class=\"hanging\"&gt;Tobler, M. W. &amp; Powell, G. V. N. (2013). Estimating jaguar densities with camera traps: problems with current designs and recommendations for future studies. *Biological Conservation, 159*, 109-118. &lt;https://doi.org/10.1016/j.biocon.2012.12.009&gt;&lt;/div&gt;"</v>
      </c>
      <c r="T458" s="65"/>
    </row>
    <row r="459" spans="1:20" ht="15.75">
      <c r="A459" s="65"/>
      <c r="B459" s="155" t="b">
        <v>1</v>
      </c>
      <c r="C459" s="155" t="b">
        <v>1</v>
      </c>
      <c r="D459" s="155" t="b">
        <v>1</v>
      </c>
      <c r="E459" s="65" t="s">
        <v>1904</v>
      </c>
      <c r="F459" s="65" t="s">
        <v>2114</v>
      </c>
      <c r="G459" s="65" t="s">
        <v>2113</v>
      </c>
      <c r="H459" s="65" t="s">
        <v>2113</v>
      </c>
      <c r="I459" s="65" t="b">
        <v>1</v>
      </c>
      <c r="J459" s="65" t="s">
        <v>2112</v>
      </c>
      <c r="K459" s="65" t="s">
        <v>5323</v>
      </c>
      <c r="L459" s="65" t="s">
        <v>2111</v>
      </c>
      <c r="M459" s="65" t="s">
        <v>984</v>
      </c>
      <c r="N459" s="65" t="str">
        <f>"&lt;div class="&amp;""""&amp;"hanging"&amp;""""&amp;"&gt;"&amp;K459&amp;"&lt;a href="&amp;""""&amp;L459&amp;""""&amp;" target="&amp;""""&amp;"_blank"&amp;""""&amp;"&gt;"&amp;L459&amp;"&lt;/a&gt;&lt;span style="&amp;""""&amp;"color:white"&amp;""""&amp;"&gt;[.]{#"&amp;F459&amp;"}}&lt;/span&gt;&lt;/div&gt;&lt;br&gt;"</f>
        <v>&lt;div class="hanging"&gt;Tobler, M. W., Pitman, R. L., Mares, R. &amp; Powell, G. (2008). An Evaluation of Camera Traps for Inventorying Large- and Medium-Sized Terrestrial Rainforest Mammals. &lt;i&gt;Animal Conservation, 11&lt;/i&gt;, 169-178.&lt;a href="https://doi.org/10.1111/j.1469-1795.2008.00169.x" target="_blank"&gt;https://doi.org/10.1111/j.1469-1795.2008.00169.x&lt;/a&gt;&lt;span style="color:white"&gt;[.]{#tobler_et_al_2008}}&lt;/span&gt;&lt;/div&gt;&lt;br&gt;</v>
      </c>
      <c r="O459" s="65" t="str">
        <f>"{{ rtxt_"&amp;F459&amp;" }}"</f>
        <v>{{ rtxt_tobler_et_al_2008 }}</v>
      </c>
      <c r="P459" s="65" t="str">
        <f>"{{ rbib_"&amp;F459&amp;" }}"</f>
        <v>{{ rbib_tobler_et_al_2008 }}</v>
      </c>
      <c r="Q459" s="65" t="str">
        <f>"    rtxt_"&amp;F459&amp;": "&amp;""""&amp;"&lt;a href=\"&amp;""""&amp;"/08_references.html#"&amp;F459&amp;"\"&amp;""""&amp;" target=\"&amp;""""&amp;"_blank\"&amp;""""&amp;"&gt;"&amp;G459&amp;"&lt;/a&gt;"&amp;""""</f>
        <v xml:space="preserve">    rtxt_tobler_et_al_2008: "&lt;a href=\"/08_references.html#tobler_et_al_2008\" target=\"_blank\"&gt;Tobler et al., 2008&lt;/a&gt;"</v>
      </c>
      <c r="R459" s="65" t="str">
        <f>"    rbib_"&amp;F459&amp;": "&amp;""""&amp;K459&amp;"&lt;a href=\"&amp;""""&amp;L459&amp;""""&amp;" target=\"&amp;""""&amp;"_blank\"&amp;""""&amp;"&gt;"&amp;L459&amp;"&lt;/a&gt;"&amp;""""</f>
        <v xml:space="preserve">    rbib_tobler_et_al_2008: "Tobler, M. W., Pitman, R. L., Mares, R. &amp; Powell, G. (2008). An Evaluation of Camera Traps for Inventorying Large- and Medium-Sized Terrestrial Rainforest Mammals. &lt;i&gt;Animal Conservation, 11&lt;/i&gt;, 169-178.&lt;a href=\"https://doi.org/10.1111/j.1469-1795.2008.00169.x" target=\"_blank\"&gt;https://doi.org/10.1111/j.1469-1795.2008.00169.x&lt;/a&gt;"</v>
      </c>
      <c r="S459" s="65" t="str">
        <f>"    rbib_"&amp;F459&amp;": "&amp;""""&amp;"&lt;div class=\"&amp;""""&amp;"hanging\"&amp;""""&amp;"&gt;"&amp;J459&amp;"&lt;/div&gt;"&amp;""""</f>
        <v xml:space="preserve">    rbib_tobler_et_al_2008: "&lt;div class=\"hanging\"&gt;Tobler, M. W., Pitman, R. L., Mares, R. &amp; Powell, G. (2008). An Evaluation of Camera Traps for Inventorying Large- and Medium-Sized Terrestrial Rainforest Mammals. *Animal Conservation, 11*, 169-178. &lt;https://doi.org/10.1111/j.1469-1795.2008.00169.x&gt;&lt;/div&gt;"</v>
      </c>
      <c r="T459" s="65"/>
    </row>
    <row r="460" spans="1:20" ht="15.75">
      <c r="A460" s="65"/>
      <c r="B460" s="155" t="b">
        <v>0</v>
      </c>
      <c r="C460" s="155" t="b">
        <v>0</v>
      </c>
      <c r="D460" s="155" t="s">
        <v>1993</v>
      </c>
      <c r="E460" s="65" t="s">
        <v>1904</v>
      </c>
      <c r="F460" s="65" t="s">
        <v>2106</v>
      </c>
      <c r="G460" s="65" t="s">
        <v>2105</v>
      </c>
      <c r="H460" s="65" t="s">
        <v>2105</v>
      </c>
      <c r="I460" s="65" t="b">
        <v>1</v>
      </c>
      <c r="J460" s="65" t="s">
        <v>2104</v>
      </c>
      <c r="K460" s="65" t="s">
        <v>5146</v>
      </c>
      <c r="L460" s="65" t="s">
        <v>2103</v>
      </c>
      <c r="M460" s="65" t="s">
        <v>984</v>
      </c>
      <c r="N460" s="65" t="str">
        <f>"&lt;div class="&amp;""""&amp;"hanging"&amp;""""&amp;"&gt;"&amp;K460&amp;"&lt;a href="&amp;""""&amp;L460&amp;""""&amp;" target="&amp;""""&amp;"_blank"&amp;""""&amp;"&gt;"&amp;L460&amp;"&lt;/a&gt;&lt;span style="&amp;""""&amp;"color:white"&amp;""""&amp;"&gt;[.]{#"&amp;F460&amp;"}}&lt;/span&gt;&lt;/div&gt;&lt;br&gt;"</f>
        <v>&lt;div class="hanging"&gt;Tourani, M. (2022). A review of spatial capture-recapture: Ecological insights, limitations, and prospects. &lt;i&gt;Ecology and Evolution, 12&lt;/i&gt;, e8468.&lt;a href="https://doi.org/10.1002/ece3.8468" target="_blank"&gt;https://doi.org/10.1002/ece3.8468&lt;/a&gt;&lt;span style="color:white"&gt;[.]{#tourani_2022}}&lt;/span&gt;&lt;/div&gt;&lt;br&gt;</v>
      </c>
      <c r="O460" s="65" t="str">
        <f>"{{ rtxt_"&amp;F460&amp;" }}"</f>
        <v>{{ rtxt_tourani_2022 }}</v>
      </c>
      <c r="P460" s="65" t="str">
        <f>"{{ rbib_"&amp;F460&amp;" }}"</f>
        <v>{{ rbib_tourani_2022 }}</v>
      </c>
      <c r="Q460" s="65" t="str">
        <f>"    rtxt_"&amp;F460&amp;": "&amp;""""&amp;"&lt;a href=\"&amp;""""&amp;"/08_references.html#"&amp;F460&amp;"\"&amp;""""&amp;" target=\"&amp;""""&amp;"_blank\"&amp;""""&amp;"&gt;"&amp;G460&amp;"&lt;/a&gt;"&amp;""""</f>
        <v xml:space="preserve">    rtxt_tourani_2022: "&lt;a href=\"/08_references.html#tourani_2022\" target=\"_blank\"&gt;Tourani, 2022&lt;/a&gt;"</v>
      </c>
      <c r="R460" s="65" t="str">
        <f>"    rbib_"&amp;F460&amp;": "&amp;""""&amp;K460&amp;"&lt;a href=\"&amp;""""&amp;L460&amp;""""&amp;" target=\"&amp;""""&amp;"_blank\"&amp;""""&amp;"&gt;"&amp;L460&amp;"&lt;/a&gt;"&amp;""""</f>
        <v xml:space="preserve">    rbib_tourani_2022: "Tourani, M. (2022). A review of spatial capture-recapture: Ecological insights, limitations, and prospects. &lt;i&gt;Ecology and Evolution, 12&lt;/i&gt;, e8468.&lt;a href=\"https://doi.org/10.1002/ece3.8468" target=\"_blank\"&gt;https://doi.org/10.1002/ece3.8468&lt;/a&gt;"</v>
      </c>
      <c r="S460" s="65" t="str">
        <f>"    rbib_"&amp;F460&amp;": "&amp;""""&amp;"&lt;div class=\"&amp;""""&amp;"hanging\"&amp;""""&amp;"&gt;"&amp;J460&amp;"&lt;/div&gt;"&amp;""""</f>
        <v xml:space="preserve">    rbib_tourani_2022: "&lt;div class=\"hanging\"&gt;Tourani, M. (2022). A review of spatial capture-recapture: Ecological insights, limitations, and prospects. *Ecology and Evolution, 12*, e8468. &lt;https://doi.org/10.1002/ece3.8468&gt;&lt;/div&gt;"</v>
      </c>
      <c r="T460" s="65"/>
    </row>
    <row r="461" spans="1:20" ht="15.75">
      <c r="A461" s="65"/>
      <c r="B461" s="155" t="b">
        <v>0</v>
      </c>
      <c r="C461" s="155" t="b">
        <v>0</v>
      </c>
      <c r="D461" s="155"/>
      <c r="E461" s="65" t="s">
        <v>1904</v>
      </c>
      <c r="F461" s="65" t="s">
        <v>2102</v>
      </c>
      <c r="G461" s="65" t="s">
        <v>2101</v>
      </c>
      <c r="H461" s="65" t="s">
        <v>2101</v>
      </c>
      <c r="I461" s="65" t="b">
        <v>1</v>
      </c>
      <c r="J461" s="65" t="s">
        <v>2100</v>
      </c>
      <c r="K461" s="65" t="s">
        <v>5341</v>
      </c>
      <c r="L461" s="65" t="s">
        <v>2099</v>
      </c>
      <c r="M461" s="65" t="s">
        <v>984</v>
      </c>
      <c r="N461" s="65" t="str">
        <f>"&lt;div class="&amp;""""&amp;"hanging"&amp;""""&amp;"&gt;"&amp;K461&amp;"&lt;a href="&amp;""""&amp;L461&amp;""""&amp;" target="&amp;""""&amp;"_blank"&amp;""""&amp;"&gt;"&amp;L461&amp;"&lt;/a&gt;&lt;span style="&amp;""""&amp;"color:white"&amp;""""&amp;"&gt;[.]{#"&amp;F461&amp;"}}&lt;/span&gt;&lt;/div&gt;&lt;br&gt;"</f>
        <v>&lt;div class="hanging"&gt;Tourani, M., Brøste, E. N., Bakken, S., Odden, J., Bischof, R., &amp; Hayward, M. (2020). Sooner, closer, or longer: Detectability of mesocarnivores at camera traps. &lt;i&gt;Journal of Zoology, 312&lt;/i&gt;(4), 259-270.&lt;a href="https://doi.org/10.1111/jzo.12828" target="_blank"&gt;https://doi.org/10.1111/jzo.12828&lt;/a&gt;&lt;span style="color:white"&gt;[.]{#tourani_et_al_2020}}&lt;/span&gt;&lt;/div&gt;&lt;br&gt;</v>
      </c>
      <c r="O461" s="65" t="str">
        <f>"{{ rtxt_"&amp;F461&amp;" }}"</f>
        <v>{{ rtxt_tourani_et_al_2020 }}</v>
      </c>
      <c r="P461" s="65" t="str">
        <f>"{{ rbib_"&amp;F461&amp;" }}"</f>
        <v>{{ rbib_tourani_et_al_2020 }}</v>
      </c>
      <c r="Q461" s="65" t="str">
        <f>"    rtxt_"&amp;F461&amp;": "&amp;""""&amp;"&lt;a href=\"&amp;""""&amp;"/08_references.html#"&amp;F461&amp;"\"&amp;""""&amp;" target=\"&amp;""""&amp;"_blank\"&amp;""""&amp;"&gt;"&amp;G461&amp;"&lt;/a&gt;"&amp;""""</f>
        <v xml:space="preserve">    rtxt_tourani_et_al_2020: "&lt;a href=\"/08_references.html#tourani_et_al_2020\" target=\"_blank\"&gt;Tourani et al., 2020&lt;/a&gt;"</v>
      </c>
      <c r="R461" s="65" t="str">
        <f>"    rbib_"&amp;F461&amp;": "&amp;""""&amp;K461&amp;"&lt;a href=\"&amp;""""&amp;L461&amp;""""&amp;" target=\"&amp;""""&amp;"_blank\"&amp;""""&amp;"&gt;"&amp;L461&amp;"&lt;/a&gt;"&amp;""""</f>
        <v xml:space="preserve">    rbib_tourani_et_al_2020: "Tourani, M., Brøste, E. N., Bakken, S., Odden, J., Bischof, R., &amp; Hayward, M. (2020). Sooner, closer, or longer: Detectability of mesocarnivores at camera traps. &lt;i&gt;Journal of Zoology, 312&lt;/i&gt;(4), 259-270.&lt;a href=\"https://doi.org/10.1111/jzo.12828" target=\"_blank\"&gt;https://doi.org/10.1111/jzo.12828&lt;/a&gt;"</v>
      </c>
      <c r="S461" s="65" t="str">
        <f>"    rbib_"&amp;F461&amp;": "&amp;""""&amp;"&lt;div class=\"&amp;""""&amp;"hanging\"&amp;""""&amp;"&gt;"&amp;J461&amp;"&lt;/div&gt;"&amp;""""</f>
        <v xml:space="preserve">    rbib_tourani_et_al_2020: "&lt;div class=\"hanging\"&gt;Tourani, M., Brøste, E. N., Bakken, S., Odden, J., Bischof, R., &amp; Hayward, M. (2020). Sooner, closer, or longer: Detectability of mesocarnivores at camera traps. *Journal of Zoology, 312*(4), 259-270. &lt;https://doi.org/10.1111/jzo.12828&gt;&lt;/div&gt;"</v>
      </c>
      <c r="T461" s="65"/>
    </row>
    <row r="462" spans="1:20" ht="15.75">
      <c r="A462" s="65"/>
      <c r="B462" s="155" t="b">
        <v>0</v>
      </c>
      <c r="C462" s="155" t="b">
        <v>0</v>
      </c>
      <c r="D462" s="155" t="s">
        <v>1993</v>
      </c>
      <c r="E462" s="65" t="s">
        <v>1904</v>
      </c>
      <c r="F462" s="65" t="s">
        <v>2098</v>
      </c>
      <c r="G462" s="65" t="s">
        <v>2097</v>
      </c>
      <c r="H462" s="65" t="s">
        <v>2097</v>
      </c>
      <c r="I462" s="65" t="b">
        <v>1</v>
      </c>
      <c r="J462" s="65" t="s">
        <v>2096</v>
      </c>
      <c r="K462" s="65" t="s">
        <v>5510</v>
      </c>
      <c r="L462" s="65" t="s">
        <v>2095</v>
      </c>
      <c r="M462" s="65" t="s">
        <v>984</v>
      </c>
      <c r="N462" s="65" t="str">
        <f>"&lt;div class="&amp;""""&amp;"hanging"&amp;""""&amp;"&gt;"&amp;K462&amp;"&lt;a href="&amp;""""&amp;L462&amp;""""&amp;" target="&amp;""""&amp;"_blank"&amp;""""&amp;"&gt;"&amp;L462&amp;"&lt;/a&gt;&lt;span style="&amp;""""&amp;"color:white"&amp;""""&amp;"&gt;[.]{#"&amp;F462&amp;"}}&lt;/span&gt;&lt;/div&gt;&lt;br&gt;"</f>
        <v>&lt;div class="hanging"&gt;Trolliet, F., Huynen, M., Vermeulen, C., &amp; Hambuckers, A. (2014). Use of Camera Traps for Wildlife Studies. A Review. &lt;i&gt;Biotechnology, Agronomy and Society and Environment 18&lt;/i&gt;(3), 446-54.&lt;a href="https://www.researchgate.net/publication/266381944_Use_of_camera_traps_for_wildlife_studies_A_review" target="_blank"&gt;https://www.researchgate.net/publication/266381944_Use_of_camera_traps_for_wildlife_studies_A_review&lt;/a&gt;&lt;span style="color:white"&gt;[.]{#trolliet_et_al_2014}}&lt;/span&gt;&lt;/div&gt;&lt;br&gt;</v>
      </c>
      <c r="O462" s="65" t="str">
        <f>"{{ rtxt_"&amp;F462&amp;" }}"</f>
        <v>{{ rtxt_trolliet_et_al_2014 }}</v>
      </c>
      <c r="P462" s="65" t="str">
        <f>"{{ rbib_"&amp;F462&amp;" }}"</f>
        <v>{{ rbib_trolliet_et_al_2014 }}</v>
      </c>
      <c r="Q462" s="65" t="str">
        <f>"    rtxt_"&amp;F462&amp;": "&amp;""""&amp;"&lt;a href=\"&amp;""""&amp;"/08_references.html#"&amp;F462&amp;"\"&amp;""""&amp;" target=\"&amp;""""&amp;"_blank\"&amp;""""&amp;"&gt;"&amp;G462&amp;"&lt;/a&gt;"&amp;""""</f>
        <v xml:space="preserve">    rtxt_trolliet_et_al_2014: "&lt;a href=\"/08_references.html#trolliet_et_al_2014\" target=\"_blank\"&gt;Trolliet et al., 2014&lt;/a&gt;"</v>
      </c>
      <c r="R462" s="65" t="str">
        <f>"    rbib_"&amp;F462&amp;": "&amp;""""&amp;K462&amp;"&lt;a href=\"&amp;""""&amp;L462&amp;""""&amp;" target=\"&amp;""""&amp;"_blank\"&amp;""""&amp;"&gt;"&amp;L462&amp;"&lt;/a&gt;"&amp;""""</f>
        <v xml:space="preserve">    rbib_trolliet_et_al_2014: "Trolliet, F., Huynen, M., Vermeulen, C., &amp; Hambuckers, A. (2014). Use of Camera Traps for Wildlife Studies. A Review. &lt;i&gt;Biotechnology, Agronomy and Society and Environment 18&lt;/i&gt;(3), 446-54.&lt;a href=\"https://www.researchgate.net/publication/266381944_Use_of_camera_traps_for_wildlife_studies_A_review" target=\"_blank\"&gt;https://www.researchgate.net/publication/266381944_Use_of_camera_traps_for_wildlife_studies_A_review&lt;/a&gt;"</v>
      </c>
      <c r="S462" s="65" t="str">
        <f>"    rbib_"&amp;F462&amp;": "&amp;""""&amp;"&lt;div class=\"&amp;""""&amp;"hanging\"&amp;""""&amp;"&gt;"&amp;J462&amp;"&lt;/div&gt;"&amp;""""</f>
        <v xml:space="preserve">    rbib_trolliet_et_al_2014: "&lt;div class=\"hanging\"&gt;Trolliet, F., Huynen, M., Vermeulen, C., &amp; Hambuckers, A. (2014). Use of Camera Traps for Wildlife Studies. A Review. *Biotechnology, Agronomy and Society and Environment 18*(3), 446-54. &lt;https://www.researchgate.net/publication/266381944_Use_of_camera_traps_for_wildlife_studies_A_review&gt;&lt;/div&gt;"</v>
      </c>
      <c r="T462" s="65"/>
    </row>
    <row r="463" spans="1:20" ht="15.75">
      <c r="A463" s="65"/>
      <c r="B463" s="155" t="b">
        <v>0</v>
      </c>
      <c r="C463" s="155" t="b">
        <v>1</v>
      </c>
      <c r="D463" s="155" t="b">
        <v>0</v>
      </c>
      <c r="E463" s="65" t="s">
        <v>1904</v>
      </c>
      <c r="F463" s="65" t="s">
        <v>2094</v>
      </c>
      <c r="G463" s="65" t="s">
        <v>2093</v>
      </c>
      <c r="H463" s="65" t="s">
        <v>2093</v>
      </c>
      <c r="I463" s="65" t="b">
        <v>1</v>
      </c>
      <c r="J463" s="65" t="s">
        <v>2092</v>
      </c>
      <c r="K463" s="65" t="s">
        <v>5198</v>
      </c>
      <c r="L463" s="65" t="s">
        <v>2091</v>
      </c>
      <c r="M463" s="65" t="s">
        <v>984</v>
      </c>
      <c r="N463" s="65" t="str">
        <f>"&lt;div class="&amp;""""&amp;"hanging"&amp;""""&amp;"&gt;"&amp;K463&amp;"&lt;a href="&amp;""""&amp;L463&amp;""""&amp;" target="&amp;""""&amp;"_blank"&amp;""""&amp;"&gt;"&amp;L463&amp;"&lt;/a&gt;&lt;span style="&amp;""""&amp;"color:white"&amp;""""&amp;"&gt;[.]{#"&amp;F463&amp;"}}&lt;/span&gt;&lt;/div&gt;&lt;br&gt;"</f>
        <v>&lt;div class="hanging"&gt;Tschumi, M., Ekroos, J., Hjort, C., Smith, H. G., &amp; Birkhofer, K. (2018). Rodents, not birds, dominate predation-related ecosystem services and disservices in vertebrate communities of agricultural landscapes. &lt;i&gt;Oecologia, 188&lt;/i&gt;(3), 863-873.&lt;a href="https://doi.org/10.1007/s00442-018-4242-z" target="_blank"&gt;https://doi.org/10.1007/s00442-018-4242-z&lt;/a&gt;&lt;span style="color:white"&gt;[.]{#tschumi_et_al_2018}}&lt;/span&gt;&lt;/div&gt;&lt;br&gt;</v>
      </c>
      <c r="O463" s="65" t="str">
        <f>"{{ rtxt_"&amp;F463&amp;" }}"</f>
        <v>{{ rtxt_tschumi_et_al_2018 }}</v>
      </c>
      <c r="P463" s="65" t="str">
        <f>"{{ rbib_"&amp;F463&amp;" }}"</f>
        <v>{{ rbib_tschumi_et_al_2018 }}</v>
      </c>
      <c r="Q463" s="65" t="str">
        <f>"    rtxt_"&amp;F463&amp;": "&amp;""""&amp;"&lt;a href=\"&amp;""""&amp;"/08_references.html#"&amp;F463&amp;"\"&amp;""""&amp;" target=\"&amp;""""&amp;"_blank\"&amp;""""&amp;"&gt;"&amp;G463&amp;"&lt;/a&gt;"&amp;""""</f>
        <v xml:space="preserve">    rtxt_tschumi_et_al_2018: "&lt;a href=\"/08_references.html#tschumi_et_al_2018\" target=\"_blank\"&gt;Tschumi et al., 2018&lt;/a&gt;"</v>
      </c>
      <c r="R463" s="65" t="str">
        <f>"    rbib_"&amp;F463&amp;": "&amp;""""&amp;K463&amp;"&lt;a href=\"&amp;""""&amp;L463&amp;""""&amp;" target=\"&amp;""""&amp;"_blank\"&amp;""""&amp;"&gt;"&amp;L463&amp;"&lt;/a&gt;"&amp;""""</f>
        <v xml:space="preserve">    rbib_tschumi_et_al_2018: "Tschumi, M., Ekroos, J., Hjort, C., Smith, H. G., &amp; Birkhofer, K. (2018). Rodents, not birds, dominate predation-related ecosystem services and disservices in vertebrate communities of agricultural landscapes. &lt;i&gt;Oecologia, 188&lt;/i&gt;(3), 863-873.&lt;a href=\"https://doi.org/10.1007/s00442-018-4242-z" target=\"_blank\"&gt;https://doi.org/10.1007/s00442-018-4242-z&lt;/a&gt;"</v>
      </c>
      <c r="S463" s="65" t="str">
        <f>"    rbib_"&amp;F463&amp;": "&amp;""""&amp;"&lt;div class=\"&amp;""""&amp;"hanging\"&amp;""""&amp;"&gt;"&amp;J463&amp;"&lt;/div&gt;"&amp;""""</f>
        <v xml:space="preserve">    rbib_tschumi_et_al_2018: "&lt;div class=\"hanging\"&gt;Tschumi, M., Ekroos, J., Hjort, C., Smith, H. G., &amp; Birkhofer, K. (2018). Rodents, not birds, dominate predation-related ecosystem services and disservices in vertebrate communities of agricultural landscapes. *Oecologia, 188* (3), 863-873. &lt;https://doi.org/10.1007/s00442-018-4242-z&gt;&lt;/div&gt;"</v>
      </c>
      <c r="T463" s="65"/>
    </row>
    <row r="464" spans="1:20" ht="15.75">
      <c r="A464" s="65"/>
      <c r="B464" s="155"/>
      <c r="C464" s="155"/>
      <c r="D464" s="155"/>
      <c r="E464" s="65" t="s">
        <v>1945</v>
      </c>
      <c r="F464" s="65" t="s">
        <v>2090</v>
      </c>
      <c r="G464" s="65" t="s">
        <v>2089</v>
      </c>
      <c r="H464" s="65" t="s">
        <v>2089</v>
      </c>
      <c r="I464" s="65" t="b">
        <v>1</v>
      </c>
      <c r="J464" s="65" t="s">
        <v>2088</v>
      </c>
      <c r="K464" s="65" t="s">
        <v>5549</v>
      </c>
      <c r="L464" s="65" t="s">
        <v>2086</v>
      </c>
      <c r="M464" s="65" t="s">
        <v>2087</v>
      </c>
      <c r="N464" s="65" t="str">
        <f>"&lt;div class="&amp;""""&amp;"hanging"&amp;""""&amp;"&gt;"&amp;K464&amp;"&lt;a href="&amp;""""&amp;L464&amp;""""&amp;" target="&amp;""""&amp;"_blank"&amp;""""&amp;"&gt;"&amp;L464&amp;"&lt;/a&gt;&lt;span style="&amp;""""&amp;"color:white"&amp;""""&amp;"&gt;[.]{#"&amp;F464&amp;"}}&lt;/span&gt;&lt;/div&gt;&lt;br&gt;"</f>
        <v>&lt;div class="hanging"&gt;Turlapaty, A. (2014, Jun 15). &lt;i&gt;Probability of Detection: Eg 01.&lt;/i&gt; [Video]. YouTube.&lt;a href="https://www.youtube.com/watch?v=WBgWOQBlNoI" target="_blank"&gt;https://www.youtube.com/watch?v=WBgWOQBlNoI&lt;/a&gt;&lt;span style="color:white"&gt;[.]{#turlapaty_2014}}&lt;/span&gt;&lt;/div&gt;&lt;br&gt;</v>
      </c>
      <c r="O464" s="65" t="str">
        <f>"{{ rtxt_"&amp;F464&amp;" }}"</f>
        <v>{{ rtxt_turlapaty_2014 }}</v>
      </c>
      <c r="P464" s="65" t="str">
        <f>"{{ rbib_"&amp;F464&amp;" }}"</f>
        <v>{{ rbib_turlapaty_2014 }}</v>
      </c>
      <c r="Q464" s="65" t="str">
        <f>"    rtxt_"&amp;F464&amp;": "&amp;""""&amp;"&lt;a href=\"&amp;""""&amp;"/08_references.html#"&amp;F464&amp;"\"&amp;""""&amp;" target=\"&amp;""""&amp;"_blank\"&amp;""""&amp;"&gt;"&amp;G464&amp;"&lt;/a&gt;"&amp;""""</f>
        <v xml:space="preserve">    rtxt_turlapaty_2014: "&lt;a href=\"/08_references.html#turlapaty_2014\" target=\"_blank\"&gt;Turlapaty, 2014&lt;/a&gt;"</v>
      </c>
      <c r="R464" s="65" t="str">
        <f>"    rbib_"&amp;F464&amp;": "&amp;""""&amp;K464&amp;"&lt;a href=\"&amp;""""&amp;L464&amp;""""&amp;" target=\"&amp;""""&amp;"_blank\"&amp;""""&amp;"&gt;"&amp;L464&amp;"&lt;/a&gt;"&amp;""""</f>
        <v xml:space="preserve">    rbib_turlapaty_2014: "Turlapaty, A. (2014, Jun 15). &lt;i&gt;Probability of Detection: Eg 01.&lt;/i&gt; [Video]. YouTube.&lt;a href=\"https://www.youtube.com/watch?v=WBgWOQBlNoI" target=\"_blank\"&gt;https://www.youtube.com/watch?v=WBgWOQBlNoI&lt;/a&gt;"</v>
      </c>
      <c r="S464" s="65" t="str">
        <f>"    rbib_"&amp;F464&amp;": "&amp;""""&amp;"&lt;div class=\"&amp;""""&amp;"hanging\"&amp;""""&amp;"&gt;"&amp;J464&amp;"&lt;/div&gt;"&amp;""""</f>
        <v xml:space="preserve">    rbib_turlapaty_2014: "&lt;div class=\"hanging\"&gt;Turlapaty, A. (2014, Jun 15). *Probability of Detection: Eg 01.* [Video]. YouTube. &lt;https://www.youtube.com/watch?v=WBgWOQBlNoI&gt;&lt;/div&gt;"</v>
      </c>
      <c r="T464" s="65"/>
    </row>
    <row r="465" spans="1:20" ht="15.75">
      <c r="A465" s="65"/>
      <c r="B465" s="155" t="b">
        <v>1</v>
      </c>
      <c r="C465" s="155" t="b">
        <v>0</v>
      </c>
      <c r="D465" s="155" t="b">
        <v>0</v>
      </c>
      <c r="E465" s="65" t="s">
        <v>1904</v>
      </c>
      <c r="F465" s="65" t="s">
        <v>2085</v>
      </c>
      <c r="G465" s="65" t="s">
        <v>2084</v>
      </c>
      <c r="H465" s="65" t="s">
        <v>2084</v>
      </c>
      <c r="I465" s="65" t="b">
        <v>1</v>
      </c>
      <c r="J465" s="65" t="s">
        <v>2083</v>
      </c>
      <c r="K465" s="65" t="s">
        <v>5157</v>
      </c>
      <c r="L465" s="65" t="s">
        <v>2082</v>
      </c>
      <c r="M465" s="65" t="s">
        <v>984</v>
      </c>
      <c r="N465" s="65" t="str">
        <f>"&lt;div class="&amp;""""&amp;"hanging"&amp;""""&amp;"&gt;"&amp;K465&amp;"&lt;a href="&amp;""""&amp;L465&amp;""""&amp;" target="&amp;""""&amp;"_blank"&amp;""""&amp;"&gt;"&amp;L465&amp;"&lt;/a&gt;&lt;span style="&amp;""""&amp;"color:white"&amp;""""&amp;"&gt;[.]{#"&amp;F465&amp;"}}&lt;/span&gt;&lt;/div&gt;&lt;br&gt;"</f>
        <v>&lt;div class="hanging"&gt;Twining, J. P., McFarlane, C., O'Meara, D., O'Reilly, C., Reyne, M., Montgomery, W. I., Helyar, S., Tosh, D. G., &amp; Augustine, B. C. (2022) A Comparison of Density Estimation Methods for Monitoring Marked and Unmarked Animal Populations. &lt;i&gt;Ecosphere, 13&lt;/i&gt;(10), e4165.&lt;a href="https://doi.org/10.1002/ecs2.4165" target="_blank"&gt;https://doi.org/10.1002/ecs2.4165&lt;/a&gt;&lt;span style="color:white"&gt;[.]{#twining_et_al_2022}}&lt;/span&gt;&lt;/div&gt;&lt;br&gt;</v>
      </c>
      <c r="O465" s="65" t="str">
        <f>"{{ rtxt_"&amp;F465&amp;" }}"</f>
        <v>{{ rtxt_twining_et_al_2022 }}</v>
      </c>
      <c r="P465" s="65" t="str">
        <f>"{{ rbib_"&amp;F465&amp;" }}"</f>
        <v>{{ rbib_twining_et_al_2022 }}</v>
      </c>
      <c r="Q465" s="65" t="str">
        <f>"    rtxt_"&amp;F465&amp;": "&amp;""""&amp;"&lt;a href=\"&amp;""""&amp;"/08_references.html#"&amp;F465&amp;"\"&amp;""""&amp;" target=\"&amp;""""&amp;"_blank\"&amp;""""&amp;"&gt;"&amp;G465&amp;"&lt;/a&gt;"&amp;""""</f>
        <v xml:space="preserve">    rtxt_twining_et_al_2022: "&lt;a href=\"/08_references.html#twining_et_al_2022\" target=\"_blank\"&gt;Twining et al., 2022&lt;/a&gt;"</v>
      </c>
      <c r="R465" s="65" t="str">
        <f>"    rbib_"&amp;F465&amp;": "&amp;""""&amp;K465&amp;"&lt;a href=\"&amp;""""&amp;L465&amp;""""&amp;" target=\"&amp;""""&amp;"_blank\"&amp;""""&amp;"&gt;"&amp;L465&amp;"&lt;/a&gt;"&amp;""""</f>
        <v xml:space="preserve">    rbib_twining_et_al_2022: "Twining, J. P., McFarlane, C., O'Meara, D., O'Reilly, C., Reyne, M., Montgomery, W. I., Helyar, S., Tosh, D. G., &amp; Augustine, B. C. (2022) A Comparison of Density Estimation Methods for Monitoring Marked and Unmarked Animal Populations. &lt;i&gt;Ecosphere, 13&lt;/i&gt;(10), e4165.&lt;a href=\"https://doi.org/10.1002/ecs2.4165" target=\"_blank\"&gt;https://doi.org/10.1002/ecs2.4165&lt;/a&gt;"</v>
      </c>
      <c r="S465" s="65" t="str">
        <f>"    rbib_"&amp;F465&amp;": "&amp;""""&amp;"&lt;div class=\"&amp;""""&amp;"hanging\"&amp;""""&amp;"&gt;"&amp;J465&amp;"&lt;/div&gt;"&amp;""""</f>
        <v xml:space="preserve">    rbib_twining_et_al_2022: "&lt;div class=\"hanging\"&gt;Twining, J. P., McFarlane, C., O'Meara, D., O'Reilly, C., Reyne, M., Montgomery, W. I., Helyar, S., Tosh, D. G., &amp; Augustine, B. C. (2022) A Comparison of Density Estimation Methods for Monitoring Marked and Unmarked Animal Populations. *Ecosphere, 13*(10), e4165. &lt;https://doi.org/10.1002/ecs2.4165&gt;&lt;/div&gt;"</v>
      </c>
      <c r="T465" s="65"/>
    </row>
    <row r="466" spans="1:20" ht="15.75">
      <c r="A466" s="65"/>
      <c r="B466" s="155"/>
      <c r="C466" s="155"/>
      <c r="D466" s="155"/>
      <c r="E466" s="65" t="s">
        <v>1950</v>
      </c>
      <c r="F466" s="65" t="s">
        <v>2081</v>
      </c>
      <c r="G466" s="65" t="s">
        <v>2080</v>
      </c>
      <c r="H466" s="65" t="s">
        <v>2080</v>
      </c>
      <c r="I466" s="65" t="b">
        <v>1</v>
      </c>
      <c r="J466" s="65" t="s">
        <v>2079</v>
      </c>
      <c r="K466" s="65" t="s">
        <v>5472</v>
      </c>
      <c r="L466" s="65" t="s">
        <v>2078</v>
      </c>
      <c r="M466" s="65" t="s">
        <v>984</v>
      </c>
      <c r="N466" s="65" t="str">
        <f>"&lt;div class="&amp;""""&amp;"hanging"&amp;""""&amp;"&gt;"&amp;K466&amp;"&lt;a href="&amp;""""&amp;L466&amp;""""&amp;" target="&amp;""""&amp;"_blank"&amp;""""&amp;"&gt;"&amp;L466&amp;"&lt;/a&gt;&lt;span style="&amp;""""&amp;"color:white"&amp;""""&amp;"&gt;[.]{#"&amp;F466&amp;"}}&lt;/span&gt;&lt;/div&gt;&lt;br&gt;"</f>
        <v>&lt;div class="hanging"&gt;University of Cape Town. (2017). &lt;i&gt;SEEC Toolbox seminars.&lt;/i&gt; [Powerpoint].&lt;a href="https://science.uct.ac.za/sites/default/files/content_migration/science_uct_ac_za/708/files/SEEC%2520Stats%2520Toolbox%2520-%2520Spatial%2520capture%2520recapture%2520slides.pdf" target="_blank"&gt;https://science.uct.ac.za/sites/default/files/content_migration/science_uct_ac_za/708/files/SEEC%2520Stats%2520Toolbox%2520-%2520Spatial%2520capture%2520recapture%2520slides.pdf&lt;/a&gt;&lt;span style="color:white"&gt;[.]{#u_capetown_2017}}&lt;/span&gt;&lt;/div&gt;&lt;br&gt;</v>
      </c>
      <c r="O466" s="65" t="str">
        <f>"{{ rtxt_"&amp;F466&amp;" }}"</f>
        <v>{{ rtxt_u_capetown_2017 }}</v>
      </c>
      <c r="P466" s="65" t="str">
        <f>"{{ rbib_"&amp;F466&amp;" }}"</f>
        <v>{{ rbib_u_capetown_2017 }}</v>
      </c>
      <c r="Q466" s="65" t="str">
        <f>"    rtxt_"&amp;F466&amp;": "&amp;""""&amp;"&lt;a href=\"&amp;""""&amp;"/08_references.html#"&amp;F466&amp;"\"&amp;""""&amp;" target=\"&amp;""""&amp;"_blank\"&amp;""""&amp;"&gt;"&amp;G466&amp;"&lt;/a&gt;"&amp;""""</f>
        <v xml:space="preserve">    rtxt_u_capetown_2017: "&lt;a href=\"/08_references.html#u_capetown_2017\" target=\"_blank\"&gt;University of Cape Town, 2017&lt;/a&gt;"</v>
      </c>
      <c r="R466" s="65" t="str">
        <f>"    rbib_"&amp;F466&amp;": "&amp;""""&amp;K466&amp;"&lt;a href=\"&amp;""""&amp;L466&amp;""""&amp;" target=\"&amp;""""&amp;"_blank\"&amp;""""&amp;"&gt;"&amp;L466&amp;"&lt;/a&gt;"&amp;""""</f>
        <v xml:space="preserve">    rbib_u_capetown_2017: "University of Cape Town. (2017). &lt;i&gt;SEEC Toolbox seminars.&lt;/i&gt; [Powerpoint].&lt;a href=\"https://science.uct.ac.za/sites/default/files/content_migration/science_uct_ac_za/708/files/SEEC%2520Stats%2520Toolbox%2520-%2520Spatial%2520capture%2520recapture%2520slides.pdf" target=\"_blank\"&gt;https://science.uct.ac.za/sites/default/files/content_migration/science_uct_ac_za/708/files/SEEC%2520Stats%2520Toolbox%2520-%2520Spatial%2520capture%2520recapture%2520slides.pdf&lt;/a&gt;"</v>
      </c>
      <c r="S466" s="65" t="str">
        <f>"    rbib_"&amp;F466&amp;": "&amp;""""&amp;"&lt;div class=\"&amp;""""&amp;"hanging\"&amp;""""&amp;"&gt;"&amp;J466&amp;"&lt;/div&gt;"&amp;""""</f>
        <v xml:space="preserve">    rbib_u_capetown_2017: "&lt;div class=\"hanging\"&gt;University of Cape Town. (2017). *SEEC Toolbox seminars.* [Powerpoint]. &lt;https://science.uct.ac.za/sites/default/files/content_migration/science_uct_ac_za/708/files/SEEC%2520Stats%2520Toolbox%2520-%2520Spatial%2520capture%2520recapture%2520slides.pdf&gt;&lt;/div&gt;"</v>
      </c>
      <c r="T466" s="65"/>
    </row>
    <row r="467" spans="1:20" ht="15.75">
      <c r="A467" s="65"/>
      <c r="B467" s="155"/>
      <c r="C467" s="155"/>
      <c r="D467" s="155"/>
      <c r="E467" s="65" t="s">
        <v>1950</v>
      </c>
      <c r="F467" s="65" t="s">
        <v>2077</v>
      </c>
      <c r="G467" s="65" t="s">
        <v>2076</v>
      </c>
      <c r="H467" s="65" t="s">
        <v>2076</v>
      </c>
      <c r="I467" s="65" t="b">
        <v>1</v>
      </c>
      <c r="J467" s="65" t="s">
        <v>2075</v>
      </c>
      <c r="K467" s="65" t="s">
        <v>5468</v>
      </c>
      <c r="L467" s="65" t="s">
        <v>2074</v>
      </c>
      <c r="M467" s="65" t="s">
        <v>984</v>
      </c>
      <c r="N467" s="65" t="str">
        <f>"&lt;div class="&amp;""""&amp;"hanging"&amp;""""&amp;"&gt;"&amp;K467&amp;"&lt;a href="&amp;""""&amp;L467&amp;""""&amp;" target="&amp;""""&amp;"_blank"&amp;""""&amp;"&gt;"&amp;L467&amp;"&lt;/a&gt;&lt;span style="&amp;""""&amp;"color:white"&amp;""""&amp;"&gt;[.]{#"&amp;F467&amp;"}}&lt;/span&gt;&lt;/div&gt;&lt;br&gt;"</f>
        <v>&lt;div class="hanging"&gt;University of Cape Town. (2024a). &lt;i&gt;SEEC Toolbox seminars&lt;/i&gt;&lt;a href="https://science.uct.ac.za/seec/stats-toolbox-seminars" target="_blank"&gt;https://science.uct.ac.za/seec/stats-toolbox-seminars&lt;/a&gt;&lt;span style="color:white"&gt;[.]{#u_capetown_2024a}}&lt;/span&gt;&lt;/div&gt;&lt;br&gt;</v>
      </c>
      <c r="O467" s="65" t="str">
        <f>"{{ rtxt_"&amp;F467&amp;" }}"</f>
        <v>{{ rtxt_u_capetown_2024a }}</v>
      </c>
      <c r="P467" s="65" t="str">
        <f>"{{ rbib_"&amp;F467&amp;" }}"</f>
        <v>{{ rbib_u_capetown_2024a }}</v>
      </c>
      <c r="Q467" s="65" t="str">
        <f>"    rtxt_"&amp;F467&amp;": "&amp;""""&amp;"&lt;a href=\"&amp;""""&amp;"/08_references.html#"&amp;F467&amp;"\"&amp;""""&amp;" target=\"&amp;""""&amp;"_blank\"&amp;""""&amp;"&gt;"&amp;G467&amp;"&lt;/a&gt;"&amp;""""</f>
        <v xml:space="preserve">    rtxt_u_capetown_2024a: "&lt;a href=\"/08_references.html#u_capetown_2024a\" target=\"_blank\"&gt;University of Cape Town, 2024a&lt;/a&gt;"</v>
      </c>
      <c r="R467" s="65" t="str">
        <f>"    rbib_"&amp;F467&amp;": "&amp;""""&amp;K467&amp;"&lt;a href=\"&amp;""""&amp;L467&amp;""""&amp;" target=\"&amp;""""&amp;"_blank\"&amp;""""&amp;"&gt;"&amp;L467&amp;"&lt;/a&gt;"&amp;""""</f>
        <v xml:space="preserve">    rbib_u_capetown_2024a: "University of Cape Town. (2024a). &lt;i&gt;SEEC Toolbox seminars&lt;/i&gt;&lt;a href=\"https://science.uct.ac.za/seec/stats-toolbox-seminars" target=\"_blank\"&gt;https://science.uct.ac.za/seec/stats-toolbox-seminars&lt;/a&gt;"</v>
      </c>
      <c r="S467" s="65" t="str">
        <f>"    rbib_"&amp;F467&amp;": "&amp;""""&amp;"&lt;div class=\"&amp;""""&amp;"hanging\"&amp;""""&amp;"&gt;"&amp;J467&amp;"&lt;/div&gt;"&amp;""""</f>
        <v xml:space="preserve">    rbib_u_capetown_2024a: "&lt;div class=\"hanging\"&gt;University of Cape Town. (2024a). *SEEC Toolbox seminars* &lt;https://science.uct.ac.za/seec/stats-toolbox-seminars&gt;&lt;/div&gt;"</v>
      </c>
      <c r="T467" s="65"/>
    </row>
    <row r="468" spans="1:20" ht="15.75">
      <c r="A468" s="65"/>
      <c r="B468" s="155"/>
      <c r="C468" s="155"/>
      <c r="D468" s="155"/>
      <c r="E468" s="65" t="s">
        <v>1950</v>
      </c>
      <c r="F468" s="65" t="s">
        <v>2073</v>
      </c>
      <c r="G468" s="65" t="s">
        <v>2072</v>
      </c>
      <c r="H468" s="65" t="s">
        <v>2072</v>
      </c>
      <c r="I468" s="65" t="b">
        <v>1</v>
      </c>
      <c r="J468" s="65" t="s">
        <v>2071</v>
      </c>
      <c r="K468" s="65" t="s">
        <v>5470</v>
      </c>
      <c r="L468" s="65" t="s">
        <v>2070</v>
      </c>
      <c r="M468" s="65" t="s">
        <v>984</v>
      </c>
      <c r="N468" s="65" t="str">
        <f>"&lt;div class="&amp;""""&amp;"hanging"&amp;""""&amp;"&gt;"&amp;K468&amp;"&lt;a href="&amp;""""&amp;L468&amp;""""&amp;" target="&amp;""""&amp;"_blank"&amp;""""&amp;"&gt;"&amp;L468&amp;"&lt;/a&gt;&lt;span style="&amp;""""&amp;"color:white"&amp;""""&amp;"&gt;[.]{#"&amp;F468&amp;"}}&lt;/span&gt;&lt;/div&gt;&lt;br&gt;"</f>
        <v>&lt;div class="hanging"&gt;University of Cape Town. (2024b). &lt;i&gt;SEEC Toolbox seminars - Spatial Capture-Recapture (SCR) models.&lt;/i&gt;&lt;a href="https://science.uct.ac.za/seec/stats-toolbox-seminars-spatial-and-species-distribution-toolboxes/spatial-capture-recapture-scr-modelling" target="_blank"&gt;https://science.uct.ac.za/seec/stats-toolbox-seminars-spatial-and-species-distribution-toolboxes/spatial-capture-recapture-scr-modelling&lt;/a&gt;&lt;span style="color:white"&gt;[.]{#u_capetown_2024b}}&lt;/span&gt;&lt;/div&gt;&lt;br&gt;</v>
      </c>
      <c r="O468" s="65" t="str">
        <f>"{{ rtxt_"&amp;F468&amp;" }}"</f>
        <v>{{ rtxt_u_capetown_2024b }}</v>
      </c>
      <c r="P468" s="65" t="str">
        <f>"{{ rbib_"&amp;F468&amp;" }}"</f>
        <v>{{ rbib_u_capetown_2024b }}</v>
      </c>
      <c r="Q468" s="65" t="str">
        <f>"    rtxt_"&amp;F468&amp;": "&amp;""""&amp;"&lt;a href=\"&amp;""""&amp;"/08_references.html#"&amp;F468&amp;"\"&amp;""""&amp;" target=\"&amp;""""&amp;"_blank\"&amp;""""&amp;"&gt;"&amp;G468&amp;"&lt;/a&gt;"&amp;""""</f>
        <v xml:space="preserve">    rtxt_u_capetown_2024b: "&lt;a href=\"/08_references.html#u_capetown_2024b\" target=\"_blank\"&gt;University of Cape Town, 2024b&lt;/a&gt;"</v>
      </c>
      <c r="R468" s="65" t="str">
        <f>"    rbib_"&amp;F468&amp;": "&amp;""""&amp;K468&amp;"&lt;a href=\"&amp;""""&amp;L468&amp;""""&amp;" target=\"&amp;""""&amp;"_blank\"&amp;""""&amp;"&gt;"&amp;L468&amp;"&lt;/a&gt;"&amp;""""</f>
        <v xml:space="preserve">    rbib_u_capetown_2024b: "University of Cape Town. (2024b). &lt;i&gt;SEEC Toolbox seminars - Spatial Capture-Recapture (SCR) models.&lt;/i&gt;&lt;a href=\"https://science.uct.ac.za/seec/stats-toolbox-seminars-spatial-and-species-distribution-toolboxes/spatial-capture-recapture-scr-modelling" target=\"_blank\"&gt;https://science.uct.ac.za/seec/stats-toolbox-seminars-spatial-and-species-distribution-toolboxes/spatial-capture-recapture-scr-modelling&lt;/a&gt;"</v>
      </c>
      <c r="S468" s="65" t="str">
        <f>"    rbib_"&amp;F468&amp;": "&amp;""""&amp;"&lt;div class=\"&amp;""""&amp;"hanging\"&amp;""""&amp;"&gt;"&amp;J468&amp;"&lt;/div&gt;"&amp;""""</f>
        <v xml:space="preserve">    rbib_u_capetown_2024b: "&lt;div class=\"hanging\"&gt;University of Cape Town. (2024b). *SEEC Toolbox seminars - Spatial Capture-Recapture (SCR) models.* &lt;https://science.uct.ac.za/seec/stats-toolbox-seminars-spatial-and-species-distribution-toolboxes/spatial-capture-recapture-scr-modelling&gt;&lt;/div&gt;"</v>
      </c>
      <c r="T468" s="65"/>
    </row>
    <row r="469" spans="1:20" ht="15.75">
      <c r="A469" s="65"/>
      <c r="B469" s="155"/>
      <c r="C469" s="155"/>
      <c r="D469" s="155"/>
      <c r="E469" s="65" t="s">
        <v>1950</v>
      </c>
      <c r="F469" s="65" t="s">
        <v>2069</v>
      </c>
      <c r="G469" s="65" t="s">
        <v>2068</v>
      </c>
      <c r="H469" s="65" t="s">
        <v>2068</v>
      </c>
      <c r="I469" s="65" t="b">
        <v>1</v>
      </c>
      <c r="J469" s="65" t="s">
        <v>2067</v>
      </c>
      <c r="K469" s="65" t="s">
        <v>5471</v>
      </c>
      <c r="L469" s="65" t="s">
        <v>2066</v>
      </c>
      <c r="M469" s="65" t="s">
        <v>984</v>
      </c>
      <c r="N469" s="65" t="str">
        <f>"&lt;div class="&amp;""""&amp;"hanging"&amp;""""&amp;"&gt;"&amp;K469&amp;"&lt;a href="&amp;""""&amp;L469&amp;""""&amp;" target="&amp;""""&amp;"_blank"&amp;""""&amp;"&gt;"&amp;L469&amp;"&lt;/a&gt;&lt;span style="&amp;""""&amp;"color:white"&amp;""""&amp;"&gt;[.]{#"&amp;F469&amp;"}}&lt;/span&gt;&lt;/div&gt;&lt;br&gt;"</f>
        <v>&lt;div class="hanging"&gt;University of Cape Town. (2024c). &lt;i&gt;Species Distribution Modelling.&lt;/i&gt;&lt;a href="https://science.uct.ac.za/seec/stats-toolbox-seminars-spatial-and-species-distribution-toolboxes/species-distribution-modelling" target="_blank"&gt;https://science.uct.ac.za/seec/stats-toolbox-seminars-spatial-and-species-distribution-toolboxes/species-distribution-modelling&lt;/a&gt;&lt;span style="color:white"&gt;[.]{#u_capetown_2024c}}&lt;/span&gt;&lt;/div&gt;&lt;br&gt;</v>
      </c>
      <c r="O469" s="65" t="str">
        <f>"{{ rtxt_"&amp;F469&amp;" }}"</f>
        <v>{{ rtxt_u_capetown_2024c }}</v>
      </c>
      <c r="P469" s="65" t="str">
        <f>"{{ rbib_"&amp;F469&amp;" }}"</f>
        <v>{{ rbib_u_capetown_2024c }}</v>
      </c>
      <c r="Q469" s="65" t="str">
        <f>"    rtxt_"&amp;F469&amp;": "&amp;""""&amp;"&lt;a href=\"&amp;""""&amp;"/08_references.html#"&amp;F469&amp;"\"&amp;""""&amp;" target=\"&amp;""""&amp;"_blank\"&amp;""""&amp;"&gt;"&amp;G469&amp;"&lt;/a&gt;"&amp;""""</f>
        <v xml:space="preserve">    rtxt_u_capetown_2024c: "&lt;a href=\"/08_references.html#u_capetown_2024c\" target=\"_blank\"&gt;University of Cape Town, 2024c&lt;/a&gt;"</v>
      </c>
      <c r="R469" s="65" t="str">
        <f>"    rbib_"&amp;F469&amp;": "&amp;""""&amp;K469&amp;"&lt;a href=\"&amp;""""&amp;L469&amp;""""&amp;" target=\"&amp;""""&amp;"_blank\"&amp;""""&amp;"&gt;"&amp;L469&amp;"&lt;/a&gt;"&amp;""""</f>
        <v xml:space="preserve">    rbib_u_capetown_2024c: "University of Cape Town. (2024c). &lt;i&gt;Species Distribution Modelling.&lt;/i&gt;&lt;a href=\"https://science.uct.ac.za/seec/stats-toolbox-seminars-spatial-and-species-distribution-toolboxes/species-distribution-modelling" target=\"_blank\"&gt;https://science.uct.ac.za/seec/stats-toolbox-seminars-spatial-and-species-distribution-toolboxes/species-distribution-modelling&lt;/a&gt;"</v>
      </c>
      <c r="S469" s="65" t="str">
        <f>"    rbib_"&amp;F469&amp;": "&amp;""""&amp;"&lt;div class=\"&amp;""""&amp;"hanging\"&amp;""""&amp;"&gt;"&amp;J469&amp;"&lt;/div&gt;"&amp;""""</f>
        <v xml:space="preserve">    rbib_u_capetown_2024c: "&lt;div class=\"hanging\"&gt;University of Cape Town. (2024c). *Species Distribution Modelling.* &lt;https://science.uct.ac.za/seec/stats-toolbox-seminars-spatial-and-species-distribution-toolboxes/species-distribution-modelling&gt;&lt;/div&gt;"</v>
      </c>
      <c r="T469" s="65"/>
    </row>
    <row r="470" spans="1:20" ht="15.75">
      <c r="A470" s="65"/>
      <c r="B470" s="155"/>
      <c r="C470" s="155"/>
      <c r="D470" s="155"/>
      <c r="E470" s="65" t="s">
        <v>1950</v>
      </c>
      <c r="F470" s="65" t="s">
        <v>2065</v>
      </c>
      <c r="G470" s="65" t="s">
        <v>2064</v>
      </c>
      <c r="H470" s="65" t="s">
        <v>2064</v>
      </c>
      <c r="I470" s="65" t="b">
        <v>1</v>
      </c>
      <c r="J470" s="65" t="s">
        <v>2063</v>
      </c>
      <c r="K470" s="65" t="s">
        <v>5469</v>
      </c>
      <c r="L470" s="65" t="s">
        <v>2062</v>
      </c>
      <c r="M470" s="65" t="s">
        <v>984</v>
      </c>
      <c r="N470" s="65" t="str">
        <f>"&lt;div class="&amp;""""&amp;"hanging"&amp;""""&amp;"&gt;"&amp;K470&amp;"&lt;a href="&amp;""""&amp;L470&amp;""""&amp;" target="&amp;""""&amp;"_blank"&amp;""""&amp;"&gt;"&amp;L470&amp;"&lt;/a&gt;&lt;span style="&amp;""""&amp;"color:white"&amp;""""&amp;"&gt;[.]{#"&amp;F470&amp;"}}&lt;/span&gt;&lt;/div&gt;&lt;br&gt;"</f>
        <v>&lt;div class="hanging"&gt;University of Cape Town. (2024d). &lt;i&gt;Single-season occupancy models using a Bayesian approach.&lt;/i&gt;&lt;a href="https://science.uct.ac.za/seec/stats-toolbox-seminars-spatial-and-species-distribution-toolboxes/single-season-occupancy-models-using-bayesian-approach" target="_blank"&gt;https://science.uct.ac.za/seec/stats-toolbox-seminars-spatial-and-species-distribution-toolboxes/single-season-occupancy-models-using-bayesian-approach&lt;/a&gt;&lt;span style="color:white"&gt;[.]{#u_capetown_2024d}}&lt;/span&gt;&lt;/div&gt;&lt;br&gt;</v>
      </c>
      <c r="O470" s="65" t="str">
        <f>"{{ rtxt_"&amp;F470&amp;" }}"</f>
        <v>{{ rtxt_u_capetown_2024d }}</v>
      </c>
      <c r="P470" s="65" t="str">
        <f>"{{ rbib_"&amp;F470&amp;" }}"</f>
        <v>{{ rbib_u_capetown_2024d }}</v>
      </c>
      <c r="Q470" s="65" t="str">
        <f>"    rtxt_"&amp;F470&amp;": "&amp;""""&amp;"&lt;a href=\"&amp;""""&amp;"/08_references.html#"&amp;F470&amp;"\"&amp;""""&amp;" target=\"&amp;""""&amp;"_blank\"&amp;""""&amp;"&gt;"&amp;G470&amp;"&lt;/a&gt;"&amp;""""</f>
        <v xml:space="preserve">    rtxt_u_capetown_2024d: "&lt;a href=\"/08_references.html#u_capetown_2024d\" target=\"_blank\"&gt;University of Cape Town, 2024d&lt;/a&gt;"</v>
      </c>
      <c r="R470" s="65" t="str">
        <f>"    rbib_"&amp;F470&amp;": "&amp;""""&amp;K470&amp;"&lt;a href=\"&amp;""""&amp;L470&amp;""""&amp;" target=\"&amp;""""&amp;"_blank\"&amp;""""&amp;"&gt;"&amp;L470&amp;"&lt;/a&gt;"&amp;""""</f>
        <v xml:space="preserve">    rbib_u_capetown_2024d: "University of Cape Town. (2024d). &lt;i&gt;Single-season occupancy models using a Bayesian approach.&lt;/i&gt;&lt;a href=\"https://science.uct.ac.za/seec/stats-toolbox-seminars-spatial-and-species-distribution-toolboxes/single-season-occupancy-models-using-bayesian-approach" target=\"_blank\"&gt;https://science.uct.ac.za/seec/stats-toolbox-seminars-spatial-and-species-distribution-toolboxes/single-season-occupancy-models-using-bayesian-approach&lt;/a&gt;"</v>
      </c>
      <c r="S470" s="65" t="str">
        <f>"    rbib_"&amp;F470&amp;": "&amp;""""&amp;"&lt;div class=\"&amp;""""&amp;"hanging\"&amp;""""&amp;"&gt;"&amp;J470&amp;"&lt;/div&gt;"&amp;""""</f>
        <v xml:space="preserve">    rbib_u_capetown_2024d: "&lt;div class=\"hanging\"&gt;University of Cape Town. (2024d). *Single-season occupancy models using a Bayesian approach.* &lt;https://science.uct.ac.za/seec/stats-toolbox-seminars-spatial-and-species-distribution-toolboxes/single-season-occupancy-models-using-bayesian-approach&gt;&lt;/div&gt;"</v>
      </c>
      <c r="T470" s="65"/>
    </row>
    <row r="471" spans="1:20" ht="15.75">
      <c r="A471" s="65"/>
      <c r="B471" s="155" t="b">
        <v>0</v>
      </c>
      <c r="C471" s="155" t="b">
        <v>0</v>
      </c>
      <c r="D471" s="155" t="s">
        <v>1993</v>
      </c>
      <c r="E471" s="65" t="s">
        <v>984</v>
      </c>
      <c r="F471" s="65" t="s">
        <v>2061</v>
      </c>
      <c r="G471" s="65" t="s">
        <v>2060</v>
      </c>
      <c r="H471" s="65" t="s">
        <v>2060</v>
      </c>
      <c r="I471" s="65" t="b">
        <v>1</v>
      </c>
      <c r="J471" s="65" t="s">
        <v>2059</v>
      </c>
      <c r="K471" s="65" t="s">
        <v>5512</v>
      </c>
      <c r="L471" s="65" t="s">
        <v>2058</v>
      </c>
      <c r="M471" s="65" t="s">
        <v>984</v>
      </c>
      <c r="N471" s="65" t="str">
        <f>"&lt;div class="&amp;""""&amp;"hanging"&amp;""""&amp;"&gt;"&amp;K471&amp;"&lt;a href="&amp;""""&amp;L471&amp;""""&amp;" target="&amp;""""&amp;"_blank"&amp;""""&amp;"&gt;"&amp;L471&amp;"&lt;/a&gt;&lt;span style="&amp;""""&amp;"color:white"&amp;""""&amp;"&gt;[.]{#"&amp;F471&amp;"}}&lt;/span&gt;&lt;/div&gt;&lt;br&gt;"</f>
        <v>&lt;div class="hanging"&gt;Van Berkel, T. (2014). &lt;i&gt;Camera trapping for wildlife conservation: Expedition field techniques&lt;/i&gt;. Geography Outdoors.&lt;a href="https://www.researchgate.net/publication/339271024_Expedition_Field_Techniques_Camera_Trapping" target="_blank"&gt;https://www.researchgate.net/publication/339271024_Expedition_Field_Techniques_Camera_Trapping&lt;/a&gt;&lt;span style="color:white"&gt;[.]{#van_berkel_2014}}&lt;/span&gt;&lt;/div&gt;&lt;br&gt;</v>
      </c>
      <c r="O471" s="65" t="str">
        <f>"{{ rtxt_"&amp;F471&amp;" }}"</f>
        <v>{{ rtxt_van_berkel_2014 }}</v>
      </c>
      <c r="P471" s="65" t="str">
        <f>"{{ rbib_"&amp;F471&amp;" }}"</f>
        <v>{{ rbib_van_berkel_2014 }}</v>
      </c>
      <c r="Q471" s="65" t="str">
        <f>"    rtxt_"&amp;F471&amp;": "&amp;""""&amp;"&lt;a href=\"&amp;""""&amp;"/08_references.html#"&amp;F471&amp;"\"&amp;""""&amp;" target=\"&amp;""""&amp;"_blank\"&amp;""""&amp;"&gt;"&amp;G471&amp;"&lt;/a&gt;"&amp;""""</f>
        <v xml:space="preserve">    rtxt_van_berkel_2014: "&lt;a href=\"/08_references.html#van_berkel_2014\" target=\"_blank\"&gt;Van Berkel, 2014&lt;/a&gt;"</v>
      </c>
      <c r="R471" s="65" t="str">
        <f>"    rbib_"&amp;F471&amp;": "&amp;""""&amp;K471&amp;"&lt;a href=\"&amp;""""&amp;L471&amp;""""&amp;" target=\"&amp;""""&amp;"_blank\"&amp;""""&amp;"&gt;"&amp;L471&amp;"&lt;/a&gt;"&amp;""""</f>
        <v xml:space="preserve">    rbib_van_berkel_2014: "Van Berkel, T. (2014). &lt;i&gt;Camera trapping for wildlife conservation: Expedition field techniques&lt;/i&gt;. Geography Outdoors.&lt;a href=\"https://www.researchgate.net/publication/339271024_Expedition_Field_Techniques_Camera_Trapping" target=\"_blank\"&gt;https://www.researchgate.net/publication/339271024_Expedition_Field_Techniques_Camera_Trapping&lt;/a&gt;"</v>
      </c>
      <c r="S471" s="65" t="str">
        <f>"    rbib_"&amp;F471&amp;": "&amp;""""&amp;"&lt;div class=\"&amp;""""&amp;"hanging\"&amp;""""&amp;"&gt;"&amp;J471&amp;"&lt;/div&gt;"&amp;""""</f>
        <v xml:space="preserve">    rbib_van_berkel_2014: "&lt;div class=\"hanging\"&gt;Van Berkel, T. (2014). *Camera trapping for wildlife conservation: Expedition field techniques*. Geography Outdoors. &lt;https://www.researchgate.net/publication/339271024_Expedition_Field_Techniques_Camera_Trapping&gt;&lt;/div&gt;"</v>
      </c>
      <c r="T471" s="65"/>
    </row>
    <row r="472" spans="1:20" ht="15.75">
      <c r="A472" s="65"/>
      <c r="B472" s="155" t="b">
        <v>0</v>
      </c>
      <c r="C472" s="155" t="b">
        <v>0</v>
      </c>
      <c r="D472" s="155" t="b">
        <v>1</v>
      </c>
      <c r="E472" s="65" t="s">
        <v>1904</v>
      </c>
      <c r="F472" s="65" t="s">
        <v>2057</v>
      </c>
      <c r="G472" s="65" t="s">
        <v>2056</v>
      </c>
      <c r="H472" s="65" t="s">
        <v>2056</v>
      </c>
      <c r="I472" s="65" t="b">
        <v>1</v>
      </c>
      <c r="J472" s="65" t="s">
        <v>2055</v>
      </c>
      <c r="K472" s="65" t="s">
        <v>5412</v>
      </c>
      <c r="L472" s="65" t="s">
        <v>2054</v>
      </c>
      <c r="M472" s="65" t="s">
        <v>984</v>
      </c>
      <c r="N472" s="65" t="str">
        <f>"&lt;div class="&amp;""""&amp;"hanging"&amp;""""&amp;"&gt;"&amp;K472&amp;"&lt;a href="&amp;""""&amp;L472&amp;""""&amp;" target="&amp;""""&amp;"_blank"&amp;""""&amp;"&gt;"&amp;L472&amp;"&lt;/a&gt;&lt;span style="&amp;""""&amp;"color:white"&amp;""""&amp;"&gt;[.]{#"&amp;F472&amp;"}}&lt;/span&gt;&lt;/div&gt;&lt;br&gt;"</f>
        <v>&lt;div class="hanging"&gt;Van Dooren, T. J. M. (2016). Pollinator species richness: Are the declines slowing down? &lt;i&gt;Nature Conservation, 15&lt;/i&gt;, 11-22.&lt;a href="https://doi.org/10.3897/natureconservation.15.9616" target="_blank"&gt;https://doi.org/10.3897/natureconservation.15.9616&lt;/a&gt;&lt;span style="color:white"&gt;[.]{#vandooren_2016}}&lt;/span&gt;&lt;/div&gt;&lt;br&gt;</v>
      </c>
      <c r="O472" s="65" t="str">
        <f>"{{ rtxt_"&amp;F472&amp;" }}"</f>
        <v>{{ rtxt_vandooren_2016 }}</v>
      </c>
      <c r="P472" s="65" t="str">
        <f>"{{ rbib_"&amp;F472&amp;" }}"</f>
        <v>{{ rbib_vandooren_2016 }}</v>
      </c>
      <c r="Q472" s="65" t="str">
        <f>"    rtxt_"&amp;F472&amp;": "&amp;""""&amp;"&lt;a href=\"&amp;""""&amp;"/08_references.html#"&amp;F472&amp;"\"&amp;""""&amp;" target=\"&amp;""""&amp;"_blank\"&amp;""""&amp;"&gt;"&amp;G472&amp;"&lt;/a&gt;"&amp;""""</f>
        <v xml:space="preserve">    rtxt_vandooren_2016: "&lt;a href=\"/08_references.html#vandooren_2016\" target=\"_blank\"&gt;Van Dooren, 2016&lt;/a&gt;"</v>
      </c>
      <c r="R472" s="65" t="str">
        <f>"    rbib_"&amp;F472&amp;": "&amp;""""&amp;K472&amp;"&lt;a href=\"&amp;""""&amp;L472&amp;""""&amp;" target=\"&amp;""""&amp;"_blank\"&amp;""""&amp;"&gt;"&amp;L472&amp;"&lt;/a&gt;"&amp;""""</f>
        <v xml:space="preserve">    rbib_vandooren_2016: "Van Dooren, T. J. M. (2016). Pollinator species richness: Are the declines slowing down? &lt;i&gt;Nature Conservation, 15&lt;/i&gt;, 11-22.&lt;a href=\"https://doi.org/10.3897/natureconservation.15.9616" target=\"_blank\"&gt;https://doi.org/10.3897/natureconservation.15.9616&lt;/a&gt;"</v>
      </c>
      <c r="S472" s="65" t="str">
        <f>"    rbib_"&amp;F472&amp;": "&amp;""""&amp;"&lt;div class=\"&amp;""""&amp;"hanging\"&amp;""""&amp;"&gt;"&amp;J472&amp;"&lt;/div&gt;"&amp;""""</f>
        <v xml:space="preserve">    rbib_vandooren_2016: "&lt;div class=\"hanging\"&gt;Van Dooren, T. J. M. (2016). Pollinator species richness: Are the declines slowing down? *Nature Conservation, 15*, 11-22. &lt;https://doi.org/10.3897/natureconservation.15.9616&gt;&lt;/div&gt;"</v>
      </c>
      <c r="T472" s="65"/>
    </row>
    <row r="473" spans="1:20" ht="15.75">
      <c r="A473" s="65"/>
      <c r="B473" s="155" t="b">
        <v>1</v>
      </c>
      <c r="C473" s="155" t="b">
        <v>0</v>
      </c>
      <c r="D473" s="155" t="b">
        <v>0</v>
      </c>
      <c r="E473" s="65" t="s">
        <v>1904</v>
      </c>
      <c r="F473" s="65" t="s">
        <v>2053</v>
      </c>
      <c r="G473" s="65" t="s">
        <v>2052</v>
      </c>
      <c r="H473" s="65" t="s">
        <v>2052</v>
      </c>
      <c r="I473" s="65" t="b">
        <v>1</v>
      </c>
      <c r="J473" s="65" t="s">
        <v>2051</v>
      </c>
      <c r="K473" s="65" t="s">
        <v>5443</v>
      </c>
      <c r="L473" s="65" t="s">
        <v>2050</v>
      </c>
      <c r="M473" s="65" t="s">
        <v>984</v>
      </c>
      <c r="N473" s="65" t="str">
        <f>"&lt;div class="&amp;""""&amp;"hanging"&amp;""""&amp;"&gt;"&amp;K473&amp;"&lt;a href="&amp;""""&amp;L473&amp;""""&amp;" target="&amp;""""&amp;"_blank"&amp;""""&amp;"&gt;"&amp;L473&amp;"&lt;/a&gt;&lt;span style="&amp;""""&amp;"color:white"&amp;""""&amp;"&gt;[.]{#"&amp;F473&amp;"}}&lt;/span&gt;&lt;/div&gt;&lt;br&gt;"</f>
        <v>&lt;div class="hanging"&gt;Van Wilgenburg, S. L., Mahon, C. L., Campbell, G., McLeod, L., Campbell, M., Evans, D., Easton, W., Francis, C. M., Hache, S., Machtans, C. S., Mader, C., Pankratz, R. F., Russell, R., Smith, A. C., Thomas, P., Toms, J. D., &amp; Tremblay, J. A. (2020). A Cost Efficient Spatially Balanced Hierarchical Sampling Design for Monitoring Boreal Birds Incorporating Access Costs and Habitat Stratification. &lt;i&gt;PLoS ONE, 15&lt;/i&gt;(6).&lt;a href="https://journals.plos.org/plosone/article?id=10.1371/journal.pone.0234494" target="_blank"&gt;https://journals.plos.org/plosone/article?id=10.1371/journal.pone.0234494&lt;/a&gt;&lt;span style="color:white"&gt;[.]{#vanwilgenburg_et_al_2020}}&lt;/span&gt;&lt;/div&gt;&lt;br&gt;</v>
      </c>
      <c r="O473" s="65" t="str">
        <f>"{{ rtxt_"&amp;F473&amp;" }}"</f>
        <v>{{ rtxt_vanwilgenburg_et_al_2020 }}</v>
      </c>
      <c r="P473" s="65" t="str">
        <f>"{{ rbib_"&amp;F473&amp;" }}"</f>
        <v>{{ rbib_vanwilgenburg_et_al_2020 }}</v>
      </c>
      <c r="Q473" s="65" t="str">
        <f>"    rtxt_"&amp;F473&amp;": "&amp;""""&amp;"&lt;a href=\"&amp;""""&amp;"/08_references.html#"&amp;F473&amp;"\"&amp;""""&amp;" target=\"&amp;""""&amp;"_blank\"&amp;""""&amp;"&gt;"&amp;G473&amp;"&lt;/a&gt;"&amp;""""</f>
        <v xml:space="preserve">    rtxt_vanwilgenburg_et_al_2020: "&lt;a href=\"/08_references.html#vanwilgenburg_et_al_2020\" target=\"_blank\"&gt;Van Wilgenburg et al., 2020&lt;/a&gt;"</v>
      </c>
      <c r="R473" s="65" t="str">
        <f>"    rbib_"&amp;F473&amp;": "&amp;""""&amp;K473&amp;"&lt;a href=\"&amp;""""&amp;L473&amp;""""&amp;" target=\"&amp;""""&amp;"_blank\"&amp;""""&amp;"&gt;"&amp;L473&amp;"&lt;/a&gt;"&amp;""""</f>
        <v xml:space="preserve">    rbib_vanwilgenburg_et_al_2020: "Van Wilgenburg, S. L., Mahon, C. L., Campbell, G., McLeod, L., Campbell, M., Evans, D., Easton, W., Francis, C. M., Hache, S., Machtans, C. S., Mader, C., Pankratz, R. F., Russell, R., Smith, A. C., Thomas, P., Toms, J. D., &amp; Tremblay, J. A. (2020). A Cost Efficient Spatially Balanced Hierarchical Sampling Design for Monitoring Boreal Birds Incorporating Access Costs and Habitat Stratification. &lt;i&gt;PLoS ONE, 15&lt;/i&gt;(6).&lt;a href=\"https://journals.plos.org/plosone/article?id=10.1371/journal.pone.0234494" target=\"_blank\"&gt;https://journals.plos.org/plosone/article?id=10.1371/journal.pone.0234494&lt;/a&gt;"</v>
      </c>
      <c r="S473" s="65" t="str">
        <f>"    rbib_"&amp;F473&amp;": "&amp;""""&amp;"&lt;div class=\"&amp;""""&amp;"hanging\"&amp;""""&amp;"&gt;"&amp;J473&amp;"&lt;/div&gt;"&amp;""""</f>
        <v xml:space="preserve">    rbib_vanwilgenburg_et_al_2020: "&lt;div class=\"hanging\"&gt;Van Wilgenburg, S. L., Mahon, C. L., Campbell, G., McLeod, L., Campbell, M., Evans, D., Easton, W., Francis, C. M., Hache, S., Machtans, C. S., Mader, C., Pankratz, R. F., Russell, R., Smith, A. C., Thomas, P., Toms, J. D., &amp; Tremblay, J. A. (2020). A Cost Efficient Spatially Balanced Hierarchical Sampling Design for Monitoring Boreal Birds Incorporating Access Costs and Habitat Stratification. *PLoS ONE, 15*(6). &lt;https://journals.plos.org/plosone/article?id=10.1371/journal.pone.0234494&gt;&lt;/div&gt;"</v>
      </c>
      <c r="T473" s="65"/>
    </row>
    <row r="474" spans="1:20" ht="15.75">
      <c r="A474" s="65"/>
      <c r="B474" s="155" t="b">
        <v>1</v>
      </c>
      <c r="C474" s="155" t="b">
        <v>0</v>
      </c>
      <c r="D474" s="155" t="b">
        <v>0</v>
      </c>
      <c r="E474" s="65" t="s">
        <v>1904</v>
      </c>
      <c r="F474" s="65" t="s">
        <v>2049</v>
      </c>
      <c r="G474" s="65" t="s">
        <v>2048</v>
      </c>
      <c r="H474" s="65" t="s">
        <v>2048</v>
      </c>
      <c r="I474" s="65" t="b">
        <v>1</v>
      </c>
      <c r="J474" s="65" t="s">
        <v>2047</v>
      </c>
      <c r="K474" s="65" t="s">
        <v>5297</v>
      </c>
      <c r="L474" s="65" t="s">
        <v>2046</v>
      </c>
      <c r="M474" s="65" t="s">
        <v>984</v>
      </c>
      <c r="N474" s="65" t="str">
        <f>"&lt;div class="&amp;""""&amp;"hanging"&amp;""""&amp;"&gt;"&amp;K474&amp;"&lt;a href="&amp;""""&amp;L474&amp;""""&amp;" target="&amp;""""&amp;"_blank"&amp;""""&amp;"&gt;"&amp;L474&amp;"&lt;/a&gt;&lt;span style="&amp;""""&amp;"color:white"&amp;""""&amp;"&gt;[.]{#"&amp;F474&amp;"}}&lt;/span&gt;&lt;/div&gt;&lt;br&gt;"</f>
        <v>&lt;div class="hanging"&gt;Velez, J., McShea, W., Shamon, H., Castiblanco-Camacho, P. J., Tabak, M. A., Chalmers, C., Fergus, P., &amp; Fieberg, J. (2023). An Evaluation of Platforms for Processing Camera-Trap Data using Artificial Intelligence. &lt;i&gt;Methods in Ecology and Evolution, 145&lt;/i&gt;, 459-477.&lt;a href="https://doi.org/10.1111/2041-210X.14044" target="_blank"&gt;https://doi.org/10.1111/2041-210X.14044&lt;/a&gt;&lt;span style="color:white"&gt;[.]{#velez_et_al_2023}}&lt;/span&gt;&lt;/div&gt;&lt;br&gt;</v>
      </c>
      <c r="O474" s="65" t="str">
        <f>"{{ rtxt_"&amp;F474&amp;" }}"</f>
        <v>{{ rtxt_velez_et_al_2023 }}</v>
      </c>
      <c r="P474" s="65" t="str">
        <f>"{{ rbib_"&amp;F474&amp;" }}"</f>
        <v>{{ rbib_velez_et_al_2023 }}</v>
      </c>
      <c r="Q474" s="65" t="str">
        <f>"    rtxt_"&amp;F474&amp;": "&amp;""""&amp;"&lt;a href=\"&amp;""""&amp;"/08_references.html#"&amp;F474&amp;"\"&amp;""""&amp;" target=\"&amp;""""&amp;"_blank\"&amp;""""&amp;"&gt;"&amp;G474&amp;"&lt;/a&gt;"&amp;""""</f>
        <v xml:space="preserve">    rtxt_velez_et_al_2023: "&lt;a href=\"/08_references.html#velez_et_al_2023\" target=\"_blank\"&gt;Velez et al., 2023&lt;/a&gt;"</v>
      </c>
      <c r="R474" s="65" t="str">
        <f>"    rbib_"&amp;F474&amp;": "&amp;""""&amp;K474&amp;"&lt;a href=\"&amp;""""&amp;L474&amp;""""&amp;" target=\"&amp;""""&amp;"_blank\"&amp;""""&amp;"&gt;"&amp;L474&amp;"&lt;/a&gt;"&amp;""""</f>
        <v xml:space="preserve">    rbib_velez_et_al_2023: "Velez, J., McShea, W., Shamon, H., Castiblanco-Camacho, P. J., Tabak, M. A., Chalmers, C., Fergus, P., &amp; Fieberg, J. (2023). An Evaluation of Platforms for Processing Camera-Trap Data using Artificial Intelligence. &lt;i&gt;Methods in Ecology and Evolution, 145&lt;/i&gt;, 459-477.&lt;a href=\"https://doi.org/10.1111/2041-210X.14044" target=\"_blank\"&gt;https://doi.org/10.1111/2041-210X.14044&lt;/a&gt;"</v>
      </c>
      <c r="S474" s="65" t="str">
        <f>"    rbib_"&amp;F474&amp;": "&amp;""""&amp;"&lt;div class=\"&amp;""""&amp;"hanging\"&amp;""""&amp;"&gt;"&amp;J474&amp;"&lt;/div&gt;"&amp;""""</f>
        <v xml:space="preserve">    rbib_velez_et_al_2023: "&lt;div class=\"hanging\"&gt;Velez, J., McShea, W., Shamon, H., Castiblanco-Camacho, P. J., Tabak, M. A., Chalmers, C., Fergus, P., &amp; Fieberg, J. (2023). An Evaluation of Platforms for Processing Camera-Trap Data using Artificial Intelligence. *Methods in Ecology and Evolution, 145*, 459-477. &lt;https://doi.org/10.1111/2041-210X.14044&gt;&lt;/div&gt;"</v>
      </c>
      <c r="T474" s="65"/>
    </row>
    <row r="475" spans="1:20" ht="15.75">
      <c r="A475" s="65"/>
      <c r="B475" s="155" t="b">
        <v>1</v>
      </c>
      <c r="C475" s="155" t="b">
        <v>0</v>
      </c>
      <c r="D475" s="155" t="b">
        <v>0</v>
      </c>
      <c r="E475" s="65" t="s">
        <v>1904</v>
      </c>
      <c r="F475" s="65" t="s">
        <v>2045</v>
      </c>
      <c r="G475" s="65" t="s">
        <v>2044</v>
      </c>
      <c r="H475" s="65" t="s">
        <v>2044</v>
      </c>
      <c r="I475" s="65" t="b">
        <v>1</v>
      </c>
      <c r="J475" s="65" t="s">
        <v>2043</v>
      </c>
      <c r="K475" s="65" t="s">
        <v>5107</v>
      </c>
      <c r="L475" s="65" t="s">
        <v>2042</v>
      </c>
      <c r="M475" s="65" t="s">
        <v>984</v>
      </c>
      <c r="N475" s="65" t="str">
        <f>"&lt;div class="&amp;""""&amp;"hanging"&amp;""""&amp;"&gt;"&amp;K475&amp;"&lt;a href="&amp;""""&amp;L475&amp;""""&amp;" target="&amp;""""&amp;"_blank"&amp;""""&amp;"&gt;"&amp;L475&amp;"&lt;/a&gt;&lt;span style="&amp;""""&amp;"color:white"&amp;""""&amp;"&gt;[.]{#"&amp;F475&amp;"}}&lt;/span&gt;&lt;/div&gt;&lt;br&gt;"</f>
        <v>&lt;div class="hanging"&gt;Vidal, M., Wolf, N., Rosenberg, B., Harris, B. P., &amp; Mathis, A. (2021). Perspectives on Individual Animal Identification from Biology and Computer Vision. &lt;i&gt;Integrative and Comparative Biology, 61&lt;/i&gt;(3), 900-916.&lt;a href="https://academic.oup.com/icb/article/61/3/900/6288456" target="_blank"&gt;https://academic.oup.com/icb/article/61/3/900/6288456&lt;/a&gt;&lt;span style="color:white"&gt;[.]{#vidal_et_al_2021}}&lt;/span&gt;&lt;/div&gt;&lt;br&gt;</v>
      </c>
      <c r="O475" s="65" t="str">
        <f>"{{ rtxt_"&amp;F475&amp;" }}"</f>
        <v>{{ rtxt_vidal_et_al_2021 }}</v>
      </c>
      <c r="P475" s="65" t="str">
        <f>"{{ rbib_"&amp;F475&amp;" }}"</f>
        <v>{{ rbib_vidal_et_al_2021 }}</v>
      </c>
      <c r="Q475" s="65" t="str">
        <f>"    rtxt_"&amp;F475&amp;": "&amp;""""&amp;"&lt;a href=\"&amp;""""&amp;"/08_references.html#"&amp;F475&amp;"\"&amp;""""&amp;" target=\"&amp;""""&amp;"_blank\"&amp;""""&amp;"&gt;"&amp;G475&amp;"&lt;/a&gt;"&amp;""""</f>
        <v xml:space="preserve">    rtxt_vidal_et_al_2021: "&lt;a href=\"/08_references.html#vidal_et_al_2021\" target=\"_blank\"&gt;Vidal et al., 2021&lt;/a&gt;"</v>
      </c>
      <c r="R475" s="65" t="str">
        <f>"    rbib_"&amp;F475&amp;": "&amp;""""&amp;K475&amp;"&lt;a href=\"&amp;""""&amp;L475&amp;""""&amp;" target=\"&amp;""""&amp;"_blank\"&amp;""""&amp;"&gt;"&amp;L475&amp;"&lt;/a&gt;"&amp;""""</f>
        <v xml:space="preserve">    rbib_vidal_et_al_2021: "Vidal, M., Wolf, N., Rosenberg, B., Harris, B. P., &amp; Mathis, A. (2021). Perspectives on Individual Animal Identification from Biology and Computer Vision. &lt;i&gt;Integrative and Comparative Biology, 61&lt;/i&gt;(3), 900-916.&lt;a href=\"https://academic.oup.com/icb/article/61/3/900/6288456" target=\"_blank\"&gt;https://academic.oup.com/icb/article/61/3/900/6288456&lt;/a&gt;"</v>
      </c>
      <c r="S475" s="65" t="str">
        <f>"    rbib_"&amp;F475&amp;": "&amp;""""&amp;"&lt;div class=\"&amp;""""&amp;"hanging\"&amp;""""&amp;"&gt;"&amp;J475&amp;"&lt;/div&gt;"&amp;""""</f>
        <v xml:space="preserve">    rbib_vidal_et_al_2021: "&lt;div class=\"hanging\"&gt;Vidal, M., Wolf, N., Rosenberg, B., Harris, B. P., &amp; Mathis, A. (2021). Perspectives on Individual Animal Identification from Biology and Computer Vision. *Integrative and Comparative Biology, 61*(3), 900-916. &lt;https://academic.oup.com/icb/article/61/3/900/6288456&gt;&lt;/div&gt;"</v>
      </c>
      <c r="T475" s="65"/>
    </row>
    <row r="476" spans="1:20" ht="15.75">
      <c r="A476" s="65"/>
      <c r="B476" s="155"/>
      <c r="C476" s="155"/>
      <c r="D476" s="155"/>
      <c r="E476" s="65" t="s">
        <v>1904</v>
      </c>
      <c r="F476" s="65" t="s">
        <v>2041</v>
      </c>
      <c r="G476" s="65" t="s">
        <v>2040</v>
      </c>
      <c r="H476" s="65" t="s">
        <v>2040</v>
      </c>
      <c r="I476" s="65" t="b">
        <v>1</v>
      </c>
      <c r="J476" s="65" t="s">
        <v>3961</v>
      </c>
      <c r="K476" s="65" t="s">
        <v>6101</v>
      </c>
      <c r="L476" s="65" t="s">
        <v>2039</v>
      </c>
      <c r="M476" s="65" t="s">
        <v>984</v>
      </c>
      <c r="N476" s="65" t="str">
        <f>"&lt;div class="&amp;""""&amp;"hanging"&amp;""""&amp;"&gt;"&amp;K476&amp;"&lt;a href="&amp;""""&amp;L476&amp;""""&amp;" target="&amp;""""&amp;"_blank"&amp;""""&amp;"&gt;"&amp;L476&amp;"&lt;/a&gt;&lt;span style="&amp;""""&amp;"color:white"&amp;""""&amp;"&gt;[.]{#"&amp;F476&amp;"}}&lt;/span&gt;&lt;/div&gt;&lt;br&gt;"</f>
        <v>&lt;div class="hanging"&gt;Villette, P., Krebs, C. J., Jung, T. S., &amp; Boonstra, R. (2016). Can camera trapping provide accurate estimates of small mammal (&lt;i&gt;Myodes rutilus&lt;/i&gt; and &lt;i&gt;Peromyscus maniculatus&lt;/i&gt;) density in the boreal forest? &lt;i&gt;Journal of Mammalogy, 97&lt;/i&gt;(1), 32-40.&lt;a href="https://doi.org/10.1093/jmammal/gyv150" target="_blank"&gt;https://doi.org/10.1093/jmammal/gyv150&lt;/a&gt;&lt;span style="color:white"&gt;[.]{#villette_et_al_2016}}&lt;/span&gt;&lt;/div&gt;&lt;br&gt;</v>
      </c>
      <c r="O476" s="65" t="str">
        <f>"{{ rtxt_"&amp;F476&amp;" }}"</f>
        <v>{{ rtxt_villette_et_al_2016 }}</v>
      </c>
      <c r="P476" s="65" t="str">
        <f>"{{ rbib_"&amp;F476&amp;" }}"</f>
        <v>{{ rbib_villette_et_al_2016 }}</v>
      </c>
      <c r="Q476" s="65" t="str">
        <f>"    rtxt_"&amp;F476&amp;": "&amp;""""&amp;"&lt;a href=\"&amp;""""&amp;"/08_references.html#"&amp;F476&amp;"\"&amp;""""&amp;" target=\"&amp;""""&amp;"_blank\"&amp;""""&amp;"&gt;"&amp;G476&amp;"&lt;/a&gt;"&amp;""""</f>
        <v xml:space="preserve">    rtxt_villette_et_al_2016: "&lt;a href=\"/08_references.html#villette_et_al_2016\" target=\"_blank\"&gt;Villette et al., 2016&lt;/a&gt;"</v>
      </c>
      <c r="R476" s="65" t="str">
        <f>"    rbib_"&amp;F476&amp;": "&amp;""""&amp;K476&amp;"&lt;a href=\"&amp;""""&amp;L476&amp;""""&amp;" target=\"&amp;""""&amp;"_blank\"&amp;""""&amp;"&gt;"&amp;L476&amp;"&lt;/a&gt;"&amp;""""</f>
        <v xml:space="preserve">    rbib_villette_et_al_2016: "Villette, P., Krebs, C. J., Jung, T. S., &amp; Boonstra, R. (2016). Can camera trapping provide accurate estimates of small mammal (&lt;i&gt;Myodes rutilus&lt;/i&gt; and &lt;i&gt;Peromyscus maniculatus&lt;/i&gt;) density in the boreal forest? &lt;i&gt;Journal of Mammalogy, 97&lt;/i&gt;(1), 32-40.&lt;a href=\"https://doi.org/10.1093/jmammal/gyv150" target=\"_blank\"&gt;https://doi.org/10.1093/jmammal/gyv150&lt;/a&gt;"</v>
      </c>
      <c r="S476" s="65" t="str">
        <f>"    rbib_"&amp;F476&amp;": "&amp;""""&amp;"&lt;div class=\"&amp;""""&amp;"hanging\"&amp;""""&amp;"&gt;"&amp;J476&amp;"&lt;/div&gt;"&amp;""""</f>
        <v xml:space="preserve">    rbib_villette_et_al_2016: "&lt;div class=\"hanging\"&gt;Villette, P., Krebs, C. J., Jung, T. S., &amp; Boonstra, R. (2016). Can camera trapping provide accurate estimates of small mammal (*Myodes rutilus* and *Peromyscus maniculatus* density in the boreal forest? *Journal of Mammalogy, 97*(1), 32-40. &lt;https://doi.org/10.1093/jmammal/gyv150&gt;&lt;/div&gt;"</v>
      </c>
      <c r="T476" s="65"/>
    </row>
    <row r="477" spans="1:20" ht="15.75">
      <c r="A477" s="65"/>
      <c r="B477" s="155" t="b">
        <v>0</v>
      </c>
      <c r="C477" s="155" t="b">
        <v>0</v>
      </c>
      <c r="D477" s="155"/>
      <c r="E477" s="65" t="s">
        <v>1945</v>
      </c>
      <c r="F477" s="65" t="s">
        <v>2038</v>
      </c>
      <c r="G477" s="65" t="s">
        <v>2037</v>
      </c>
      <c r="H477" s="65" t="s">
        <v>2037</v>
      </c>
      <c r="I477" s="65" t="b">
        <v>1</v>
      </c>
      <c r="J477" s="65" t="s">
        <v>2036</v>
      </c>
      <c r="K477" s="65" t="s">
        <v>5550</v>
      </c>
      <c r="L477" s="65" t="s">
        <v>2035</v>
      </c>
      <c r="M477" s="65" t="s">
        <v>984</v>
      </c>
      <c r="N477" s="65" t="str">
        <f>"&lt;div class="&amp;""""&amp;"hanging"&amp;""""&amp;"&gt;"&amp;K477&amp;"&lt;a href="&amp;""""&amp;L477&amp;""""&amp;" target="&amp;""""&amp;"_blank"&amp;""""&amp;"&gt;"&amp;L477&amp;"&lt;/a&gt;&lt;span style="&amp;""""&amp;"color:white"&amp;""""&amp;"&gt;[.]{#"&amp;F477&amp;"}}&lt;/span&gt;&lt;/div&gt;&lt;br&gt;"</f>
        <v>&lt;div class="hanging"&gt;VSN International (2022, Jul 13). &lt;i&gt;Species abundance tools in Genstat.&lt;/i&gt; [Video]. YouTube.&lt;a href="https://www.youtube.com/watch?v=wBx7f4PP8RE" target="_blank"&gt;https://www.youtube.com/watch?v=wBx7f4PP8RE&lt;/a&gt;&lt;span style="color:white"&gt;[.]{#vsn_international_2022}}&lt;/span&gt;&lt;/div&gt;&lt;br&gt;</v>
      </c>
      <c r="O477" s="65" t="str">
        <f>"{{ rtxt_"&amp;F477&amp;" }}"</f>
        <v>{{ rtxt_vsn_international_2022 }}</v>
      </c>
      <c r="P477" s="65" t="str">
        <f>"{{ rbib_"&amp;F477&amp;" }}"</f>
        <v>{{ rbib_vsn_international_2022 }}</v>
      </c>
      <c r="Q477" s="65" t="str">
        <f>"    rtxt_"&amp;F477&amp;": "&amp;""""&amp;"&lt;a href=\"&amp;""""&amp;"/08_references.html#"&amp;F477&amp;"\"&amp;""""&amp;" target=\"&amp;""""&amp;"_blank\"&amp;""""&amp;"&gt;"&amp;G477&amp;"&lt;/a&gt;"&amp;""""</f>
        <v xml:space="preserve">    rtxt_vsn_international_2022: "&lt;a href=\"/08_references.html#vsn_international_2022\" target=\"_blank\"&gt;VSN International, 2022&lt;/a&gt;"</v>
      </c>
      <c r="R477" s="65" t="str">
        <f>"    rbib_"&amp;F477&amp;": "&amp;""""&amp;K477&amp;"&lt;a href=\"&amp;""""&amp;L477&amp;""""&amp;" target=\"&amp;""""&amp;"_blank\"&amp;""""&amp;"&gt;"&amp;L477&amp;"&lt;/a&gt;"&amp;""""</f>
        <v xml:space="preserve">    rbib_vsn_international_2022: "VSN International (2022, Jul 13). &lt;i&gt;Species abundance tools in Genstat.&lt;/i&gt; [Video]. YouTube.&lt;a href=\"https://www.youtube.com/watch?v=wBx7f4PP8RE" target=\"_blank\"&gt;https://www.youtube.com/watch?v=wBx7f4PP8RE&lt;/a&gt;"</v>
      </c>
      <c r="S477" s="65" t="str">
        <f>"    rbib_"&amp;F477&amp;": "&amp;""""&amp;"&lt;div class=\"&amp;""""&amp;"hanging\"&amp;""""&amp;"&gt;"&amp;J477&amp;"&lt;/div&gt;"&amp;""""</f>
        <v xml:space="preserve">    rbib_vsn_international_2022: "&lt;div class=\"hanging\"&gt;VSN International (2022, Jul 13). *Species abundance tools in Genstat* [Video]. YouTube. &lt;https://www.youtube.com/watch?v=wBx7f4PP8RE&gt;&lt;/div&gt;"</v>
      </c>
      <c r="T477" s="65"/>
    </row>
    <row r="478" spans="1:20" ht="15.75">
      <c r="A478" s="65"/>
      <c r="B478" s="155"/>
      <c r="C478" s="155"/>
      <c r="D478" s="155"/>
      <c r="E478" s="65" t="s">
        <v>1904</v>
      </c>
      <c r="F478" s="68" t="s">
        <v>2034</v>
      </c>
      <c r="G478" s="65" t="s">
        <v>2033</v>
      </c>
      <c r="H478" s="65" t="s">
        <v>2033</v>
      </c>
      <c r="I478" s="65" t="b">
        <v>1</v>
      </c>
      <c r="J478" s="65" t="s">
        <v>2032</v>
      </c>
      <c r="K478" s="65" t="s">
        <v>5336</v>
      </c>
      <c r="L478" s="65" t="s">
        <v>2031</v>
      </c>
      <c r="M478" s="65" t="s">
        <v>984</v>
      </c>
      <c r="N478" s="65" t="str">
        <f>"&lt;div class="&amp;""""&amp;"hanging"&amp;""""&amp;"&gt;"&amp;K478&amp;"&lt;a href="&amp;""""&amp;L478&amp;""""&amp;" target="&amp;""""&amp;"_blank"&amp;""""&amp;"&gt;"&amp;L478&amp;"&lt;/a&gt;&lt;span style="&amp;""""&amp;"color:white"&amp;""""&amp;"&gt;[.]{#"&amp;F478&amp;"}}&lt;/span&gt;&lt;/div&gt;&lt;br&gt;"</f>
        <v>&lt;div class="hanging"&gt;Walther, B. A., &amp; Moore, J. L. (2005). The Concepts of Bias, Precision and Accuracy, and Their Use in Testing the Performance of Species Richness Estimators, with a Literature Review of Estimator Performance. &lt;i&gt;Ecography, 28&lt;/i&gt;, 815-829.&lt;a href="https://doi.org/10.1111/j.2005.0906-7590.04112.x" target="_blank"&gt;https://doi.org/10.1111/j.2005.0906-7590.04112.x&lt;/a&gt;&lt;span style="color:white"&gt;[.]{#walther_moore_2005}}&lt;/span&gt;&lt;/div&gt;&lt;br&gt;</v>
      </c>
      <c r="O478" s="65" t="str">
        <f>"{{ rtxt_"&amp;F478&amp;" }}"</f>
        <v>{{ rtxt_walther_moore_2005 }}</v>
      </c>
      <c r="P478" s="65" t="str">
        <f>"{{ rbib_"&amp;F478&amp;" }}"</f>
        <v>{{ rbib_walther_moore_2005 }}</v>
      </c>
      <c r="Q478" s="65" t="str">
        <f>"    rtxt_"&amp;F478&amp;": "&amp;""""&amp;"&lt;a href=\"&amp;""""&amp;"/08_references.html#"&amp;F478&amp;"\"&amp;""""&amp;" target=\"&amp;""""&amp;"_blank\"&amp;""""&amp;"&gt;"&amp;G478&amp;"&lt;/a&gt;"&amp;""""</f>
        <v xml:space="preserve">    rtxt_walther_moore_2005: "&lt;a href=\"/08_references.html#walther_moore_2005\" target=\"_blank\"&gt;Walther &amp; Moore, 2005&lt;/a&gt;"</v>
      </c>
      <c r="R478" s="65" t="str">
        <f>"    rbib_"&amp;F478&amp;": "&amp;""""&amp;K478&amp;"&lt;a href=\"&amp;""""&amp;L478&amp;""""&amp;" target=\"&amp;""""&amp;"_blank\"&amp;""""&amp;"&gt;"&amp;L478&amp;"&lt;/a&gt;"&amp;""""</f>
        <v xml:space="preserve">    rbib_walther_moore_2005: "Walther, B. A., &amp; Moore, J. L. (2005). The Concepts of Bias, Precision and Accuracy, and Their Use in Testing the Performance of Species Richness Estimators, with a Literature Review of Estimator Performance. &lt;i&gt;Ecography, 28&lt;/i&gt;, 815-829.&lt;a href=\"https://doi.org/10.1111/j.2005.0906-7590.04112.x" target=\"_blank\"&gt;https://doi.org/10.1111/j.2005.0906-7590.04112.x&lt;/a&gt;"</v>
      </c>
      <c r="S478" s="65" t="str">
        <f>"    rbib_"&amp;F478&amp;": "&amp;""""&amp;"&lt;div class=\"&amp;""""&amp;"hanging\"&amp;""""&amp;"&gt;"&amp;J478&amp;"&lt;/div&gt;"&amp;""""</f>
        <v xml:space="preserve">    rbib_walther_moore_2005: "&lt;div class=\"hanging\"&gt;Walther, B. A., &amp; Moore, J. L. (2005). The Concepts of Bias, Precision and Accuracy, and Their Use in Testing the Performance of Species Richness Estimators, with a Literature Review of Estimator Performance. *Ecography, 28*, 815-829. &lt;https://doi.org/10.1111/j.2005.0906-7590.04112.x&gt;&lt;/div&gt;"</v>
      </c>
      <c r="T478" s="65"/>
    </row>
    <row r="479" spans="1:20" ht="15.75">
      <c r="A479" s="65"/>
      <c r="B479" s="155" t="b">
        <v>1</v>
      </c>
      <c r="C479" s="155" t="b">
        <v>0</v>
      </c>
      <c r="D479" s="155" t="b">
        <v>0</v>
      </c>
      <c r="E479" s="65" t="s">
        <v>1904</v>
      </c>
      <c r="F479" s="65" t="s">
        <v>2030</v>
      </c>
      <c r="G479" s="65" t="s">
        <v>2029</v>
      </c>
      <c r="H479" s="65" t="s">
        <v>2029</v>
      </c>
      <c r="I479" s="65" t="b">
        <v>1</v>
      </c>
      <c r="J479" s="65" t="s">
        <v>2028</v>
      </c>
      <c r="K479" s="65" t="s">
        <v>5235</v>
      </c>
      <c r="L479" s="65" t="s">
        <v>2027</v>
      </c>
      <c r="M479" s="65" t="s">
        <v>984</v>
      </c>
      <c r="N479" s="65" t="str">
        <f>"&lt;div class="&amp;""""&amp;"hanging"&amp;""""&amp;"&gt;"&amp;K479&amp;"&lt;a href="&amp;""""&amp;L479&amp;""""&amp;" target="&amp;""""&amp;"_blank"&amp;""""&amp;"&gt;"&amp;L479&amp;"&lt;/a&gt;&lt;span style="&amp;""""&amp;"color:white"&amp;""""&amp;"&gt;[.]{#"&amp;F479&amp;"}}&lt;/span&gt;&lt;/div&gt;&lt;br&gt;"</f>
        <v>&lt;div class="hanging"&gt;Warbington, C. H., &amp; Boyce, M. S. (2020). Population Density of sitatunga in riverine wetland habitats. &lt;i&gt;Global Ecology and Conservation, 24&lt;/i&gt;.&lt;a href="https://doi.org/10.1016/j.gecco.2020.e01212" target="_blank"&gt;https://doi.org/10.1016/j.gecco.2020.e01212&lt;/a&gt;&lt;span style="color:white"&gt;[.]{#warbington_boyce_2020}}&lt;/span&gt;&lt;/div&gt;&lt;br&gt;</v>
      </c>
      <c r="O479" s="65" t="str">
        <f>"{{ rtxt_"&amp;F479&amp;" }}"</f>
        <v>{{ rtxt_warbington_boyce_2020 }}</v>
      </c>
      <c r="P479" s="65" t="str">
        <f>"{{ rbib_"&amp;F479&amp;" }}"</f>
        <v>{{ rbib_warbington_boyce_2020 }}</v>
      </c>
      <c r="Q479" s="65" t="str">
        <f>"    rtxt_"&amp;F479&amp;": "&amp;""""&amp;"&lt;a href=\"&amp;""""&amp;"/08_references.html#"&amp;F479&amp;"\"&amp;""""&amp;" target=\"&amp;""""&amp;"_blank\"&amp;""""&amp;"&gt;"&amp;G479&amp;"&lt;/a&gt;"&amp;""""</f>
        <v xml:space="preserve">    rtxt_warbington_boyce_2020: "&lt;a href=\"/08_references.html#warbington_boyce_2020\" target=\"_blank\"&gt;Warbington &amp; Boyce, 2020&lt;/a&gt;"</v>
      </c>
      <c r="R479" s="65" t="str">
        <f>"    rbib_"&amp;F479&amp;": "&amp;""""&amp;K479&amp;"&lt;a href=\"&amp;""""&amp;L479&amp;""""&amp;" target=\"&amp;""""&amp;"_blank\"&amp;""""&amp;"&gt;"&amp;L479&amp;"&lt;/a&gt;"&amp;""""</f>
        <v xml:space="preserve">    rbib_warbington_boyce_2020: "Warbington, C. H., &amp; Boyce, M. S. (2020). Population Density of sitatunga in riverine wetland habitats. &lt;i&gt;Global Ecology and Conservation, 24&lt;/i&gt;.&lt;a href=\"https://doi.org/10.1016/j.gecco.2020.e01212" target=\"_blank\"&gt;https://doi.org/10.1016/j.gecco.2020.e01212&lt;/a&gt;"</v>
      </c>
      <c r="S479" s="65" t="str">
        <f>"    rbib_"&amp;F479&amp;": "&amp;""""&amp;"&lt;div class=\"&amp;""""&amp;"hanging\"&amp;""""&amp;"&gt;"&amp;J479&amp;"&lt;/div&gt;"&amp;""""</f>
        <v xml:space="preserve">    rbib_warbington_boyce_2020: "&lt;div class=\"hanging\"&gt;Warbington, C. H., &amp; Boyce, M. S. (2020). Population Density of sitatunga in riverine wetland habitats. *Global Ecology and Conservation, 24*. &lt;https://doi.org/10.1016/j.gecco.2020.e01212&gt;&lt;/div&gt;"</v>
      </c>
      <c r="T479" s="65"/>
    </row>
    <row r="480" spans="1:20" ht="15.75">
      <c r="A480" s="65"/>
      <c r="B480" s="155" t="b">
        <v>1</v>
      </c>
      <c r="C480" s="155" t="b">
        <v>0</v>
      </c>
      <c r="D480" s="155" t="s">
        <v>1993</v>
      </c>
      <c r="E480" s="65" t="s">
        <v>1904</v>
      </c>
      <c r="F480" s="65" t="s">
        <v>2018</v>
      </c>
      <c r="G480" s="65" t="s">
        <v>2017</v>
      </c>
      <c r="H480" s="65" t="s">
        <v>2017</v>
      </c>
      <c r="I480" s="65" t="b">
        <v>1</v>
      </c>
      <c r="J480" s="65" t="s">
        <v>2016</v>
      </c>
      <c r="K480" s="65" t="s">
        <v>5100</v>
      </c>
      <c r="L480" s="65" t="s">
        <v>2015</v>
      </c>
      <c r="M480" s="65" t="s">
        <v>984</v>
      </c>
      <c r="N480" s="65" t="str">
        <f>"&lt;div class="&amp;""""&amp;"hanging"&amp;""""&amp;"&gt;"&amp;K480&amp;"&lt;a href="&amp;""""&amp;L480&amp;""""&amp;" target="&amp;""""&amp;"_blank"&amp;""""&amp;"&gt;"&amp;L480&amp;"&lt;/a&gt;&lt;span style="&amp;""""&amp;"color:white"&amp;""""&amp;"&gt;[.]{#"&amp;F480&amp;"}}&lt;/span&gt;&lt;/div&gt;&lt;br&gt;"</f>
        <v>&lt;div class="hanging"&gt;Wearn, O. R., &amp; Glover-Kapfer, P. (2017). Camera-Trapping for Conservation: A Guide to Best-ractices. &lt;i&gt;WWF conservation technology series, 1&lt;/i&gt;, 1-181.&lt;a href="http://dx.doi.org/10.13140/RG.2.2.23409.17767" target="_blank"&gt;http://dx.doi.org/10.13140/RG.2.2.23409.17767&lt;/a&gt;&lt;span style="color:white"&gt;[.]{#wearn_gloverkapfer_2017}}&lt;/span&gt;&lt;/div&gt;&lt;br&gt;</v>
      </c>
      <c r="O480" s="65" t="str">
        <f>"{{ rtxt_"&amp;F480&amp;" }}"</f>
        <v>{{ rtxt_wearn_gloverkapfer_2017 }}</v>
      </c>
      <c r="P480" s="65" t="str">
        <f>"{{ rbib_"&amp;F480&amp;" }}"</f>
        <v>{{ rbib_wearn_gloverkapfer_2017 }}</v>
      </c>
      <c r="Q480" s="65" t="str">
        <f>"    rtxt_"&amp;F480&amp;": "&amp;""""&amp;"&lt;a href=\"&amp;""""&amp;"/08_references.html#"&amp;F480&amp;"\"&amp;""""&amp;" target=\"&amp;""""&amp;"_blank\"&amp;""""&amp;"&gt;"&amp;G480&amp;"&lt;/a&gt;"&amp;""""</f>
        <v xml:space="preserve">    rtxt_wearn_gloverkapfer_2017: "&lt;a href=\"/08_references.html#wearn_gloverkapfer_2017\" target=\"_blank\"&gt;Wearn &amp; Glover-Kapfer, 2017&lt;/a&gt;"</v>
      </c>
      <c r="R480" s="65" t="str">
        <f>"    rbib_"&amp;F480&amp;": "&amp;""""&amp;K480&amp;"&lt;a href=\"&amp;""""&amp;L480&amp;""""&amp;" target=\"&amp;""""&amp;"_blank\"&amp;""""&amp;"&gt;"&amp;L480&amp;"&lt;/a&gt;"&amp;""""</f>
        <v xml:space="preserve">    rbib_wearn_gloverkapfer_2017: "Wearn, O. R., &amp; Glover-Kapfer, P. (2017). Camera-Trapping for Conservation: A Guide to Best-ractices. &lt;i&gt;WWF conservation technology series, 1&lt;/i&gt;, 1-181.&lt;a href=\"http://dx.doi.org/10.13140/RG.2.2.23409.17767" target=\"_blank\"&gt;http://dx.doi.org/10.13140/RG.2.2.23409.17767&lt;/a&gt;"</v>
      </c>
      <c r="S480" s="65" t="str">
        <f>"    rbib_"&amp;F480&amp;": "&amp;""""&amp;"&lt;div class=\"&amp;""""&amp;"hanging\"&amp;""""&amp;"&gt;"&amp;J480&amp;"&lt;/div&gt;"&amp;""""</f>
        <v xml:space="preserve">    rbib_wearn_gloverkapfer_2017: "&lt;div class=\"hanging\"&gt;Wearn, O. R., &amp; Glover-Kapfer, P. (2017). Camera-Trapping for Conservation: A Guide to Best-ractices. *WWF conservation technology series, 1*, 1-181. &lt;http://dx.doi.org/10.13140/RG.2.2.23409.17767&gt;&lt;/div&gt;"</v>
      </c>
      <c r="T480" s="65"/>
    </row>
    <row r="481" spans="1:20" ht="15.75">
      <c r="A481" s="65"/>
      <c r="B481" s="155" t="b">
        <v>0</v>
      </c>
      <c r="C481" s="155" t="b">
        <v>0</v>
      </c>
      <c r="D481" s="155" t="s">
        <v>1993</v>
      </c>
      <c r="E481" s="65" t="s">
        <v>1904</v>
      </c>
      <c r="F481" s="65" t="s">
        <v>2014</v>
      </c>
      <c r="G481" s="65" t="s">
        <v>2013</v>
      </c>
      <c r="H481" s="65" t="s">
        <v>2013</v>
      </c>
      <c r="I481" s="65" t="b">
        <v>1</v>
      </c>
      <c r="J481" s="65" t="s">
        <v>2012</v>
      </c>
      <c r="K481" s="65" t="s">
        <v>6086</v>
      </c>
      <c r="L481" s="65" t="s">
        <v>2011</v>
      </c>
      <c r="M481" s="65" t="s">
        <v>984</v>
      </c>
      <c r="N481" s="65" t="str">
        <f>"&lt;div class="&amp;""""&amp;"hanging"&amp;""""&amp;"&gt;"&amp;K481&amp;"&lt;a href="&amp;""""&amp;L481&amp;""""&amp;" target="&amp;""""&amp;"_blank"&amp;""""&amp;"&gt;"&amp;L481&amp;"&lt;/a&gt;&lt;span style="&amp;""""&amp;"color:white"&amp;""""&amp;"&gt;[.]{#"&amp;F481&amp;"}}&lt;/span&gt;&lt;/div&gt;&lt;br&gt;"</f>
        <v>&lt;div class="hanging"&gt;Wearn, O. R., &amp; Glover-Kapfer, P. (2019). Snap happy: Camera traps are an effective sampling tool when compared with alternative methods. &lt;i&gt;Royal Society Open Science, 6&lt;/i&gt;(3), 181748.&lt;a href="https://doi.org/10.1098/rsos.181748" target="_blank"&gt;https://doi.org/10.1098/rsos.181748&lt;/a&gt;&lt;span style="color:white"&gt;[.]{#wearn_gloverkapfer_2019}}&lt;/span&gt;&lt;/div&gt;&lt;br&gt;</v>
      </c>
      <c r="O481" s="65" t="str">
        <f>"{{ rtxt_"&amp;F481&amp;" }}"</f>
        <v>{{ rtxt_wearn_gloverkapfer_2019 }}</v>
      </c>
      <c r="P481" s="65" t="str">
        <f>"{{ rbib_"&amp;F481&amp;" }}"</f>
        <v>{{ rbib_wearn_gloverkapfer_2019 }}</v>
      </c>
      <c r="Q481" s="65" t="str">
        <f>"    rtxt_"&amp;F481&amp;": "&amp;""""&amp;"&lt;a href=\"&amp;""""&amp;"/08_references.html#"&amp;F481&amp;"\"&amp;""""&amp;" target=\"&amp;""""&amp;"_blank\"&amp;""""&amp;"&gt;"&amp;G481&amp;"&lt;/a&gt;"&amp;""""</f>
        <v xml:space="preserve">    rtxt_wearn_gloverkapfer_2019: "&lt;a href=\"/08_references.html#wearn_gloverkapfer_2019\" target=\"_blank\"&gt;Wearn &amp; Glover-Kapfer, 2019&lt;/a&gt;"</v>
      </c>
      <c r="R481" s="65" t="str">
        <f>"    rbib_"&amp;F481&amp;": "&amp;""""&amp;K481&amp;"&lt;a href=\"&amp;""""&amp;L481&amp;""""&amp;" target=\"&amp;""""&amp;"_blank\"&amp;""""&amp;"&gt;"&amp;L481&amp;"&lt;/a&gt;"&amp;""""</f>
        <v xml:space="preserve">    rbib_wearn_gloverkapfer_2019: "Wearn, O. R., &amp; Glover-Kapfer, P. (2019). Snap happy: Camera traps are an effective sampling tool when compared with alternative methods. &lt;i&gt;Royal Society Open Science, 6&lt;/i&gt;(3), 181748.&lt;a href=\"https://doi.org/10.1098/rsos.181748" target=\"_blank\"&gt;https://doi.org/10.1098/rsos.181748&lt;/a&gt;"</v>
      </c>
      <c r="S481" s="65" t="str">
        <f>"    rbib_"&amp;F481&amp;": "&amp;""""&amp;"&lt;div class=\"&amp;""""&amp;"hanging\"&amp;""""&amp;"&gt;"&amp;J481&amp;"&lt;/div&gt;"&amp;""""</f>
        <v xml:space="preserve">    rbib_wearn_gloverkapfer_2019: "&lt;div class=\"hanging\"&gt;Wearn, O. R., &amp; Glover-Kapfer, P. (2019). Snap happy: Camera traps are an effective sampling tool when compared with alternative methods. *Royal Society Open Science, 6*(3), 181748. &lt;https://doi.org/10.1098/rsos.181748&gt;&lt;/div&gt;"</v>
      </c>
      <c r="T481" s="65"/>
    </row>
    <row r="482" spans="1:20" ht="15.75">
      <c r="A482" s="65"/>
      <c r="B482" s="155" t="b">
        <v>1</v>
      </c>
      <c r="C482" s="155" t="b">
        <v>0</v>
      </c>
      <c r="D482" s="155" t="b">
        <v>1</v>
      </c>
      <c r="E482" s="65" t="s">
        <v>1904</v>
      </c>
      <c r="F482" s="65" t="s">
        <v>2022</v>
      </c>
      <c r="G482" s="65" t="s">
        <v>2021</v>
      </c>
      <c r="H482" s="65" t="s">
        <v>2021</v>
      </c>
      <c r="I482" s="65" t="b">
        <v>1</v>
      </c>
      <c r="J482" s="65" t="s">
        <v>2020</v>
      </c>
      <c r="K482" s="65" t="s">
        <v>5389</v>
      </c>
      <c r="L482" s="65" t="s">
        <v>2019</v>
      </c>
      <c r="M482" s="65" t="s">
        <v>984</v>
      </c>
      <c r="N482" s="65" t="str">
        <f>"&lt;div class="&amp;""""&amp;"hanging"&amp;""""&amp;"&gt;"&amp;K482&amp;"&lt;a href="&amp;""""&amp;L482&amp;""""&amp;" target="&amp;""""&amp;"_blank"&amp;""""&amp;"&gt;"&amp;L482&amp;"&lt;/a&gt;&lt;span style="&amp;""""&amp;"color:white"&amp;""""&amp;"&gt;[.]{#"&amp;F482&amp;"}}&lt;/span&gt;&lt;/div&gt;&lt;br&gt;"</f>
        <v>&lt;div class="hanging"&gt;Wearn, O. R., Carbone, C., Rowcliffe, J. M., Bernard, H. &amp; Ewers, R. M. (2016). Grain-dependent responses of mammalian diversity to land-use and the implications for conservation set-aside. &lt;i&gt;Ecological Applications, 26&lt;/i&gt;(5), 1409-1420.&lt;a href="https://doi.org/10.1890/15-1363" target="_blank"&gt;https://doi.org/10.1890/15-1363&lt;/a&gt;&lt;span style="color:white"&gt;[.]{#wearn_et_al_2016}}&lt;/span&gt;&lt;/div&gt;&lt;br&gt;</v>
      </c>
      <c r="O482" s="65" t="str">
        <f>"{{ rtxt_"&amp;F482&amp;" }}"</f>
        <v>{{ rtxt_wearn_et_al_2016 }}</v>
      </c>
      <c r="P482" s="65" t="str">
        <f>"{{ rbib_"&amp;F482&amp;" }}"</f>
        <v>{{ rbib_wearn_et_al_2016 }}</v>
      </c>
      <c r="Q482" s="65" t="str">
        <f>"    rtxt_"&amp;F482&amp;": "&amp;""""&amp;"&lt;a href=\"&amp;""""&amp;"/08_references.html#"&amp;F482&amp;"\"&amp;""""&amp;" target=\"&amp;""""&amp;"_blank\"&amp;""""&amp;"&gt;"&amp;G482&amp;"&lt;/a&gt;"&amp;""""</f>
        <v xml:space="preserve">    rtxt_wearn_et_al_2016: "&lt;a href=\"/08_references.html#wearn_et_al_2016\" target=\"_blank\"&gt;Wearn et al., 2016&lt;/a&gt;"</v>
      </c>
      <c r="R482" s="65" t="str">
        <f>"    rbib_"&amp;F482&amp;": "&amp;""""&amp;K482&amp;"&lt;a href=\"&amp;""""&amp;L482&amp;""""&amp;" target=\"&amp;""""&amp;"_blank\"&amp;""""&amp;"&gt;"&amp;L482&amp;"&lt;/a&gt;"&amp;""""</f>
        <v xml:space="preserve">    rbib_wearn_et_al_2016: "Wearn, O. R., Carbone, C., Rowcliffe, J. M., Bernard, H. &amp; Ewers, R. M. (2016). Grain-dependent responses of mammalian diversity to land-use and the implications for conservation set-aside. &lt;i&gt;Ecological Applications, 26&lt;/i&gt;(5), 1409-1420.&lt;a href=\"https://doi.org/10.1890/15-1363" target=\"_blank\"&gt;https://doi.org/10.1890/15-1363&lt;/a&gt;"</v>
      </c>
      <c r="S482" s="65" t="str">
        <f>"    rbib_"&amp;F482&amp;": "&amp;""""&amp;"&lt;div class=\"&amp;""""&amp;"hanging\"&amp;""""&amp;"&gt;"&amp;J482&amp;"&lt;/div&gt;"&amp;""""</f>
        <v xml:space="preserve">    rbib_wearn_et_al_2016: "&lt;div class=\"hanging\"&gt;Wearn, O. R., Carbone, C., Rowcliffe, J. M., Bernard, H. &amp; Ewers, R. M. (2016). Grain-dependent responses of mammalian diversity to land-use and the implications for conservation set-aside. *Ecological Applications, 26*(5), 1409-1420. &lt;https://doi.org/10.1890/15-1363&gt;&lt;/div&gt;"</v>
      </c>
      <c r="T482" s="65"/>
    </row>
    <row r="483" spans="1:20" ht="15.75">
      <c r="A483" s="65"/>
      <c r="B483" s="155" t="b">
        <v>1</v>
      </c>
      <c r="C483" s="155" t="b">
        <v>1</v>
      </c>
      <c r="D483" s="155" t="b">
        <v>0</v>
      </c>
      <c r="E483" s="65" t="s">
        <v>1904</v>
      </c>
      <c r="F483" s="65" t="s">
        <v>2026</v>
      </c>
      <c r="G483" s="65" t="s">
        <v>2025</v>
      </c>
      <c r="H483" s="65" t="s">
        <v>2025</v>
      </c>
      <c r="I483" s="65" t="b">
        <v>1</v>
      </c>
      <c r="J483" s="65" t="s">
        <v>2024</v>
      </c>
      <c r="K483" s="65" t="s">
        <v>5358</v>
      </c>
      <c r="L483" s="65" t="s">
        <v>2023</v>
      </c>
      <c r="M483" s="65" t="s">
        <v>984</v>
      </c>
      <c r="N483" s="65" t="str">
        <f>"&lt;div class="&amp;""""&amp;"hanging"&amp;""""&amp;"&gt;"&amp;K483&amp;"&lt;a href="&amp;""""&amp;L483&amp;""""&amp;" target="&amp;""""&amp;"_blank"&amp;""""&amp;"&gt;"&amp;L483&amp;"&lt;/a&gt;&lt;span style="&amp;""""&amp;"color:white"&amp;""""&amp;"&gt;[.]{#"&amp;F483&amp;"}}&lt;/span&gt;&lt;/div&gt;&lt;br&gt;"</f>
        <v>&lt;div class="hanging"&gt;Wearn, O. R., Rowcliffe, J. M., Carbone, C., Bernard, H., &amp; Ewers, R. M. (2013). Assessing the status of wild felids in a highly-disturbed commercial forest reserve in Borneo and the implications for camera trap Survey design. &lt;i&gt;PLoS One, 8&lt;/i&gt;(11), e77598.&lt;a href="https://doi.org/10.1371/journal.pone.0077598" target="_blank"&gt;https://doi.org/10.1371/journal.pone.0077598&lt;/a&gt;&lt;span style="color:white"&gt;[.]{#wearn_et_al_2013}}&lt;/span&gt;&lt;/div&gt;&lt;br&gt;</v>
      </c>
      <c r="O483" s="65" t="str">
        <f>"{{ rtxt_"&amp;F483&amp;" }}"</f>
        <v>{{ rtxt_wearn_et_al_2013 }}</v>
      </c>
      <c r="P483" s="65" t="str">
        <f>"{{ rbib_"&amp;F483&amp;" }}"</f>
        <v>{{ rbib_wearn_et_al_2013 }}</v>
      </c>
      <c r="Q483" s="65" t="str">
        <f>"    rtxt_"&amp;F483&amp;": "&amp;""""&amp;"&lt;a href=\"&amp;""""&amp;"/08_references.html#"&amp;F483&amp;"\"&amp;""""&amp;" target=\"&amp;""""&amp;"_blank\"&amp;""""&amp;"&gt;"&amp;G483&amp;"&lt;/a&gt;"&amp;""""</f>
        <v xml:space="preserve">    rtxt_wearn_et_al_2013: "&lt;a href=\"/08_references.html#wearn_et_al_2013\" target=\"_blank\"&gt;Wearn et al., 2013&lt;/a&gt;"</v>
      </c>
      <c r="R483" s="65" t="str">
        <f>"    rbib_"&amp;F483&amp;": "&amp;""""&amp;K483&amp;"&lt;a href=\"&amp;""""&amp;L483&amp;""""&amp;" target=\"&amp;""""&amp;"_blank\"&amp;""""&amp;"&gt;"&amp;L483&amp;"&lt;/a&gt;"&amp;""""</f>
        <v xml:space="preserve">    rbib_wearn_et_al_2013: "Wearn, O. R., Rowcliffe, J. M., Carbone, C., Bernard, H., &amp; Ewers, R. M. (2013). Assessing the status of wild felids in a highly-disturbed commercial forest reserve in Borneo and the implications for camera trap Survey design. &lt;i&gt;PLoS One, 8&lt;/i&gt;(11), e77598.&lt;a href=\"https://doi.org/10.1371/journal.pone.0077598" target=\"_blank\"&gt;https://doi.org/10.1371/journal.pone.0077598&lt;/a&gt;"</v>
      </c>
      <c r="S483" s="65" t="str">
        <f>"    rbib_"&amp;F483&amp;": "&amp;""""&amp;"&lt;div class=\"&amp;""""&amp;"hanging\"&amp;""""&amp;"&gt;"&amp;J483&amp;"&lt;/div&gt;"&amp;""""</f>
        <v xml:space="preserve">    rbib_wearn_et_al_2013: "&lt;div class=\"hanging\"&gt;Wearn, O. R., Rowcliffe, J. M., Carbone, C., Bernard, H., &amp; Ewers, R. M. (2013). Assessing the status of wild felids in a highly-disturbed commercial forest reserve in Borneo and the implications for camera trap Survey design. *PLoS One, 8*(11), e77598. &lt;https://doi.org/10.1371/journal.pone.0077598&gt;&lt;/div&gt;"</v>
      </c>
      <c r="T483" s="65"/>
    </row>
    <row r="484" spans="1:20" ht="15.75">
      <c r="A484" s="65"/>
      <c r="B484" s="155" t="b">
        <v>0</v>
      </c>
      <c r="C484" s="155" t="b">
        <v>0</v>
      </c>
      <c r="D484" s="155" t="b">
        <v>1</v>
      </c>
      <c r="E484" s="65" t="s">
        <v>1904</v>
      </c>
      <c r="F484" s="65" t="s">
        <v>2010</v>
      </c>
      <c r="G484" s="65" t="s">
        <v>2009</v>
      </c>
      <c r="H484" s="65" t="s">
        <v>2009</v>
      </c>
      <c r="I484" s="65" t="b">
        <v>1</v>
      </c>
      <c r="J484" s="65" t="s">
        <v>2008</v>
      </c>
      <c r="K484" s="65" t="s">
        <v>5178</v>
      </c>
      <c r="L484" s="65" t="s">
        <v>2007</v>
      </c>
      <c r="M484" s="65" t="s">
        <v>984</v>
      </c>
      <c r="N484" s="65" t="str">
        <f>"&lt;div class="&amp;""""&amp;"hanging"&amp;""""&amp;"&gt;"&amp;K484&amp;"&lt;a href="&amp;""""&amp;L484&amp;""""&amp;" target="&amp;""""&amp;"_blank"&amp;""""&amp;"&gt;"&amp;L484&amp;"&lt;/a&gt;&lt;span style="&amp;""""&amp;"color:white"&amp;""""&amp;"&gt;[.]{#"&amp;F484&amp;"}}&lt;/span&gt;&lt;/div&gt;&lt;br&gt;"</f>
        <v>&lt;div class="hanging"&gt;Webster, S. C., &amp; Beasley, J. C. (2019). Influence of lure choice and Survey duration on scent stations for carnivore Surveys. &lt;i&gt;Wildlife Society Bulletin, 43&lt;/i&gt;(4), 661-668.&lt;a href="https://doi.org/10.1002/wsb.1011" target="_blank"&gt;https://doi.org/10.1002/wsb.1011&lt;/a&gt;&lt;span style="color:white"&gt;[.]{#webster_et_al_2019}}&lt;/span&gt;&lt;/div&gt;&lt;br&gt;</v>
      </c>
      <c r="O484" s="65" t="str">
        <f>"{{ rtxt_"&amp;F484&amp;" }}"</f>
        <v>{{ rtxt_webster_et_al_2019 }}</v>
      </c>
      <c r="P484" s="65" t="str">
        <f>"{{ rbib_"&amp;F484&amp;" }}"</f>
        <v>{{ rbib_webster_et_al_2019 }}</v>
      </c>
      <c r="Q484" s="65" t="str">
        <f>"    rtxt_"&amp;F484&amp;": "&amp;""""&amp;"&lt;a href=\"&amp;""""&amp;"/08_references.html#"&amp;F484&amp;"\"&amp;""""&amp;" target=\"&amp;""""&amp;"_blank\"&amp;""""&amp;"&gt;"&amp;G484&amp;"&lt;/a&gt;"&amp;""""</f>
        <v xml:space="preserve">    rtxt_webster_et_al_2019: "&lt;a href=\"/08_references.html#webster_et_al_2019\" target=\"_blank\"&gt;Webster et al., 2019&lt;/a&gt;"</v>
      </c>
      <c r="R484" s="65" t="str">
        <f>"    rbib_"&amp;F484&amp;": "&amp;""""&amp;K484&amp;"&lt;a href=\"&amp;""""&amp;L484&amp;""""&amp;" target=\"&amp;""""&amp;"_blank\"&amp;""""&amp;"&gt;"&amp;L484&amp;"&lt;/a&gt;"&amp;""""</f>
        <v xml:space="preserve">    rbib_webster_et_al_2019: "Webster, S. C., &amp; Beasley, J. C. (2019). Influence of lure choice and Survey duration on scent stations for carnivore Surveys. &lt;i&gt;Wildlife Society Bulletin, 43&lt;/i&gt;(4), 661-668.&lt;a href=\"https://doi.org/10.1002/wsb.1011" target=\"_blank\"&gt;https://doi.org/10.1002/wsb.1011&lt;/a&gt;"</v>
      </c>
      <c r="S484" s="65" t="str">
        <f>"    rbib_"&amp;F484&amp;": "&amp;""""&amp;"&lt;div class=\"&amp;""""&amp;"hanging\"&amp;""""&amp;"&gt;"&amp;J484&amp;"&lt;/div&gt;"&amp;""""</f>
        <v xml:space="preserve">    rbib_webster_et_al_2019: "&lt;div class=\"hanging\"&gt;Webster, S. C., &amp; Beasley, J. C. (2019). Influence of lure choice and Survey duration on scent stations for carnivore Surveys. *Wildlife Society Bulletin, 43*(4), 661-668. &lt;https://doi.org/10.1002/wsb.1011&gt;&lt;/div&gt;"</v>
      </c>
      <c r="T484" s="65"/>
    </row>
    <row r="485" spans="1:20" ht="15.75">
      <c r="A485" s="65"/>
      <c r="B485" s="155"/>
      <c r="C485" s="155"/>
      <c r="D485" s="155"/>
      <c r="E485" s="65" t="s">
        <v>1945</v>
      </c>
      <c r="F485" s="65" t="s">
        <v>2006</v>
      </c>
      <c r="G485" s="65" t="s">
        <v>2005</v>
      </c>
      <c r="H485" s="65"/>
      <c r="I485" s="65" t="b">
        <v>1</v>
      </c>
      <c r="J485" s="65" t="s">
        <v>2004</v>
      </c>
      <c r="K485" s="65" t="s">
        <v>5522</v>
      </c>
      <c r="L485" s="65" t="s">
        <v>2002</v>
      </c>
      <c r="M485" s="65" t="s">
        <v>2003</v>
      </c>
      <c r="N485" s="65" t="str">
        <f>"&lt;div class="&amp;""""&amp;"hanging"&amp;""""&amp;"&gt;"&amp;K485&amp;"&lt;a href="&amp;""""&amp;L485&amp;""""&amp;" target="&amp;""""&amp;"_blank"&amp;""""&amp;"&gt;"&amp;L485&amp;"&lt;/a&gt;&lt;span style="&amp;""""&amp;"color:white"&amp;""""&amp;"&gt;[.]{#"&amp;F485&amp;"}}&lt;/span&gt;&lt;/div&gt;&lt;br&gt;"</f>
        <v>&lt;div class="hanging"&gt;weecology (2020, Oct 30). &lt;i&gt;Introduction to Species Distribution Modeling Using R.&lt;/i&gt; [Video]. YouTube.&lt;a href="https://www.youtube.com/watch?v=0VObf2rMrI8" target="_blank"&gt;https://www.youtube.com/watch?v=0VObf2rMrI8&lt;/a&gt;&lt;span style="color:white"&gt;[.]{#weecology_2020}}&lt;/span&gt;&lt;/div&gt;&lt;br&gt;</v>
      </c>
      <c r="O485" s="65" t="str">
        <f>"{{ rtxt_"&amp;F485&amp;" }}"</f>
        <v>{{ rtxt_weecology_2020 }}</v>
      </c>
      <c r="P485" s="65" t="str">
        <f>"{{ rbib_"&amp;F485&amp;" }}"</f>
        <v>{{ rbib_weecology_2020 }}</v>
      </c>
      <c r="Q485" s="65" t="str">
        <f>"    rtxt_"&amp;F485&amp;": "&amp;""""&amp;"&lt;a href=\"&amp;""""&amp;"/08_references.html#"&amp;F485&amp;"\"&amp;""""&amp;" target=\"&amp;""""&amp;"_blank\"&amp;""""&amp;"&gt;"&amp;G485&amp;"&lt;/a&gt;"&amp;""""</f>
        <v xml:space="preserve">    rtxt_weecology_2020: "&lt;a href=\"/08_references.html#weecology_2020\" target=\"_blank\"&gt;weecology (2020)&lt;/a&gt;"</v>
      </c>
      <c r="R485" s="65" t="str">
        <f>"    rbib_"&amp;F485&amp;": "&amp;""""&amp;K485&amp;"&lt;a href=\"&amp;""""&amp;L485&amp;""""&amp;" target=\"&amp;""""&amp;"_blank\"&amp;""""&amp;"&gt;"&amp;L485&amp;"&lt;/a&gt;"&amp;""""</f>
        <v xml:space="preserve">    rbib_weecology_2020: "weecology (2020, Oct 30). &lt;i&gt;Introduction to Species Distribution Modeling Using R.&lt;/i&gt; [Video]. YouTube.&lt;a href=\"https://www.youtube.com/watch?v=0VObf2rMrI8" target=\"_blank\"&gt;https://www.youtube.com/watch?v=0VObf2rMrI8&lt;/a&gt;"</v>
      </c>
      <c r="S485" s="65" t="str">
        <f>"    rbib_"&amp;F485&amp;": "&amp;""""&amp;"&lt;div class=\"&amp;""""&amp;"hanging\"&amp;""""&amp;"&gt;"&amp;J485&amp;"&lt;/div&gt;"&amp;""""</f>
        <v xml:space="preserve">    rbib_weecology_2020: "&lt;div class=\"hanging\"&gt;weecology (2020, Oct 30). *Introduction to Species Distribution Modeling Using R.* [Video]. YouTube. &lt;https://www.youtube.com/watch?v=0VObf2rMrI8&gt;&lt;/div&gt;"</v>
      </c>
      <c r="T485" s="65"/>
    </row>
    <row r="486" spans="1:20" ht="15.75">
      <c r="A486" s="65"/>
      <c r="B486" s="155" t="b">
        <v>1</v>
      </c>
      <c r="C486" s="155" t="b">
        <v>0</v>
      </c>
      <c r="D486" s="155" t="b">
        <v>1</v>
      </c>
      <c r="E486" s="65" t="s">
        <v>1904</v>
      </c>
      <c r="F486" s="65" t="s">
        <v>2001</v>
      </c>
      <c r="G486" s="65" t="s">
        <v>2000</v>
      </c>
      <c r="H486" s="65" t="s">
        <v>2000</v>
      </c>
      <c r="I486" s="65" t="b">
        <v>1</v>
      </c>
      <c r="J486" s="65" t="s">
        <v>1999</v>
      </c>
      <c r="K486" s="65" t="s">
        <v>5248</v>
      </c>
      <c r="L486" s="65" t="s">
        <v>1998</v>
      </c>
      <c r="M486" s="65" t="s">
        <v>984</v>
      </c>
      <c r="N486" s="65" t="str">
        <f>"&lt;div class="&amp;""""&amp;"hanging"&amp;""""&amp;"&gt;"&amp;K486&amp;"&lt;a href="&amp;""""&amp;L486&amp;""""&amp;" target="&amp;""""&amp;"_blank"&amp;""""&amp;"&gt;"&amp;L486&amp;"&lt;/a&gt;&lt;span style="&amp;""""&amp;"color:white"&amp;""""&amp;"&gt;[.]{#"&amp;F486&amp;"}}&lt;/span&gt;&lt;/div&gt;&lt;br&gt;"</f>
        <v>&lt;div class="hanging"&gt;Wegge, P., C. P. Pokheral, &amp; Jnawali, S. R. (2004). Effects of trapping effort and trap shyness on estimates of tiger abundance from camera trap studies. &lt;i&gt;Animal Conservation, 7&lt;/i&gt;, 251-256.&lt;a href="https://doi.org/10.1017/S1367943004001441" target="_blank"&gt;https://doi.org/10.1017/S1367943004001441&lt;/a&gt;&lt;span style="color:white"&gt;[.]{#wegge_et_al_2004}}&lt;/span&gt;&lt;/div&gt;&lt;br&gt;</v>
      </c>
      <c r="O486" s="65" t="str">
        <f>"{{ rtxt_"&amp;F486&amp;" }}"</f>
        <v>{{ rtxt_wegge_et_al_2004 }}</v>
      </c>
      <c r="P486" s="65" t="str">
        <f>"{{ rbib_"&amp;F486&amp;" }}"</f>
        <v>{{ rbib_wegge_et_al_2004 }}</v>
      </c>
      <c r="Q486" s="65" t="str">
        <f>"    rtxt_"&amp;F486&amp;": "&amp;""""&amp;"&lt;a href=\"&amp;""""&amp;"/08_references.html#"&amp;F486&amp;"\"&amp;""""&amp;" target=\"&amp;""""&amp;"_blank\"&amp;""""&amp;"&gt;"&amp;G486&amp;"&lt;/a&gt;"&amp;""""</f>
        <v xml:space="preserve">    rtxt_wegge_et_al_2004: "&lt;a href=\"/08_references.html#wegge_et_al_2004\" target=\"_blank\"&gt;Wegge et al., 2004&lt;/a&gt;"</v>
      </c>
      <c r="R486" s="65" t="str">
        <f>"    rbib_"&amp;F486&amp;": "&amp;""""&amp;K486&amp;"&lt;a href=\"&amp;""""&amp;L486&amp;""""&amp;" target=\"&amp;""""&amp;"_blank\"&amp;""""&amp;"&gt;"&amp;L486&amp;"&lt;/a&gt;"&amp;""""</f>
        <v xml:space="preserve">    rbib_wegge_et_al_2004: "Wegge, P., C. P. Pokheral, &amp; Jnawali, S. R. (2004). Effects of trapping effort and trap shyness on estimates of tiger abundance from camera trap studies. &lt;i&gt;Animal Conservation, 7&lt;/i&gt;, 251-256.&lt;a href=\"https://doi.org/10.1017/S1367943004001441" target=\"_blank\"&gt;https://doi.org/10.1017/S1367943004001441&lt;/a&gt;"</v>
      </c>
      <c r="S486" s="65" t="str">
        <f>"    rbib_"&amp;F486&amp;": "&amp;""""&amp;"&lt;div class=\"&amp;""""&amp;"hanging\"&amp;""""&amp;"&gt;"&amp;J486&amp;"&lt;/div&gt;"&amp;""""</f>
        <v xml:space="preserve">    rbib_wegge_et_al_2004: "&lt;div class=\"hanging\"&gt;Wegge, P., C. P. Pokheral, &amp; Jnawali, S. R. (2004). Effects of trapping effort and trap shyness on estimates of tiger abundance from camera trap studies. *Animal Conservation, 7*, 251-256. &lt;https://doi.org/10.1017/S1367943004001441&gt;&lt;/div&gt;"</v>
      </c>
      <c r="T486" s="65"/>
    </row>
    <row r="487" spans="1:20" ht="15.75">
      <c r="A487" s="65"/>
      <c r="B487" s="155" t="b">
        <v>1</v>
      </c>
      <c r="C487" s="155" t="b">
        <v>0</v>
      </c>
      <c r="D487" s="155" t="b">
        <v>0</v>
      </c>
      <c r="E487" s="65" t="s">
        <v>1904</v>
      </c>
      <c r="F487" s="65" t="s">
        <v>1997</v>
      </c>
      <c r="G487" s="65" t="s">
        <v>1996</v>
      </c>
      <c r="H487" s="65" t="s">
        <v>1996</v>
      </c>
      <c r="I487" s="65" t="b">
        <v>1</v>
      </c>
      <c r="J487" s="65" t="s">
        <v>1995</v>
      </c>
      <c r="K487" s="65" t="s">
        <v>5129</v>
      </c>
      <c r="L487" s="65" t="s">
        <v>1994</v>
      </c>
      <c r="M487" s="65" t="s">
        <v>984</v>
      </c>
      <c r="N487" s="65" t="str">
        <f>"&lt;div class="&amp;""""&amp;"hanging"&amp;""""&amp;"&gt;"&amp;K487&amp;"&lt;a href="&amp;""""&amp;L487&amp;""""&amp;" target="&amp;""""&amp;"_blank"&amp;""""&amp;"&gt;"&amp;L487&amp;"&lt;/a&gt;&lt;span style="&amp;""""&amp;"color:white"&amp;""""&amp;"&gt;[.]{#"&amp;F487&amp;"}}&lt;/span&gt;&lt;/div&gt;&lt;br&gt;"</f>
        <v>&lt;div class="hanging"&gt;Welbourne, D. J., Claridge, A. W., Paul, D. J., &amp; Lambert, A. (2016). How do passive infrared triggered camera traps operate and why does it matter? Breaking down common misconceptions. &lt;i&gt;Remote Sensing in Ecology and Conservation&lt;/i&gt;, 77-83.&lt;a href="https://doi.or/10.1002/rse2.20" target="_blank"&gt;https://doi.or/10.1002/rse2.20&lt;/a&gt;&lt;span style="color:white"&gt;[.]{#welbourne_et_al_2016}}&lt;/span&gt;&lt;/div&gt;&lt;br&gt;</v>
      </c>
      <c r="O487" s="65" t="str">
        <f>"{{ rtxt_"&amp;F487&amp;" }}"</f>
        <v>{{ rtxt_welbourne_et_al_2016 }}</v>
      </c>
      <c r="P487" s="65" t="str">
        <f>"{{ rbib_"&amp;F487&amp;" }}"</f>
        <v>{{ rbib_welbourne_et_al_2016 }}</v>
      </c>
      <c r="Q487" s="65" t="str">
        <f>"    rtxt_"&amp;F487&amp;": "&amp;""""&amp;"&lt;a href=\"&amp;""""&amp;"/08_references.html#"&amp;F487&amp;"\"&amp;""""&amp;" target=\"&amp;""""&amp;"_blank\"&amp;""""&amp;"&gt;"&amp;G487&amp;"&lt;/a&gt;"&amp;""""</f>
        <v xml:space="preserve">    rtxt_welbourne_et_al_2016: "&lt;a href=\"/08_references.html#welbourne_et_al_2016\" target=\"_blank\"&gt;Welbourne et al., 2016&lt;/a&gt;"</v>
      </c>
      <c r="R487" s="65" t="str">
        <f>"    rbib_"&amp;F487&amp;": "&amp;""""&amp;K487&amp;"&lt;a href=\"&amp;""""&amp;L487&amp;""""&amp;" target=\"&amp;""""&amp;"_blank\"&amp;""""&amp;"&gt;"&amp;L487&amp;"&lt;/a&gt;"&amp;""""</f>
        <v xml:space="preserve">    rbib_welbourne_et_al_2016: "Welbourne, D. J., Claridge, A. W., Paul, D. J., &amp; Lambert, A. (2016). How do passive infrared triggered camera traps operate and why does it matter? Breaking down common misconceptions. &lt;i&gt;Remote Sensing in Ecology and Conservation&lt;/i&gt;, 77-83.&lt;a href=\"https://doi.or/10.1002/rse2.20" target=\"_blank\"&gt;https://doi.or/10.1002/rse2.20&lt;/a&gt;"</v>
      </c>
      <c r="S487" s="65" t="str">
        <f>"    rbib_"&amp;F487&amp;": "&amp;""""&amp;"&lt;div class=\"&amp;""""&amp;"hanging\"&amp;""""&amp;"&gt;"&amp;J487&amp;"&lt;/div&gt;"&amp;""""</f>
        <v xml:space="preserve">    rbib_welbourne_et_al_2016: "&lt;div class=\"hanging\"&gt;Welbourne, D. J., Claridge, A. W., Paul, D. J., &amp; Lambert, A. (2016). How do passive infrared triggered camera traps operate and why does it matter? Breaking down common misconceptions. *Remote Sensing in Ecology and Conservation*, 77-83. &lt;https://doi.or/10.1002/rse2.20&gt;&lt;/div&gt;"</v>
      </c>
      <c r="T487" s="65"/>
    </row>
    <row r="488" spans="1:20" ht="15.75">
      <c r="A488" s="65"/>
      <c r="B488" s="155" t="b">
        <v>1</v>
      </c>
      <c r="C488" s="155" t="b">
        <v>0</v>
      </c>
      <c r="D488" s="155" t="s">
        <v>1993</v>
      </c>
      <c r="E488" s="65" t="s">
        <v>1904</v>
      </c>
      <c r="F488" s="65" t="s">
        <v>1992</v>
      </c>
      <c r="G488" s="65" t="s">
        <v>1991</v>
      </c>
      <c r="H488" s="65" t="s">
        <v>1991</v>
      </c>
      <c r="I488" s="65" t="b">
        <v>1</v>
      </c>
      <c r="J488" s="65" t="s">
        <v>1990</v>
      </c>
      <c r="K488" s="65" t="s">
        <v>5183</v>
      </c>
      <c r="L488" s="65" t="s">
        <v>1989</v>
      </c>
      <c r="M488" s="65" t="s">
        <v>984</v>
      </c>
      <c r="N488" s="65" t="str">
        <f>"&lt;div class="&amp;""""&amp;"hanging"&amp;""""&amp;"&gt;"&amp;K488&amp;"&lt;a href="&amp;""""&amp;L488&amp;""""&amp;" target="&amp;""""&amp;"_blank"&amp;""""&amp;"&gt;"&amp;L488&amp;"&lt;/a&gt;&lt;span style="&amp;""""&amp;"color:white"&amp;""""&amp;"&gt;[.]{#"&amp;F488&amp;"}}&lt;/span&gt;&lt;/div&gt;&lt;br&gt;"</f>
        <v>&lt;div class="hanging"&gt;Wellington, K., Bottom, C., Merrill, C., &amp; Litvaitis, J. A. (2014). Identifying performance differences among trail cameras used to monitor forest mammals. &lt;i&gt;Wildlife Society Bulletin, 38&lt;/i&gt;(3), 634-638.&lt;a href="https://doi.org/10.1002/wsb.425" target="_blank"&gt;https://doi.org/10.1002/wsb.425&lt;/a&gt;&lt;span style="color:white"&gt;[.]{#wellington_et_al_2014}}&lt;/span&gt;&lt;/div&gt;&lt;br&gt;</v>
      </c>
      <c r="O488" s="65" t="str">
        <f>"{{ rtxt_"&amp;F488&amp;" }}"</f>
        <v>{{ rtxt_wellington_et_al_2014 }}</v>
      </c>
      <c r="P488" s="65" t="str">
        <f>"{{ rbib_"&amp;F488&amp;" }}"</f>
        <v>{{ rbib_wellington_et_al_2014 }}</v>
      </c>
      <c r="Q488" s="65" t="str">
        <f>"    rtxt_"&amp;F488&amp;": "&amp;""""&amp;"&lt;a href=\"&amp;""""&amp;"/08_references.html#"&amp;F488&amp;"\"&amp;""""&amp;" target=\"&amp;""""&amp;"_blank\"&amp;""""&amp;"&gt;"&amp;G488&amp;"&lt;/a&gt;"&amp;""""</f>
        <v xml:space="preserve">    rtxt_wellington_et_al_2014: "&lt;a href=\"/08_references.html#wellington_et_al_2014\" target=\"_blank\"&gt;Wellington et al., 2014&lt;/a&gt;"</v>
      </c>
      <c r="R488" s="65" t="str">
        <f>"    rbib_"&amp;F488&amp;": "&amp;""""&amp;K488&amp;"&lt;a href=\"&amp;""""&amp;L488&amp;""""&amp;" target=\"&amp;""""&amp;"_blank\"&amp;""""&amp;"&gt;"&amp;L488&amp;"&lt;/a&gt;"&amp;""""</f>
        <v xml:space="preserve">    rbib_wellington_et_al_2014: "Wellington, K., Bottom, C., Merrill, C., &amp; Litvaitis, J. A. (2014). Identifying performance differences among trail cameras used to monitor forest mammals. &lt;i&gt;Wildlife Society Bulletin, 38&lt;/i&gt;(3), 634-638.&lt;a href=\"https://doi.org/10.1002/wsb.425" target=\"_blank\"&gt;https://doi.org/10.1002/wsb.425&lt;/a&gt;"</v>
      </c>
      <c r="S488" s="65" t="str">
        <f>"    rbib_"&amp;F488&amp;": "&amp;""""&amp;"&lt;div class=\"&amp;""""&amp;"hanging\"&amp;""""&amp;"&gt;"&amp;J488&amp;"&lt;/div&gt;"&amp;""""</f>
        <v xml:space="preserve">    rbib_wellington_et_al_2014: "&lt;div class=\"hanging\"&gt;Wellington, K., Bottom, C., Merrill, C., &amp; Litvaitis, J. A. (2014). Identifying performance differences among trail cameras used to monitor forest mammals. *Wildlife Society Bulletin, 38*(3), 634-638. &lt;https://doi.org/10.1002/wsb.425&gt;&lt;/div&gt;"</v>
      </c>
      <c r="T488" s="65"/>
    </row>
    <row r="489" spans="1:20" ht="15.75">
      <c r="A489" s="65"/>
      <c r="B489" s="155" t="b">
        <v>0</v>
      </c>
      <c r="C489" s="155" t="b">
        <v>0</v>
      </c>
      <c r="D489" s="155" t="b">
        <v>1</v>
      </c>
      <c r="E489" s="65" t="s">
        <v>1904</v>
      </c>
      <c r="F489" s="65" t="s">
        <v>1988</v>
      </c>
      <c r="G489" s="65" t="s">
        <v>1987</v>
      </c>
      <c r="H489" s="65" t="s">
        <v>1987</v>
      </c>
      <c r="I489" s="65" t="b">
        <v>1</v>
      </c>
      <c r="J489" s="65" t="s">
        <v>1986</v>
      </c>
      <c r="K489" s="65" t="s">
        <v>5316</v>
      </c>
      <c r="L489" s="65" t="s">
        <v>1985</v>
      </c>
      <c r="M489" s="65" t="s">
        <v>984</v>
      </c>
      <c r="N489" s="65" t="str">
        <f>"&lt;div class="&amp;""""&amp;"hanging"&amp;""""&amp;"&gt;"&amp;K489&amp;"&lt;a href="&amp;""""&amp;L489&amp;""""&amp;" target="&amp;""""&amp;"_blank"&amp;""""&amp;"&gt;"&amp;L489&amp;"&lt;/a&gt;&lt;span style="&amp;""""&amp;"color:white"&amp;""""&amp;"&gt;[.]{#"&amp;F489&amp;"}}&lt;/span&gt;&lt;/div&gt;&lt;br&gt;"</f>
        <v>&lt;div class="hanging"&gt;Welsh, A. H., Cunningham, R. B., &amp; Chambers, R. L. (2000). Methodology for estimating the abundance of rare animals: Seabird nesting on North East Herald Cay. &lt;i&gt;Biometrics, 56&lt;/i&gt;(1), 22-30.&lt;a href="https://doi.org/10.1111/j.0006-341X.2000.00022.x" target="_blank"&gt;https://doi.org/10.1111/j.0006-341X.2000.00022.x&lt;/a&gt;&lt;span style="color:white"&gt;[.]{#welsh_et_al_2000}}&lt;/span&gt;&lt;/div&gt;&lt;br&gt;</v>
      </c>
      <c r="O489" s="65" t="str">
        <f>"{{ rtxt_"&amp;F489&amp;" }}"</f>
        <v>{{ rtxt_welsh_et_al_2000 }}</v>
      </c>
      <c r="P489" s="65" t="str">
        <f>"{{ rbib_"&amp;F489&amp;" }}"</f>
        <v>{{ rbib_welsh_et_al_2000 }}</v>
      </c>
      <c r="Q489" s="65" t="str">
        <f>"    rtxt_"&amp;F489&amp;": "&amp;""""&amp;"&lt;a href=\"&amp;""""&amp;"/08_references.html#"&amp;F489&amp;"\"&amp;""""&amp;" target=\"&amp;""""&amp;"_blank\"&amp;""""&amp;"&gt;"&amp;G489&amp;"&lt;/a&gt;"&amp;""""</f>
        <v xml:space="preserve">    rtxt_welsh_et_al_2000: "&lt;a href=\"/08_references.html#welsh_et_al_2000\" target=\"_blank\"&gt;Welsh et al., 2000&lt;/a&gt;"</v>
      </c>
      <c r="R489" s="65" t="str">
        <f>"    rbib_"&amp;F489&amp;": "&amp;""""&amp;K489&amp;"&lt;a href=\"&amp;""""&amp;L489&amp;""""&amp;" target=\"&amp;""""&amp;"_blank\"&amp;""""&amp;"&gt;"&amp;L489&amp;"&lt;/a&gt;"&amp;""""</f>
        <v xml:space="preserve">    rbib_welsh_et_al_2000: "Welsh, A. H., Cunningham, R. B., &amp; Chambers, R. L. (2000). Methodology for estimating the abundance of rare animals: Seabird nesting on North East Herald Cay. &lt;i&gt;Biometrics, 56&lt;/i&gt;(1), 22-30.&lt;a href=\"https://doi.org/10.1111/j.0006-341X.2000.00022.x" target=\"_blank\"&gt;https://doi.org/10.1111/j.0006-341X.2000.00022.x&lt;/a&gt;"</v>
      </c>
      <c r="S489" s="65" t="str">
        <f>"    rbib_"&amp;F489&amp;": "&amp;""""&amp;"&lt;div class=\"&amp;""""&amp;"hanging\"&amp;""""&amp;"&gt;"&amp;J489&amp;"&lt;/div&gt;"&amp;""""</f>
        <v xml:space="preserve">    rbib_welsh_et_al_2000: "&lt;div class=\"hanging\"&gt;Welsh, A. H., Cunningham, R. B., &amp; Chambers, R. L. (2000). Methodology for estimating the abundance of rare animals: Seabird nesting on North East Herald Cay. *Biometrics, 56*(1), 22-30. &lt;https://doi.org/10.1111/j.0006-341X.2000.00022.x&gt;&lt;/div&gt;"</v>
      </c>
      <c r="T489" s="65"/>
    </row>
    <row r="490" spans="1:20" ht="15.75">
      <c r="A490" s="65"/>
      <c r="B490" s="155" t="b">
        <v>1</v>
      </c>
      <c r="C490" s="155" t="b">
        <v>0</v>
      </c>
      <c r="D490" s="155" t="b">
        <v>0</v>
      </c>
      <c r="E490" s="65" t="s">
        <v>1904</v>
      </c>
      <c r="F490" s="65" t="s">
        <v>1984</v>
      </c>
      <c r="G490" s="65" t="s">
        <v>1983</v>
      </c>
      <c r="H490" s="65" t="s">
        <v>1983</v>
      </c>
      <c r="I490" s="65" t="b">
        <v>1</v>
      </c>
      <c r="J490" s="65" t="s">
        <v>1982</v>
      </c>
      <c r="K490" s="65" t="s">
        <v>5283</v>
      </c>
      <c r="L490" s="65" t="s">
        <v>1981</v>
      </c>
      <c r="M490" s="65" t="s">
        <v>984</v>
      </c>
      <c r="N490" s="65" t="str">
        <f>"&lt;div class="&amp;""""&amp;"hanging"&amp;""""&amp;"&gt;"&amp;K490&amp;"&lt;a href="&amp;""""&amp;L490&amp;""""&amp;" target="&amp;""""&amp;"_blank"&amp;""""&amp;"&gt;"&amp;L490&amp;"&lt;/a&gt;&lt;span style="&amp;""""&amp;"color:white"&amp;""""&amp;"&gt;[.]{#"&amp;F490&amp;"}}&lt;/span&gt;&lt;/div&gt;&lt;br&gt;"</f>
        <v>&lt;div class="hanging"&gt;Whittington, J., Hebblewhite, M., Chandler, R. B., &amp; Lentini, P. (2018). Generalized spatial mark-resight models with an application to grizzly bears. &lt;i&gt;Journal of Applied Ecology, 55&lt;/i&gt;(1), 157-168.&lt;a href="https://doi.org/10.1111/1365-2664.12954" target="_blank"&gt;https://doi.org/10.1111/1365-2664.12954&lt;/a&gt;&lt;span style="color:white"&gt;[.]{#whittington_et_al_2018}}&lt;/span&gt;&lt;/div&gt;&lt;br&gt;</v>
      </c>
      <c r="O490" s="65" t="str">
        <f>"{{ rtxt_"&amp;F490&amp;" }}"</f>
        <v>{{ rtxt_whittington_et_al_2018 }}</v>
      </c>
      <c r="P490" s="65" t="str">
        <f>"{{ rbib_"&amp;F490&amp;" }}"</f>
        <v>{{ rbib_whittington_et_al_2018 }}</v>
      </c>
      <c r="Q490" s="65" t="str">
        <f>"    rtxt_"&amp;F490&amp;": "&amp;""""&amp;"&lt;a href=\"&amp;""""&amp;"/08_references.html#"&amp;F490&amp;"\"&amp;""""&amp;" target=\"&amp;""""&amp;"_blank\"&amp;""""&amp;"&gt;"&amp;G490&amp;"&lt;/a&gt;"&amp;""""</f>
        <v xml:space="preserve">    rtxt_whittington_et_al_2018: "&lt;a href=\"/08_references.html#whittington_et_al_2018\" target=\"_blank\"&gt;Whittington et al., 2018&lt;/a&gt;"</v>
      </c>
      <c r="R490" s="65" t="str">
        <f>"    rbib_"&amp;F490&amp;": "&amp;""""&amp;K490&amp;"&lt;a href=\"&amp;""""&amp;L490&amp;""""&amp;" target=\"&amp;""""&amp;"_blank\"&amp;""""&amp;"&gt;"&amp;L490&amp;"&lt;/a&gt;"&amp;""""</f>
        <v xml:space="preserve">    rbib_whittington_et_al_2018: "Whittington, J., Hebblewhite, M., Chandler, R. B., &amp; Lentini, P. (2018). Generalized spatial mark-resight models with an application to grizzly bears. &lt;i&gt;Journal of Applied Ecology, 55&lt;/i&gt;(1), 157-168.&lt;a href=\"https://doi.org/10.1111/1365-2664.12954" target=\"_blank\"&gt;https://doi.org/10.1111/1365-2664.12954&lt;/a&gt;"</v>
      </c>
      <c r="S490" s="65" t="str">
        <f>"    rbib_"&amp;F490&amp;": "&amp;""""&amp;"&lt;div class=\"&amp;""""&amp;"hanging\"&amp;""""&amp;"&gt;"&amp;J490&amp;"&lt;/div&gt;"&amp;""""</f>
        <v xml:space="preserve">    rbib_whittington_et_al_2018: "&lt;div class=\"hanging\"&gt;Whittington, J., Hebblewhite, M., Chandler, R. B., &amp; Lentini, P. (2018). Generalized spatial mark-resight models with an application to grizzly bears. *Journal of Applied Ecology, 55*(1), 157-168. &lt;https://doi.org/10.1111/1365-2664.12954&gt;&lt;/div&gt;"</v>
      </c>
      <c r="T490" s="65"/>
    </row>
    <row r="491" spans="1:20" ht="15.75">
      <c r="A491" s="65"/>
      <c r="B491" s="155" t="b">
        <v>0</v>
      </c>
      <c r="C491" s="155" t="b">
        <v>1</v>
      </c>
      <c r="D491" s="155" t="b">
        <v>0</v>
      </c>
      <c r="E491" s="65" t="s">
        <v>1904</v>
      </c>
      <c r="F491" s="65" t="s">
        <v>1980</v>
      </c>
      <c r="G491" s="65" t="s">
        <v>1979</v>
      </c>
      <c r="H491" s="65" t="s">
        <v>1978</v>
      </c>
      <c r="I491" s="65" t="b">
        <v>1</v>
      </c>
      <c r="J491" s="65" t="s">
        <v>1977</v>
      </c>
      <c r="K491" s="65" t="s">
        <v>5497</v>
      </c>
      <c r="L491" s="65" t="s">
        <v>1976</v>
      </c>
      <c r="M491" s="65" t="s">
        <v>984</v>
      </c>
      <c r="N491" s="65" t="str">
        <f>"&lt;div class="&amp;""""&amp;"hanging"&amp;""""&amp;"&gt;"&amp;K491&amp;"&lt;a href="&amp;""""&amp;L491&amp;""""&amp;" target="&amp;""""&amp;"_blank"&amp;""""&amp;"&gt;"&amp;L491&amp;"&lt;/a&gt;&lt;span style="&amp;""""&amp;"color:white"&amp;""""&amp;"&gt;[.]{#"&amp;F491&amp;"}}&lt;/span&gt;&lt;/div&gt;&lt;br&gt;"</f>
        <v>&lt;div class="hanging"&gt;Whittington, J., Low, P., &amp; Hunt, B. (2019). Temporal road closures improve habitat quality for wildlife. &lt;i&gt;Scientific Reports, 9&lt;/i&gt;(1), 3772.&lt;a href="https://www.nature.com/articles/s41598-019-40581-y" target="_blank"&gt;https://www.nature.com/articles/s41598-019-40581-y&lt;/a&gt;&lt;span style="color:white"&gt;[.]{#whittington_et_al_2019}}&lt;/span&gt;&lt;/div&gt;&lt;br&gt;</v>
      </c>
      <c r="O491" s="65" t="str">
        <f>"{{ rtxt_"&amp;F491&amp;" }}"</f>
        <v>{{ rtxt_whittington_et_al_2019 }}</v>
      </c>
      <c r="P491" s="65" t="str">
        <f>"{{ rbib_"&amp;F491&amp;" }}"</f>
        <v>{{ rbib_whittington_et_al_2019 }}</v>
      </c>
      <c r="Q491" s="65" t="str">
        <f>"    rtxt_"&amp;F491&amp;": "&amp;""""&amp;"&lt;a href=\"&amp;""""&amp;"/08_references.html#"&amp;F491&amp;"\"&amp;""""&amp;" target=\"&amp;""""&amp;"_blank\"&amp;""""&amp;"&gt;"&amp;G491&amp;"&lt;/a&gt;"&amp;""""</f>
        <v xml:space="preserve">    rtxt_whittington_et_al_2019: "&lt;a href=\"/08_references.html#whittington_et_al_2019\" target=\"_blank\"&gt;Whittington et al., 2019&lt;/a&gt;"</v>
      </c>
      <c r="R491" s="65" t="str">
        <f>"    rbib_"&amp;F491&amp;": "&amp;""""&amp;K491&amp;"&lt;a href=\"&amp;""""&amp;L491&amp;""""&amp;" target=\"&amp;""""&amp;"_blank\"&amp;""""&amp;"&gt;"&amp;L491&amp;"&lt;/a&gt;"&amp;""""</f>
        <v xml:space="preserve">    rbib_whittington_et_al_2019: "Whittington, J., Low, P., &amp; Hunt, B. (2019). Temporal road closures improve habitat quality for wildlife. &lt;i&gt;Scientific Reports, 9&lt;/i&gt;(1), 3772.&lt;a href=\"https://www.nature.com/articles/s41598-019-40581-y" target=\"_blank\"&gt;https://www.nature.com/articles/s41598-019-40581-y&lt;/a&gt;"</v>
      </c>
      <c r="S491" s="65" t="str">
        <f>"    rbib_"&amp;F491&amp;": "&amp;""""&amp;"&lt;div class=\"&amp;""""&amp;"hanging\"&amp;""""&amp;"&gt;"&amp;J491&amp;"&lt;/div&gt;"&amp;""""</f>
        <v xml:space="preserve">    rbib_whittington_et_al_2019: "&lt;div class=\"hanging\"&gt;Whittington, J., Low, P., &amp; Hunt, B. (2019). Temporal road closures improve habitat quality for wildlife. *Scientific Reports, 9* (1), 3772. &lt;https://www.nature.com/articles/s41598-019-40581-y&gt;&lt;/div&gt;"</v>
      </c>
      <c r="T491" s="65"/>
    </row>
    <row r="492" spans="1:20" ht="15.75">
      <c r="A492" s="65"/>
      <c r="B492" s="155" t="b">
        <v>1</v>
      </c>
      <c r="C492" s="155" t="b">
        <v>0</v>
      </c>
      <c r="D492" s="155" t="b">
        <v>0</v>
      </c>
      <c r="E492" s="65" t="s">
        <v>984</v>
      </c>
      <c r="F492" s="65" t="s">
        <v>1975</v>
      </c>
      <c r="G492" s="65" t="s">
        <v>1974</v>
      </c>
      <c r="H492" s="65" t="s">
        <v>1974</v>
      </c>
      <c r="I492" s="65" t="b">
        <v>1</v>
      </c>
      <c r="J492" s="65" t="s">
        <v>1973</v>
      </c>
      <c r="K492" s="65" t="s">
        <v>5478</v>
      </c>
      <c r="L492" s="65" t="s">
        <v>1972</v>
      </c>
      <c r="M492" s="65" t="s">
        <v>984</v>
      </c>
      <c r="N492" s="65" t="str">
        <f>"&lt;div class="&amp;""""&amp;"hanging"&amp;""""&amp;"&gt;"&amp;K492&amp;"&lt;a href="&amp;""""&amp;L492&amp;""""&amp;" target="&amp;""""&amp;"_blank"&amp;""""&amp;"&gt;"&amp;L492&amp;"&lt;/a&gt;&lt;span style="&amp;""""&amp;"color:white"&amp;""""&amp;"&gt;[.]{#"&amp;F492&amp;"}}&lt;/span&gt;&lt;/div&gt;&lt;br&gt;"</f>
        <v>&lt;div class="hanging"&gt;WildCAM Network (2019). &lt;i&gt;WildCAM Network Camera Trapping Best Practices Literature Synthesis.&lt;/i&gt;&lt;a href="https://wildcams.ca/site/assets/files/1390/wildcam_network_camera_trapping_best_practices_literature_synthesis.pdf" target="_blank"&gt;https://wildcams.ca/site/assets/files/1390/wildcam_network_camera_trapping_best_practices_literature_synthesis.pdf&lt;/a&gt;&lt;span style="color:white"&gt;[.]{#wildcam_network_2019}}&lt;/span&gt;&lt;/div&gt;&lt;br&gt;</v>
      </c>
      <c r="O492" s="65" t="str">
        <f>"{{ rtxt_"&amp;F492&amp;" }}"</f>
        <v>{{ rtxt_wildcam_network_2019 }}</v>
      </c>
      <c r="P492" s="65" t="str">
        <f>"{{ rbib_"&amp;F492&amp;" }}"</f>
        <v>{{ rbib_wildcam_network_2019 }}</v>
      </c>
      <c r="Q492" s="65" t="str">
        <f>"    rtxt_"&amp;F492&amp;": "&amp;""""&amp;"&lt;a href=\"&amp;""""&amp;"/08_references.html#"&amp;F492&amp;"\"&amp;""""&amp;" target=\"&amp;""""&amp;"_blank\"&amp;""""&amp;"&gt;"&amp;G492&amp;"&lt;/a&gt;"&amp;""""</f>
        <v xml:space="preserve">    rtxt_wildcam_network_2019: "&lt;a href=\"/08_references.html#wildcam_network_2019\" target=\"_blank\"&gt;WildCAM Network, 2019&lt;/a&gt;"</v>
      </c>
      <c r="R492" s="65" t="str">
        <f>"    rbib_"&amp;F492&amp;": "&amp;""""&amp;K492&amp;"&lt;a href=\"&amp;""""&amp;L492&amp;""""&amp;" target=\"&amp;""""&amp;"_blank\"&amp;""""&amp;"&gt;"&amp;L492&amp;"&lt;/a&gt;"&amp;""""</f>
        <v xml:space="preserve">    rbib_wildcam_network_2019: "WildCAM Network (2019). &lt;i&gt;WildCAM Network Camera Trapping Best Practices Literature Synthesis.&lt;/i&gt;&lt;a href=\"https://wildcams.ca/site/assets/files/1390/wildcam_network_camera_trapping_best_practices_literature_synthesis.pdf" target=\"_blank\"&gt;https://wildcams.ca/site/assets/files/1390/wildcam_network_camera_trapping_best_practices_literature_synthesis.pdf&lt;/a&gt;"</v>
      </c>
      <c r="S492" s="65" t="str">
        <f>"    rbib_"&amp;F492&amp;": "&amp;""""&amp;"&lt;div class=\"&amp;""""&amp;"hanging\"&amp;""""&amp;"&gt;"&amp;J492&amp;"&lt;/div&gt;"&amp;""""</f>
        <v xml:space="preserve">    rbib_wildcam_network_2019: "&lt;div class=\"hanging\"&gt;WildCAM Network (2019). *WildCAM Network Camera Trapping Best Practices Literature Synthesis.* &lt;https://wildcams.ca/site/assets/files/1390/wildcam_network_camera_trapping_best_practices_literature_synthesis.pdf&gt;&lt;/div&gt;"</v>
      </c>
      <c r="T492" s="65"/>
    </row>
    <row r="493" spans="1:20" ht="15.75">
      <c r="A493" s="65"/>
      <c r="B493" s="155" t="b">
        <v>1</v>
      </c>
      <c r="C493" s="155" t="b">
        <v>0</v>
      </c>
      <c r="D493" s="155" t="b">
        <v>0</v>
      </c>
      <c r="E493" s="65" t="s">
        <v>1950</v>
      </c>
      <c r="F493" s="65" t="s">
        <v>1971</v>
      </c>
      <c r="G493" s="65" t="s">
        <v>1970</v>
      </c>
      <c r="H493" s="65" t="s">
        <v>1970</v>
      </c>
      <c r="I493" s="65" t="b">
        <v>1</v>
      </c>
      <c r="J493" s="65" t="s">
        <v>1969</v>
      </c>
      <c r="K493" s="65" t="s">
        <v>5440</v>
      </c>
      <c r="L493" s="65" t="s">
        <v>1968</v>
      </c>
      <c r="M493" s="65" t="s">
        <v>984</v>
      </c>
      <c r="N493" s="65" t="str">
        <f>"&lt;div class="&amp;""""&amp;"hanging"&amp;""""&amp;"&gt;"&amp;K493&amp;"&lt;a href="&amp;""""&amp;L493&amp;""""&amp;" target="&amp;""""&amp;"_blank"&amp;""""&amp;"&gt;"&amp;L493&amp;"&lt;/a&gt;&lt;span style="&amp;""""&amp;"color:white"&amp;""""&amp;"&gt;[.]{#"&amp;F493&amp;"}}&lt;/span&gt;&lt;/div&gt;&lt;br&gt;"</f>
        <v>&lt;div class="hanging"&gt;WildCo Lab (2020). &lt;i&gt;WildCo_Image_Renamer.&lt;/i&gt;&lt;a href="https://github.com/WildCoLab/WildCo_Image_Renamer" target="_blank"&gt;https://github.com/WildCoLab/WildCo_Image_Renamer&lt;/a&gt;&lt;span style="color:white"&gt;[.]{#wildco_2020}}&lt;/span&gt;&lt;/div&gt;&lt;br&gt;</v>
      </c>
      <c r="O493" s="65" t="str">
        <f>"{{ rtxt_"&amp;F493&amp;" }}"</f>
        <v>{{ rtxt_wildco_2020 }}</v>
      </c>
      <c r="P493" s="65" t="str">
        <f>"{{ rbib_"&amp;F493&amp;" }}"</f>
        <v>{{ rbib_wildco_2020 }}</v>
      </c>
      <c r="Q493" s="65" t="str">
        <f>"    rtxt_"&amp;F493&amp;": "&amp;""""&amp;"&lt;a href=\"&amp;""""&amp;"/08_references.html#"&amp;F493&amp;"\"&amp;""""&amp;" target=\"&amp;""""&amp;"_blank\"&amp;""""&amp;"&gt;"&amp;G493&amp;"&lt;/a&gt;"&amp;""""</f>
        <v xml:space="preserve">    rtxt_wildco_2020: "&lt;a href=\"/08_references.html#wildco_2020\" target=\"_blank\"&gt;WildCo Lab, 2020&lt;/a&gt;"</v>
      </c>
      <c r="R493" s="65" t="str">
        <f>"    rbib_"&amp;F493&amp;": "&amp;""""&amp;K493&amp;"&lt;a href=\"&amp;""""&amp;L493&amp;""""&amp;" target=\"&amp;""""&amp;"_blank\"&amp;""""&amp;"&gt;"&amp;L493&amp;"&lt;/a&gt;"&amp;""""</f>
        <v xml:space="preserve">    rbib_wildco_2020: "WildCo Lab (2020). &lt;i&gt;WildCo_Image_Renamer.&lt;/i&gt;&lt;a href=\"https://github.com/WildCoLab/WildCo_Image_Renamer" target=\"_blank\"&gt;https://github.com/WildCoLab/WildCo_Image_Renamer&lt;/a&gt;"</v>
      </c>
      <c r="S493" s="65" t="str">
        <f>"    rbib_"&amp;F493&amp;": "&amp;""""&amp;"&lt;div class=\"&amp;""""&amp;"hanging\"&amp;""""&amp;"&gt;"&amp;J493&amp;"&lt;/div&gt;"&amp;""""</f>
        <v xml:space="preserve">    rbib_wildco_2020: "&lt;div class=\"hanging\"&gt;WildCo Lab (2020). *WildCo_Image_Renamer.* &lt;https://github.com/WildCoLab/WildCo_Image_Renamer&gt;&lt;/div&gt;"</v>
      </c>
      <c r="T493" s="65"/>
    </row>
    <row r="494" spans="1:20" ht="15.75">
      <c r="A494" s="65"/>
      <c r="B494" s="155" t="b">
        <v>1</v>
      </c>
      <c r="C494" s="155" t="b">
        <v>0</v>
      </c>
      <c r="D494" s="155" t="b">
        <v>0</v>
      </c>
      <c r="E494" s="65" t="s">
        <v>1950</v>
      </c>
      <c r="F494" s="65" t="s">
        <v>1967</v>
      </c>
      <c r="G494" s="65" t="s">
        <v>1966</v>
      </c>
      <c r="H494" s="65" t="s">
        <v>1966</v>
      </c>
      <c r="I494" s="65" t="b">
        <v>1</v>
      </c>
      <c r="J494" s="65" t="s">
        <v>1965</v>
      </c>
      <c r="K494" s="65" t="s">
        <v>5439</v>
      </c>
      <c r="L494" s="65" t="s">
        <v>1964</v>
      </c>
      <c r="M494" s="65" t="s">
        <v>984</v>
      </c>
      <c r="N494" s="65" t="str">
        <f>"&lt;div class="&amp;""""&amp;"hanging"&amp;""""&amp;"&gt;"&amp;K494&amp;"&lt;a href="&amp;""""&amp;L494&amp;""""&amp;" target="&amp;""""&amp;"_blank"&amp;""""&amp;"&gt;"&amp;L494&amp;"&lt;/a&gt;&lt;span style="&amp;""""&amp;"color:white"&amp;""""&amp;"&gt;[.]{#"&amp;F494&amp;"}}&lt;/span&gt;&lt;/div&gt;&lt;br&gt;"</f>
        <v>&lt;div class="hanging"&gt;WildCo Lab (2021a). &lt;i&gt;WildCo-FaceBlur.&lt;/i&gt;&lt;a href="https://github.com/WildCoLab/WildCo_Face_Blur" target="_blank"&gt;https://github.com/WildCoLab/WildCo_Face_Blur&lt;/a&gt;&lt;span style="color:white"&gt;[.]{#wildco_lab_2021a}}&lt;/span&gt;&lt;/div&gt;&lt;br&gt;</v>
      </c>
      <c r="O494" s="65" t="str">
        <f>"{{ rtxt_"&amp;F494&amp;" }}"</f>
        <v>{{ rtxt_wildco_lab_2021a }}</v>
      </c>
      <c r="P494" s="65" t="str">
        <f>"{{ rbib_"&amp;F494&amp;" }}"</f>
        <v>{{ rbib_wildco_lab_2021a }}</v>
      </c>
      <c r="Q494" s="65" t="str">
        <f>"    rtxt_"&amp;F494&amp;": "&amp;""""&amp;"&lt;a href=\"&amp;""""&amp;"/08_references.html#"&amp;F494&amp;"\"&amp;""""&amp;" target=\"&amp;""""&amp;"_blank\"&amp;""""&amp;"&gt;"&amp;G494&amp;"&lt;/a&gt;"&amp;""""</f>
        <v xml:space="preserve">    rtxt_wildco_lab_2021a: "&lt;a href=\"/08_references.html#wildco_lab_2021a\" target=\"_blank\"&gt;WildCo Lab, 2021a&lt;/a&gt;"</v>
      </c>
      <c r="R494" s="65" t="str">
        <f>"    rbib_"&amp;F494&amp;": "&amp;""""&amp;K494&amp;"&lt;a href=\"&amp;""""&amp;L494&amp;""""&amp;" target=\"&amp;""""&amp;"_blank\"&amp;""""&amp;"&gt;"&amp;L494&amp;"&lt;/a&gt;"&amp;""""</f>
        <v xml:space="preserve">    rbib_wildco_lab_2021a: "WildCo Lab (2021a). &lt;i&gt;WildCo-FaceBlur.&lt;/i&gt;&lt;a href=\"https://github.com/WildCoLab/WildCo_Face_Blur" target=\"_blank\"&gt;https://github.com/WildCoLab/WildCo_Face_Blur&lt;/a&gt;"</v>
      </c>
      <c r="S494" s="65" t="str">
        <f>"    rbib_"&amp;F494&amp;": "&amp;""""&amp;"&lt;div class=\"&amp;""""&amp;"hanging\"&amp;""""&amp;"&gt;"&amp;J494&amp;"&lt;/div&gt;"&amp;""""</f>
        <v xml:space="preserve">    rbib_wildco_lab_2021a: "&lt;div class=\"hanging\"&gt;WildCo Lab (2021a). *WildCo-FaceBlur.* &lt;https://github.com/WildCoLab/WildCo_Face_Blur&gt;&lt;/div&gt;"</v>
      </c>
      <c r="T494" s="65"/>
    </row>
    <row r="495" spans="1:20" ht="15.75">
      <c r="A495" s="65"/>
      <c r="B495" s="155" t="b">
        <v>1</v>
      </c>
      <c r="C495" s="155" t="b">
        <v>0</v>
      </c>
      <c r="D495" s="155" t="b">
        <v>0</v>
      </c>
      <c r="E495" s="65" t="s">
        <v>1950</v>
      </c>
      <c r="F495" s="65" t="s">
        <v>1963</v>
      </c>
      <c r="G495" s="65" t="s">
        <v>1962</v>
      </c>
      <c r="H495" s="65" t="s">
        <v>1962</v>
      </c>
      <c r="I495" s="65" t="b">
        <v>1</v>
      </c>
      <c r="J495" s="65" t="s">
        <v>1961</v>
      </c>
      <c r="K495" s="65" t="s">
        <v>5112</v>
      </c>
      <c r="L495" s="65" t="s">
        <v>1960</v>
      </c>
      <c r="M495" s="65" t="s">
        <v>984</v>
      </c>
      <c r="N495" s="65" t="str">
        <f>"&lt;div class="&amp;""""&amp;"hanging"&amp;""""&amp;"&gt;"&amp;K495&amp;"&lt;a href="&amp;""""&amp;L495&amp;""""&amp;" target="&amp;""""&amp;"_blank"&amp;""""&amp;"&gt;"&amp;L495&amp;"&lt;/a&gt;&lt;span style="&amp;""""&amp;"color:white"&amp;""""&amp;"&gt;[.]{#"&amp;F495&amp;"}}&lt;/span&gt;&lt;/div&gt;&lt;br&gt;"</f>
        <v>&lt;div class="hanging"&gt;WildCo Lab (2021b). &lt;i&gt;WildCo: Reproducible camera trap data exploration and analysis examples in R&lt;/i&gt;. University of British Columbia.&lt;a href="https://bookdown.org/c_w_beirne/wildCo-Data-Analysis/#what-this-guide-is" target="_blank"&gt;https://bookdown.org/c_w_beirne/wildCo-Data-Analysis/#what-this-guide-is&lt;/a&gt;&lt;span style="color:white"&gt;[.]{#wildco_lab_2021b}}&lt;/span&gt;&lt;/div&gt;&lt;br&gt;</v>
      </c>
      <c r="O495" s="65" t="str">
        <f>"{{ rtxt_"&amp;F495&amp;" }}"</f>
        <v>{{ rtxt_wildco_lab_2021b }}</v>
      </c>
      <c r="P495" s="65" t="str">
        <f>"{{ rbib_"&amp;F495&amp;" }}"</f>
        <v>{{ rbib_wildco_lab_2021b }}</v>
      </c>
      <c r="Q495" s="65" t="str">
        <f>"    rtxt_"&amp;F495&amp;": "&amp;""""&amp;"&lt;a href=\"&amp;""""&amp;"/08_references.html#"&amp;F495&amp;"\"&amp;""""&amp;" target=\"&amp;""""&amp;"_blank\"&amp;""""&amp;"&gt;"&amp;G495&amp;"&lt;/a&gt;"&amp;""""</f>
        <v xml:space="preserve">    rtxt_wildco_lab_2021b: "&lt;a href=\"/08_references.html#wildco_lab_2021b\" target=\"_blank\"&gt;WildCo Lab, 2021b&lt;/a&gt;"</v>
      </c>
      <c r="R495" s="65" t="str">
        <f>"    rbib_"&amp;F495&amp;": "&amp;""""&amp;K495&amp;"&lt;a href=\"&amp;""""&amp;L495&amp;""""&amp;" target=\"&amp;""""&amp;"_blank\"&amp;""""&amp;"&gt;"&amp;L495&amp;"&lt;/a&gt;"&amp;""""</f>
        <v xml:space="preserve">    rbib_wildco_lab_2021b: "WildCo Lab (2021b). &lt;i&gt;WildCo: Reproducible camera trap data exploration and analysis examples in R&lt;/i&gt;. University of British Columbia.&lt;a href=\"https://bookdown.org/c_w_beirne/wildCo-Data-Analysis/#what-this-guide-is" target=\"_blank\"&gt;https://bookdown.org/c_w_beirne/wildCo-Data-Analysis/#what-this-guide-is&lt;/a&gt;"</v>
      </c>
      <c r="S495" s="65" t="str">
        <f>"    rbib_"&amp;F495&amp;": "&amp;""""&amp;"&lt;div class=\"&amp;""""&amp;"hanging\"&amp;""""&amp;"&gt;"&amp;J495&amp;"&lt;/div&gt;"&amp;""""</f>
        <v xml:space="preserve">    rbib_wildco_lab_2021b: "&lt;div class=\"hanging\"&gt;WildCo Lab (2021b). *WildCo: Reproducible camera trap data exploration and analysis examples in R*. University of British Columbia. &lt;https://bookdown.org/c_w_beirne/wildCo-Data-Analysis/#what-this-guide-is&gt;&lt;/div&gt;"</v>
      </c>
      <c r="T495" s="65"/>
    </row>
    <row r="496" spans="1:20" ht="15.75">
      <c r="A496" s="65"/>
      <c r="B496" s="155" t="b">
        <v>1</v>
      </c>
      <c r="C496" s="155" t="b">
        <v>0</v>
      </c>
      <c r="D496" s="155" t="b">
        <v>0</v>
      </c>
      <c r="E496" s="65" t="s">
        <v>1950</v>
      </c>
      <c r="F496" s="65" t="s">
        <v>1959</v>
      </c>
      <c r="G496" s="65" t="s">
        <v>1958</v>
      </c>
      <c r="H496" s="65" t="s">
        <v>1958</v>
      </c>
      <c r="I496" s="65" t="b">
        <v>1</v>
      </c>
      <c r="J496" s="65" t="s">
        <v>1957</v>
      </c>
      <c r="K496" s="65" t="s">
        <v>5115</v>
      </c>
      <c r="L496" s="65" t="s">
        <v>1956</v>
      </c>
      <c r="M496" s="65" t="s">
        <v>984</v>
      </c>
      <c r="N496" s="65" t="str">
        <f>"&lt;div class="&amp;""""&amp;"hanging"&amp;""""&amp;"&gt;"&amp;K496&amp;"&lt;a href="&amp;""""&amp;L496&amp;""""&amp;" target="&amp;""""&amp;"_blank"&amp;""""&amp;"&gt;"&amp;L496&amp;"&lt;/a&gt;&lt;span style="&amp;""""&amp;"color:white"&amp;""""&amp;"&gt;[.]{#"&amp;F496&amp;"}}&lt;/span&gt;&lt;/div&gt;&lt;br&gt;"</f>
        <v>&lt;div class="hanging"&gt;WildCo Lab (2021c). &lt;i&gt;Chapter 11 Occupancy&lt;/i&gt;.&lt;a href="https://bookdown.org/c_w_beirne/wildCo-Data-Analysis/occupancy.html" target="_blank"&gt;https://bookdown.org/c_w_beirne/wildCo-Data-Analysis/occupancy.html&lt;/a&gt;&lt;span style="color:white"&gt;[.]{#wildco_lab_2021c}}&lt;/span&gt;&lt;/div&gt;&lt;br&gt;</v>
      </c>
      <c r="O496" s="65" t="str">
        <f>"{{ rtxt_"&amp;F496&amp;" }}"</f>
        <v>{{ rtxt_wildco_lab_2021c }}</v>
      </c>
      <c r="P496" s="65" t="str">
        <f>"{{ rbib_"&amp;F496&amp;" }}"</f>
        <v>{{ rbib_wildco_lab_2021c }}</v>
      </c>
      <c r="Q496" s="65" t="str">
        <f>"    rtxt_"&amp;F496&amp;": "&amp;""""&amp;"&lt;a href=\"&amp;""""&amp;"/08_references.html#"&amp;F496&amp;"\"&amp;""""&amp;" target=\"&amp;""""&amp;"_blank\"&amp;""""&amp;"&gt;"&amp;G496&amp;"&lt;/a&gt;"&amp;""""</f>
        <v xml:space="preserve">    rtxt_wildco_lab_2021c: "&lt;a href=\"/08_references.html#wildco_lab_2021c\" target=\"_blank\"&gt;WildCo Lab, 2021c&lt;/a&gt;"</v>
      </c>
      <c r="R496" s="65" t="str">
        <f>"    rbib_"&amp;F496&amp;": "&amp;""""&amp;K496&amp;"&lt;a href=\"&amp;""""&amp;L496&amp;""""&amp;" target=\"&amp;""""&amp;"_blank\"&amp;""""&amp;"&gt;"&amp;L496&amp;"&lt;/a&gt;"&amp;""""</f>
        <v xml:space="preserve">    rbib_wildco_lab_2021c: "WildCo Lab (2021c). &lt;i&gt;Chapter 11 Occupancy&lt;/i&gt;.&lt;a href=\"https://bookdown.org/c_w_beirne/wildCo-Data-Analysis/occupancy.html" target=\"_blank\"&gt;https://bookdown.org/c_w_beirne/wildCo-Data-Analysis/occupancy.html&lt;/a&gt;"</v>
      </c>
      <c r="S496" s="65" t="str">
        <f>"    rbib_"&amp;F496&amp;": "&amp;""""&amp;"&lt;div class=\"&amp;""""&amp;"hanging\"&amp;""""&amp;"&gt;"&amp;J496&amp;"&lt;/div&gt;"&amp;""""</f>
        <v xml:space="preserve">    rbib_wildco_lab_2021c: "&lt;div class=\"hanging\"&gt;WildCo Lab (2021c). *Chapter 11 Occupancy*. &lt;https://bookdown.org/c_w_beirne/wildCo-Data-Analysis/occupancy.html&gt;&lt;/div&gt;"</v>
      </c>
      <c r="T496" s="65"/>
    </row>
    <row r="497" spans="1:20" ht="15.75">
      <c r="A497" s="65"/>
      <c r="B497" s="155"/>
      <c r="C497" s="155"/>
      <c r="D497" s="155"/>
      <c r="E497" s="65" t="s">
        <v>1904</v>
      </c>
      <c r="F497" s="65" t="s">
        <v>1954</v>
      </c>
      <c r="G497" s="65" t="s">
        <v>1953</v>
      </c>
      <c r="H497" s="65" t="s">
        <v>1953</v>
      </c>
      <c r="I497" s="65" t="b">
        <v>1</v>
      </c>
      <c r="J497" s="66" t="s">
        <v>1952</v>
      </c>
      <c r="K497" s="65" t="s">
        <v>5113</v>
      </c>
      <c r="L497" s="65" t="s">
        <v>1951</v>
      </c>
      <c r="M497" s="65" t="s">
        <v>984</v>
      </c>
      <c r="N497" s="65" t="str">
        <f>"&lt;div class="&amp;""""&amp;"hanging"&amp;""""&amp;"&gt;"&amp;K497&amp;"&lt;a href="&amp;""""&amp;L497&amp;""""&amp;" target="&amp;""""&amp;"_blank"&amp;""""&amp;"&gt;"&amp;L497&amp;"&lt;/a&gt;&lt;span style="&amp;""""&amp;"color:white"&amp;""""&amp;"&gt;[.]{#"&amp;F497&amp;"}}&lt;/span&gt;&lt;/div&gt;&lt;br&gt;"</f>
        <v>&lt;div class="hanging"&gt;WildCo Lab (2021d). &lt;i&gt;Chapter 12 Activity&lt;/i&gt;.&lt;a href="https://bookdown.org/c_w_beirne/wildCo-Data-Analysis/activity.html" target="_blank"&gt;https://bookdown.org/c_w_beirne/wildCo-Data-Analysis/activity.html&lt;/a&gt;&lt;span style="color:white"&gt;[.]{#wildco_lab_2021d}}&lt;/span&gt;&lt;/div&gt;&lt;br&gt;</v>
      </c>
      <c r="O497" s="65" t="str">
        <f>"{{ rtxt_"&amp;F497&amp;" }}"</f>
        <v>{{ rtxt_wildco_lab_2021d }}</v>
      </c>
      <c r="P497" s="65" t="str">
        <f>"{{ rbib_"&amp;F497&amp;" }}"</f>
        <v>{{ rbib_wildco_lab_2021d }}</v>
      </c>
      <c r="Q497" s="65" t="str">
        <f>"    rtxt_"&amp;F497&amp;": "&amp;""""&amp;"&lt;a href=\"&amp;""""&amp;"/08_references.html#"&amp;F497&amp;"\"&amp;""""&amp;" target=\"&amp;""""&amp;"_blank\"&amp;""""&amp;"&gt;"&amp;G497&amp;"&lt;/a&gt;"&amp;""""</f>
        <v xml:space="preserve">    rtxt_wildco_lab_2021d: "&lt;a href=\"/08_references.html#wildco_lab_2021d\" target=\"_blank\"&gt;WildCo Lab, 2021d&lt;/a&gt;"</v>
      </c>
      <c r="R497" s="65" t="str">
        <f>"    rbib_"&amp;F497&amp;": "&amp;""""&amp;K497&amp;"&lt;a href=\"&amp;""""&amp;L497&amp;""""&amp;" target=\"&amp;""""&amp;"_blank\"&amp;""""&amp;"&gt;"&amp;L497&amp;"&lt;/a&gt;"&amp;""""</f>
        <v xml:space="preserve">    rbib_wildco_lab_2021d: "WildCo Lab (2021d). &lt;i&gt;Chapter 12 Activity&lt;/i&gt;.&lt;a href=\"https://bookdown.org/c_w_beirne/wildCo-Data-Analysis/activity.html" target=\"_blank\"&gt;https://bookdown.org/c_w_beirne/wildCo-Data-Analysis/activity.html&lt;/a&gt;"</v>
      </c>
      <c r="S497" s="65" t="str">
        <f>"    rbib_"&amp;F497&amp;": "&amp;""""&amp;"&lt;div class=\"&amp;""""&amp;"hanging\"&amp;""""&amp;"&gt;"&amp;J497&amp;"&lt;/div&gt;"&amp;""""</f>
        <v xml:space="preserve">    rbib_wildco_lab_2021d: "&lt;div class=\"hanging\"&gt;WildCo Lab (2021d). *Chapter 12 Activity*. &lt;https://bookdown.org/c_w_beirne/wildCo-Data-Analysis/activity.html&gt;&lt;/div&gt;"</v>
      </c>
      <c r="T497" s="65"/>
    </row>
    <row r="498" spans="1:20" ht="15.75">
      <c r="A498" s="65"/>
      <c r="B498" s="155"/>
      <c r="C498" s="155"/>
      <c r="D498" s="155"/>
      <c r="E498" s="65" t="s">
        <v>1904</v>
      </c>
      <c r="F498" s="65" t="s">
        <v>3970</v>
      </c>
      <c r="G498" s="65" t="s">
        <v>3969</v>
      </c>
      <c r="H498" s="65" t="s">
        <v>1953</v>
      </c>
      <c r="I498" s="65" t="b">
        <v>1</v>
      </c>
      <c r="J498" s="66" t="s">
        <v>3968</v>
      </c>
      <c r="K498" s="65" t="s">
        <v>5114</v>
      </c>
      <c r="L498" s="65" t="s">
        <v>1955</v>
      </c>
      <c r="M498" s="65" t="s">
        <v>984</v>
      </c>
      <c r="N498" s="65" t="str">
        <f>"&lt;div class="&amp;""""&amp;"hanging"&amp;""""&amp;"&gt;"&amp;K498&amp;"&lt;a href="&amp;""""&amp;L498&amp;""""&amp;" target="&amp;""""&amp;"_blank"&amp;""""&amp;"&gt;"&amp;L498&amp;"&lt;/a&gt;&lt;span style="&amp;""""&amp;"color:white"&amp;""""&amp;"&gt;[.]{#"&amp;F498&amp;"}}&lt;/span&gt;&lt;/div&gt;&lt;br&gt;"</f>
        <v>&lt;div class="hanging"&gt;WildCo Lab (2021e). &lt;i&gt;Chapter 14 Behavior&lt;/i&gt;.&lt;a href="https://bookdown.org/c_w_beirne/wildCo-Data-Analysis/behavior.html" target="_blank"&gt;https://bookdown.org/c_w_beirne/wildCo-Data-Analysis/behavior.html&lt;/a&gt;&lt;span style="color:white"&gt;[.]{#wildco_lab_2021e}}&lt;/span&gt;&lt;/div&gt;&lt;br&gt;</v>
      </c>
      <c r="O498" s="65" t="str">
        <f>"{{ rtxt_"&amp;F498&amp;" }}"</f>
        <v>{{ rtxt_wildco_lab_2021e }}</v>
      </c>
      <c r="P498" s="65" t="str">
        <f>"{{ rbib_"&amp;F498&amp;" }}"</f>
        <v>{{ rbib_wildco_lab_2021e }}</v>
      </c>
      <c r="Q498" s="65" t="str">
        <f>"    rtxt_"&amp;F498&amp;": "&amp;""""&amp;"&lt;a href=\"&amp;""""&amp;"/08_references.html#"&amp;F498&amp;"\"&amp;""""&amp;" target=\"&amp;""""&amp;"_blank\"&amp;""""&amp;"&gt;"&amp;G498&amp;"&lt;/a&gt;"&amp;""""</f>
        <v xml:space="preserve">    rtxt_wildco_lab_2021e: "&lt;a href=\"/08_references.html#wildco_lab_2021e\" target=\"_blank\"&gt;WildCo Lab, 2021e&lt;/a&gt;"</v>
      </c>
      <c r="R498" s="65" t="str">
        <f>"    rbib_"&amp;F498&amp;": "&amp;""""&amp;K498&amp;"&lt;a href=\"&amp;""""&amp;L498&amp;""""&amp;" target=\"&amp;""""&amp;"_blank\"&amp;""""&amp;"&gt;"&amp;L498&amp;"&lt;/a&gt;"&amp;""""</f>
        <v xml:space="preserve">    rbib_wildco_lab_2021e: "WildCo Lab (2021e). &lt;i&gt;Chapter 14 Behavior&lt;/i&gt;.&lt;a href=\"https://bookdown.org/c_w_beirne/wildCo-Data-Analysis/behavior.html" target=\"_blank\"&gt;https://bookdown.org/c_w_beirne/wildCo-Data-Analysis/behavior.html&lt;/a&gt;"</v>
      </c>
      <c r="S498" s="65" t="str">
        <f>"    rbib_"&amp;F498&amp;": "&amp;""""&amp;"&lt;div class=\"&amp;""""&amp;"hanging\"&amp;""""&amp;"&gt;"&amp;J498&amp;"&lt;/div&gt;"&amp;""""</f>
        <v xml:space="preserve">    rbib_wildco_lab_2021e: "&lt;div class=\"hanging\"&gt;WildCo Lab (2021e). *Chapter 14 Behavior*. &lt;https://bookdown.org/c_w_beirne/wildCo-Data-Analysis/behavior.html&gt;&lt;/div&gt;"</v>
      </c>
      <c r="T498" s="65"/>
    </row>
    <row r="499" spans="1:20" ht="15.75">
      <c r="A499" s="65"/>
      <c r="B499" s="155"/>
      <c r="C499" s="155"/>
      <c r="D499" s="155"/>
      <c r="E499" s="65" t="s">
        <v>1939</v>
      </c>
      <c r="F499" s="65" t="s">
        <v>1938</v>
      </c>
      <c r="G499" s="65" t="s">
        <v>1937</v>
      </c>
      <c r="H499" s="65" t="s">
        <v>1936</v>
      </c>
      <c r="I499" s="65" t="b">
        <v>1</v>
      </c>
      <c r="J499" s="65" t="s">
        <v>1935</v>
      </c>
      <c r="K499" s="65" t="s">
        <v>5441</v>
      </c>
      <c r="L499" s="65" t="s">
        <v>1934</v>
      </c>
      <c r="M499" s="65" t="s">
        <v>984</v>
      </c>
      <c r="N499" s="65" t="str">
        <f>"&lt;div class="&amp;""""&amp;"hanging"&amp;""""&amp;"&gt;"&amp;K499&amp;"&lt;a href="&amp;""""&amp;L499&amp;""""&amp;" target="&amp;""""&amp;"_blank"&amp;""""&amp;"&gt;"&amp;L499&amp;"&lt;/a&gt;&lt;span style="&amp;""""&amp;"color:white"&amp;""""&amp;"&gt;[.]{#"&amp;F499&amp;"}}&lt;/span&gt;&lt;/div&gt;&lt;br&gt;"</f>
        <v>&lt;div class="hanging"&gt;Williams, B. K., Nichols, J. D., &amp; Conroy, M. J. (2002). &lt;i&gt;Analysis and Management of Animal Populations: Modeling, Estimation, and Decision Making&lt;/i&gt;. Book, Whole. San Diego: Academic Press.&lt;a href="https://go.exlibris.link/qSfqP9dC" target="_blank"&gt;https://go.exlibris.link/qSfqP9dC&lt;/a&gt;&lt;span style="color:white"&gt;[.]{#williams_et_al_2002}}&lt;/span&gt;&lt;/div&gt;&lt;br&gt;</v>
      </c>
      <c r="O499" s="65" t="str">
        <f>"{{ rtxt_"&amp;F499&amp;" }}"</f>
        <v>{{ rtxt_williams_et_al_2002 }}</v>
      </c>
      <c r="P499" s="65" t="str">
        <f>"{{ rbib_"&amp;F499&amp;" }}"</f>
        <v>{{ rbib_williams_et_al_2002 }}</v>
      </c>
      <c r="Q499" s="65" t="str">
        <f>"    rtxt_"&amp;F499&amp;": "&amp;""""&amp;"&lt;a href=\"&amp;""""&amp;"/08_references.html#"&amp;F499&amp;"\"&amp;""""&amp;" target=\"&amp;""""&amp;"_blank\"&amp;""""&amp;"&gt;"&amp;G499&amp;"&lt;/a&gt;"&amp;""""</f>
        <v xml:space="preserve">    rtxt_williams_et_al_2002: "&lt;a href=\"/08_references.html#williams_et_al_2002\" target=\"_blank\"&gt;Williams et al., 2002&lt;/a&gt;"</v>
      </c>
      <c r="R499" s="65" t="str">
        <f>"    rbib_"&amp;F499&amp;": "&amp;""""&amp;K499&amp;"&lt;a href=\"&amp;""""&amp;L499&amp;""""&amp;" target=\"&amp;""""&amp;"_blank\"&amp;""""&amp;"&gt;"&amp;L499&amp;"&lt;/a&gt;"&amp;""""</f>
        <v xml:space="preserve">    rbib_williams_et_al_2002: "Williams, B. K., Nichols, J. D., &amp; Conroy, M. J. (2002). &lt;i&gt;Analysis and Management of Animal Populations: Modeling, Estimation, and Decision Making&lt;/i&gt;. Book, Whole. San Diego: Academic Press.&lt;a href=\"https://go.exlibris.link/qSfqP9dC" target=\"_blank\"&gt;https://go.exlibris.link/qSfqP9dC&lt;/a&gt;"</v>
      </c>
      <c r="S499" s="65" t="str">
        <f>"    rbib_"&amp;F499&amp;": "&amp;""""&amp;"&lt;div class=\"&amp;""""&amp;"hanging\"&amp;""""&amp;"&gt;"&amp;J499&amp;"&lt;/div&gt;"&amp;""""</f>
        <v xml:space="preserve">    rbib_williams_et_al_2002: "&lt;div class=\"hanging\"&gt;Williams, B. K., Nichols, J. D., &amp; Conroy, M. J. (2002). *Analysis and Management of Animal Populations: Modeling, Estimation, and Decision Making*. Book, Whole. San Diego: Academic Press. &lt;https://go.exlibris.link/qSfqP9dC&gt;&lt;/div&gt;"</v>
      </c>
      <c r="T499" s="65"/>
    </row>
    <row r="500" spans="1:20" ht="15.75">
      <c r="A500" s="65"/>
      <c r="B500" s="155"/>
      <c r="C500" s="155"/>
      <c r="D500" s="155"/>
      <c r="E500" s="65" t="s">
        <v>1904</v>
      </c>
      <c r="F500" s="65" t="s">
        <v>1933</v>
      </c>
      <c r="G500" s="65" t="s">
        <v>1932</v>
      </c>
      <c r="H500" s="65" t="s">
        <v>1932</v>
      </c>
      <c r="I500" s="65" t="b">
        <v>1</v>
      </c>
      <c r="J500" s="65" t="s">
        <v>1931</v>
      </c>
      <c r="K500" s="65" t="s">
        <v>5410</v>
      </c>
      <c r="L500" s="65" t="s">
        <v>1930</v>
      </c>
      <c r="M500" s="65" t="s">
        <v>984</v>
      </c>
      <c r="N500" s="65" t="str">
        <f>"&lt;div class="&amp;""""&amp;"hanging"&amp;""""&amp;"&gt;"&amp;K500&amp;"&lt;a href="&amp;""""&amp;L500&amp;""""&amp;" target="&amp;""""&amp;"_blank"&amp;""""&amp;"&gt;"&amp;L500&amp;"&lt;/a&gt;&lt;span style="&amp;""""&amp;"color:white"&amp;""""&amp;"&gt;[.]{#"&amp;F500&amp;"}}&lt;/span&gt;&lt;/div&gt;&lt;br&gt;"</f>
        <v>&lt;div class="hanging"&gt;Windell, R. M., Lewis, J. S., Gramza, A. R., &amp; Crooks, K. R. (2019). Carnivore Carrying Behavior as Documented with Wildlife Camera Traps. &lt;i&gt;Western North American Naturalist, 79&lt;/i&gt;(4), 471.&lt;a href="https://doi.org/10.3398/064.079.0401" target="_blank"&gt;https://doi.org/10.3398/064.079.0401&lt;/a&gt;&lt;span style="color:white"&gt;[.]{#windell_et_al_2019}}&lt;/span&gt;&lt;/div&gt;&lt;br&gt;</v>
      </c>
      <c r="O500" s="65" t="str">
        <f>"{{ rtxt_"&amp;F500&amp;" }}"</f>
        <v>{{ rtxt_windell_et_al_2019 }}</v>
      </c>
      <c r="P500" s="65" t="str">
        <f>"{{ rbib_"&amp;F500&amp;" }}"</f>
        <v>{{ rbib_windell_et_al_2019 }}</v>
      </c>
      <c r="Q500" s="65" t="str">
        <f>"    rtxt_"&amp;F500&amp;": "&amp;""""&amp;"&lt;a href=\"&amp;""""&amp;"/08_references.html#"&amp;F500&amp;"\"&amp;""""&amp;" target=\"&amp;""""&amp;"_blank\"&amp;""""&amp;"&gt;"&amp;G500&amp;"&lt;/a&gt;"&amp;""""</f>
        <v xml:space="preserve">    rtxt_windell_et_al_2019: "&lt;a href=\"/08_references.html#windell_et_al_2019\" target=\"_blank\"&gt;Windell et al., 2019&lt;/a&gt;"</v>
      </c>
      <c r="R500" s="65" t="str">
        <f>"    rbib_"&amp;F500&amp;": "&amp;""""&amp;K500&amp;"&lt;a href=\"&amp;""""&amp;L500&amp;""""&amp;" target=\"&amp;""""&amp;"_blank\"&amp;""""&amp;"&gt;"&amp;L500&amp;"&lt;/a&gt;"&amp;""""</f>
        <v xml:space="preserve">    rbib_windell_et_al_2019: "Windell, R. M., Lewis, J. S., Gramza, A. R., &amp; Crooks, K. R. (2019). Carnivore Carrying Behavior as Documented with Wildlife Camera Traps. &lt;i&gt;Western North American Naturalist, 79&lt;/i&gt;(4), 471.&lt;a href=\"https://doi.org/10.3398/064.079.0401" target=\"_blank\"&gt;https://doi.org/10.3398/064.079.0401&lt;/a&gt;"</v>
      </c>
      <c r="S500" s="65" t="str">
        <f>"    rbib_"&amp;F500&amp;": "&amp;""""&amp;"&lt;div class=\"&amp;""""&amp;"hanging\"&amp;""""&amp;"&gt;"&amp;J500&amp;"&lt;/div&gt;"&amp;""""</f>
        <v xml:space="preserve">    rbib_windell_et_al_2019: "&lt;div class=\"hanging\"&gt;Windell, R. M., Lewis, J. S., Gramza, A. R., &amp; Crooks, K. R. (2019). Carnivore Carrying Behavior as Documented with Wildlife Camera Traps. *Western North American Naturalist, 79*(4), 471. &lt;https://doi.org/10.3398/064.079.0401&gt;&lt;/div&gt;"</v>
      </c>
      <c r="T500" s="65"/>
    </row>
    <row r="501" spans="1:20" ht="15.75">
      <c r="A501" s="65"/>
      <c r="B501" s="155" t="b">
        <v>1</v>
      </c>
      <c r="C501" s="155" t="b">
        <v>0</v>
      </c>
      <c r="D501" s="155" t="b">
        <v>0</v>
      </c>
      <c r="E501" s="65" t="s">
        <v>1904</v>
      </c>
      <c r="F501" s="65" t="s">
        <v>1929</v>
      </c>
      <c r="G501" s="65" t="s">
        <v>1928</v>
      </c>
      <c r="H501" s="65" t="s">
        <v>1927</v>
      </c>
      <c r="I501" s="65" t="b">
        <v>1</v>
      </c>
      <c r="J501" s="65" t="s">
        <v>1926</v>
      </c>
      <c r="K501" s="65" t="s">
        <v>5140</v>
      </c>
      <c r="L501" s="65" t="s">
        <v>1925</v>
      </c>
      <c r="M501" s="65" t="s">
        <v>984</v>
      </c>
      <c r="N501" s="65" t="str">
        <f>"&lt;div class="&amp;""""&amp;"hanging"&amp;""""&amp;"&gt;"&amp;K501&amp;"&lt;a href="&amp;""""&amp;L501&amp;""""&amp;" target="&amp;""""&amp;"_blank"&amp;""""&amp;"&gt;"&amp;L501&amp;"&lt;/a&gt;&lt;span style="&amp;""""&amp;"color:white"&amp;""""&amp;"&gt;[.]{#"&amp;F501&amp;"}}&lt;/span&gt;&lt;/div&gt;&lt;br&gt;"</f>
        <v>&lt;div class="hanging"&gt;Young, S., Rode-Margono, J., &amp; Amin, R. (2018). Software to facilitate and streamline camera trap data management: A review. &lt;i&gt;Ecology and Evolution, 8&lt;/i&gt;(19), 9947-9957.&lt;a href="https://doi.org/10.1002/ece3.4464" target="_blank"&gt;https://doi.org/10.1002/ece3.4464&lt;/a&gt;&lt;span style="color:white"&gt;[.]{#young_et_al_2018}}&lt;/span&gt;&lt;/div&gt;&lt;br&gt;</v>
      </c>
      <c r="O501" s="65" t="str">
        <f>"{{ rtxt_"&amp;F501&amp;" }}"</f>
        <v>{{ rtxt_young_et_al_2018 }}</v>
      </c>
      <c r="P501" s="65" t="str">
        <f>"{{ rbib_"&amp;F501&amp;" }}"</f>
        <v>{{ rbib_young_et_al_2018 }}</v>
      </c>
      <c r="Q501" s="65" t="str">
        <f>"    rtxt_"&amp;F501&amp;": "&amp;""""&amp;"&lt;a href=\"&amp;""""&amp;"/08_references.html#"&amp;F501&amp;"\"&amp;""""&amp;" target=\"&amp;""""&amp;"_blank\"&amp;""""&amp;"&gt;"&amp;G501&amp;"&lt;/a&gt;"&amp;""""</f>
        <v xml:space="preserve">    rtxt_young_et_al_2018: "&lt;a href=\"/08_references.html#young_et_al_2018\" target=\"_blank\"&gt;Young et al., 2018&lt;/a&gt;"</v>
      </c>
      <c r="R501" s="65" t="str">
        <f>"    rbib_"&amp;F501&amp;": "&amp;""""&amp;K501&amp;"&lt;a href=\"&amp;""""&amp;L501&amp;""""&amp;" target=\"&amp;""""&amp;"_blank\"&amp;""""&amp;"&gt;"&amp;L501&amp;"&lt;/a&gt;"&amp;""""</f>
        <v xml:space="preserve">    rbib_young_et_al_2018: "Young, S., Rode-Margono, J., &amp; Amin, R. (2018). Software to facilitate and streamline camera trap data management: A review. &lt;i&gt;Ecology and Evolution, 8&lt;/i&gt;(19), 9947-9957.&lt;a href=\"https://doi.org/10.1002/ece3.4464" target=\"_blank\"&gt;https://doi.org/10.1002/ece3.4464&lt;/a&gt;"</v>
      </c>
      <c r="S501" s="65" t="str">
        <f>"    rbib_"&amp;F501&amp;": "&amp;""""&amp;"&lt;div class=\"&amp;""""&amp;"hanging\"&amp;""""&amp;"&gt;"&amp;J501&amp;"&lt;/div&gt;"&amp;""""</f>
        <v xml:space="preserve">    rbib_young_et_al_2018: "&lt;div class=\"hanging\"&gt;Young, S., Rode-Margono, J., &amp; Amin, R. (2018). Software to facilitate and streamline camera trap data management: A review. *Ecology and Evolution, 8*(19), 9947-9957. &lt;https://doi.org/10.1002/ece3.4464&gt;&lt;/div&gt;"</v>
      </c>
      <c r="T501" s="65"/>
    </row>
    <row r="502" spans="1:20" ht="15.75">
      <c r="A502" s="65"/>
      <c r="B502" s="155"/>
      <c r="C502" s="155"/>
      <c r="D502" s="155"/>
      <c r="E502" s="65" t="s">
        <v>1904</v>
      </c>
      <c r="F502" s="65" t="s">
        <v>1924</v>
      </c>
      <c r="G502" s="65" t="s">
        <v>1923</v>
      </c>
      <c r="H502" s="65"/>
      <c r="I502" s="65" t="b">
        <v>1</v>
      </c>
      <c r="J502" s="65" t="s">
        <v>1922</v>
      </c>
      <c r="K502" s="65" t="s">
        <v>5138</v>
      </c>
      <c r="L502" s="65" t="s">
        <v>1921</v>
      </c>
      <c r="M502" s="65" t="s">
        <v>984</v>
      </c>
      <c r="N502" s="65" t="str">
        <f>"&lt;div class="&amp;""""&amp;"hanging"&amp;""""&amp;"&gt;"&amp;K502&amp;"&lt;a href="&amp;""""&amp;L502&amp;""""&amp;" target="&amp;""""&amp;"_blank"&amp;""""&amp;"&gt;"&amp;L502&amp;"&lt;/a&gt;&lt;span style="&amp;""""&amp;"color:white"&amp;""""&amp;"&gt;[.]{#"&amp;F502&amp;"}}&lt;/span&gt;&lt;/div&gt;&lt;br&gt;"</f>
        <v>&lt;div class="hanging"&gt;Yu, H., Lin, Z., &amp; F. Xiao. (2024). Role of Body Size and Shape in Animal Camouflage. &lt;i&gt;Ecology and Evolution, 14&lt;/i&gt;(5), e11434.&lt;a href="https://doi.org/10.1002/ece3.11434" target="_blank"&gt;https://doi.org/10.1002/ece3.11434&lt;/a&gt;&lt;span style="color:white"&gt;[.]{#yu_et_al_2024}}&lt;/span&gt;&lt;/div&gt;&lt;br&gt;</v>
      </c>
      <c r="O502" s="65" t="str">
        <f>"{{ rtxt_"&amp;F502&amp;" }}"</f>
        <v>{{ rtxt_yu_et_al_2024 }}</v>
      </c>
      <c r="P502" s="65" t="str">
        <f>"{{ rbib_"&amp;F502&amp;" }}"</f>
        <v>{{ rbib_yu_et_al_2024 }}</v>
      </c>
      <c r="Q502" s="65" t="str">
        <f>"    rtxt_"&amp;F502&amp;": "&amp;""""&amp;"&lt;a href=\"&amp;""""&amp;"/08_references.html#"&amp;F502&amp;"\"&amp;""""&amp;" target=\"&amp;""""&amp;"_blank\"&amp;""""&amp;"&gt;"&amp;G502&amp;"&lt;/a&gt;"&amp;""""</f>
        <v xml:space="preserve">    rtxt_yu_et_al_2024: "&lt;a href=\"/08_references.html#yu_et_al_2024\" target=\"_blank\"&gt;Yu et al., 2024&lt;/a&gt;"</v>
      </c>
      <c r="R502" s="65" t="str">
        <f>"    rbib_"&amp;F502&amp;": "&amp;""""&amp;K502&amp;"&lt;a href=\"&amp;""""&amp;L502&amp;""""&amp;" target=\"&amp;""""&amp;"_blank\"&amp;""""&amp;"&gt;"&amp;L502&amp;"&lt;/a&gt;"&amp;""""</f>
        <v xml:space="preserve">    rbib_yu_et_al_2024: "Yu, H., Lin, Z., &amp; F. Xiao. (2024). Role of Body Size and Shape in Animal Camouflage. &lt;i&gt;Ecology and Evolution, 14&lt;/i&gt;(5), e11434.&lt;a href=\"https://doi.org/10.1002/ece3.11434" target=\"_blank\"&gt;https://doi.org/10.1002/ece3.11434&lt;/a&gt;"</v>
      </c>
      <c r="S502" s="65" t="str">
        <f>"    rbib_"&amp;F502&amp;": "&amp;""""&amp;"&lt;div class=\"&amp;""""&amp;"hanging\"&amp;""""&amp;"&gt;"&amp;J502&amp;"&lt;/div&gt;"&amp;""""</f>
        <v xml:space="preserve">    rbib_yu_et_al_2024: "&lt;div class=\"hanging\"&gt;Yu, H., Lin, Z., &amp; F. Xiao. (2024). Role of Body Size and Shape in Animal Camouflage. *Ecology and Evolution, 14*(5), e11434. &lt;https://doi.org/10.1002/ece3.11434&gt;&lt;/div&gt;"</v>
      </c>
      <c r="T502" s="65"/>
    </row>
    <row r="503" spans="1:20" ht="15.75">
      <c r="A503" s="65"/>
      <c r="B503" s="155" t="b">
        <v>0</v>
      </c>
      <c r="C503" s="155" t="b">
        <v>0</v>
      </c>
      <c r="D503" s="155" t="b">
        <v>1</v>
      </c>
      <c r="E503" s="65" t="s">
        <v>1904</v>
      </c>
      <c r="F503" s="65" t="s">
        <v>1920</v>
      </c>
      <c r="G503" s="65" t="s">
        <v>1919</v>
      </c>
      <c r="H503" s="65" t="s">
        <v>1919</v>
      </c>
      <c r="I503" s="65" t="b">
        <v>1</v>
      </c>
      <c r="J503" s="65" t="s">
        <v>1918</v>
      </c>
      <c r="K503" s="65" t="s">
        <v>5388</v>
      </c>
      <c r="L503" s="65" t="s">
        <v>1917</v>
      </c>
      <c r="M503" s="65" t="s">
        <v>984</v>
      </c>
      <c r="N503" s="65" t="str">
        <f>"&lt;div class="&amp;""""&amp;"hanging"&amp;""""&amp;"&gt;"&amp;K503&amp;"&lt;a href="&amp;""""&amp;L503&amp;""""&amp;" target="&amp;""""&amp;"_blank"&amp;""""&amp;"&gt;"&amp;L503&amp;"&lt;/a&gt;&lt;span style="&amp;""""&amp;"color:white"&amp;""""&amp;"&gt;[.]{#"&amp;F503&amp;"}}&lt;/span&gt;&lt;/div&gt;&lt;br&gt;"</f>
        <v>&lt;div class="hanging"&gt;Yue, S., Brodie, J. F., Zipkin, E. F., &amp; Bernard, H. (2015). Oil palm plantations fail to support mammal diversity. &lt;i&gt;Ecological Applications, 25&lt;/i&gt;(8), 2285-2292.&lt;a href="https://doi.org/10.1890/14-1928.1" target="_blank"&gt;https://doi.org/10.1890/14-1928.1&lt;/a&gt;&lt;span style="color:white"&gt;[.]{#yue_et_al_2015}}&lt;/span&gt;&lt;/div&gt;&lt;br&gt;</v>
      </c>
      <c r="O503" s="65" t="str">
        <f>"{{ rtxt_"&amp;F503&amp;" }}"</f>
        <v>{{ rtxt_yue_et_al_2015 }}</v>
      </c>
      <c r="P503" s="65" t="str">
        <f>"{{ rbib_"&amp;F503&amp;" }}"</f>
        <v>{{ rbib_yue_et_al_2015 }}</v>
      </c>
      <c r="Q503" s="65" t="str">
        <f>"    rtxt_"&amp;F503&amp;": "&amp;""""&amp;"&lt;a href=\"&amp;""""&amp;"/08_references.html#"&amp;F503&amp;"\"&amp;""""&amp;" target=\"&amp;""""&amp;"_blank\"&amp;""""&amp;"&gt;"&amp;G503&amp;"&lt;/a&gt;"&amp;""""</f>
        <v xml:space="preserve">    rtxt_yue_et_al_2015: "&lt;a href=\"/08_references.html#yue_et_al_2015\" target=\"_blank\"&gt;Yue et al., 2015&lt;/a&gt;"</v>
      </c>
      <c r="R503" s="65" t="str">
        <f>"    rbib_"&amp;F503&amp;": "&amp;""""&amp;K503&amp;"&lt;a href=\"&amp;""""&amp;L503&amp;""""&amp;" target=\"&amp;""""&amp;"_blank\"&amp;""""&amp;"&gt;"&amp;L503&amp;"&lt;/a&gt;"&amp;""""</f>
        <v xml:space="preserve">    rbib_yue_et_al_2015: "Yue, S., Brodie, J. F., Zipkin, E. F., &amp; Bernard, H. (2015). Oil palm plantations fail to support mammal diversity. &lt;i&gt;Ecological Applications, 25&lt;/i&gt;(8), 2285-2292.&lt;a href=\"https://doi.org/10.1890/14-1928.1" target=\"_blank\"&gt;https://doi.org/10.1890/14-1928.1&lt;/a&gt;"</v>
      </c>
      <c r="S503" s="65" t="str">
        <f>"    rbib_"&amp;F503&amp;": "&amp;""""&amp;"&lt;div class=\"&amp;""""&amp;"hanging\"&amp;""""&amp;"&gt;"&amp;J503&amp;"&lt;/div&gt;"&amp;""""</f>
        <v xml:space="preserve">    rbib_yue_et_al_2015: "&lt;div class=\"hanging\"&gt;Yue, S., Brodie, J. F., Zipkin, E. F., &amp; Bernard, H. (2015). Oil palm plantations fail to support mammal diversity. *Ecological Applications, 25*(8), 2285-2292. &lt;https://doi.org/10.1890/14-1928.1&gt;&lt;/div&gt;"</v>
      </c>
      <c r="T503" s="65"/>
    </row>
    <row r="504" spans="1:20" ht="15.75">
      <c r="A504" s="65"/>
      <c r="B504" s="155" t="b">
        <v>0</v>
      </c>
      <c r="C504" s="155" t="b">
        <v>0</v>
      </c>
      <c r="D504" s="155" t="b">
        <v>1</v>
      </c>
      <c r="E504" s="65" t="s">
        <v>1904</v>
      </c>
      <c r="F504" s="65" t="s">
        <v>1916</v>
      </c>
      <c r="G504" s="65" t="s">
        <v>1915</v>
      </c>
      <c r="H504" s="65" t="s">
        <v>1915</v>
      </c>
      <c r="I504" s="65" t="b">
        <v>1</v>
      </c>
      <c r="J504" s="65" t="s">
        <v>1914</v>
      </c>
      <c r="K504" s="65" t="s">
        <v>5376</v>
      </c>
      <c r="L504" s="65" t="s">
        <v>1913</v>
      </c>
      <c r="M504" s="65" t="s">
        <v>984</v>
      </c>
      <c r="N504" s="65" t="str">
        <f>"&lt;div class="&amp;""""&amp;"hanging"&amp;""""&amp;"&gt;"&amp;K504&amp;"&lt;a href="&amp;""""&amp;L504&amp;""""&amp;" target="&amp;""""&amp;"_blank"&amp;""""&amp;"&gt;"&amp;L504&amp;"&lt;/a&gt;&lt;span style="&amp;""""&amp;"color:white"&amp;""""&amp;"&gt;[.]{#"&amp;F504&amp;"}}&lt;/span&gt;&lt;/div&gt;&lt;br&gt;"</f>
        <v>&lt;div class="hanging"&gt;Zeileis, A., Kleiber, C., &amp; Jackman, S. (2008). Regression Models for Count Data in R. &lt;i&gt;Journal of Statistical Software, 27&lt;/i&gt;(8).&lt;a href="https://doi.org/10.18637/jss.v027.i08" target="_blank"&gt;https://doi.org/10.18637/jss.v027.i08&lt;/a&gt;&lt;span style="color:white"&gt;[.]{#zeileis_et_al_2008}}&lt;/span&gt;&lt;/div&gt;&lt;br&gt;</v>
      </c>
      <c r="O504" s="65" t="str">
        <f>"{{ rtxt_"&amp;F504&amp;" }}"</f>
        <v>{{ rtxt_zeileis_et_al_2008 }}</v>
      </c>
      <c r="P504" s="65" t="str">
        <f>"{{ rbib_"&amp;F504&amp;" }}"</f>
        <v>{{ rbib_zeileis_et_al_2008 }}</v>
      </c>
      <c r="Q504" s="65" t="str">
        <f>"    rtxt_"&amp;F504&amp;": "&amp;""""&amp;"&lt;a href=\"&amp;""""&amp;"/08_references.html#"&amp;F504&amp;"\"&amp;""""&amp;" target=\"&amp;""""&amp;"_blank\"&amp;""""&amp;"&gt;"&amp;G504&amp;"&lt;/a&gt;"&amp;""""</f>
        <v xml:space="preserve">    rtxt_zeileis_et_al_2008: "&lt;a href=\"/08_references.html#zeileis_et_al_2008\" target=\"_blank\"&gt;Zeileis et al., 2008&lt;/a&gt;"</v>
      </c>
      <c r="R504" s="65" t="str">
        <f>"    rbib_"&amp;F504&amp;": "&amp;""""&amp;K504&amp;"&lt;a href=\"&amp;""""&amp;L504&amp;""""&amp;" target=\"&amp;""""&amp;"_blank\"&amp;""""&amp;"&gt;"&amp;L504&amp;"&lt;/a&gt;"&amp;""""</f>
        <v xml:space="preserve">    rbib_zeileis_et_al_2008: "Zeileis, A., Kleiber, C., &amp; Jackman, S. (2008). Regression Models for Count Data in R. &lt;i&gt;Journal of Statistical Software, 27&lt;/i&gt;(8).&lt;a href=\"https://doi.org/10.18637/jss.v027.i08" target=\"_blank\"&gt;https://doi.org/10.18637/jss.v027.i08&lt;/a&gt;"</v>
      </c>
      <c r="S504" s="65" t="str">
        <f>"    rbib_"&amp;F504&amp;": "&amp;""""&amp;"&lt;div class=\"&amp;""""&amp;"hanging\"&amp;""""&amp;"&gt;"&amp;J504&amp;"&lt;/div&gt;"&amp;""""</f>
        <v xml:space="preserve">    rbib_zeileis_et_al_2008: "&lt;div class=\"hanging\"&gt;Zeileis, A., Kleiber, C., &amp; Jackman, S. (2008). Regression Models for Count Data in R. *Journal of Statistical Software, 27*(8). &lt;https://doi.org/10.18637/jss.v027.i08&gt;&lt;/div&gt;"</v>
      </c>
      <c r="T504" s="65"/>
    </row>
    <row r="505" spans="1:20" ht="15.75">
      <c r="A505" s="65"/>
      <c r="B505" s="155" t="b">
        <v>1</v>
      </c>
      <c r="C505" s="155" t="b">
        <v>0</v>
      </c>
      <c r="D505" s="155" t="b">
        <v>0</v>
      </c>
      <c r="E505" s="65" t="s">
        <v>1904</v>
      </c>
      <c r="F505" s="65" t="s">
        <v>1912</v>
      </c>
      <c r="G505" s="65" t="s">
        <v>1911</v>
      </c>
      <c r="H505" s="65" t="s">
        <v>1911</v>
      </c>
      <c r="I505" s="65" t="b">
        <v>1</v>
      </c>
      <c r="J505" s="65" t="s">
        <v>1910</v>
      </c>
      <c r="K505" s="65" t="s">
        <v>5347</v>
      </c>
      <c r="L505" s="65" t="s">
        <v>1909</v>
      </c>
      <c r="M505" s="65" t="s">
        <v>984</v>
      </c>
      <c r="N505" s="65" t="str">
        <f>"&lt;div class="&amp;""""&amp;"hanging"&amp;""""&amp;"&gt;"&amp;K505&amp;"&lt;a href="&amp;""""&amp;L505&amp;""""&amp;" target="&amp;""""&amp;"_blank"&amp;""""&amp;"&gt;"&amp;L505&amp;"&lt;/a&gt;&lt;span style="&amp;""""&amp;"color:white"&amp;""""&amp;"&gt;[.]{#"&amp;F505&amp;"}}&lt;/span&gt;&lt;/div&gt;&lt;br&gt;"</f>
        <v>&lt;div class="hanging"&gt;Zorn, C. J. W. (1998). An Analytic and Empirical Examination of Zero-inflated and Hurdle Poisson Specifications. &lt;i&gt;Sociological Methods and Research 26&lt;/i&gt;(3), 368-400.&lt;a href="https://doi.org/10.1177/0049124198026003004" target="_blank"&gt;https://doi.org/10.1177/0049124198026003004&lt;/a&gt;&lt;span style="color:white"&gt;[.]{#zorn_1998}}&lt;/span&gt;&lt;/div&gt;&lt;br&gt;</v>
      </c>
      <c r="O505" s="65" t="str">
        <f>"{{ rtxt_"&amp;F505&amp;" }}"</f>
        <v>{{ rtxt_zorn_1998 }}</v>
      </c>
      <c r="P505" s="65" t="str">
        <f>"{{ rbib_"&amp;F505&amp;" }}"</f>
        <v>{{ rbib_zorn_1998 }}</v>
      </c>
      <c r="Q505" s="65" t="str">
        <f>"    rtxt_"&amp;F505&amp;": "&amp;""""&amp;"&lt;a href=\"&amp;""""&amp;"/08_references.html#"&amp;F505&amp;"\"&amp;""""&amp;" target=\"&amp;""""&amp;"_blank\"&amp;""""&amp;"&gt;"&amp;G505&amp;"&lt;/a&gt;"&amp;""""</f>
        <v xml:space="preserve">    rtxt_zorn_1998: "&lt;a href=\"/08_references.html#zorn_1998\" target=\"_blank\"&gt;Zorn, 1998&lt;/a&gt;"</v>
      </c>
      <c r="R505" s="65" t="str">
        <f>"    rbib_"&amp;F505&amp;": "&amp;""""&amp;K505&amp;"&lt;a href=\"&amp;""""&amp;L505&amp;""""&amp;" target=\"&amp;""""&amp;"_blank\"&amp;""""&amp;"&gt;"&amp;L505&amp;"&lt;/a&gt;"&amp;""""</f>
        <v xml:space="preserve">    rbib_zorn_1998: "Zorn, C. J. W. (1998). An Analytic and Empirical Examination of Zero-inflated and Hurdle Poisson Specifications. &lt;i&gt;Sociological Methods and Research 26&lt;/i&gt;(3), 368-400.&lt;a href=\"https://doi.org/10.1177/0049124198026003004" target=\"_blank\"&gt;https://doi.org/10.1177/0049124198026003004&lt;/a&gt;"</v>
      </c>
      <c r="S505" s="65" t="str">
        <f>"    rbib_"&amp;F505&amp;": "&amp;""""&amp;"&lt;div class=\"&amp;""""&amp;"hanging\"&amp;""""&amp;"&gt;"&amp;J505&amp;"&lt;/div&gt;"&amp;""""</f>
        <v xml:space="preserve">    rbib_zorn_1998: "&lt;div class=\"hanging\"&gt;Zorn, C. J. W. (1998). An Analytic and Empirical Examination of Zero-inflated and Hurdle Poisson Specifications. *Sociological Methods and Research 26*(3), 368-400. &lt;https://doi.org/10.1177/0049124198026003004&gt;&lt;/div&gt;"</v>
      </c>
      <c r="T505" s="65"/>
    </row>
    <row r="506" spans="1:20" ht="15.75">
      <c r="A506" s="65"/>
      <c r="B506" s="155" t="b">
        <v>0</v>
      </c>
      <c r="C506" s="155" t="b">
        <v>0</v>
      </c>
      <c r="D506" s="155" t="b">
        <v>1</v>
      </c>
      <c r="E506" s="65" t="s">
        <v>1904</v>
      </c>
      <c r="F506" s="65" t="s">
        <v>1908</v>
      </c>
      <c r="G506" s="65" t="s">
        <v>1907</v>
      </c>
      <c r="H506" s="65" t="s">
        <v>1907</v>
      </c>
      <c r="I506" s="65" t="b">
        <v>1</v>
      </c>
      <c r="J506" s="65" t="s">
        <v>1906</v>
      </c>
      <c r="K506" s="65" t="s">
        <v>5213</v>
      </c>
      <c r="L506" s="65" t="s">
        <v>1905</v>
      </c>
      <c r="M506" s="65" t="s">
        <v>984</v>
      </c>
      <c r="N506" s="65" t="str">
        <f>"&lt;div class="&amp;""""&amp;"hanging"&amp;""""&amp;"&gt;"&amp;K506&amp;"&lt;a href="&amp;""""&amp;L506&amp;""""&amp;" target="&amp;""""&amp;"_blank"&amp;""""&amp;"&gt;"&amp;L506&amp;"&lt;/a&gt;&lt;span style="&amp;""""&amp;"color:white"&amp;""""&amp;"&gt;[.]{#"&amp;F506&amp;"}}&lt;/span&gt;&lt;/div&gt;&lt;br&gt;"</f>
        <v>&lt;div class="hanging"&gt;Zuckerberg, B., Cohen, J. M., Nunes, L. A., Bernath-Plaisted, J., Clare, J. D. J., Gilbert, N. A., Kozidis, S. S., Maresh Nelson, S. B., Shipley, A. A., Thompson, K. L., &amp; Desrochers, A. (2020). A Review of Overlapping Landscapes: Pseudoreplication or a Red Herring in Landscape Ecology? &lt;i&gt;Current Landscape Ecology Reports, 5&lt;/i&gt;(4), 140-148.&lt;a href="https://doi.org/10.1007/s40823-020-00059-4" target="_blank"&gt;https://doi.org/10.1007/s40823-020-00059-4&lt;/a&gt;&lt;span style="color:white"&gt;[.]{#zuckerberg_et_al_2020}}&lt;/span&gt;&lt;/div&gt;&lt;br&gt;</v>
      </c>
      <c r="O506" s="65" t="str">
        <f>"{{ rtxt_"&amp;F506&amp;" }}"</f>
        <v>{{ rtxt_zuckerberg_et_al_2020 }}</v>
      </c>
      <c r="P506" s="65" t="str">
        <f>"{{ rbib_"&amp;F506&amp;" }}"</f>
        <v>{{ rbib_zuckerberg_et_al_2020 }}</v>
      </c>
      <c r="Q506" s="65" t="str">
        <f>"    rtxt_"&amp;F506&amp;": "&amp;""""&amp;"&lt;a href=\"&amp;""""&amp;"/08_references.html#"&amp;F506&amp;"\"&amp;""""&amp;" target=\"&amp;""""&amp;"_blank\"&amp;""""&amp;"&gt;"&amp;G506&amp;"&lt;/a&gt;"&amp;""""</f>
        <v xml:space="preserve">    rtxt_zuckerberg_et_al_2020: "&lt;a href=\"/08_references.html#zuckerberg_et_al_2020\" target=\"_blank\"&gt;Zuckerberg et al., 2020&lt;/a&gt;"</v>
      </c>
      <c r="R506" s="65" t="str">
        <f>"    rbib_"&amp;F506&amp;": "&amp;""""&amp;K506&amp;"&lt;a href=\"&amp;""""&amp;L506&amp;""""&amp;" target=\"&amp;""""&amp;"_blank\"&amp;""""&amp;"&gt;"&amp;L506&amp;"&lt;/a&gt;"&amp;""""</f>
        <v xml:space="preserve">    rbib_zuckerberg_et_al_2020: "Zuckerberg, B., Cohen, J. M., Nunes, L. A., Bernath-Plaisted, J., Clare, J. D. J., Gilbert, N. A., Kozidis, S. S., Maresh Nelson, S. B., Shipley, A. A., Thompson, K. L., &amp; Desrochers, A. (2020). A Review of Overlapping Landscapes: Pseudoreplication or a Red Herring in Landscape Ecology? &lt;i&gt;Current Landscape Ecology Reports, 5&lt;/i&gt;(4), 140-148.&lt;a href=\"https://doi.org/10.1007/s40823-020-00059-4" target=\"_blank\"&gt;https://doi.org/10.1007/s40823-020-00059-4&lt;/a&gt;"</v>
      </c>
      <c r="S506" s="65" t="str">
        <f>"    rbib_"&amp;F506&amp;": "&amp;""""&amp;"&lt;div class=\"&amp;""""&amp;"hanging\"&amp;""""&amp;"&gt;"&amp;J506&amp;"&lt;/div&gt;"&amp;""""</f>
        <v xml:space="preserve">    rbib_zuckerberg_et_al_2020: "&lt;div class=\"hanging\"&gt;Zuckerberg, B., Cohen, J. M., Nunes, L. A., Bernath-Plaisted, J., Clare, J. D. J., Gilbert, N. A., Kozidis, S. S., Maresh Nelson, S. B., Shipley, A. A., Thompson, K. L., &amp; Desrochers, A. (2020). A Review of Overlapping Landscapes: Pseudoreplication or a Red Herring in Landscape Ecology? *Current Landscape Ecology Reports, 5*(4), 140-148. &lt;https://doi.org/10.1007/s40823-020-00059-4&gt;&lt;/div&gt;"</v>
      </c>
      <c r="T506" s="65"/>
    </row>
    <row r="507" spans="1:20" ht="15.75">
      <c r="A507" s="65"/>
      <c r="B507" s="155" t="b">
        <v>1</v>
      </c>
      <c r="C507" s="155" t="b">
        <v>0</v>
      </c>
      <c r="D507" s="155" t="b">
        <v>0</v>
      </c>
      <c r="E507" s="65" t="s">
        <v>1904</v>
      </c>
      <c r="F507" s="65" t="s">
        <v>1903</v>
      </c>
      <c r="G507" s="65" t="s">
        <v>1902</v>
      </c>
      <c r="H507" s="65" t="s">
        <v>1901</v>
      </c>
      <c r="I507" s="65" t="b">
        <v>1</v>
      </c>
      <c r="J507" s="65" t="s">
        <v>1900</v>
      </c>
      <c r="K507" s="65" t="s">
        <v>5335</v>
      </c>
      <c r="L507" s="65" t="s">
        <v>1899</v>
      </c>
      <c r="M507" s="65" t="s">
        <v>984</v>
      </c>
      <c r="N507" s="65" t="str">
        <f>"&lt;div class="&amp;""""&amp;"hanging"&amp;""""&amp;"&gt;"&amp;K507&amp;"&lt;a href="&amp;""""&amp;L507&amp;""""&amp;" target="&amp;""""&amp;"_blank"&amp;""""&amp;"&gt;"&amp;L507&amp;"&lt;/a&gt;&lt;span style="&amp;""""&amp;"color:white"&amp;""""&amp;"&gt;[.]{#"&amp;F507&amp;"}}&lt;/span&gt;&lt;/div&gt;&lt;br&gt;"</f>
        <v>&lt;div class="hanging"&gt;Zuur, A. K., Ieno, E. N., &amp; Smith, G. M. (2007). Generalised linear modelling. In, M. Gail, K. Krickeberg, J. Samet, A. Tsiatis, &amp; W. Wong (Eds.), &lt;i&gt;Analysing Ecological Data&lt;/i&gt; (pp 79-96). Springer.&lt;a href="https://doi.org/10.1111/j.1751-5823.2007.00030_17.x" target="_blank"&gt;https://doi.org/10.1111/j.1751-5823.2007.00030_17.x&lt;/a&gt;&lt;span style="color:white"&gt;[.]{#zuur_et_al_2007}}&lt;/span&gt;&lt;/div&gt;&lt;br&gt;</v>
      </c>
      <c r="O507" s="65" t="str">
        <f>"{{ rtxt_"&amp;F507&amp;" }}"</f>
        <v>{{ rtxt_zuur_et_al_2007 }}</v>
      </c>
      <c r="P507" s="65" t="str">
        <f>"{{ rbib_"&amp;F507&amp;" }}"</f>
        <v>{{ rbib_zuur_et_al_2007 }}</v>
      </c>
      <c r="Q507" s="65" t="str">
        <f>"    rtxt_"&amp;F507&amp;": "&amp;""""&amp;"&lt;a href=\"&amp;""""&amp;"/08_references.html#"&amp;F507&amp;"\"&amp;""""&amp;" target=\"&amp;""""&amp;"_blank\"&amp;""""&amp;"&gt;"&amp;G507&amp;"&lt;/a&gt;"&amp;""""</f>
        <v xml:space="preserve">    rtxt_zuur_et_al_2007: "&lt;a href=\"/08_references.html#zuur_et_al_2007\" target=\"_blank\"&gt;Zuur et al., 2007&lt;/a&gt;"</v>
      </c>
      <c r="R507" s="65" t="str">
        <f>"    rbib_"&amp;F507&amp;": "&amp;""""&amp;K507&amp;"&lt;a href=\"&amp;""""&amp;L507&amp;""""&amp;" target=\"&amp;""""&amp;"_blank\"&amp;""""&amp;"&gt;"&amp;L507&amp;"&lt;/a&gt;"&amp;""""</f>
        <v xml:space="preserve">    rbib_zuur_et_al_2007: "Zuur, A. K., Ieno, E. N., &amp; Smith, G. M. (2007). Generalised linear modelling. In, M. Gail, K. Krickeberg, J. Samet, A. Tsiatis, &amp; W. Wong (Eds.), &lt;i&gt;Analysing Ecological Data&lt;/i&gt; (pp 79-96). Springer.&lt;a href=\"https://doi.org/10.1111/j.1751-5823.2007.00030_17.x" target=\"_blank\"&gt;https://doi.org/10.1111/j.1751-5823.2007.00030_17.x&lt;/a&gt;"</v>
      </c>
      <c r="S507" s="65" t="str">
        <f>"    rbib_"&amp;F507&amp;": "&amp;""""&amp;"&lt;div class=\"&amp;""""&amp;"hanging\"&amp;""""&amp;"&gt;"&amp;J507&amp;"&lt;/div&gt;"&amp;""""</f>
        <v xml:space="preserve">    rbib_zuur_et_al_2007: "&lt;div class=\"hanging\"&gt;Zuur, A. K., Ieno, E. N., &amp; Smith, G. M. (2007). Generalised linear modelling. In, M. Gail, K. Krickeberg, J. Samet, A. Tsiatis, &amp; W. Wong (Eds.), *Analysing Ecological Data* (pp 79-96). Springer. &lt;https://doi.org/10.1111/j.1751-5823.2007.00030_17.x&gt;&lt;/div&gt;"</v>
      </c>
      <c r="T507" s="65"/>
    </row>
    <row r="508" spans="1:20" ht="15">
      <c r="F508" s="36"/>
    </row>
  </sheetData>
  <autoFilter ref="A1:T502" xr:uid="{AD7FDF34-47F1-4589-8184-0190809406A7}">
    <sortState xmlns:xlrd2="http://schemas.microsoft.com/office/spreadsheetml/2017/richdata2" ref="A2:T507">
      <sortCondition ref="J1:J502"/>
    </sortState>
  </autoFilter>
  <conditionalFormatting sqref="F508:F1048576 F1:F505">
    <cfRule type="duplicateValues" dxfId="10" priority="4"/>
  </conditionalFormatting>
  <conditionalFormatting sqref="F508:F1048576 F500:F502 F1:F497">
    <cfRule type="duplicateValues" dxfId="9" priority="6"/>
  </conditionalFormatting>
  <conditionalFormatting sqref="G508:G1048576 G6:G505 G1:G3">
    <cfRule type="duplicateValues" dxfId="8" priority="5"/>
  </conditionalFormatting>
  <conditionalFormatting sqref="H3">
    <cfRule type="duplicateValues" dxfId="7" priority="3"/>
  </conditionalFormatting>
  <hyperlinks>
    <hyperlink ref="L70" r:id="rId1" xr:uid="{10EE8A58-AA15-4717-92E9-C8C3387FE84C}"/>
    <hyperlink ref="M130" r:id="rId2" xr:uid="{E01E6499-B7F2-4592-A332-E85233A60E3C}"/>
    <hyperlink ref="L205" r:id="rId3" xr:uid="{1E344269-9457-4651-9DBC-3C68CA203D23}"/>
    <hyperlink ref="L354" r:id="rId4" xr:uid="{AAE198DE-9DF0-4C1F-A886-7C233A0FCBA2}"/>
    <hyperlink ref="L417" r:id="rId5" xr:uid="{733C3313-9764-4D69-9DE7-0B8804CE203B}"/>
    <hyperlink ref="L168" r:id="rId6" xr:uid="{880B13C0-5413-46E3-BBAF-42481FCFA051}"/>
    <hyperlink ref="M110" r:id="rId7" xr:uid="{18F8D21E-D57B-4B03-8802-93891FDB7B5F}"/>
  </hyperlinks>
  <pageMargins left="0.7" right="0.7" top="0.75" bottom="0.75" header="0.3" footer="0.3"/>
  <pageSetup orientation="portrait" r:id="rId8"/>
  <legacyDrawing r:id="rId9"/>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554A0-392C-48F2-89E3-6E8474AB090B}">
  <dimension ref="A1:Q14"/>
  <sheetViews>
    <sheetView workbookViewId="0">
      <selection activeCell="K38" sqref="K38"/>
    </sheetView>
  </sheetViews>
  <sheetFormatPr defaultRowHeight="14.25"/>
  <sheetData>
    <row r="1" spans="1:17" s="99" customFormat="1" ht="14.25" customHeight="1">
      <c r="A1" s="101" t="s">
        <v>5902</v>
      </c>
      <c r="B1" s="133" t="s">
        <v>5894</v>
      </c>
      <c r="C1" s="132" t="s">
        <v>5893</v>
      </c>
      <c r="D1" s="136" t="s">
        <v>1210</v>
      </c>
      <c r="E1" s="115" t="s">
        <v>5901</v>
      </c>
      <c r="F1" s="115" t="s">
        <v>1143</v>
      </c>
      <c r="G1" s="133" t="s">
        <v>5900</v>
      </c>
      <c r="H1" s="135" t="s">
        <v>5936</v>
      </c>
      <c r="I1" s="133" t="s">
        <v>5937</v>
      </c>
      <c r="J1" s="115" t="s">
        <v>5898</v>
      </c>
      <c r="K1" s="101" t="s">
        <v>5897</v>
      </c>
      <c r="L1" s="115" t="s">
        <v>5899</v>
      </c>
      <c r="M1" s="115" t="s">
        <v>5896</v>
      </c>
      <c r="N1" s="134" t="s">
        <v>5895</v>
      </c>
      <c r="O1" s="101"/>
      <c r="P1" s="101"/>
      <c r="Q1" s="101"/>
    </row>
    <row r="2" spans="1:17" s="99" customFormat="1" ht="14.25" customHeight="1">
      <c r="A2" s="99" t="s">
        <v>984</v>
      </c>
      <c r="B2" s="99">
        <v>1</v>
      </c>
      <c r="C2" s="99">
        <v>10</v>
      </c>
      <c r="D2" s="103" t="s">
        <v>5875</v>
      </c>
      <c r="E2" s="99" t="s">
        <v>984</v>
      </c>
      <c r="F2" s="99" t="s">
        <v>984</v>
      </c>
      <c r="G2" s="99" t="s">
        <v>984</v>
      </c>
      <c r="H2" s="106" t="s">
        <v>5891</v>
      </c>
      <c r="I2" s="99" t="s">
        <v>984</v>
      </c>
      <c r="J2" s="106" t="s">
        <v>5598</v>
      </c>
      <c r="K2" s="99" t="s">
        <v>984</v>
      </c>
      <c r="L2" s="99" t="str">
        <f t="shared" ref="L2:L14" si="0">"{{ title_i_"&amp;H2&amp;" }}"</f>
        <v>{{ title_i_duration_timing }}</v>
      </c>
      <c r="M2" s="99" t="str">
        <f t="shared" ref="M2:M14" si="1">IF(I2=TRUE,("    title_i_"&amp;H2&amp;": "&amp;""""&amp;J2&amp;""""),"-")</f>
        <v>-</v>
      </c>
      <c r="N2" s="99" t="str">
        <f t="shared" ref="N2:N14" si="2">IF(I2=TRUE,("https://ab-rcsc.github.io/rc-decision-support-tool_concept-library/02_dialog-boxes/"&amp;G2&amp;".html"),"-")</f>
        <v>-</v>
      </c>
    </row>
    <row r="3" spans="1:17" s="99" customFormat="1" ht="14.25" customHeight="1">
      <c r="A3" s="99" t="s">
        <v>984</v>
      </c>
      <c r="B3" s="99">
        <v>1</v>
      </c>
      <c r="C3" s="99">
        <v>1</v>
      </c>
      <c r="D3" s="103" t="s">
        <v>5875</v>
      </c>
      <c r="E3" s="99" t="s">
        <v>984</v>
      </c>
      <c r="F3" s="99" t="s">
        <v>984</v>
      </c>
      <c r="G3" s="99" t="s">
        <v>984</v>
      </c>
      <c r="H3" s="106" t="s">
        <v>5888</v>
      </c>
      <c r="I3" s="99" t="s">
        <v>984</v>
      </c>
      <c r="J3" s="106" t="s">
        <v>5592</v>
      </c>
      <c r="K3" s="99" t="s">
        <v>984</v>
      </c>
      <c r="L3" s="99" t="str">
        <f t="shared" si="0"/>
        <v>{{ title_i_objective_resources }}</v>
      </c>
      <c r="M3" s="99" t="str">
        <f t="shared" si="1"/>
        <v>-</v>
      </c>
      <c r="N3" s="99" t="str">
        <f t="shared" si="2"/>
        <v>-</v>
      </c>
    </row>
    <row r="4" spans="1:17" s="99" customFormat="1" ht="14.25" customHeight="1">
      <c r="A4" s="99" t="s">
        <v>984</v>
      </c>
      <c r="B4" s="99">
        <v>1</v>
      </c>
      <c r="C4" s="99">
        <v>54</v>
      </c>
      <c r="D4" s="103" t="s">
        <v>5875</v>
      </c>
      <c r="E4" s="99" t="s">
        <v>5590</v>
      </c>
      <c r="F4" s="99" t="s">
        <v>984</v>
      </c>
      <c r="G4" s="99" t="s">
        <v>984</v>
      </c>
      <c r="H4" s="106" t="s">
        <v>5887</v>
      </c>
      <c r="I4" s="99" t="s">
        <v>984</v>
      </c>
      <c r="J4" s="106" t="s">
        <v>5589</v>
      </c>
      <c r="K4" s="99" t="s">
        <v>984</v>
      </c>
      <c r="L4" s="99" t="str">
        <f t="shared" si="0"/>
        <v>{{ title_i_recommendations }}</v>
      </c>
      <c r="M4" s="99" t="str">
        <f t="shared" si="1"/>
        <v>-</v>
      </c>
      <c r="N4" s="99" t="str">
        <f t="shared" si="2"/>
        <v>-</v>
      </c>
    </row>
    <row r="5" spans="1:17" s="99" customFormat="1" ht="14.25" customHeight="1">
      <c r="A5" s="99" t="s">
        <v>984</v>
      </c>
      <c r="B5" s="99">
        <v>2</v>
      </c>
      <c r="C5" s="99">
        <v>75</v>
      </c>
      <c r="D5" s="103" t="s">
        <v>5875</v>
      </c>
      <c r="E5" s="99" t="s">
        <v>5590</v>
      </c>
      <c r="F5" s="99" t="s">
        <v>984</v>
      </c>
      <c r="G5" s="99" t="s">
        <v>984</v>
      </c>
      <c r="H5" s="106" t="s">
        <v>5886</v>
      </c>
      <c r="I5" s="99" t="s">
        <v>984</v>
      </c>
      <c r="J5" s="106" t="s">
        <v>5885</v>
      </c>
      <c r="K5" s="99" t="s">
        <v>984</v>
      </c>
      <c r="L5" s="99" t="str">
        <f t="shared" si="0"/>
        <v>{{ title_i_recommendations_considersations }}</v>
      </c>
      <c r="M5" s="99" t="str">
        <f t="shared" si="1"/>
        <v>-</v>
      </c>
      <c r="N5" s="99" t="str">
        <f t="shared" si="2"/>
        <v>-</v>
      </c>
    </row>
    <row r="6" spans="1:17" s="99" customFormat="1" ht="14.25" customHeight="1">
      <c r="A6" s="99" t="s">
        <v>984</v>
      </c>
      <c r="B6" s="99">
        <v>2</v>
      </c>
      <c r="C6" s="99">
        <v>56</v>
      </c>
      <c r="D6" s="103" t="s">
        <v>5875</v>
      </c>
      <c r="E6" s="99" t="s">
        <v>5590</v>
      </c>
      <c r="F6" s="99" t="s">
        <v>984</v>
      </c>
      <c r="G6" s="99" t="s">
        <v>984</v>
      </c>
      <c r="H6" s="106" t="s">
        <v>5884</v>
      </c>
      <c r="I6" s="99" t="s">
        <v>984</v>
      </c>
      <c r="J6" s="106" t="s">
        <v>5883</v>
      </c>
      <c r="K6" s="99" t="s">
        <v>984</v>
      </c>
      <c r="L6" s="99" t="str">
        <f t="shared" si="0"/>
        <v>{{ title_i_recommendations_modelling_approach }}</v>
      </c>
      <c r="M6" s="99" t="str">
        <f t="shared" si="1"/>
        <v>-</v>
      </c>
      <c r="N6" s="99" t="str">
        <f t="shared" si="2"/>
        <v>-</v>
      </c>
    </row>
    <row r="7" spans="1:17" s="99" customFormat="1" ht="14.25" customHeight="1">
      <c r="A7" s="99" t="s">
        <v>984</v>
      </c>
      <c r="B7" s="99">
        <v>2</v>
      </c>
      <c r="C7" s="99">
        <v>55</v>
      </c>
      <c r="D7" s="103" t="s">
        <v>5875</v>
      </c>
      <c r="E7" s="99" t="s">
        <v>5590</v>
      </c>
      <c r="F7" s="99" t="s">
        <v>984</v>
      </c>
      <c r="G7" s="99" t="s">
        <v>984</v>
      </c>
      <c r="H7" s="106" t="s">
        <v>5882</v>
      </c>
      <c r="I7" s="99" t="s">
        <v>984</v>
      </c>
      <c r="J7" s="106" t="s">
        <v>5815</v>
      </c>
      <c r="K7" s="99" t="s">
        <v>984</v>
      </c>
      <c r="L7" s="99" t="str">
        <f t="shared" si="0"/>
        <v>{{ title_i_recommendations_study_design }}</v>
      </c>
      <c r="M7" s="99" t="str">
        <f t="shared" si="1"/>
        <v>-</v>
      </c>
      <c r="N7" s="99" t="str">
        <f t="shared" si="2"/>
        <v>-</v>
      </c>
    </row>
    <row r="8" spans="1:17" s="99" customFormat="1" ht="14.25" customHeight="1">
      <c r="A8" s="99" t="s">
        <v>984</v>
      </c>
      <c r="B8" s="99">
        <v>1</v>
      </c>
      <c r="C8" s="99">
        <v>76</v>
      </c>
      <c r="D8" s="103" t="s">
        <v>5875</v>
      </c>
      <c r="E8" s="99" t="s">
        <v>984</v>
      </c>
      <c r="F8" s="99" t="s">
        <v>984</v>
      </c>
      <c r="G8" s="99" t="s">
        <v>984</v>
      </c>
      <c r="H8" s="106" t="s">
        <v>5879</v>
      </c>
      <c r="I8" s="99" t="s">
        <v>984</v>
      </c>
      <c r="J8" s="106" t="s">
        <v>5878</v>
      </c>
      <c r="K8" s="99" t="s">
        <v>984</v>
      </c>
      <c r="L8" s="99" t="str">
        <f t="shared" si="0"/>
        <v>{{ title_i_references_glossary }}</v>
      </c>
      <c r="M8" s="99" t="str">
        <f t="shared" si="1"/>
        <v>-</v>
      </c>
      <c r="N8" s="99" t="str">
        <f t="shared" si="2"/>
        <v>-</v>
      </c>
    </row>
    <row r="9" spans="1:17" s="99" customFormat="1" ht="14.25" customHeight="1">
      <c r="A9" s="99" t="s">
        <v>984</v>
      </c>
      <c r="B9" s="99">
        <v>1</v>
      </c>
      <c r="C9" s="99">
        <v>5</v>
      </c>
      <c r="D9" s="99" t="s">
        <v>5875</v>
      </c>
      <c r="E9" s="106" t="s">
        <v>5588</v>
      </c>
      <c r="F9" s="99" t="s">
        <v>984</v>
      </c>
      <c r="G9" s="99" t="s">
        <v>984</v>
      </c>
      <c r="H9" s="106" t="s">
        <v>5877</v>
      </c>
      <c r="I9" s="99" t="s">
        <v>984</v>
      </c>
      <c r="J9" s="106" t="s">
        <v>5587</v>
      </c>
      <c r="K9" s="99" t="s">
        <v>984</v>
      </c>
      <c r="L9" s="99" t="str">
        <f t="shared" si="0"/>
        <v>{{ title_i_study_area_site_selection_constraints }}</v>
      </c>
      <c r="M9" s="99" t="str">
        <f t="shared" si="1"/>
        <v>-</v>
      </c>
      <c r="N9" s="99" t="str">
        <f t="shared" si="2"/>
        <v>-</v>
      </c>
    </row>
    <row r="10" spans="1:17" s="99" customFormat="1" ht="14.25" customHeight="1">
      <c r="A10" s="99" t="s">
        <v>984</v>
      </c>
      <c r="B10" s="99">
        <v>1</v>
      </c>
      <c r="C10" s="99">
        <v>14</v>
      </c>
      <c r="D10" s="99" t="s">
        <v>5875</v>
      </c>
      <c r="E10" s="99" t="s">
        <v>5586</v>
      </c>
      <c r="F10" s="99" t="s">
        <v>984</v>
      </c>
      <c r="G10" s="99" t="s">
        <v>984</v>
      </c>
      <c r="H10" s="106" t="s">
        <v>240</v>
      </c>
      <c r="I10" s="99" t="s">
        <v>984</v>
      </c>
      <c r="J10" s="106" t="s">
        <v>5574</v>
      </c>
      <c r="K10" s="99" t="s">
        <v>984</v>
      </c>
      <c r="L10" s="99" t="str">
        <f t="shared" si="0"/>
        <v>{{ title_i_target_species }}</v>
      </c>
      <c r="M10" s="99" t="str">
        <f t="shared" si="1"/>
        <v>-</v>
      </c>
      <c r="N10" s="99" t="str">
        <f t="shared" si="2"/>
        <v>-</v>
      </c>
    </row>
    <row r="11" spans="1:17" s="99" customFormat="1" ht="14.25" customHeight="1">
      <c r="A11" s="99" t="s">
        <v>984</v>
      </c>
      <c r="B11" s="99">
        <v>1</v>
      </c>
      <c r="C11" s="99">
        <v>40</v>
      </c>
      <c r="D11" s="99" t="s">
        <v>5875</v>
      </c>
      <c r="E11" s="99" t="s">
        <v>5596</v>
      </c>
      <c r="F11" s="99" t="s">
        <v>984</v>
      </c>
      <c r="G11" s="99" t="s">
        <v>984</v>
      </c>
      <c r="H11" s="106" t="s">
        <v>5935</v>
      </c>
      <c r="I11" s="99" t="s">
        <v>984</v>
      </c>
      <c r="J11" s="106" t="s">
        <v>5595</v>
      </c>
      <c r="K11" s="99" t="s">
        <v>984</v>
      </c>
      <c r="L11" s="99" t="str">
        <f t="shared" si="0"/>
        <v>{{ title_i_equipment_deployment }}</v>
      </c>
      <c r="M11" s="99" t="str">
        <f t="shared" si="1"/>
        <v>-</v>
      </c>
      <c r="N11" s="99" t="str">
        <f t="shared" si="2"/>
        <v>-</v>
      </c>
    </row>
    <row r="12" spans="1:17" s="99" customFormat="1" ht="14.25" customHeight="1">
      <c r="A12" s="99" t="s">
        <v>984</v>
      </c>
      <c r="B12" s="99">
        <v>2</v>
      </c>
      <c r="C12" s="99">
        <v>35</v>
      </c>
      <c r="D12" s="99" t="s">
        <v>5875</v>
      </c>
      <c r="E12" s="99" t="s">
        <v>5586</v>
      </c>
      <c r="F12" s="99" t="s">
        <v>984</v>
      </c>
      <c r="G12" s="99" t="s">
        <v>984</v>
      </c>
      <c r="H12" s="106" t="s">
        <v>5876</v>
      </c>
      <c r="I12" s="99" t="s">
        <v>984</v>
      </c>
      <c r="J12" s="106" t="s">
        <v>5573</v>
      </c>
      <c r="K12" s="99" t="s">
        <v>984</v>
      </c>
      <c r="L12" s="99" t="str">
        <f t="shared" si="0"/>
        <v>{{ title_i_target_species_multiple }}</v>
      </c>
      <c r="M12" s="99" t="str">
        <f t="shared" si="1"/>
        <v>-</v>
      </c>
      <c r="N12" s="99" t="str">
        <f t="shared" si="2"/>
        <v>-</v>
      </c>
    </row>
    <row r="13" spans="1:17" s="99" customFormat="1" ht="14.25" customHeight="1">
      <c r="A13" s="99" t="s">
        <v>984</v>
      </c>
      <c r="B13" s="99">
        <v>2</v>
      </c>
      <c r="C13" s="99">
        <v>15</v>
      </c>
      <c r="D13" s="99" t="s">
        <v>5875</v>
      </c>
      <c r="E13" s="99" t="s">
        <v>5586</v>
      </c>
      <c r="F13" s="99" t="s">
        <v>984</v>
      </c>
      <c r="G13" s="99" t="s">
        <v>984</v>
      </c>
      <c r="H13" s="106" t="s">
        <v>5874</v>
      </c>
      <c r="I13" s="99" t="s">
        <v>984</v>
      </c>
      <c r="J13" s="106" t="s">
        <v>5576</v>
      </c>
      <c r="K13" s="99" t="s">
        <v>984</v>
      </c>
      <c r="L13" s="99" t="str">
        <f t="shared" si="0"/>
        <v>{{ title_i_target_species_single }}</v>
      </c>
      <c r="M13" s="99" t="str">
        <f t="shared" si="1"/>
        <v>-</v>
      </c>
      <c r="N13" s="99" t="str">
        <f t="shared" si="2"/>
        <v>-</v>
      </c>
    </row>
    <row r="14" spans="1:17" s="99" customFormat="1" ht="14.25" customHeight="1">
      <c r="A14" s="99" t="s">
        <v>984</v>
      </c>
      <c r="B14" s="99">
        <v>1</v>
      </c>
      <c r="C14" s="99">
        <v>46</v>
      </c>
      <c r="D14" s="99" t="s">
        <v>5875</v>
      </c>
      <c r="E14" s="99" t="s">
        <v>5602</v>
      </c>
      <c r="F14" s="99" t="s">
        <v>984</v>
      </c>
      <c r="G14" s="99" t="s">
        <v>984</v>
      </c>
      <c r="H14" s="106" t="s">
        <v>5892</v>
      </c>
      <c r="I14" s="99" t="s">
        <v>984</v>
      </c>
      <c r="J14" s="106" t="s">
        <v>5601</v>
      </c>
      <c r="K14" s="99" t="s">
        <v>984</v>
      </c>
      <c r="L14" s="99" t="str">
        <f t="shared" si="0"/>
        <v>{{ title_i_data_analysis }}</v>
      </c>
      <c r="M14" s="99" t="str">
        <f t="shared" si="1"/>
        <v>-</v>
      </c>
      <c r="N14" s="99" t="str">
        <f t="shared" si="2"/>
        <v>-</v>
      </c>
    </row>
  </sheetData>
  <conditionalFormatting sqref="H1">
    <cfRule type="duplicateValues" dxfId="6" priority="1"/>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F6063-AD25-400C-96A0-9F66E39047D7}">
  <dimension ref="A1:D1000"/>
  <sheetViews>
    <sheetView workbookViewId="0">
      <selection activeCell="D36" sqref="D36"/>
    </sheetView>
  </sheetViews>
  <sheetFormatPr defaultColWidth="12.625" defaultRowHeight="15" customHeight="1"/>
  <cols>
    <col min="1" max="1" width="14.25" style="99" customWidth="1"/>
    <col min="2" max="3" width="32.875" style="99" customWidth="1"/>
    <col min="4" max="4" width="32.75" style="99" customWidth="1"/>
    <col min="5" max="26" width="8.625" style="99" customWidth="1"/>
    <col min="27" max="16384" width="12.625" style="99"/>
  </cols>
  <sheetData>
    <row r="1" spans="1:4" ht="14.25" customHeight="1">
      <c r="A1" s="101" t="s">
        <v>5606</v>
      </c>
      <c r="B1" s="102" t="s">
        <v>5605</v>
      </c>
      <c r="C1" s="102" t="s">
        <v>5604</v>
      </c>
      <c r="D1" s="101" t="s">
        <v>5603</v>
      </c>
    </row>
    <row r="2" spans="1:4" ht="14.25" customHeight="1">
      <c r="A2" s="99" t="s">
        <v>5602</v>
      </c>
      <c r="B2" s="99" t="s">
        <v>5601</v>
      </c>
      <c r="C2" s="99" t="s">
        <v>5601</v>
      </c>
      <c r="D2" s="99" t="s">
        <v>5600</v>
      </c>
    </row>
    <row r="3" spans="1:4" ht="14.25" customHeight="1">
      <c r="A3" s="99" t="s">
        <v>5599</v>
      </c>
      <c r="B3" s="99" t="s">
        <v>5598</v>
      </c>
      <c r="C3" s="99" t="s">
        <v>5598</v>
      </c>
      <c r="D3" s="99" t="s">
        <v>5597</v>
      </c>
    </row>
    <row r="4" spans="1:4" ht="14.25" customHeight="1">
      <c r="A4" s="99" t="s">
        <v>5596</v>
      </c>
      <c r="B4" s="99" t="s">
        <v>5595</v>
      </c>
      <c r="C4" s="99" t="s">
        <v>5595</v>
      </c>
      <c r="D4" s="99" t="s">
        <v>5594</v>
      </c>
    </row>
    <row r="5" spans="1:4" ht="14.25" customHeight="1">
      <c r="A5" s="99" t="s">
        <v>5593</v>
      </c>
      <c r="B5" s="99" t="s">
        <v>5592</v>
      </c>
      <c r="C5" s="99" t="s">
        <v>5592</v>
      </c>
      <c r="D5" s="99" t="s">
        <v>5591</v>
      </c>
    </row>
    <row r="6" spans="1:4" ht="14.25" customHeight="1">
      <c r="A6" s="99" t="s">
        <v>5590</v>
      </c>
      <c r="B6" s="99" t="s">
        <v>5589</v>
      </c>
      <c r="C6" s="99" t="s">
        <v>5589</v>
      </c>
      <c r="D6" s="99" t="s">
        <v>5565</v>
      </c>
    </row>
    <row r="7" spans="1:4" ht="14.25" customHeight="1">
      <c r="A7" s="99" t="s">
        <v>5588</v>
      </c>
      <c r="B7" s="99" t="s">
        <v>5587</v>
      </c>
      <c r="C7" s="99" t="s">
        <v>5587</v>
      </c>
      <c r="D7" s="99" t="s">
        <v>5582</v>
      </c>
    </row>
    <row r="8" spans="1:4" ht="14.25" customHeight="1">
      <c r="A8" s="99" t="s">
        <v>5586</v>
      </c>
      <c r="B8" s="99" t="s">
        <v>5574</v>
      </c>
      <c r="C8" s="99" t="s">
        <v>5574</v>
      </c>
      <c r="D8" s="99" t="s">
        <v>5572</v>
      </c>
    </row>
    <row r="9" spans="1:4" ht="14.25" customHeight="1">
      <c r="A9" s="99" t="s">
        <v>5585</v>
      </c>
      <c r="B9" s="100" t="s">
        <v>51</v>
      </c>
      <c r="C9" s="99" t="s">
        <v>95</v>
      </c>
      <c r="D9" s="99" t="s">
        <v>5582</v>
      </c>
    </row>
    <row r="10" spans="1:4" ht="14.25" customHeight="1">
      <c r="A10" s="99" t="s">
        <v>5584</v>
      </c>
      <c r="B10" s="100" t="s">
        <v>51</v>
      </c>
      <c r="C10" s="99" t="s">
        <v>5583</v>
      </c>
      <c r="D10" s="99" t="s">
        <v>5582</v>
      </c>
    </row>
    <row r="11" spans="1:4" ht="14.25" customHeight="1">
      <c r="A11" s="99" t="s">
        <v>5581</v>
      </c>
      <c r="B11" s="100" t="s">
        <v>51</v>
      </c>
      <c r="C11" s="99" t="s">
        <v>5580</v>
      </c>
    </row>
    <row r="12" spans="1:4" ht="14.25" customHeight="1">
      <c r="A12" s="99" t="s">
        <v>5579</v>
      </c>
      <c r="B12" s="100" t="s">
        <v>51</v>
      </c>
      <c r="C12" s="99" t="s">
        <v>5578</v>
      </c>
    </row>
    <row r="13" spans="1:4" ht="14.25" customHeight="1">
      <c r="A13" s="99" t="s">
        <v>5577</v>
      </c>
      <c r="B13" s="99" t="s">
        <v>5574</v>
      </c>
      <c r="C13" s="99" t="s">
        <v>5576</v>
      </c>
      <c r="D13" s="99" t="s">
        <v>5572</v>
      </c>
    </row>
    <row r="14" spans="1:4" ht="14.25" customHeight="1">
      <c r="A14" s="99" t="s">
        <v>5575</v>
      </c>
      <c r="B14" s="99" t="s">
        <v>5574</v>
      </c>
      <c r="C14" s="99" t="s">
        <v>5573</v>
      </c>
      <c r="D14" s="99" t="s">
        <v>5572</v>
      </c>
    </row>
    <row r="15" spans="1:4" ht="14.25" customHeight="1">
      <c r="A15" s="99" t="s">
        <v>5571</v>
      </c>
      <c r="B15" s="100" t="s">
        <v>51</v>
      </c>
      <c r="C15" s="99" t="s">
        <v>5570</v>
      </c>
      <c r="D15" s="99" t="s">
        <v>5565</v>
      </c>
    </row>
    <row r="16" spans="1:4" ht="14.25" customHeight="1">
      <c r="A16" s="99" t="s">
        <v>5569</v>
      </c>
      <c r="B16" s="100" t="s">
        <v>51</v>
      </c>
      <c r="C16" s="99" t="s">
        <v>5568</v>
      </c>
      <c r="D16" s="99" t="s">
        <v>5565</v>
      </c>
    </row>
    <row r="17" spans="1:4" ht="14.25" customHeight="1">
      <c r="A17" s="99" t="s">
        <v>5567</v>
      </c>
      <c r="B17" s="100" t="s">
        <v>51</v>
      </c>
      <c r="C17" s="99" t="s">
        <v>5566</v>
      </c>
      <c r="D17" s="99" t="s">
        <v>5565</v>
      </c>
    </row>
    <row r="18" spans="1:4" ht="14.25" customHeight="1"/>
    <row r="19" spans="1:4" ht="14.25" customHeight="1"/>
    <row r="20" spans="1:4" ht="14.25" customHeight="1"/>
    <row r="21" spans="1:4" ht="14.25" customHeight="1"/>
    <row r="22" spans="1:4" ht="14.25" customHeight="1"/>
    <row r="23" spans="1:4" ht="14.25" customHeight="1"/>
    <row r="24" spans="1:4" ht="14.25" customHeight="1"/>
    <row r="25" spans="1:4" ht="14.25" customHeight="1"/>
    <row r="26" spans="1:4" ht="14.25" customHeight="1"/>
    <row r="27" spans="1:4" ht="14.25" customHeight="1"/>
    <row r="28" spans="1:4" ht="14.25" customHeight="1"/>
    <row r="29" spans="1:4" ht="14.25" customHeight="1"/>
    <row r="30" spans="1:4" ht="14.25" customHeight="1"/>
    <row r="31" spans="1:4" ht="14.25" customHeight="1"/>
    <row r="32" spans="1:4"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D8" xr:uid="{00000000-0001-0000-0D00-000000000000}">
    <sortState xmlns:xlrd2="http://schemas.microsoft.com/office/spreadsheetml/2017/richdata2" ref="A2:D8">
      <sortCondition ref="B1:B8"/>
    </sortState>
  </autoFilter>
  <pageMargins left="0.7" right="0.7" top="0.75" bottom="0.75" header="0" footer="0"/>
  <pageSetup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EBCC3-FA85-451D-87C7-8D5B6ED1E60D}">
  <dimension ref="A1:Z1000"/>
  <sheetViews>
    <sheetView workbookViewId="0">
      <pane ySplit="1" topLeftCell="A2" activePane="bottomLeft" state="frozen"/>
      <selection pane="bottomLeft" activeCell="B33" sqref="B33"/>
    </sheetView>
  </sheetViews>
  <sheetFormatPr defaultColWidth="12.625" defaultRowHeight="15" customHeight="1"/>
  <cols>
    <col min="1" max="1" width="38.25" style="99" customWidth="1"/>
    <col min="2" max="2" width="12.375" style="99" customWidth="1"/>
    <col min="3" max="9" width="12.625" style="99" customWidth="1"/>
    <col min="10" max="16384" width="12.625" style="99"/>
  </cols>
  <sheetData>
    <row r="1" spans="1:26" ht="15.75">
      <c r="A1" s="135" t="s">
        <v>5085</v>
      </c>
      <c r="B1" s="148" t="s">
        <v>49</v>
      </c>
      <c r="C1" s="148" t="s">
        <v>48</v>
      </c>
      <c r="D1" s="148" t="s">
        <v>47</v>
      </c>
      <c r="E1" s="148" t="s">
        <v>5926</v>
      </c>
      <c r="F1" s="148" t="s">
        <v>537</v>
      </c>
      <c r="G1" s="148" t="s">
        <v>43</v>
      </c>
      <c r="H1" s="148" t="s">
        <v>45</v>
      </c>
      <c r="I1" s="148" t="s">
        <v>39</v>
      </c>
      <c r="J1" s="103"/>
      <c r="K1" s="103"/>
      <c r="L1" s="103"/>
      <c r="M1" s="103"/>
      <c r="N1" s="103"/>
      <c r="O1" s="103"/>
      <c r="P1" s="103"/>
      <c r="Q1" s="103"/>
      <c r="R1" s="103"/>
      <c r="S1" s="103"/>
      <c r="T1" s="103"/>
      <c r="U1" s="103"/>
      <c r="V1" s="103"/>
      <c r="W1" s="103"/>
      <c r="X1" s="103"/>
      <c r="Y1" s="103"/>
      <c r="Z1" s="103"/>
    </row>
    <row r="2" spans="1:26" ht="15.75">
      <c r="A2" s="135" t="s">
        <v>5036</v>
      </c>
      <c r="B2" s="139" t="b">
        <v>1</v>
      </c>
      <c r="C2" s="139" t="s">
        <v>984</v>
      </c>
      <c r="D2" s="139" t="s">
        <v>984</v>
      </c>
      <c r="E2" s="139" t="s">
        <v>984</v>
      </c>
      <c r="F2" s="139" t="s">
        <v>984</v>
      </c>
      <c r="G2" s="139" t="s">
        <v>984</v>
      </c>
      <c r="H2" s="139" t="s">
        <v>984</v>
      </c>
      <c r="I2" s="139" t="s">
        <v>984</v>
      </c>
      <c r="J2" s="103"/>
      <c r="K2" s="103"/>
      <c r="L2" s="103"/>
      <c r="M2" s="103"/>
      <c r="N2" s="103"/>
      <c r="O2" s="103"/>
      <c r="P2" s="103"/>
      <c r="Q2" s="103"/>
      <c r="R2" s="103"/>
      <c r="S2" s="103"/>
      <c r="T2" s="103"/>
      <c r="U2" s="103"/>
      <c r="V2" s="103"/>
      <c r="W2" s="103"/>
      <c r="X2" s="103"/>
      <c r="Y2" s="103"/>
      <c r="Z2" s="103"/>
    </row>
    <row r="3" spans="1:26" ht="15.75">
      <c r="A3" s="135" t="s">
        <v>5023</v>
      </c>
      <c r="B3" s="139" t="s">
        <v>984</v>
      </c>
      <c r="C3" s="139" t="b">
        <v>1</v>
      </c>
      <c r="D3" s="139" t="s">
        <v>984</v>
      </c>
      <c r="E3" s="139" t="s">
        <v>984</v>
      </c>
      <c r="F3" s="139" t="s">
        <v>984</v>
      </c>
      <c r="G3" s="139" t="s">
        <v>984</v>
      </c>
      <c r="H3" s="139" t="b">
        <v>1</v>
      </c>
      <c r="I3" s="139" t="b">
        <v>1</v>
      </c>
      <c r="J3" s="103"/>
      <c r="K3" s="103"/>
      <c r="L3" s="103"/>
      <c r="M3" s="103"/>
      <c r="N3" s="103"/>
      <c r="O3" s="103"/>
      <c r="P3" s="103"/>
      <c r="Q3" s="103"/>
      <c r="R3" s="103"/>
      <c r="S3" s="103"/>
      <c r="T3" s="103"/>
      <c r="U3" s="103"/>
      <c r="V3" s="103"/>
      <c r="W3" s="103"/>
      <c r="X3" s="103"/>
      <c r="Y3" s="103"/>
      <c r="Z3" s="103"/>
    </row>
    <row r="4" spans="1:26" ht="14.25">
      <c r="A4" s="147" t="s">
        <v>5923</v>
      </c>
      <c r="B4" s="139" t="s">
        <v>984</v>
      </c>
      <c r="C4" s="139" t="s">
        <v>984</v>
      </c>
      <c r="D4" s="139" t="b">
        <v>1</v>
      </c>
      <c r="E4" s="139" t="s">
        <v>984</v>
      </c>
      <c r="F4" s="139" t="b">
        <v>1</v>
      </c>
      <c r="G4" s="139" t="s">
        <v>984</v>
      </c>
      <c r="H4" s="139" t="b">
        <v>1</v>
      </c>
      <c r="I4" s="139" t="b">
        <v>1</v>
      </c>
      <c r="J4" s="103"/>
      <c r="K4" s="103"/>
      <c r="L4" s="103"/>
      <c r="M4" s="103"/>
      <c r="N4" s="103"/>
      <c r="O4" s="103"/>
      <c r="P4" s="103"/>
      <c r="Q4" s="103"/>
      <c r="R4" s="103"/>
      <c r="S4" s="103"/>
      <c r="T4" s="103"/>
      <c r="U4" s="103"/>
      <c r="V4" s="103"/>
      <c r="W4" s="103"/>
      <c r="X4" s="103"/>
      <c r="Y4" s="103"/>
      <c r="Z4" s="103"/>
    </row>
    <row r="5" spans="1:26" ht="15.75">
      <c r="A5" s="135" t="s">
        <v>4996</v>
      </c>
      <c r="B5" s="124" t="s">
        <v>984</v>
      </c>
      <c r="C5" s="124" t="s">
        <v>984</v>
      </c>
      <c r="D5" s="124" t="s">
        <v>984</v>
      </c>
      <c r="E5" s="124" t="s">
        <v>984</v>
      </c>
      <c r="F5" s="124" t="s">
        <v>984</v>
      </c>
      <c r="G5" s="124" t="s">
        <v>984</v>
      </c>
      <c r="H5" s="124" t="s">
        <v>984</v>
      </c>
      <c r="I5" s="124" t="s">
        <v>984</v>
      </c>
      <c r="J5" s="103"/>
      <c r="K5" s="103"/>
      <c r="L5" s="103"/>
      <c r="M5" s="103"/>
      <c r="N5" s="103"/>
      <c r="O5" s="103"/>
      <c r="P5" s="103"/>
      <c r="Q5" s="103"/>
      <c r="R5" s="103"/>
      <c r="S5" s="103"/>
      <c r="T5" s="103"/>
      <c r="U5" s="103"/>
      <c r="V5" s="103"/>
      <c r="W5" s="103"/>
      <c r="X5" s="103"/>
      <c r="Y5" s="103"/>
      <c r="Z5" s="103"/>
    </row>
    <row r="6" spans="1:26" ht="15.75">
      <c r="A6" s="135" t="s">
        <v>4995</v>
      </c>
      <c r="B6" s="139" t="s">
        <v>984</v>
      </c>
      <c r="C6" s="139" t="s">
        <v>984</v>
      </c>
      <c r="D6" s="139" t="s">
        <v>984</v>
      </c>
      <c r="E6" s="139" t="s">
        <v>984</v>
      </c>
      <c r="F6" s="139" t="s">
        <v>984</v>
      </c>
      <c r="G6" s="139" t="s">
        <v>984</v>
      </c>
      <c r="H6" s="139" t="s">
        <v>984</v>
      </c>
      <c r="I6" s="139" t="s">
        <v>984</v>
      </c>
      <c r="J6" s="103"/>
      <c r="K6" s="103"/>
      <c r="L6" s="103"/>
      <c r="M6" s="103"/>
      <c r="N6" s="103"/>
      <c r="O6" s="103"/>
      <c r="P6" s="103"/>
      <c r="Q6" s="103"/>
      <c r="R6" s="103"/>
      <c r="S6" s="103"/>
      <c r="T6" s="103"/>
      <c r="U6" s="103"/>
      <c r="V6" s="103"/>
      <c r="W6" s="103"/>
      <c r="X6" s="103"/>
      <c r="Y6" s="103"/>
      <c r="Z6" s="103"/>
    </row>
    <row r="7" spans="1:26" ht="15.75">
      <c r="A7" s="135" t="s">
        <v>40</v>
      </c>
      <c r="B7" s="124" t="s">
        <v>984</v>
      </c>
      <c r="C7" s="124" t="s">
        <v>984</v>
      </c>
      <c r="D7" s="124" t="s">
        <v>984</v>
      </c>
      <c r="E7" s="124" t="s">
        <v>984</v>
      </c>
      <c r="F7" s="124" t="s">
        <v>984</v>
      </c>
      <c r="G7" s="124" t="s">
        <v>984</v>
      </c>
      <c r="H7" s="124" t="s">
        <v>984</v>
      </c>
      <c r="I7" s="124" t="s">
        <v>984</v>
      </c>
      <c r="J7" s="103"/>
      <c r="K7" s="103"/>
      <c r="L7" s="103"/>
      <c r="M7" s="103"/>
      <c r="N7" s="103"/>
      <c r="O7" s="103"/>
      <c r="P7" s="103"/>
      <c r="Q7" s="103"/>
      <c r="R7" s="103"/>
      <c r="S7" s="103"/>
      <c r="T7" s="103"/>
      <c r="U7" s="103"/>
      <c r="V7" s="103"/>
      <c r="W7" s="103"/>
      <c r="X7" s="103"/>
      <c r="Y7" s="103"/>
      <c r="Z7" s="103"/>
    </row>
    <row r="8" spans="1:26" ht="15.75">
      <c r="A8" s="135" t="s">
        <v>4984</v>
      </c>
      <c r="B8" s="139" t="s">
        <v>984</v>
      </c>
      <c r="C8" s="139" t="b">
        <v>1</v>
      </c>
      <c r="D8" s="139" t="s">
        <v>984</v>
      </c>
      <c r="E8" s="139" t="s">
        <v>984</v>
      </c>
      <c r="F8" s="139" t="s">
        <v>984</v>
      </c>
      <c r="G8" s="139" t="s">
        <v>984</v>
      </c>
      <c r="H8" s="139" t="s">
        <v>984</v>
      </c>
      <c r="I8" s="139" t="s">
        <v>984</v>
      </c>
      <c r="J8" s="103"/>
      <c r="K8" s="103"/>
      <c r="L8" s="103"/>
      <c r="M8" s="103"/>
      <c r="N8" s="103"/>
      <c r="O8" s="103"/>
      <c r="P8" s="103"/>
      <c r="Q8" s="103"/>
      <c r="R8" s="103"/>
      <c r="S8" s="103"/>
      <c r="T8" s="103"/>
      <c r="U8" s="103"/>
      <c r="V8" s="103"/>
      <c r="W8" s="103"/>
      <c r="X8" s="103"/>
      <c r="Y8" s="103"/>
      <c r="Z8" s="103"/>
    </row>
    <row r="9" spans="1:26" ht="15.75">
      <c r="A9" s="135" t="s">
        <v>4955</v>
      </c>
      <c r="B9" s="139" t="b">
        <v>1</v>
      </c>
      <c r="C9" s="139" t="s">
        <v>984</v>
      </c>
      <c r="D9" s="139" t="b">
        <v>1</v>
      </c>
      <c r="E9" s="139" t="s">
        <v>984</v>
      </c>
      <c r="F9" s="139" t="b">
        <v>1</v>
      </c>
      <c r="G9" s="139" t="s">
        <v>984</v>
      </c>
      <c r="H9" s="139" t="s">
        <v>984</v>
      </c>
      <c r="I9" s="139" t="s">
        <v>984</v>
      </c>
      <c r="J9" s="103"/>
      <c r="K9" s="103"/>
      <c r="L9" s="103"/>
      <c r="M9" s="103"/>
      <c r="N9" s="103"/>
      <c r="O9" s="103"/>
      <c r="P9" s="103"/>
      <c r="Q9" s="103"/>
      <c r="R9" s="103"/>
      <c r="S9" s="103"/>
      <c r="T9" s="103"/>
      <c r="U9" s="103"/>
      <c r="V9" s="103"/>
      <c r="W9" s="103"/>
      <c r="X9" s="103"/>
      <c r="Y9" s="103"/>
      <c r="Z9" s="103"/>
    </row>
    <row r="10" spans="1:26" ht="15.75">
      <c r="A10" s="135" t="s">
        <v>4943</v>
      </c>
      <c r="B10" s="139" t="s">
        <v>984</v>
      </c>
      <c r="C10" s="139" t="s">
        <v>984</v>
      </c>
      <c r="D10" s="139" t="s">
        <v>984</v>
      </c>
      <c r="E10" s="139" t="s">
        <v>984</v>
      </c>
      <c r="F10" s="139" t="s">
        <v>984</v>
      </c>
      <c r="G10" s="139" t="s">
        <v>984</v>
      </c>
      <c r="H10" s="139" t="s">
        <v>984</v>
      </c>
      <c r="I10" s="139" t="s">
        <v>984</v>
      </c>
      <c r="J10" s="103"/>
      <c r="K10" s="103"/>
      <c r="L10" s="103"/>
      <c r="M10" s="103"/>
      <c r="N10" s="103"/>
      <c r="O10" s="103"/>
      <c r="P10" s="103"/>
      <c r="Q10" s="103"/>
      <c r="R10" s="103"/>
      <c r="S10" s="103"/>
      <c r="T10" s="103"/>
      <c r="U10" s="103"/>
      <c r="V10" s="103"/>
      <c r="W10" s="103"/>
      <c r="X10" s="103"/>
      <c r="Y10" s="103"/>
      <c r="Z10" s="103"/>
    </row>
    <row r="11" spans="1:26" ht="15.75">
      <c r="A11" s="135" t="s">
        <v>4936</v>
      </c>
      <c r="B11" s="139" t="b">
        <v>1</v>
      </c>
      <c r="C11" s="139" t="s">
        <v>984</v>
      </c>
      <c r="D11" s="139" t="s">
        <v>984</v>
      </c>
      <c r="E11" s="139" t="s">
        <v>984</v>
      </c>
      <c r="F11" s="139" t="b">
        <v>1</v>
      </c>
      <c r="G11" s="139" t="s">
        <v>984</v>
      </c>
      <c r="H11" s="139" t="s">
        <v>984</v>
      </c>
      <c r="I11" s="139" t="s">
        <v>984</v>
      </c>
      <c r="J11" s="103"/>
      <c r="K11" s="103"/>
      <c r="L11" s="103"/>
      <c r="M11" s="103"/>
      <c r="N11" s="103"/>
      <c r="O11" s="103"/>
      <c r="P11" s="103"/>
      <c r="Q11" s="103"/>
      <c r="R11" s="103"/>
      <c r="S11" s="103"/>
      <c r="T11" s="103"/>
      <c r="U11" s="103"/>
      <c r="V11" s="103"/>
      <c r="W11" s="103"/>
      <c r="X11" s="103"/>
      <c r="Y11" s="103"/>
      <c r="Z11" s="103"/>
    </row>
    <row r="12" spans="1:26" ht="15.75">
      <c r="A12" s="135" t="s">
        <v>458</v>
      </c>
      <c r="B12" s="139" t="s">
        <v>984</v>
      </c>
      <c r="C12" s="139" t="s">
        <v>984</v>
      </c>
      <c r="D12" s="139" t="b">
        <v>1</v>
      </c>
      <c r="E12" s="139" t="s">
        <v>984</v>
      </c>
      <c r="F12" s="139" t="b">
        <v>1</v>
      </c>
      <c r="G12" s="139" t="s">
        <v>984</v>
      </c>
      <c r="H12" s="139" t="b">
        <v>1</v>
      </c>
      <c r="I12" s="139" t="s">
        <v>984</v>
      </c>
      <c r="J12" s="103"/>
      <c r="K12" s="103"/>
      <c r="L12" s="103"/>
      <c r="M12" s="103"/>
      <c r="N12" s="103"/>
      <c r="O12" s="103"/>
      <c r="P12" s="103"/>
      <c r="Q12" s="103"/>
      <c r="R12" s="103"/>
      <c r="S12" s="103"/>
      <c r="T12" s="103"/>
      <c r="U12" s="103"/>
      <c r="V12" s="103"/>
      <c r="W12" s="103"/>
      <c r="X12" s="103"/>
      <c r="Y12" s="103"/>
      <c r="Z12" s="103"/>
    </row>
    <row r="13" spans="1:26" ht="15.75">
      <c r="A13" s="135" t="s">
        <v>4909</v>
      </c>
      <c r="B13" s="139" t="s">
        <v>984</v>
      </c>
      <c r="C13" s="139" t="b">
        <v>1</v>
      </c>
      <c r="D13" s="139" t="s">
        <v>984</v>
      </c>
      <c r="E13" s="139" t="s">
        <v>984</v>
      </c>
      <c r="F13" s="139" t="s">
        <v>984</v>
      </c>
      <c r="G13" s="139" t="s">
        <v>984</v>
      </c>
      <c r="H13" s="139" t="s">
        <v>984</v>
      </c>
      <c r="I13" s="139" t="s">
        <v>984</v>
      </c>
      <c r="J13" s="103"/>
      <c r="K13" s="103"/>
      <c r="L13" s="103"/>
      <c r="M13" s="103"/>
      <c r="N13" s="103"/>
      <c r="O13" s="103"/>
      <c r="P13" s="103"/>
      <c r="Q13" s="103"/>
      <c r="R13" s="103"/>
      <c r="S13" s="103"/>
      <c r="T13" s="103"/>
      <c r="U13" s="103"/>
      <c r="V13" s="103"/>
      <c r="W13" s="103"/>
      <c r="X13" s="103"/>
      <c r="Y13" s="103"/>
      <c r="Z13" s="103"/>
    </row>
    <row r="14" spans="1:26" ht="15.75">
      <c r="A14" s="135" t="s">
        <v>4896</v>
      </c>
      <c r="B14" s="139" t="s">
        <v>984</v>
      </c>
      <c r="C14" s="139" t="s">
        <v>984</v>
      </c>
      <c r="D14" s="139" t="s">
        <v>984</v>
      </c>
      <c r="E14" s="139" t="s">
        <v>984</v>
      </c>
      <c r="F14" s="139" t="b">
        <v>1</v>
      </c>
      <c r="G14" s="139" t="s">
        <v>984</v>
      </c>
      <c r="H14" s="139" t="b">
        <v>1</v>
      </c>
      <c r="I14" s="139" t="s">
        <v>984</v>
      </c>
      <c r="J14" s="103"/>
      <c r="K14" s="103"/>
      <c r="L14" s="103"/>
      <c r="M14" s="103"/>
      <c r="N14" s="103"/>
      <c r="O14" s="103"/>
      <c r="P14" s="103"/>
      <c r="Q14" s="103"/>
      <c r="R14" s="103"/>
      <c r="S14" s="103"/>
      <c r="T14" s="103"/>
      <c r="U14" s="103"/>
      <c r="V14" s="103"/>
      <c r="W14" s="103"/>
      <c r="X14" s="103"/>
      <c r="Y14" s="103"/>
      <c r="Z14" s="103"/>
    </row>
    <row r="15" spans="1:26" ht="14.25">
      <c r="A15" s="147" t="s">
        <v>5915</v>
      </c>
      <c r="B15" s="139" t="s">
        <v>984</v>
      </c>
      <c r="C15" s="139" t="s">
        <v>984</v>
      </c>
      <c r="D15" s="139" t="s">
        <v>984</v>
      </c>
      <c r="E15" s="139" t="s">
        <v>984</v>
      </c>
      <c r="F15" s="139" t="s">
        <v>984</v>
      </c>
      <c r="G15" s="139" t="s">
        <v>984</v>
      </c>
      <c r="H15" s="139" t="s">
        <v>984</v>
      </c>
      <c r="I15" s="139" t="s">
        <v>984</v>
      </c>
      <c r="J15" s="103"/>
      <c r="K15" s="103"/>
      <c r="L15" s="103"/>
      <c r="M15" s="103"/>
      <c r="N15" s="103"/>
      <c r="O15" s="103"/>
      <c r="P15" s="103"/>
      <c r="Q15" s="103"/>
      <c r="R15" s="103"/>
      <c r="S15" s="103"/>
      <c r="T15" s="103"/>
      <c r="U15" s="103"/>
      <c r="V15" s="103"/>
      <c r="W15" s="103"/>
      <c r="X15" s="103"/>
      <c r="Y15" s="103"/>
      <c r="Z15" s="103"/>
    </row>
    <row r="16" spans="1:26" ht="15.75">
      <c r="A16" s="135" t="s">
        <v>5913</v>
      </c>
      <c r="B16" s="139" t="s">
        <v>984</v>
      </c>
      <c r="C16" s="139" t="s">
        <v>984</v>
      </c>
      <c r="D16" s="139" t="s">
        <v>984</v>
      </c>
      <c r="E16" s="139" t="s">
        <v>984</v>
      </c>
      <c r="F16" s="139" t="s">
        <v>984</v>
      </c>
      <c r="G16" s="139" t="s">
        <v>984</v>
      </c>
      <c r="H16" s="139" t="s">
        <v>984</v>
      </c>
      <c r="I16" s="139" t="s">
        <v>984</v>
      </c>
      <c r="J16" s="103"/>
      <c r="K16" s="103"/>
      <c r="L16" s="103"/>
      <c r="M16" s="103"/>
      <c r="N16" s="103"/>
      <c r="O16" s="103"/>
      <c r="P16" s="103"/>
      <c r="Q16" s="103"/>
      <c r="R16" s="103"/>
      <c r="S16" s="103"/>
      <c r="T16" s="103"/>
      <c r="U16" s="103"/>
      <c r="V16" s="103"/>
      <c r="W16" s="103"/>
      <c r="X16" s="103"/>
      <c r="Y16" s="103"/>
      <c r="Z16" s="103"/>
    </row>
    <row r="17" spans="1:26" ht="15.75">
      <c r="A17" s="135" t="s">
        <v>5079</v>
      </c>
      <c r="B17" s="139" t="s">
        <v>984</v>
      </c>
      <c r="C17" s="139" t="s">
        <v>984</v>
      </c>
      <c r="D17" s="139" t="s">
        <v>984</v>
      </c>
      <c r="E17" s="139" t="b">
        <v>1</v>
      </c>
      <c r="F17" s="139" t="b">
        <v>1</v>
      </c>
      <c r="G17" s="139" t="b">
        <v>1</v>
      </c>
      <c r="H17" s="139" t="s">
        <v>984</v>
      </c>
      <c r="I17" s="139" t="s">
        <v>984</v>
      </c>
      <c r="J17" s="103"/>
      <c r="K17" s="103"/>
      <c r="L17" s="103"/>
      <c r="M17" s="103"/>
      <c r="N17" s="103"/>
      <c r="O17" s="103"/>
      <c r="P17" s="103"/>
      <c r="Q17" s="103"/>
      <c r="R17" s="103"/>
      <c r="S17" s="103"/>
      <c r="T17" s="103"/>
      <c r="U17" s="103"/>
      <c r="V17" s="103"/>
      <c r="W17" s="103"/>
      <c r="X17" s="103"/>
      <c r="Y17" s="103"/>
      <c r="Z17" s="103"/>
    </row>
    <row r="18" spans="1:26" ht="15.75">
      <c r="A18" s="135" t="s">
        <v>5078</v>
      </c>
      <c r="B18" s="139" t="s">
        <v>984</v>
      </c>
      <c r="C18" s="139" t="s">
        <v>984</v>
      </c>
      <c r="D18" s="139" t="s">
        <v>984</v>
      </c>
      <c r="E18" s="139" t="b">
        <v>1</v>
      </c>
      <c r="F18" s="139" t="b">
        <v>1</v>
      </c>
      <c r="G18" s="139" t="b">
        <v>1</v>
      </c>
      <c r="H18" s="139" t="s">
        <v>984</v>
      </c>
      <c r="I18" s="139" t="s">
        <v>984</v>
      </c>
      <c r="J18" s="103"/>
      <c r="K18" s="103"/>
      <c r="L18" s="103"/>
      <c r="M18" s="103"/>
      <c r="N18" s="103"/>
      <c r="O18" s="103"/>
      <c r="P18" s="103"/>
      <c r="Q18" s="103"/>
      <c r="R18" s="103"/>
      <c r="S18" s="103"/>
      <c r="T18" s="103"/>
      <c r="U18" s="103"/>
      <c r="V18" s="103"/>
      <c r="W18" s="103"/>
      <c r="X18" s="103"/>
      <c r="Y18" s="103"/>
      <c r="Z18" s="103"/>
    </row>
    <row r="19" spans="1:26" ht="15.75">
      <c r="A19" s="143" t="s">
        <v>5062</v>
      </c>
      <c r="B19" s="139" t="s">
        <v>984</v>
      </c>
      <c r="C19" s="139" t="s">
        <v>984</v>
      </c>
      <c r="D19" s="139" t="s">
        <v>984</v>
      </c>
      <c r="E19" s="139" t="b">
        <v>1</v>
      </c>
      <c r="F19" s="139" t="b">
        <v>1</v>
      </c>
      <c r="G19" s="139" t="b">
        <v>1</v>
      </c>
      <c r="H19" s="139" t="s">
        <v>984</v>
      </c>
      <c r="I19" s="139" t="s">
        <v>984</v>
      </c>
      <c r="J19" s="103"/>
      <c r="K19" s="103"/>
      <c r="L19" s="103"/>
      <c r="M19" s="103"/>
      <c r="N19" s="103"/>
      <c r="O19" s="103"/>
      <c r="P19" s="103"/>
      <c r="Q19" s="103"/>
      <c r="R19" s="103"/>
      <c r="S19" s="103"/>
      <c r="T19" s="103"/>
      <c r="U19" s="103"/>
      <c r="V19" s="103"/>
      <c r="W19" s="103"/>
      <c r="X19" s="103"/>
      <c r="Y19" s="103"/>
      <c r="Z19" s="103"/>
    </row>
    <row r="20" spans="1:26" ht="15.75">
      <c r="A20" s="135" t="s">
        <v>5045</v>
      </c>
      <c r="B20" s="139" t="s">
        <v>984</v>
      </c>
      <c r="C20" s="139" t="s">
        <v>984</v>
      </c>
      <c r="D20" s="139" t="s">
        <v>984</v>
      </c>
      <c r="E20" s="139" t="s">
        <v>984</v>
      </c>
      <c r="F20" s="139" t="b">
        <v>1</v>
      </c>
      <c r="G20" s="139" t="s">
        <v>984</v>
      </c>
      <c r="H20" s="139" t="s">
        <v>984</v>
      </c>
      <c r="I20" s="139" t="s">
        <v>984</v>
      </c>
      <c r="J20" s="103"/>
      <c r="K20" s="103"/>
      <c r="L20" s="103"/>
      <c r="M20" s="103"/>
      <c r="N20" s="103"/>
      <c r="O20" s="103"/>
      <c r="P20" s="103"/>
      <c r="Q20" s="103"/>
      <c r="R20" s="103"/>
      <c r="S20" s="103"/>
      <c r="T20" s="103"/>
      <c r="U20" s="103"/>
      <c r="V20" s="103"/>
      <c r="W20" s="103"/>
      <c r="X20" s="103"/>
      <c r="Y20" s="103"/>
      <c r="Z20" s="103"/>
    </row>
    <row r="21" spans="1:26" ht="15.75" customHeight="1">
      <c r="A21" s="135" t="s">
        <v>5042</v>
      </c>
      <c r="B21" s="139" t="s">
        <v>984</v>
      </c>
      <c r="C21" s="139" t="s">
        <v>984</v>
      </c>
      <c r="D21" s="139" t="s">
        <v>984</v>
      </c>
      <c r="E21" s="139" t="s">
        <v>984</v>
      </c>
      <c r="F21" s="139" t="b">
        <v>1</v>
      </c>
      <c r="G21" s="139" t="s">
        <v>984</v>
      </c>
      <c r="H21" s="139" t="s">
        <v>984</v>
      </c>
      <c r="I21" s="139" t="s">
        <v>984</v>
      </c>
      <c r="J21" s="103"/>
      <c r="K21" s="103"/>
      <c r="L21" s="103"/>
      <c r="M21" s="103"/>
      <c r="N21" s="103"/>
      <c r="O21" s="103"/>
      <c r="P21" s="103"/>
      <c r="Q21" s="103"/>
      <c r="R21" s="103"/>
      <c r="S21" s="103"/>
      <c r="T21" s="103"/>
      <c r="U21" s="103"/>
      <c r="V21" s="103"/>
      <c r="W21" s="103"/>
      <c r="X21" s="103"/>
      <c r="Y21" s="103"/>
      <c r="Z21" s="103"/>
    </row>
    <row r="22" spans="1:26" ht="15.75" customHeight="1">
      <c r="A22" s="143" t="s">
        <v>5039</v>
      </c>
      <c r="B22" s="142" t="s">
        <v>984</v>
      </c>
      <c r="C22" s="142" t="s">
        <v>984</v>
      </c>
      <c r="D22" s="142" t="s">
        <v>984</v>
      </c>
      <c r="E22" s="142" t="b">
        <v>1</v>
      </c>
      <c r="F22" s="142" t="b">
        <v>1</v>
      </c>
      <c r="G22" s="142" t="b">
        <v>1</v>
      </c>
      <c r="H22" s="142" t="s">
        <v>984</v>
      </c>
      <c r="I22" s="142" t="s">
        <v>984</v>
      </c>
      <c r="J22" s="103"/>
      <c r="K22" s="103"/>
      <c r="L22" s="103"/>
      <c r="M22" s="103"/>
      <c r="N22" s="103"/>
      <c r="O22" s="103"/>
      <c r="P22" s="103"/>
      <c r="Q22" s="103"/>
      <c r="R22" s="103"/>
      <c r="S22" s="103"/>
      <c r="T22" s="103"/>
      <c r="U22" s="103"/>
      <c r="V22" s="103"/>
      <c r="W22" s="103"/>
      <c r="X22" s="103"/>
      <c r="Y22" s="103"/>
      <c r="Z22" s="103"/>
    </row>
    <row r="23" spans="1:26" ht="15.75" customHeight="1">
      <c r="A23" s="135" t="s">
        <v>5013</v>
      </c>
      <c r="B23" s="139" t="s">
        <v>984</v>
      </c>
      <c r="C23" s="139" t="s">
        <v>984</v>
      </c>
      <c r="D23" s="139" t="s">
        <v>984</v>
      </c>
      <c r="E23" s="139" t="b">
        <v>1</v>
      </c>
      <c r="F23" s="139" t="b">
        <v>1</v>
      </c>
      <c r="G23" s="139" t="b">
        <v>1</v>
      </c>
      <c r="H23" s="139" t="s">
        <v>984</v>
      </c>
      <c r="I23" s="139" t="s">
        <v>984</v>
      </c>
      <c r="J23" s="103"/>
      <c r="K23" s="103"/>
      <c r="L23" s="103"/>
      <c r="M23" s="103"/>
      <c r="N23" s="103"/>
      <c r="O23" s="103"/>
      <c r="P23" s="103"/>
      <c r="Q23" s="103"/>
      <c r="R23" s="103"/>
      <c r="S23" s="103"/>
      <c r="T23" s="103"/>
      <c r="U23" s="103"/>
      <c r="V23" s="103"/>
      <c r="W23" s="103"/>
      <c r="X23" s="103"/>
      <c r="Y23" s="103"/>
      <c r="Z23" s="103"/>
    </row>
    <row r="24" spans="1:26" ht="15.75" customHeight="1">
      <c r="A24" s="135" t="s">
        <v>5008</v>
      </c>
      <c r="B24" s="139" t="s">
        <v>984</v>
      </c>
      <c r="C24" s="139" t="s">
        <v>984</v>
      </c>
      <c r="D24" s="139" t="s">
        <v>984</v>
      </c>
      <c r="E24" s="139" t="b">
        <v>1</v>
      </c>
      <c r="F24" s="139" t="b">
        <v>1</v>
      </c>
      <c r="G24" s="139" t="b">
        <v>1</v>
      </c>
      <c r="H24" s="139" t="s">
        <v>984</v>
      </c>
      <c r="I24" s="139" t="s">
        <v>984</v>
      </c>
      <c r="J24" s="103"/>
      <c r="K24" s="103"/>
      <c r="L24" s="103"/>
      <c r="M24" s="103"/>
      <c r="N24" s="103"/>
      <c r="O24" s="103"/>
      <c r="P24" s="103"/>
      <c r="Q24" s="103"/>
      <c r="R24" s="103"/>
      <c r="S24" s="103"/>
      <c r="T24" s="103"/>
      <c r="U24" s="103"/>
      <c r="V24" s="103"/>
      <c r="W24" s="103"/>
      <c r="X24" s="103"/>
      <c r="Y24" s="103"/>
      <c r="Z24" s="103"/>
    </row>
    <row r="25" spans="1:26" ht="15.75" customHeight="1">
      <c r="A25" s="135" t="s">
        <v>5004</v>
      </c>
      <c r="B25" s="139" t="s">
        <v>984</v>
      </c>
      <c r="C25" s="139" t="s">
        <v>984</v>
      </c>
      <c r="D25" s="139" t="s">
        <v>984</v>
      </c>
      <c r="E25" s="139" t="s">
        <v>984</v>
      </c>
      <c r="F25" s="139" t="s">
        <v>984</v>
      </c>
      <c r="G25" s="139" t="s">
        <v>984</v>
      </c>
      <c r="H25" s="139" t="s">
        <v>984</v>
      </c>
      <c r="I25" s="139" t="s">
        <v>984</v>
      </c>
      <c r="J25" s="103"/>
      <c r="K25" s="103"/>
      <c r="L25" s="103"/>
      <c r="M25" s="103"/>
      <c r="N25" s="103"/>
      <c r="O25" s="103"/>
      <c r="P25" s="103"/>
      <c r="Q25" s="103"/>
      <c r="R25" s="103"/>
      <c r="S25" s="103"/>
      <c r="T25" s="103"/>
      <c r="U25" s="103"/>
      <c r="V25" s="103"/>
      <c r="W25" s="103"/>
      <c r="X25" s="103"/>
      <c r="Y25" s="103"/>
      <c r="Z25" s="103"/>
    </row>
    <row r="26" spans="1:26" ht="15.75" customHeight="1">
      <c r="A26" s="135" t="s">
        <v>4998</v>
      </c>
      <c r="B26" s="139" t="s">
        <v>984</v>
      </c>
      <c r="C26" s="139" t="s">
        <v>984</v>
      </c>
      <c r="D26" s="139" t="s">
        <v>984</v>
      </c>
      <c r="E26" s="139" t="s">
        <v>984</v>
      </c>
      <c r="F26" s="139" t="s">
        <v>984</v>
      </c>
      <c r="G26" s="139" t="s">
        <v>984</v>
      </c>
      <c r="H26" s="139" t="b">
        <v>1</v>
      </c>
      <c r="I26" s="139" t="s">
        <v>984</v>
      </c>
      <c r="J26" s="103"/>
      <c r="K26" s="103"/>
      <c r="L26" s="103"/>
      <c r="M26" s="103"/>
      <c r="N26" s="103"/>
      <c r="O26" s="103"/>
      <c r="P26" s="103"/>
      <c r="Q26" s="103"/>
      <c r="R26" s="103"/>
      <c r="S26" s="103"/>
      <c r="T26" s="103"/>
      <c r="U26" s="103"/>
      <c r="V26" s="103"/>
      <c r="W26" s="103"/>
      <c r="X26" s="103"/>
      <c r="Y26" s="103"/>
      <c r="Z26" s="103"/>
    </row>
    <row r="27" spans="1:26" ht="15.75" customHeight="1">
      <c r="A27" s="135" t="s">
        <v>4960</v>
      </c>
      <c r="B27" s="139" t="s">
        <v>984</v>
      </c>
      <c r="C27" s="139" t="s">
        <v>984</v>
      </c>
      <c r="D27" s="139" t="s">
        <v>984</v>
      </c>
      <c r="E27" s="139" t="b">
        <v>1</v>
      </c>
      <c r="F27" s="139" t="b">
        <v>1</v>
      </c>
      <c r="G27" s="139" t="b">
        <v>1</v>
      </c>
      <c r="H27" s="139" t="s">
        <v>984</v>
      </c>
      <c r="I27" s="139" t="s">
        <v>984</v>
      </c>
      <c r="J27" s="103"/>
      <c r="K27" s="103"/>
      <c r="L27" s="103"/>
      <c r="M27" s="103"/>
      <c r="N27" s="103"/>
      <c r="O27" s="103"/>
      <c r="P27" s="103"/>
      <c r="Q27" s="103"/>
      <c r="R27" s="103"/>
      <c r="S27" s="103"/>
      <c r="T27" s="103"/>
      <c r="U27" s="103"/>
      <c r="V27" s="103"/>
      <c r="W27" s="103"/>
      <c r="X27" s="103"/>
      <c r="Y27" s="103"/>
      <c r="Z27" s="103"/>
    </row>
    <row r="28" spans="1:26" ht="15.75" customHeight="1">
      <c r="A28" s="135" t="s">
        <v>4957</v>
      </c>
      <c r="B28" s="139" t="s">
        <v>984</v>
      </c>
      <c r="C28" s="139" t="s">
        <v>984</v>
      </c>
      <c r="D28" s="139" t="s">
        <v>984</v>
      </c>
      <c r="E28" s="139" t="s">
        <v>984</v>
      </c>
      <c r="F28" s="139" t="b">
        <v>1</v>
      </c>
      <c r="G28" s="139" t="s">
        <v>984</v>
      </c>
      <c r="H28" s="139" t="b">
        <v>1</v>
      </c>
      <c r="I28" s="139" t="s">
        <v>984</v>
      </c>
      <c r="J28" s="103"/>
      <c r="K28" s="103"/>
      <c r="L28" s="103"/>
      <c r="M28" s="103"/>
      <c r="N28" s="103"/>
      <c r="O28" s="103"/>
      <c r="P28" s="103"/>
      <c r="Q28" s="103"/>
      <c r="R28" s="103"/>
      <c r="S28" s="103"/>
      <c r="T28" s="103"/>
      <c r="U28" s="103"/>
      <c r="V28" s="103"/>
      <c r="W28" s="103"/>
      <c r="X28" s="103"/>
      <c r="Y28" s="103"/>
      <c r="Z28" s="103"/>
    </row>
    <row r="29" spans="1:26" ht="15.75" customHeight="1">
      <c r="A29" s="135" t="s">
        <v>5803</v>
      </c>
      <c r="B29" s="139" t="b">
        <v>1</v>
      </c>
      <c r="C29" s="139" t="s">
        <v>984</v>
      </c>
      <c r="D29" s="139" t="s">
        <v>984</v>
      </c>
      <c r="E29" s="139" t="s">
        <v>984</v>
      </c>
      <c r="F29" s="139" t="b">
        <v>1</v>
      </c>
      <c r="G29" s="139" t="s">
        <v>984</v>
      </c>
      <c r="H29" s="139" t="s">
        <v>984</v>
      </c>
      <c r="I29" s="139" t="b">
        <v>1</v>
      </c>
      <c r="J29" s="103"/>
      <c r="K29" s="103"/>
      <c r="L29" s="103"/>
      <c r="M29" s="103"/>
      <c r="N29" s="103"/>
      <c r="O29" s="103"/>
      <c r="P29" s="103"/>
      <c r="Q29" s="103"/>
      <c r="R29" s="103"/>
      <c r="S29" s="103"/>
      <c r="T29" s="103"/>
      <c r="U29" s="103"/>
      <c r="V29" s="103"/>
      <c r="W29" s="103"/>
      <c r="X29" s="103"/>
      <c r="Y29" s="103"/>
      <c r="Z29" s="103"/>
    </row>
    <row r="30" spans="1:26" ht="15.75" customHeight="1">
      <c r="A30" s="135" t="s">
        <v>5804</v>
      </c>
      <c r="B30" s="139" t="s">
        <v>984</v>
      </c>
      <c r="C30" s="139" t="s">
        <v>984</v>
      </c>
      <c r="D30" s="139" t="s">
        <v>984</v>
      </c>
      <c r="E30" s="139" t="s">
        <v>984</v>
      </c>
      <c r="F30" s="139" t="b">
        <v>1</v>
      </c>
      <c r="G30" s="139" t="s">
        <v>984</v>
      </c>
      <c r="H30" s="139" t="s">
        <v>984</v>
      </c>
      <c r="I30" s="139" t="s">
        <v>984</v>
      </c>
      <c r="J30" s="103"/>
      <c r="K30" s="103"/>
      <c r="L30" s="103"/>
      <c r="M30" s="103"/>
      <c r="N30" s="103"/>
      <c r="O30" s="103"/>
      <c r="P30" s="103"/>
      <c r="Q30" s="103"/>
      <c r="R30" s="103"/>
      <c r="S30" s="103"/>
      <c r="T30" s="103"/>
      <c r="U30" s="103"/>
      <c r="V30" s="103"/>
      <c r="W30" s="103"/>
      <c r="X30" s="103"/>
      <c r="Y30" s="103"/>
      <c r="Z30" s="103"/>
    </row>
    <row r="31" spans="1:26" ht="15.75" customHeight="1">
      <c r="A31" s="135" t="s">
        <v>5802</v>
      </c>
      <c r="B31" s="139" t="s">
        <v>984</v>
      </c>
      <c r="C31" s="139" t="s">
        <v>984</v>
      </c>
      <c r="D31" s="139" t="s">
        <v>984</v>
      </c>
      <c r="E31" s="139" t="s">
        <v>984</v>
      </c>
      <c r="F31" s="139" t="b">
        <v>1</v>
      </c>
      <c r="G31" s="139" t="s">
        <v>984</v>
      </c>
      <c r="H31" s="139" t="s">
        <v>984</v>
      </c>
      <c r="I31" s="139" t="s">
        <v>984</v>
      </c>
      <c r="J31" s="103"/>
      <c r="K31" s="103"/>
      <c r="L31" s="103"/>
      <c r="M31" s="103"/>
      <c r="N31" s="103"/>
      <c r="O31" s="103"/>
      <c r="P31" s="103"/>
      <c r="Q31" s="103"/>
      <c r="R31" s="103"/>
      <c r="S31" s="103"/>
      <c r="T31" s="103"/>
      <c r="U31" s="103"/>
      <c r="V31" s="103"/>
      <c r="W31" s="103"/>
      <c r="X31" s="103"/>
      <c r="Y31" s="103"/>
      <c r="Z31" s="103"/>
    </row>
    <row r="32" spans="1:26" ht="15.75" customHeight="1">
      <c r="A32" s="135" t="s">
        <v>464</v>
      </c>
      <c r="B32" s="139" t="s">
        <v>984</v>
      </c>
      <c r="C32" s="139" t="s">
        <v>984</v>
      </c>
      <c r="D32" s="139" t="s">
        <v>984</v>
      </c>
      <c r="E32" s="139" t="s">
        <v>984</v>
      </c>
      <c r="F32" s="139" t="s">
        <v>984</v>
      </c>
      <c r="G32" s="139" t="s">
        <v>984</v>
      </c>
      <c r="H32" s="139" t="b">
        <v>1</v>
      </c>
      <c r="I32" s="139" t="s">
        <v>984</v>
      </c>
      <c r="J32" s="103"/>
      <c r="K32" s="103"/>
      <c r="L32" s="103"/>
      <c r="M32" s="103"/>
      <c r="N32" s="103"/>
      <c r="O32" s="103"/>
      <c r="P32" s="103"/>
      <c r="Q32" s="103"/>
      <c r="R32" s="103"/>
      <c r="S32" s="103"/>
      <c r="T32" s="103"/>
      <c r="U32" s="103"/>
      <c r="V32" s="103"/>
      <c r="W32" s="103"/>
      <c r="X32" s="103"/>
      <c r="Y32" s="103"/>
      <c r="Z32" s="103"/>
    </row>
    <row r="33" spans="1:26" ht="15.75" customHeight="1">
      <c r="A33" s="135" t="s">
        <v>4879</v>
      </c>
      <c r="B33" s="139" t="s">
        <v>984</v>
      </c>
      <c r="C33" s="139" t="s">
        <v>984</v>
      </c>
      <c r="D33" s="139" t="s">
        <v>984</v>
      </c>
      <c r="E33" s="139" t="s">
        <v>984</v>
      </c>
      <c r="F33" s="139" t="s">
        <v>984</v>
      </c>
      <c r="G33" s="139" t="s">
        <v>984</v>
      </c>
      <c r="H33" s="139" t="b">
        <v>1</v>
      </c>
      <c r="I33" s="139" t="s">
        <v>984</v>
      </c>
      <c r="J33" s="103"/>
      <c r="K33" s="103"/>
      <c r="L33" s="103"/>
      <c r="M33" s="103"/>
      <c r="N33" s="103"/>
      <c r="O33" s="103"/>
      <c r="P33" s="103"/>
      <c r="Q33" s="103"/>
      <c r="R33" s="103"/>
      <c r="S33" s="103"/>
      <c r="T33" s="103"/>
      <c r="U33" s="103"/>
      <c r="V33" s="103"/>
      <c r="W33" s="103"/>
      <c r="X33" s="103"/>
      <c r="Y33" s="103"/>
      <c r="Z33" s="103"/>
    </row>
    <row r="34" spans="1:26" ht="15.75" customHeight="1">
      <c r="A34" s="135" t="s">
        <v>4876</v>
      </c>
      <c r="B34" s="139" t="s">
        <v>984</v>
      </c>
      <c r="C34" s="139" t="s">
        <v>984</v>
      </c>
      <c r="D34" s="139" t="s">
        <v>984</v>
      </c>
      <c r="E34" s="139" t="s">
        <v>984</v>
      </c>
      <c r="F34" s="139" t="s">
        <v>984</v>
      </c>
      <c r="G34" s="139" t="s">
        <v>984</v>
      </c>
      <c r="H34" s="139" t="b">
        <v>1</v>
      </c>
      <c r="I34" s="139" t="s">
        <v>984</v>
      </c>
      <c r="J34" s="103"/>
      <c r="K34" s="103"/>
      <c r="L34" s="103"/>
      <c r="M34" s="103"/>
      <c r="N34" s="103"/>
      <c r="O34" s="103"/>
      <c r="P34" s="103"/>
      <c r="Q34" s="103"/>
      <c r="R34" s="103"/>
      <c r="S34" s="103"/>
      <c r="T34" s="103"/>
      <c r="U34" s="103"/>
      <c r="V34" s="103"/>
      <c r="W34" s="103"/>
      <c r="X34" s="103"/>
      <c r="Y34" s="103"/>
      <c r="Z34" s="103"/>
    </row>
    <row r="35" spans="1:26" ht="15.75" customHeight="1">
      <c r="A35" s="135" t="s">
        <v>4873</v>
      </c>
      <c r="B35" s="139" t="s">
        <v>984</v>
      </c>
      <c r="C35" s="139" t="s">
        <v>984</v>
      </c>
      <c r="D35" s="139" t="s">
        <v>984</v>
      </c>
      <c r="E35" s="139" t="s">
        <v>984</v>
      </c>
      <c r="F35" s="139" t="s">
        <v>984</v>
      </c>
      <c r="G35" s="139" t="s">
        <v>984</v>
      </c>
      <c r="H35" s="139" t="b">
        <v>1</v>
      </c>
      <c r="I35" s="139" t="s">
        <v>984</v>
      </c>
      <c r="J35" s="103"/>
      <c r="K35" s="103"/>
      <c r="L35" s="103"/>
      <c r="M35" s="103"/>
      <c r="N35" s="103"/>
      <c r="O35" s="103"/>
      <c r="P35" s="103"/>
      <c r="Q35" s="103"/>
      <c r="R35" s="103"/>
      <c r="S35" s="103"/>
      <c r="T35" s="103"/>
      <c r="U35" s="103"/>
      <c r="V35" s="103"/>
      <c r="W35" s="103"/>
      <c r="X35" s="103"/>
      <c r="Y35" s="103"/>
      <c r="Z35" s="103"/>
    </row>
    <row r="36" spans="1:26" ht="15.75" customHeight="1">
      <c r="A36" s="135" t="s">
        <v>4868</v>
      </c>
      <c r="B36" s="139" t="s">
        <v>984</v>
      </c>
      <c r="C36" s="139" t="s">
        <v>984</v>
      </c>
      <c r="D36" s="139" t="s">
        <v>984</v>
      </c>
      <c r="E36" s="139" t="s">
        <v>984</v>
      </c>
      <c r="F36" s="139" t="s">
        <v>984</v>
      </c>
      <c r="G36" s="139" t="s">
        <v>984</v>
      </c>
      <c r="H36" s="139" t="b">
        <v>1</v>
      </c>
      <c r="I36" s="139" t="s">
        <v>984</v>
      </c>
      <c r="J36" s="103"/>
      <c r="K36" s="103"/>
      <c r="L36" s="103"/>
      <c r="M36" s="103"/>
      <c r="N36" s="103"/>
      <c r="O36" s="103"/>
      <c r="P36" s="103"/>
      <c r="Q36" s="103"/>
      <c r="R36" s="103"/>
      <c r="S36" s="103"/>
      <c r="T36" s="103"/>
      <c r="U36" s="103"/>
      <c r="V36" s="103"/>
      <c r="W36" s="103"/>
      <c r="X36" s="103"/>
      <c r="Y36" s="103"/>
      <c r="Z36" s="103"/>
    </row>
    <row r="37" spans="1:26" ht="15.75" customHeight="1">
      <c r="A37" s="135" t="s">
        <v>5054</v>
      </c>
      <c r="B37" s="124" t="s">
        <v>984</v>
      </c>
      <c r="C37" s="124" t="s">
        <v>984</v>
      </c>
      <c r="D37" s="124" t="s">
        <v>984</v>
      </c>
      <c r="E37" s="124" t="s">
        <v>984</v>
      </c>
      <c r="F37" s="124" t="s">
        <v>984</v>
      </c>
      <c r="G37" s="124" t="s">
        <v>984</v>
      </c>
      <c r="H37" s="124" t="s">
        <v>984</v>
      </c>
      <c r="I37" s="124" t="s">
        <v>984</v>
      </c>
      <c r="J37" s="103"/>
      <c r="K37" s="103"/>
      <c r="L37" s="103"/>
      <c r="M37" s="103"/>
      <c r="N37" s="103"/>
      <c r="O37" s="103"/>
      <c r="P37" s="103"/>
      <c r="Q37" s="103"/>
      <c r="R37" s="103"/>
      <c r="S37" s="103"/>
      <c r="T37" s="103"/>
      <c r="U37" s="103"/>
      <c r="V37" s="103"/>
      <c r="W37" s="103"/>
      <c r="X37" s="103"/>
      <c r="Y37" s="103"/>
      <c r="Z37" s="103"/>
    </row>
    <row r="38" spans="1:26" ht="15.75" customHeight="1">
      <c r="A38" s="135" t="s">
        <v>5049</v>
      </c>
      <c r="B38" s="146" t="s">
        <v>984</v>
      </c>
      <c r="C38" s="146" t="s">
        <v>984</v>
      </c>
      <c r="D38" s="146" t="s">
        <v>984</v>
      </c>
      <c r="E38" s="146" t="s">
        <v>984</v>
      </c>
      <c r="F38" s="146" t="s">
        <v>984</v>
      </c>
      <c r="G38" s="146" t="s">
        <v>984</v>
      </c>
      <c r="H38" s="146" t="s">
        <v>984</v>
      </c>
      <c r="I38" s="146" t="s">
        <v>984</v>
      </c>
      <c r="J38" s="103"/>
      <c r="K38" s="103"/>
      <c r="L38" s="103"/>
      <c r="M38" s="103"/>
      <c r="N38" s="103"/>
      <c r="O38" s="103"/>
      <c r="P38" s="103"/>
      <c r="Q38" s="103"/>
      <c r="R38" s="103"/>
      <c r="S38" s="103"/>
      <c r="T38" s="103"/>
      <c r="U38" s="103"/>
      <c r="V38" s="103"/>
      <c r="W38" s="103"/>
      <c r="X38" s="103"/>
      <c r="Y38" s="103"/>
      <c r="Z38" s="103"/>
    </row>
    <row r="39" spans="1:26" ht="15.75" customHeight="1">
      <c r="A39" s="135" t="s">
        <v>5033</v>
      </c>
      <c r="B39" s="124" t="s">
        <v>984</v>
      </c>
      <c r="C39" s="124" t="s">
        <v>984</v>
      </c>
      <c r="D39" s="124" t="s">
        <v>984</v>
      </c>
      <c r="E39" s="124" t="s">
        <v>984</v>
      </c>
      <c r="F39" s="124" t="s">
        <v>984</v>
      </c>
      <c r="G39" s="124" t="s">
        <v>984</v>
      </c>
      <c r="H39" s="124" t="s">
        <v>984</v>
      </c>
      <c r="I39" s="124" t="s">
        <v>984</v>
      </c>
      <c r="J39" s="103"/>
      <c r="K39" s="103"/>
      <c r="L39" s="103"/>
      <c r="M39" s="103"/>
      <c r="N39" s="103"/>
      <c r="O39" s="103"/>
      <c r="P39" s="103"/>
      <c r="Q39" s="103"/>
      <c r="R39" s="103"/>
      <c r="S39" s="103"/>
      <c r="T39" s="103"/>
      <c r="U39" s="103"/>
      <c r="V39" s="103"/>
      <c r="W39" s="103"/>
      <c r="X39" s="103"/>
      <c r="Y39" s="103"/>
      <c r="Z39" s="103"/>
    </row>
    <row r="40" spans="1:26" ht="15.75" customHeight="1">
      <c r="A40" s="135" t="s">
        <v>5029</v>
      </c>
      <c r="B40" s="124" t="s">
        <v>984</v>
      </c>
      <c r="C40" s="124" t="s">
        <v>984</v>
      </c>
      <c r="D40" s="124" t="s">
        <v>984</v>
      </c>
      <c r="E40" s="124" t="s">
        <v>984</v>
      </c>
      <c r="F40" s="124" t="s">
        <v>984</v>
      </c>
      <c r="G40" s="124" t="s">
        <v>984</v>
      </c>
      <c r="H40" s="124" t="s">
        <v>984</v>
      </c>
      <c r="I40" s="124" t="s">
        <v>984</v>
      </c>
      <c r="J40" s="103"/>
      <c r="K40" s="103"/>
      <c r="L40" s="103"/>
      <c r="M40" s="103"/>
      <c r="N40" s="103"/>
      <c r="O40" s="103"/>
      <c r="P40" s="103"/>
      <c r="Q40" s="103"/>
      <c r="R40" s="103"/>
      <c r="S40" s="103"/>
      <c r="T40" s="103"/>
      <c r="U40" s="103"/>
      <c r="V40" s="103"/>
      <c r="W40" s="103"/>
      <c r="X40" s="103"/>
      <c r="Y40" s="103"/>
      <c r="Z40" s="103"/>
    </row>
    <row r="41" spans="1:26" ht="15.75" customHeight="1">
      <c r="A41" s="135" t="s">
        <v>5026</v>
      </c>
      <c r="B41" s="124" t="s">
        <v>984</v>
      </c>
      <c r="C41" s="124" t="s">
        <v>984</v>
      </c>
      <c r="D41" s="124" t="s">
        <v>984</v>
      </c>
      <c r="E41" s="124" t="s">
        <v>984</v>
      </c>
      <c r="F41" s="124" t="s">
        <v>984</v>
      </c>
      <c r="G41" s="124" t="s">
        <v>984</v>
      </c>
      <c r="H41" s="124" t="s">
        <v>984</v>
      </c>
      <c r="I41" s="124" t="s">
        <v>984</v>
      </c>
      <c r="J41" s="103"/>
      <c r="K41" s="103"/>
      <c r="L41" s="103"/>
      <c r="M41" s="103"/>
      <c r="N41" s="103"/>
      <c r="O41" s="103"/>
      <c r="P41" s="103"/>
      <c r="Q41" s="103"/>
      <c r="R41" s="103"/>
      <c r="S41" s="103"/>
      <c r="T41" s="103"/>
      <c r="U41" s="103"/>
      <c r="V41" s="103"/>
      <c r="W41" s="103"/>
      <c r="X41" s="103"/>
      <c r="Y41" s="103"/>
      <c r="Z41" s="103"/>
    </row>
    <row r="42" spans="1:26" ht="15.75" customHeight="1">
      <c r="A42" s="135" t="s">
        <v>5020</v>
      </c>
      <c r="B42" s="124" t="s">
        <v>984</v>
      </c>
      <c r="C42" s="124" t="s">
        <v>984</v>
      </c>
      <c r="D42" s="124" t="s">
        <v>984</v>
      </c>
      <c r="E42" s="124" t="s">
        <v>984</v>
      </c>
      <c r="F42" s="124" t="s">
        <v>984</v>
      </c>
      <c r="G42" s="124" t="s">
        <v>984</v>
      </c>
      <c r="H42" s="124" t="s">
        <v>984</v>
      </c>
      <c r="I42" s="124" t="s">
        <v>984</v>
      </c>
      <c r="J42" s="103"/>
      <c r="K42" s="103"/>
      <c r="L42" s="103"/>
      <c r="M42" s="103"/>
      <c r="N42" s="103"/>
      <c r="O42" s="103"/>
      <c r="P42" s="103"/>
      <c r="Q42" s="103"/>
      <c r="R42" s="103"/>
      <c r="S42" s="103"/>
      <c r="T42" s="103"/>
      <c r="U42" s="103"/>
      <c r="V42" s="103"/>
      <c r="W42" s="103"/>
      <c r="X42" s="103"/>
      <c r="Y42" s="103"/>
      <c r="Z42" s="103"/>
    </row>
    <row r="43" spans="1:26" ht="15.75" customHeight="1">
      <c r="A43" s="135" t="s">
        <v>5017</v>
      </c>
      <c r="B43" s="124" t="s">
        <v>984</v>
      </c>
      <c r="C43" s="124" t="s">
        <v>984</v>
      </c>
      <c r="D43" s="124" t="s">
        <v>984</v>
      </c>
      <c r="E43" s="124" t="s">
        <v>984</v>
      </c>
      <c r="F43" s="124" t="s">
        <v>984</v>
      </c>
      <c r="G43" s="124" t="s">
        <v>984</v>
      </c>
      <c r="H43" s="124" t="s">
        <v>984</v>
      </c>
      <c r="I43" s="124" t="s">
        <v>984</v>
      </c>
      <c r="J43" s="103"/>
      <c r="K43" s="103"/>
      <c r="L43" s="103"/>
      <c r="M43" s="103"/>
      <c r="N43" s="103"/>
      <c r="O43" s="103"/>
      <c r="P43" s="103"/>
      <c r="Q43" s="103"/>
      <c r="R43" s="103"/>
      <c r="S43" s="103"/>
      <c r="T43" s="103"/>
      <c r="U43" s="103"/>
      <c r="V43" s="103"/>
      <c r="W43" s="103"/>
      <c r="X43" s="103"/>
      <c r="Y43" s="103"/>
      <c r="Z43" s="103"/>
    </row>
    <row r="44" spans="1:26" ht="15.75" customHeight="1">
      <c r="A44" s="135" t="s">
        <v>5001</v>
      </c>
      <c r="B44" s="139" t="s">
        <v>984</v>
      </c>
      <c r="C44" s="139" t="s">
        <v>984</v>
      </c>
      <c r="D44" s="139" t="s">
        <v>984</v>
      </c>
      <c r="E44" s="139" t="s">
        <v>984</v>
      </c>
      <c r="F44" s="139" t="b">
        <v>1</v>
      </c>
      <c r="G44" s="139" t="s">
        <v>984</v>
      </c>
      <c r="H44" s="139" t="b">
        <v>1</v>
      </c>
      <c r="I44" s="139" t="s">
        <v>984</v>
      </c>
      <c r="J44" s="103"/>
      <c r="K44" s="103"/>
      <c r="L44" s="103"/>
      <c r="M44" s="103"/>
      <c r="N44" s="103"/>
      <c r="O44" s="103"/>
      <c r="P44" s="103"/>
      <c r="Q44" s="103"/>
      <c r="R44" s="103"/>
      <c r="S44" s="103"/>
      <c r="T44" s="103"/>
      <c r="U44" s="103"/>
      <c r="V44" s="103"/>
      <c r="W44" s="103"/>
      <c r="X44" s="103"/>
      <c r="Y44" s="103"/>
      <c r="Z44" s="103"/>
    </row>
    <row r="45" spans="1:26" ht="15.75" customHeight="1">
      <c r="A45" s="135" t="s">
        <v>4890</v>
      </c>
      <c r="B45" s="124" t="s">
        <v>984</v>
      </c>
      <c r="C45" s="124" t="s">
        <v>984</v>
      </c>
      <c r="D45" s="124" t="s">
        <v>984</v>
      </c>
      <c r="E45" s="124" t="s">
        <v>984</v>
      </c>
      <c r="F45" s="124" t="s">
        <v>984</v>
      </c>
      <c r="G45" s="124" t="s">
        <v>984</v>
      </c>
      <c r="H45" s="124" t="s">
        <v>984</v>
      </c>
      <c r="I45" s="124" t="s">
        <v>984</v>
      </c>
      <c r="J45" s="103"/>
      <c r="K45" s="103"/>
      <c r="L45" s="103"/>
      <c r="M45" s="103"/>
      <c r="N45" s="103"/>
      <c r="O45" s="103"/>
      <c r="P45" s="103"/>
      <c r="Q45" s="103"/>
      <c r="R45" s="103"/>
      <c r="S45" s="103"/>
      <c r="T45" s="103"/>
      <c r="U45" s="103"/>
      <c r="V45" s="103"/>
      <c r="W45" s="103"/>
      <c r="X45" s="103"/>
      <c r="Y45" s="103"/>
      <c r="Z45" s="103"/>
    </row>
    <row r="46" spans="1:26" ht="15.75" customHeight="1">
      <c r="A46" s="135" t="s">
        <v>5776</v>
      </c>
      <c r="B46" s="124" t="s">
        <v>984</v>
      </c>
      <c r="C46" s="124" t="s">
        <v>984</v>
      </c>
      <c r="D46" s="124" t="s">
        <v>984</v>
      </c>
      <c r="E46" s="124" t="s">
        <v>984</v>
      </c>
      <c r="F46" s="124" t="s">
        <v>984</v>
      </c>
      <c r="G46" s="124" t="s">
        <v>984</v>
      </c>
      <c r="H46" s="124" t="s">
        <v>984</v>
      </c>
      <c r="I46" s="124" t="s">
        <v>984</v>
      </c>
      <c r="J46" s="103"/>
      <c r="K46" s="103"/>
      <c r="L46" s="103"/>
      <c r="M46" s="103"/>
      <c r="N46" s="103"/>
      <c r="O46" s="103"/>
      <c r="P46" s="103"/>
      <c r="Q46" s="103"/>
      <c r="R46" s="103"/>
      <c r="S46" s="103"/>
      <c r="T46" s="103"/>
      <c r="U46" s="103"/>
      <c r="V46" s="103"/>
      <c r="W46" s="103"/>
      <c r="X46" s="103"/>
      <c r="Y46" s="103"/>
      <c r="Z46" s="103"/>
    </row>
    <row r="47" spans="1:26" ht="15.75" customHeight="1">
      <c r="A47" s="145" t="s">
        <v>4980</v>
      </c>
      <c r="B47" s="139" t="s">
        <v>984</v>
      </c>
      <c r="C47" s="139" t="s">
        <v>984</v>
      </c>
      <c r="D47" s="139" t="s">
        <v>984</v>
      </c>
      <c r="E47" s="139" t="s">
        <v>984</v>
      </c>
      <c r="F47" s="139" t="s">
        <v>984</v>
      </c>
      <c r="G47" s="139" t="s">
        <v>984</v>
      </c>
      <c r="H47" s="139" t="s">
        <v>984</v>
      </c>
      <c r="I47" s="139" t="s">
        <v>984</v>
      </c>
      <c r="J47" s="103"/>
      <c r="K47" s="103"/>
      <c r="L47" s="103"/>
      <c r="M47" s="103"/>
      <c r="N47" s="103"/>
      <c r="O47" s="103"/>
      <c r="P47" s="103"/>
      <c r="Q47" s="103"/>
      <c r="R47" s="103"/>
      <c r="S47" s="103"/>
      <c r="T47" s="103"/>
      <c r="U47" s="103"/>
      <c r="V47" s="103"/>
      <c r="W47" s="103"/>
      <c r="X47" s="103"/>
      <c r="Y47" s="103"/>
      <c r="Z47" s="103"/>
    </row>
    <row r="48" spans="1:26" ht="15.75" customHeight="1">
      <c r="A48" s="135" t="s">
        <v>4980</v>
      </c>
      <c r="B48" s="139" t="s">
        <v>984</v>
      </c>
      <c r="C48" s="139" t="s">
        <v>984</v>
      </c>
      <c r="D48" s="139" t="s">
        <v>984</v>
      </c>
      <c r="E48" s="139" t="s">
        <v>984</v>
      </c>
      <c r="F48" s="139" t="s">
        <v>984</v>
      </c>
      <c r="G48" s="139" t="s">
        <v>984</v>
      </c>
      <c r="H48" s="139" t="s">
        <v>984</v>
      </c>
      <c r="I48" s="139" t="s">
        <v>984</v>
      </c>
      <c r="J48" s="103"/>
      <c r="K48" s="103"/>
      <c r="L48" s="103"/>
      <c r="M48" s="103"/>
      <c r="N48" s="103"/>
      <c r="O48" s="103"/>
      <c r="P48" s="103"/>
      <c r="Q48" s="103"/>
      <c r="R48" s="103"/>
      <c r="S48" s="103"/>
      <c r="T48" s="103"/>
      <c r="U48" s="103"/>
      <c r="V48" s="103"/>
      <c r="W48" s="103"/>
      <c r="X48" s="103"/>
      <c r="Y48" s="103"/>
      <c r="Z48" s="103"/>
    </row>
    <row r="49" spans="1:26" ht="15.75" customHeight="1">
      <c r="A49" s="135" t="s">
        <v>4962</v>
      </c>
      <c r="B49" s="139" t="s">
        <v>984</v>
      </c>
      <c r="C49" s="139" t="s">
        <v>984</v>
      </c>
      <c r="D49" s="139" t="s">
        <v>984</v>
      </c>
      <c r="E49" s="139" t="s">
        <v>984</v>
      </c>
      <c r="F49" s="139" t="s">
        <v>984</v>
      </c>
      <c r="G49" s="139" t="s">
        <v>984</v>
      </c>
      <c r="H49" s="139" t="s">
        <v>984</v>
      </c>
      <c r="I49" s="139" t="s">
        <v>984</v>
      </c>
      <c r="J49" s="103"/>
      <c r="K49" s="103"/>
      <c r="L49" s="103"/>
      <c r="M49" s="103"/>
      <c r="N49" s="103"/>
      <c r="O49" s="103"/>
      <c r="P49" s="103"/>
      <c r="Q49" s="103"/>
      <c r="R49" s="103"/>
      <c r="S49" s="103"/>
      <c r="T49" s="103"/>
      <c r="U49" s="103"/>
      <c r="V49" s="103"/>
      <c r="W49" s="103"/>
      <c r="X49" s="103"/>
      <c r="Y49" s="103"/>
      <c r="Z49" s="103"/>
    </row>
    <row r="50" spans="1:26" ht="15.75" customHeight="1">
      <c r="A50" s="144" t="s">
        <v>5908</v>
      </c>
      <c r="B50" s="139" t="b">
        <v>1</v>
      </c>
      <c r="C50" s="139" t="s">
        <v>984</v>
      </c>
      <c r="D50" s="139" t="b">
        <v>1</v>
      </c>
      <c r="E50" s="139" t="s">
        <v>984</v>
      </c>
      <c r="F50" s="139" t="b">
        <v>1</v>
      </c>
      <c r="G50" s="139" t="s">
        <v>984</v>
      </c>
      <c r="H50" s="139" t="s">
        <v>984</v>
      </c>
      <c r="I50" s="139" t="s">
        <v>984</v>
      </c>
      <c r="J50" s="103"/>
      <c r="K50" s="103"/>
      <c r="L50" s="103"/>
      <c r="M50" s="103"/>
      <c r="N50" s="103"/>
      <c r="O50" s="103"/>
      <c r="P50" s="103"/>
      <c r="Q50" s="103"/>
      <c r="R50" s="103"/>
      <c r="S50" s="103"/>
      <c r="T50" s="103"/>
      <c r="U50" s="103"/>
      <c r="V50" s="103"/>
      <c r="W50" s="103"/>
      <c r="X50" s="103"/>
      <c r="Y50" s="103"/>
      <c r="Z50" s="103"/>
    </row>
    <row r="51" spans="1:26" ht="15.75" customHeight="1">
      <c r="A51" s="143" t="s">
        <v>5906</v>
      </c>
      <c r="B51" s="142" t="s">
        <v>984</v>
      </c>
      <c r="C51" s="142" t="s">
        <v>984</v>
      </c>
      <c r="D51" s="142" t="s">
        <v>984</v>
      </c>
      <c r="E51" s="142" t="s">
        <v>984</v>
      </c>
      <c r="F51" s="142" t="b">
        <v>1</v>
      </c>
      <c r="G51" s="142" t="s">
        <v>984</v>
      </c>
      <c r="H51" s="142" t="b">
        <v>1</v>
      </c>
      <c r="I51" s="142" t="s">
        <v>984</v>
      </c>
      <c r="J51" s="103"/>
      <c r="K51" s="103"/>
      <c r="L51" s="103"/>
      <c r="M51" s="103"/>
      <c r="N51" s="103"/>
      <c r="O51" s="103"/>
      <c r="P51" s="103"/>
      <c r="Q51" s="103"/>
      <c r="R51" s="103"/>
      <c r="S51" s="103"/>
      <c r="T51" s="103"/>
      <c r="U51" s="103"/>
      <c r="V51" s="103"/>
      <c r="W51" s="103"/>
      <c r="X51" s="103"/>
      <c r="Y51" s="103"/>
      <c r="Z51" s="103"/>
    </row>
    <row r="52" spans="1:26" ht="15.75" customHeight="1">
      <c r="A52" s="135" t="s">
        <v>4909</v>
      </c>
      <c r="B52" s="139" t="s">
        <v>984</v>
      </c>
      <c r="C52" s="139" t="b">
        <v>1</v>
      </c>
      <c r="D52" s="139" t="s">
        <v>984</v>
      </c>
      <c r="E52" s="139" t="s">
        <v>984</v>
      </c>
      <c r="F52" s="139" t="s">
        <v>984</v>
      </c>
      <c r="G52" s="139" t="s">
        <v>984</v>
      </c>
      <c r="H52" s="139" t="s">
        <v>984</v>
      </c>
      <c r="I52" s="139" t="s">
        <v>984</v>
      </c>
      <c r="J52" s="103"/>
      <c r="K52" s="103"/>
      <c r="L52" s="103"/>
      <c r="M52" s="103"/>
      <c r="N52" s="103"/>
      <c r="O52" s="103"/>
      <c r="P52" s="103"/>
      <c r="Q52" s="103"/>
      <c r="R52" s="103"/>
      <c r="S52" s="103"/>
      <c r="T52" s="103"/>
      <c r="U52" s="103"/>
      <c r="V52" s="103"/>
      <c r="W52" s="103"/>
      <c r="X52" s="103"/>
      <c r="Y52" s="103"/>
      <c r="Z52" s="103"/>
    </row>
    <row r="53" spans="1:26" ht="15.75" customHeight="1">
      <c r="A53" s="135" t="s">
        <v>5903</v>
      </c>
      <c r="B53" s="124" t="s">
        <v>984</v>
      </c>
      <c r="C53" s="124" t="s">
        <v>984</v>
      </c>
      <c r="D53" s="124" t="s">
        <v>984</v>
      </c>
      <c r="E53" s="124" t="s">
        <v>984</v>
      </c>
      <c r="F53" s="124" t="s">
        <v>984</v>
      </c>
      <c r="G53" s="124" t="s">
        <v>984</v>
      </c>
      <c r="H53" s="124" t="s">
        <v>984</v>
      </c>
      <c r="I53" s="124" t="s">
        <v>984</v>
      </c>
      <c r="J53" s="103"/>
      <c r="K53" s="103"/>
      <c r="L53" s="103"/>
      <c r="M53" s="103"/>
      <c r="N53" s="103"/>
      <c r="O53" s="103"/>
      <c r="P53" s="103"/>
      <c r="Q53" s="103"/>
      <c r="R53" s="103"/>
      <c r="S53" s="103"/>
      <c r="T53" s="103"/>
      <c r="U53" s="103"/>
      <c r="V53" s="103"/>
      <c r="W53" s="103"/>
      <c r="X53" s="103"/>
      <c r="Y53" s="103"/>
      <c r="Z53" s="103"/>
    </row>
    <row r="54" spans="1:26" ht="15.75" customHeight="1">
      <c r="A54" s="135" t="s">
        <v>4884</v>
      </c>
      <c r="B54" s="124" t="s">
        <v>984</v>
      </c>
      <c r="C54" s="124" t="s">
        <v>984</v>
      </c>
      <c r="D54" s="124" t="s">
        <v>984</v>
      </c>
      <c r="E54" s="124" t="s">
        <v>984</v>
      </c>
      <c r="F54" s="124" t="s">
        <v>984</v>
      </c>
      <c r="G54" s="124" t="s">
        <v>984</v>
      </c>
      <c r="H54" s="124" t="s">
        <v>984</v>
      </c>
      <c r="I54" s="124" t="s">
        <v>984</v>
      </c>
      <c r="J54" s="103"/>
      <c r="K54" s="103"/>
      <c r="L54" s="103"/>
      <c r="M54" s="103"/>
      <c r="N54" s="103"/>
      <c r="O54" s="103"/>
      <c r="P54" s="103"/>
      <c r="Q54" s="103"/>
      <c r="R54" s="103"/>
      <c r="S54" s="103"/>
      <c r="T54" s="103"/>
      <c r="U54" s="103"/>
      <c r="V54" s="103"/>
      <c r="W54" s="103"/>
      <c r="X54" s="103"/>
      <c r="Y54" s="103"/>
      <c r="Z54" s="103"/>
    </row>
    <row r="55" spans="1:26" ht="15.75" customHeight="1">
      <c r="A55" s="101"/>
      <c r="B55" s="103"/>
      <c r="C55" s="103"/>
      <c r="D55" s="103"/>
      <c r="E55" s="103"/>
      <c r="F55" s="103"/>
      <c r="G55" s="103"/>
      <c r="H55" s="103"/>
      <c r="I55" s="103"/>
      <c r="J55" s="103"/>
      <c r="K55" s="103"/>
      <c r="L55" s="103"/>
      <c r="M55" s="103"/>
      <c r="N55" s="103"/>
      <c r="O55" s="103"/>
      <c r="P55" s="103"/>
      <c r="Q55" s="103"/>
      <c r="R55" s="103"/>
      <c r="S55" s="103"/>
      <c r="T55" s="103"/>
      <c r="U55" s="103"/>
      <c r="V55" s="103"/>
      <c r="W55" s="103"/>
      <c r="X55" s="103"/>
      <c r="Y55" s="103"/>
      <c r="Z55" s="103"/>
    </row>
    <row r="56" spans="1:26" ht="15.75" customHeight="1">
      <c r="A56" s="101"/>
      <c r="B56" s="103"/>
      <c r="C56" s="103"/>
      <c r="D56" s="103"/>
      <c r="E56" s="103"/>
      <c r="F56" s="103"/>
      <c r="G56" s="103"/>
      <c r="H56" s="103"/>
      <c r="I56" s="103"/>
      <c r="J56" s="103"/>
      <c r="K56" s="103"/>
      <c r="L56" s="103"/>
      <c r="M56" s="103"/>
      <c r="N56" s="103"/>
      <c r="O56" s="103"/>
      <c r="P56" s="103"/>
      <c r="Q56" s="103"/>
      <c r="R56" s="103"/>
      <c r="S56" s="103"/>
      <c r="T56" s="103"/>
      <c r="U56" s="103"/>
      <c r="V56" s="103"/>
      <c r="W56" s="103"/>
      <c r="X56" s="103"/>
      <c r="Y56" s="103"/>
      <c r="Z56" s="103"/>
    </row>
    <row r="57" spans="1:26" ht="15.75" customHeight="1">
      <c r="A57" s="101"/>
      <c r="B57" s="103"/>
      <c r="C57" s="103"/>
      <c r="D57" s="103"/>
      <c r="E57" s="103"/>
      <c r="F57" s="103"/>
      <c r="G57" s="103"/>
      <c r="H57" s="103"/>
      <c r="I57" s="103"/>
      <c r="J57" s="103"/>
      <c r="K57" s="103"/>
      <c r="L57" s="103"/>
      <c r="M57" s="103"/>
      <c r="N57" s="103"/>
      <c r="O57" s="103"/>
      <c r="P57" s="103"/>
      <c r="Q57" s="103"/>
      <c r="R57" s="103"/>
      <c r="S57" s="103"/>
      <c r="T57" s="103"/>
      <c r="U57" s="103"/>
      <c r="V57" s="103"/>
      <c r="W57" s="103"/>
      <c r="X57" s="103"/>
      <c r="Y57" s="103"/>
      <c r="Z57" s="103"/>
    </row>
    <row r="58" spans="1:26" ht="15.75" customHeight="1">
      <c r="A58" s="101"/>
      <c r="B58" s="103"/>
      <c r="C58" s="103"/>
      <c r="D58" s="103"/>
      <c r="E58" s="103"/>
      <c r="F58" s="103"/>
      <c r="G58" s="103"/>
      <c r="H58" s="103"/>
      <c r="I58" s="103"/>
      <c r="J58" s="103"/>
      <c r="K58" s="103"/>
      <c r="L58" s="103"/>
      <c r="M58" s="103"/>
      <c r="N58" s="103"/>
      <c r="O58" s="103"/>
      <c r="P58" s="103"/>
      <c r="Q58" s="103"/>
      <c r="R58" s="103"/>
      <c r="S58" s="103"/>
      <c r="T58" s="103"/>
      <c r="U58" s="103"/>
      <c r="V58" s="103"/>
      <c r="W58" s="103"/>
      <c r="X58" s="103"/>
      <c r="Y58" s="103"/>
      <c r="Z58" s="103"/>
    </row>
    <row r="59" spans="1:26" ht="15.75" customHeight="1">
      <c r="A59" s="101"/>
      <c r="B59" s="103"/>
      <c r="C59" s="103"/>
      <c r="D59" s="103"/>
      <c r="E59" s="103"/>
      <c r="F59" s="103"/>
      <c r="G59" s="103"/>
      <c r="H59" s="103"/>
      <c r="I59" s="103"/>
      <c r="J59" s="103"/>
      <c r="K59" s="103"/>
      <c r="L59" s="103"/>
      <c r="M59" s="103"/>
      <c r="N59" s="103"/>
      <c r="O59" s="103"/>
      <c r="P59" s="103"/>
      <c r="Q59" s="103"/>
      <c r="R59" s="103"/>
      <c r="S59" s="103"/>
      <c r="T59" s="103"/>
      <c r="U59" s="103"/>
      <c r="V59" s="103"/>
      <c r="W59" s="103"/>
      <c r="X59" s="103"/>
      <c r="Y59" s="103"/>
      <c r="Z59" s="103"/>
    </row>
    <row r="60" spans="1:26" ht="15.75" customHeight="1">
      <c r="A60" s="101"/>
      <c r="B60" s="103"/>
      <c r="C60" s="103"/>
      <c r="D60" s="103"/>
      <c r="E60" s="103"/>
      <c r="F60" s="103"/>
      <c r="G60" s="103"/>
      <c r="H60" s="103"/>
      <c r="I60" s="103"/>
      <c r="J60" s="103"/>
      <c r="K60" s="103"/>
      <c r="L60" s="103"/>
      <c r="M60" s="103"/>
      <c r="N60" s="103"/>
      <c r="O60" s="103"/>
      <c r="P60" s="103"/>
      <c r="Q60" s="103"/>
      <c r="R60" s="103"/>
      <c r="S60" s="103"/>
      <c r="T60" s="103"/>
      <c r="U60" s="103"/>
      <c r="V60" s="103"/>
      <c r="W60" s="103"/>
      <c r="X60" s="103"/>
      <c r="Y60" s="103"/>
      <c r="Z60" s="103"/>
    </row>
    <row r="61" spans="1:26" ht="15.75" customHeight="1">
      <c r="A61" s="101"/>
      <c r="B61" s="103"/>
      <c r="C61" s="103"/>
      <c r="D61" s="103"/>
      <c r="E61" s="103"/>
      <c r="F61" s="103"/>
      <c r="G61" s="103"/>
      <c r="H61" s="103"/>
      <c r="I61" s="103"/>
      <c r="J61" s="103"/>
      <c r="K61" s="103"/>
      <c r="L61" s="103"/>
      <c r="M61" s="103"/>
      <c r="N61" s="103"/>
      <c r="O61" s="103"/>
      <c r="P61" s="103"/>
      <c r="Q61" s="103"/>
      <c r="R61" s="103"/>
      <c r="S61" s="103"/>
      <c r="T61" s="103"/>
      <c r="U61" s="103"/>
      <c r="V61" s="103"/>
      <c r="W61" s="103"/>
      <c r="X61" s="103"/>
      <c r="Y61" s="103"/>
      <c r="Z61" s="103"/>
    </row>
    <row r="62" spans="1:26" ht="15.75" customHeight="1">
      <c r="A62" s="101"/>
      <c r="B62" s="103"/>
      <c r="C62" s="103"/>
      <c r="D62" s="103"/>
      <c r="E62" s="103"/>
      <c r="F62" s="103"/>
      <c r="G62" s="103"/>
      <c r="H62" s="103"/>
      <c r="I62" s="103"/>
      <c r="J62" s="103"/>
      <c r="K62" s="103"/>
      <c r="L62" s="103"/>
      <c r="M62" s="103"/>
      <c r="N62" s="103"/>
      <c r="O62" s="103"/>
      <c r="P62" s="103"/>
      <c r="Q62" s="103"/>
      <c r="R62" s="103"/>
      <c r="S62" s="103"/>
      <c r="T62" s="103"/>
      <c r="U62" s="103"/>
      <c r="V62" s="103"/>
      <c r="W62" s="103"/>
      <c r="X62" s="103"/>
      <c r="Y62" s="103"/>
      <c r="Z62" s="103"/>
    </row>
    <row r="63" spans="1:26" ht="15.75" customHeight="1">
      <c r="A63" s="101"/>
      <c r="B63" s="103"/>
      <c r="C63" s="103"/>
      <c r="D63" s="103"/>
      <c r="E63" s="103"/>
      <c r="F63" s="103"/>
      <c r="G63" s="103"/>
      <c r="H63" s="103"/>
      <c r="I63" s="103"/>
      <c r="J63" s="103"/>
      <c r="K63" s="103"/>
      <c r="L63" s="103"/>
      <c r="M63" s="103"/>
      <c r="N63" s="103"/>
      <c r="O63" s="103"/>
      <c r="P63" s="103"/>
      <c r="Q63" s="103"/>
      <c r="R63" s="103"/>
      <c r="S63" s="103"/>
      <c r="T63" s="103"/>
      <c r="U63" s="103"/>
      <c r="V63" s="103"/>
      <c r="W63" s="103"/>
      <c r="X63" s="103"/>
      <c r="Y63" s="103"/>
      <c r="Z63" s="103"/>
    </row>
    <row r="64" spans="1:26" ht="15.75" customHeight="1">
      <c r="A64" s="101"/>
      <c r="B64" s="103"/>
      <c r="C64" s="103"/>
      <c r="D64" s="103"/>
      <c r="E64" s="103"/>
      <c r="F64" s="103"/>
      <c r="G64" s="103"/>
      <c r="H64" s="103"/>
      <c r="I64" s="103"/>
      <c r="J64" s="103"/>
      <c r="K64" s="103"/>
      <c r="L64" s="103"/>
      <c r="M64" s="103"/>
      <c r="N64" s="103"/>
      <c r="O64" s="103"/>
      <c r="P64" s="103"/>
      <c r="Q64" s="103"/>
      <c r="R64" s="103"/>
      <c r="S64" s="103"/>
      <c r="T64" s="103"/>
      <c r="U64" s="103"/>
      <c r="V64" s="103"/>
      <c r="W64" s="103"/>
      <c r="X64" s="103"/>
      <c r="Y64" s="103"/>
      <c r="Z64" s="103"/>
    </row>
    <row r="65" spans="1:26" ht="15.75" customHeight="1">
      <c r="A65" s="101"/>
      <c r="B65" s="103"/>
      <c r="C65" s="103"/>
      <c r="D65" s="103"/>
      <c r="E65" s="103"/>
      <c r="F65" s="103"/>
      <c r="G65" s="103"/>
      <c r="H65" s="103"/>
      <c r="I65" s="103"/>
      <c r="J65" s="103"/>
      <c r="K65" s="103"/>
      <c r="L65" s="103"/>
      <c r="M65" s="103"/>
      <c r="N65" s="103"/>
      <c r="O65" s="103"/>
      <c r="P65" s="103"/>
      <c r="Q65" s="103"/>
      <c r="R65" s="103"/>
      <c r="S65" s="103"/>
      <c r="T65" s="103"/>
      <c r="U65" s="103"/>
      <c r="V65" s="103"/>
      <c r="W65" s="103"/>
      <c r="X65" s="103"/>
      <c r="Y65" s="103"/>
      <c r="Z65" s="103"/>
    </row>
    <row r="66" spans="1:26" ht="15.75" customHeight="1">
      <c r="A66" s="101"/>
      <c r="B66" s="103"/>
      <c r="C66" s="103"/>
      <c r="D66" s="103"/>
      <c r="E66" s="103"/>
      <c r="F66" s="103"/>
      <c r="G66" s="103"/>
      <c r="H66" s="103"/>
      <c r="I66" s="103"/>
      <c r="J66" s="103"/>
      <c r="K66" s="103"/>
      <c r="L66" s="103"/>
      <c r="M66" s="103"/>
      <c r="N66" s="103"/>
      <c r="O66" s="103"/>
      <c r="P66" s="103"/>
      <c r="Q66" s="103"/>
      <c r="R66" s="103"/>
      <c r="S66" s="103"/>
      <c r="T66" s="103"/>
      <c r="U66" s="103"/>
      <c r="V66" s="103"/>
      <c r="W66" s="103"/>
      <c r="X66" s="103"/>
      <c r="Y66" s="103"/>
      <c r="Z66" s="103"/>
    </row>
    <row r="67" spans="1:26" ht="15.75" customHeight="1">
      <c r="A67" s="101"/>
      <c r="B67" s="103"/>
      <c r="C67" s="103"/>
      <c r="D67" s="103"/>
      <c r="E67" s="103"/>
      <c r="F67" s="103"/>
      <c r="G67" s="103"/>
      <c r="H67" s="103"/>
      <c r="I67" s="103"/>
      <c r="J67" s="103"/>
      <c r="K67" s="103"/>
      <c r="L67" s="103"/>
      <c r="M67" s="103"/>
      <c r="N67" s="103"/>
      <c r="O67" s="103"/>
      <c r="P67" s="103"/>
      <c r="Q67" s="103"/>
      <c r="R67" s="103"/>
      <c r="S67" s="103"/>
      <c r="T67" s="103"/>
      <c r="U67" s="103"/>
      <c r="V67" s="103"/>
      <c r="W67" s="103"/>
      <c r="X67" s="103"/>
      <c r="Y67" s="103"/>
      <c r="Z67" s="103"/>
    </row>
    <row r="68" spans="1:26" ht="15.75" customHeight="1">
      <c r="A68" s="101"/>
      <c r="B68" s="103"/>
      <c r="C68" s="103"/>
      <c r="D68" s="103"/>
      <c r="E68" s="103"/>
      <c r="F68" s="103"/>
      <c r="G68" s="103"/>
      <c r="H68" s="103"/>
      <c r="I68" s="103"/>
      <c r="J68" s="103"/>
      <c r="K68" s="103"/>
      <c r="L68" s="103"/>
      <c r="M68" s="103"/>
      <c r="N68" s="103"/>
      <c r="O68" s="103"/>
      <c r="P68" s="103"/>
      <c r="Q68" s="103"/>
      <c r="R68" s="103"/>
      <c r="S68" s="103"/>
      <c r="T68" s="103"/>
      <c r="U68" s="103"/>
      <c r="V68" s="103"/>
      <c r="W68" s="103"/>
      <c r="X68" s="103"/>
      <c r="Y68" s="103"/>
      <c r="Z68" s="103"/>
    </row>
    <row r="69" spans="1:26" ht="15.75" customHeight="1">
      <c r="A69" s="101"/>
      <c r="B69" s="103"/>
      <c r="C69" s="103"/>
      <c r="D69" s="103"/>
      <c r="E69" s="103"/>
      <c r="F69" s="103"/>
      <c r="G69" s="103"/>
      <c r="H69" s="103"/>
      <c r="I69" s="103"/>
      <c r="J69" s="103"/>
      <c r="K69" s="103"/>
      <c r="L69" s="103"/>
      <c r="M69" s="103"/>
      <c r="N69" s="103"/>
      <c r="O69" s="103"/>
      <c r="P69" s="103"/>
      <c r="Q69" s="103"/>
      <c r="R69" s="103"/>
      <c r="S69" s="103"/>
      <c r="T69" s="103"/>
      <c r="U69" s="103"/>
      <c r="V69" s="103"/>
      <c r="W69" s="103"/>
      <c r="X69" s="103"/>
      <c r="Y69" s="103"/>
      <c r="Z69" s="103"/>
    </row>
    <row r="70" spans="1:26" ht="15.75" customHeight="1">
      <c r="A70" s="101"/>
      <c r="B70" s="103"/>
      <c r="C70" s="103"/>
      <c r="D70" s="103"/>
      <c r="E70" s="103"/>
      <c r="F70" s="103"/>
      <c r="G70" s="103"/>
      <c r="H70" s="103"/>
      <c r="I70" s="103"/>
      <c r="J70" s="103"/>
      <c r="K70" s="103"/>
      <c r="L70" s="103"/>
      <c r="M70" s="103"/>
      <c r="N70" s="103"/>
      <c r="O70" s="103"/>
      <c r="P70" s="103"/>
      <c r="Q70" s="103"/>
      <c r="R70" s="103"/>
      <c r="S70" s="103"/>
      <c r="T70" s="103"/>
      <c r="U70" s="103"/>
      <c r="V70" s="103"/>
      <c r="W70" s="103"/>
      <c r="X70" s="103"/>
      <c r="Y70" s="103"/>
      <c r="Z70" s="103"/>
    </row>
    <row r="71" spans="1:26" ht="15.75" customHeight="1">
      <c r="A71" s="101"/>
      <c r="B71" s="103"/>
      <c r="C71" s="103"/>
      <c r="D71" s="103"/>
      <c r="E71" s="103"/>
      <c r="F71" s="103"/>
      <c r="G71" s="103"/>
      <c r="H71" s="103"/>
      <c r="I71" s="103"/>
      <c r="J71" s="103"/>
      <c r="K71" s="103"/>
      <c r="L71" s="103"/>
      <c r="M71" s="103"/>
      <c r="N71" s="103"/>
      <c r="O71" s="103"/>
      <c r="P71" s="103"/>
      <c r="Q71" s="103"/>
      <c r="R71" s="103"/>
      <c r="S71" s="103"/>
      <c r="T71" s="103"/>
      <c r="U71" s="103"/>
      <c r="V71" s="103"/>
      <c r="W71" s="103"/>
      <c r="X71" s="103"/>
      <c r="Y71" s="103"/>
      <c r="Z71" s="103"/>
    </row>
    <row r="72" spans="1:26" ht="15.75" customHeight="1">
      <c r="A72" s="101"/>
      <c r="B72" s="103"/>
      <c r="C72" s="103"/>
      <c r="D72" s="103"/>
      <c r="E72" s="103"/>
      <c r="F72" s="103"/>
      <c r="G72" s="103"/>
      <c r="H72" s="103"/>
      <c r="I72" s="103"/>
      <c r="J72" s="103"/>
      <c r="K72" s="103"/>
      <c r="L72" s="103"/>
      <c r="M72" s="103"/>
      <c r="N72" s="103"/>
      <c r="O72" s="103"/>
      <c r="P72" s="103"/>
      <c r="Q72" s="103"/>
      <c r="R72" s="103"/>
      <c r="S72" s="103"/>
      <c r="T72" s="103"/>
      <c r="U72" s="103"/>
      <c r="V72" s="103"/>
      <c r="W72" s="103"/>
      <c r="X72" s="103"/>
      <c r="Y72" s="103"/>
      <c r="Z72" s="103"/>
    </row>
    <row r="73" spans="1:26" ht="15.75" customHeight="1">
      <c r="A73" s="101"/>
      <c r="B73" s="103"/>
      <c r="C73" s="103"/>
      <c r="D73" s="103"/>
      <c r="E73" s="103"/>
      <c r="F73" s="103"/>
      <c r="G73" s="103"/>
      <c r="H73" s="103"/>
      <c r="I73" s="103"/>
      <c r="J73" s="103"/>
      <c r="K73" s="103"/>
      <c r="L73" s="103"/>
      <c r="M73" s="103"/>
      <c r="N73" s="103"/>
      <c r="O73" s="103"/>
      <c r="P73" s="103"/>
      <c r="Q73" s="103"/>
      <c r="R73" s="103"/>
      <c r="S73" s="103"/>
      <c r="T73" s="103"/>
      <c r="U73" s="103"/>
      <c r="V73" s="103"/>
      <c r="W73" s="103"/>
      <c r="X73" s="103"/>
      <c r="Y73" s="103"/>
      <c r="Z73" s="103"/>
    </row>
    <row r="74" spans="1:26" ht="15.75" customHeight="1">
      <c r="A74" s="101"/>
      <c r="B74" s="103"/>
      <c r="C74" s="103"/>
      <c r="D74" s="103"/>
      <c r="E74" s="103"/>
      <c r="F74" s="103"/>
      <c r="G74" s="103"/>
      <c r="H74" s="103"/>
      <c r="I74" s="103"/>
      <c r="J74" s="103"/>
      <c r="K74" s="103"/>
      <c r="L74" s="103"/>
      <c r="M74" s="103"/>
      <c r="N74" s="103"/>
      <c r="O74" s="103"/>
      <c r="P74" s="103"/>
      <c r="Q74" s="103"/>
      <c r="R74" s="103"/>
      <c r="S74" s="103"/>
      <c r="T74" s="103"/>
      <c r="U74" s="103"/>
      <c r="V74" s="103"/>
      <c r="W74" s="103"/>
      <c r="X74" s="103"/>
      <c r="Y74" s="103"/>
      <c r="Z74" s="103"/>
    </row>
    <row r="75" spans="1:26" ht="15.75" customHeight="1">
      <c r="A75" s="101"/>
      <c r="B75" s="103"/>
      <c r="C75" s="103"/>
      <c r="D75" s="103"/>
      <c r="E75" s="103"/>
      <c r="F75" s="103"/>
      <c r="G75" s="103"/>
      <c r="H75" s="103"/>
      <c r="I75" s="103"/>
      <c r="J75" s="103"/>
      <c r="K75" s="103"/>
      <c r="L75" s="103"/>
      <c r="M75" s="103"/>
      <c r="N75" s="103"/>
      <c r="O75" s="103"/>
      <c r="P75" s="103"/>
      <c r="Q75" s="103"/>
      <c r="R75" s="103"/>
      <c r="S75" s="103"/>
      <c r="T75" s="103"/>
      <c r="U75" s="103"/>
      <c r="V75" s="103"/>
      <c r="W75" s="103"/>
      <c r="X75" s="103"/>
      <c r="Y75" s="103"/>
      <c r="Z75" s="103"/>
    </row>
    <row r="76" spans="1:26" ht="15.75" customHeight="1">
      <c r="A76" s="101"/>
      <c r="B76" s="103"/>
      <c r="C76" s="103"/>
      <c r="D76" s="103"/>
      <c r="E76" s="103"/>
      <c r="F76" s="103"/>
      <c r="G76" s="103"/>
      <c r="H76" s="103"/>
      <c r="I76" s="103"/>
      <c r="J76" s="103"/>
      <c r="K76" s="103"/>
      <c r="L76" s="103"/>
      <c r="M76" s="103"/>
      <c r="N76" s="103"/>
      <c r="O76" s="103"/>
      <c r="P76" s="103"/>
      <c r="Q76" s="103"/>
      <c r="R76" s="103"/>
      <c r="S76" s="103"/>
      <c r="T76" s="103"/>
      <c r="U76" s="103"/>
      <c r="V76" s="103"/>
      <c r="W76" s="103"/>
      <c r="X76" s="103"/>
      <c r="Y76" s="103"/>
      <c r="Z76" s="103"/>
    </row>
    <row r="77" spans="1:26" ht="15.75" customHeight="1">
      <c r="A77" s="101"/>
      <c r="B77" s="103"/>
      <c r="C77" s="103"/>
      <c r="D77" s="103"/>
      <c r="E77" s="103"/>
      <c r="F77" s="103"/>
      <c r="G77" s="103"/>
      <c r="H77" s="103"/>
      <c r="I77" s="103"/>
      <c r="J77" s="103"/>
      <c r="K77" s="103"/>
      <c r="L77" s="103"/>
      <c r="M77" s="103"/>
      <c r="N77" s="103"/>
      <c r="O77" s="103"/>
      <c r="P77" s="103"/>
      <c r="Q77" s="103"/>
      <c r="R77" s="103"/>
      <c r="S77" s="103"/>
      <c r="T77" s="103"/>
      <c r="U77" s="103"/>
      <c r="V77" s="103"/>
      <c r="W77" s="103"/>
      <c r="X77" s="103"/>
      <c r="Y77" s="103"/>
      <c r="Z77" s="103"/>
    </row>
    <row r="78" spans="1:26" ht="15.75" customHeight="1">
      <c r="A78" s="101"/>
      <c r="B78" s="103"/>
      <c r="C78" s="103"/>
      <c r="D78" s="103"/>
      <c r="E78" s="103"/>
      <c r="F78" s="103"/>
      <c r="G78" s="103"/>
      <c r="H78" s="103"/>
      <c r="I78" s="103"/>
      <c r="J78" s="103"/>
      <c r="K78" s="103"/>
      <c r="L78" s="103"/>
      <c r="M78" s="103"/>
      <c r="N78" s="103"/>
      <c r="O78" s="103"/>
      <c r="P78" s="103"/>
      <c r="Q78" s="103"/>
      <c r="R78" s="103"/>
      <c r="S78" s="103"/>
      <c r="T78" s="103"/>
      <c r="U78" s="103"/>
      <c r="V78" s="103"/>
      <c r="W78" s="103"/>
      <c r="X78" s="103"/>
      <c r="Y78" s="103"/>
      <c r="Z78" s="103"/>
    </row>
    <row r="79" spans="1:26" ht="15.75" customHeight="1">
      <c r="A79" s="101"/>
      <c r="B79" s="103"/>
      <c r="C79" s="103"/>
      <c r="D79" s="103"/>
      <c r="E79" s="103"/>
      <c r="F79" s="103"/>
      <c r="G79" s="103"/>
      <c r="H79" s="103"/>
      <c r="I79" s="103"/>
      <c r="J79" s="103"/>
      <c r="K79" s="103"/>
      <c r="L79" s="103"/>
      <c r="M79" s="103"/>
      <c r="N79" s="103"/>
      <c r="O79" s="103"/>
      <c r="P79" s="103"/>
      <c r="Q79" s="103"/>
      <c r="R79" s="103"/>
      <c r="S79" s="103"/>
      <c r="T79" s="103"/>
      <c r="U79" s="103"/>
      <c r="V79" s="103"/>
      <c r="W79" s="103"/>
      <c r="X79" s="103"/>
      <c r="Y79" s="103"/>
      <c r="Z79" s="103"/>
    </row>
    <row r="80" spans="1:26" ht="15.75" customHeight="1">
      <c r="A80" s="101"/>
      <c r="B80" s="103"/>
      <c r="C80" s="103"/>
      <c r="D80" s="103"/>
      <c r="E80" s="103"/>
      <c r="F80" s="103"/>
      <c r="G80" s="103"/>
      <c r="H80" s="103"/>
      <c r="I80" s="103"/>
      <c r="J80" s="103"/>
      <c r="K80" s="103"/>
      <c r="L80" s="103"/>
      <c r="M80" s="103"/>
      <c r="N80" s="103"/>
      <c r="O80" s="103"/>
      <c r="P80" s="103"/>
      <c r="Q80" s="103"/>
      <c r="R80" s="103"/>
      <c r="S80" s="103"/>
      <c r="T80" s="103"/>
      <c r="U80" s="103"/>
      <c r="V80" s="103"/>
      <c r="W80" s="103"/>
      <c r="X80" s="103"/>
      <c r="Y80" s="103"/>
      <c r="Z80" s="103"/>
    </row>
    <row r="81" spans="1:26" ht="15.75" customHeight="1">
      <c r="A81" s="101"/>
      <c r="B81" s="103"/>
      <c r="C81" s="103"/>
      <c r="D81" s="103"/>
      <c r="E81" s="103"/>
      <c r="F81" s="103"/>
      <c r="G81" s="103"/>
      <c r="H81" s="103"/>
      <c r="I81" s="103"/>
      <c r="J81" s="103"/>
      <c r="K81" s="103"/>
      <c r="L81" s="103"/>
      <c r="M81" s="103"/>
      <c r="N81" s="103"/>
      <c r="O81" s="103"/>
      <c r="P81" s="103"/>
      <c r="Q81" s="103"/>
      <c r="R81" s="103"/>
      <c r="S81" s="103"/>
      <c r="T81" s="103"/>
      <c r="U81" s="103"/>
      <c r="V81" s="103"/>
      <c r="W81" s="103"/>
      <c r="X81" s="103"/>
      <c r="Y81" s="103"/>
      <c r="Z81" s="103"/>
    </row>
    <row r="82" spans="1:26" ht="15.75" customHeight="1">
      <c r="A82" s="101"/>
      <c r="B82" s="103"/>
      <c r="C82" s="103"/>
      <c r="D82" s="103"/>
      <c r="E82" s="103"/>
      <c r="F82" s="103"/>
      <c r="G82" s="103"/>
      <c r="H82" s="103"/>
      <c r="I82" s="103"/>
      <c r="J82" s="103"/>
      <c r="K82" s="103"/>
      <c r="L82" s="103"/>
      <c r="M82" s="103"/>
      <c r="N82" s="103"/>
      <c r="O82" s="103"/>
      <c r="P82" s="103"/>
      <c r="Q82" s="103"/>
      <c r="R82" s="103"/>
      <c r="S82" s="103"/>
      <c r="T82" s="103"/>
      <c r="U82" s="103"/>
      <c r="V82" s="103"/>
      <c r="W82" s="103"/>
      <c r="X82" s="103"/>
      <c r="Y82" s="103"/>
      <c r="Z82" s="103"/>
    </row>
    <row r="83" spans="1:26" ht="15.75" customHeight="1">
      <c r="A83" s="101"/>
      <c r="B83" s="103"/>
      <c r="C83" s="103"/>
      <c r="D83" s="103"/>
      <c r="E83" s="103"/>
      <c r="F83" s="103"/>
      <c r="G83" s="103"/>
      <c r="H83" s="103"/>
      <c r="I83" s="103"/>
      <c r="J83" s="103"/>
      <c r="K83" s="103"/>
      <c r="L83" s="103"/>
      <c r="M83" s="103"/>
      <c r="N83" s="103"/>
      <c r="O83" s="103"/>
      <c r="P83" s="103"/>
      <c r="Q83" s="103"/>
      <c r="R83" s="103"/>
      <c r="S83" s="103"/>
      <c r="T83" s="103"/>
      <c r="U83" s="103"/>
      <c r="V83" s="103"/>
      <c r="W83" s="103"/>
      <c r="X83" s="103"/>
      <c r="Y83" s="103"/>
      <c r="Z83" s="103"/>
    </row>
    <row r="84" spans="1:26" ht="15.75" customHeight="1">
      <c r="A84" s="101"/>
      <c r="B84" s="103"/>
      <c r="C84" s="103"/>
      <c r="D84" s="103"/>
      <c r="E84" s="103"/>
      <c r="F84" s="103"/>
      <c r="G84" s="103"/>
      <c r="H84" s="103"/>
      <c r="I84" s="103"/>
      <c r="J84" s="103"/>
      <c r="K84" s="103"/>
      <c r="L84" s="103"/>
      <c r="M84" s="103"/>
      <c r="N84" s="103"/>
      <c r="O84" s="103"/>
      <c r="P84" s="103"/>
      <c r="Q84" s="103"/>
      <c r="R84" s="103"/>
      <c r="S84" s="103"/>
      <c r="T84" s="103"/>
      <c r="U84" s="103"/>
      <c r="V84" s="103"/>
      <c r="W84" s="103"/>
      <c r="X84" s="103"/>
      <c r="Y84" s="103"/>
      <c r="Z84" s="103"/>
    </row>
    <row r="85" spans="1:26" ht="15.75" customHeight="1">
      <c r="A85" s="101"/>
      <c r="B85" s="103"/>
      <c r="C85" s="103"/>
      <c r="D85" s="103"/>
      <c r="E85" s="103"/>
      <c r="F85" s="103"/>
      <c r="G85" s="103"/>
      <c r="H85" s="103"/>
      <c r="I85" s="103"/>
      <c r="J85" s="103"/>
      <c r="K85" s="103"/>
      <c r="L85" s="103"/>
      <c r="M85" s="103"/>
      <c r="N85" s="103"/>
      <c r="O85" s="103"/>
      <c r="P85" s="103"/>
      <c r="Q85" s="103"/>
      <c r="R85" s="103"/>
      <c r="S85" s="103"/>
      <c r="T85" s="103"/>
      <c r="U85" s="103"/>
      <c r="V85" s="103"/>
      <c r="W85" s="103"/>
      <c r="X85" s="103"/>
      <c r="Y85" s="103"/>
      <c r="Z85" s="103"/>
    </row>
    <row r="86" spans="1:26" ht="15.75" customHeight="1">
      <c r="A86" s="101"/>
      <c r="B86" s="103"/>
      <c r="C86" s="103"/>
      <c r="D86" s="103"/>
      <c r="E86" s="103"/>
      <c r="F86" s="103"/>
      <c r="G86" s="103"/>
      <c r="H86" s="103"/>
      <c r="I86" s="103"/>
      <c r="J86" s="103"/>
      <c r="K86" s="103"/>
      <c r="L86" s="103"/>
      <c r="M86" s="103"/>
      <c r="N86" s="103"/>
      <c r="O86" s="103"/>
      <c r="P86" s="103"/>
      <c r="Q86" s="103"/>
      <c r="R86" s="103"/>
      <c r="S86" s="103"/>
      <c r="T86" s="103"/>
      <c r="U86" s="103"/>
      <c r="V86" s="103"/>
      <c r="W86" s="103"/>
      <c r="X86" s="103"/>
      <c r="Y86" s="103"/>
      <c r="Z86" s="103"/>
    </row>
    <row r="87" spans="1:26" ht="15.75" customHeight="1">
      <c r="A87" s="101"/>
      <c r="B87" s="103"/>
      <c r="C87" s="103"/>
      <c r="D87" s="103"/>
      <c r="E87" s="103"/>
      <c r="F87" s="103"/>
      <c r="G87" s="103"/>
      <c r="H87" s="103"/>
      <c r="I87" s="103"/>
      <c r="J87" s="103"/>
      <c r="K87" s="103"/>
      <c r="L87" s="103"/>
      <c r="M87" s="103"/>
      <c r="N87" s="103"/>
      <c r="O87" s="103"/>
      <c r="P87" s="103"/>
      <c r="Q87" s="103"/>
      <c r="R87" s="103"/>
      <c r="S87" s="103"/>
      <c r="T87" s="103"/>
      <c r="U87" s="103"/>
      <c r="V87" s="103"/>
      <c r="W87" s="103"/>
      <c r="X87" s="103"/>
      <c r="Y87" s="103"/>
      <c r="Z87" s="103"/>
    </row>
    <row r="88" spans="1:26" ht="15.75" customHeight="1">
      <c r="A88" s="101"/>
      <c r="B88" s="103"/>
      <c r="C88" s="103"/>
      <c r="D88" s="103"/>
      <c r="E88" s="103"/>
      <c r="F88" s="103"/>
      <c r="G88" s="103"/>
      <c r="H88" s="103"/>
      <c r="I88" s="103"/>
      <c r="J88" s="103"/>
      <c r="K88" s="103"/>
      <c r="L88" s="103"/>
      <c r="M88" s="103"/>
      <c r="N88" s="103"/>
      <c r="O88" s="103"/>
      <c r="P88" s="103"/>
      <c r="Q88" s="103"/>
      <c r="R88" s="103"/>
      <c r="S88" s="103"/>
      <c r="T88" s="103"/>
      <c r="U88" s="103"/>
      <c r="V88" s="103"/>
      <c r="W88" s="103"/>
      <c r="X88" s="103"/>
      <c r="Y88" s="103"/>
      <c r="Z88" s="103"/>
    </row>
    <row r="89" spans="1:26" ht="15.75" customHeight="1">
      <c r="A89" s="101"/>
      <c r="B89" s="103"/>
      <c r="C89" s="103"/>
      <c r="D89" s="103"/>
      <c r="E89" s="103"/>
      <c r="F89" s="103"/>
      <c r="G89" s="103"/>
      <c r="H89" s="103"/>
      <c r="I89" s="103"/>
      <c r="J89" s="103"/>
      <c r="K89" s="103"/>
      <c r="L89" s="103"/>
      <c r="M89" s="103"/>
      <c r="N89" s="103"/>
      <c r="O89" s="103"/>
      <c r="P89" s="103"/>
      <c r="Q89" s="103"/>
      <c r="R89" s="103"/>
      <c r="S89" s="103"/>
      <c r="T89" s="103"/>
      <c r="U89" s="103"/>
      <c r="V89" s="103"/>
      <c r="W89" s="103"/>
      <c r="X89" s="103"/>
      <c r="Y89" s="103"/>
      <c r="Z89" s="103"/>
    </row>
    <row r="90" spans="1:26" ht="15.75" customHeight="1">
      <c r="A90" s="101"/>
      <c r="B90" s="103"/>
      <c r="C90" s="103"/>
      <c r="D90" s="103"/>
      <c r="E90" s="103"/>
      <c r="F90" s="103"/>
      <c r="G90" s="103"/>
      <c r="H90" s="103"/>
      <c r="I90" s="103"/>
      <c r="J90" s="103"/>
      <c r="K90" s="103"/>
      <c r="L90" s="103"/>
      <c r="M90" s="103"/>
      <c r="N90" s="103"/>
      <c r="O90" s="103"/>
      <c r="P90" s="103"/>
      <c r="Q90" s="103"/>
      <c r="R90" s="103"/>
      <c r="S90" s="103"/>
      <c r="T90" s="103"/>
      <c r="U90" s="103"/>
      <c r="V90" s="103"/>
      <c r="W90" s="103"/>
      <c r="X90" s="103"/>
      <c r="Y90" s="103"/>
      <c r="Z90" s="103"/>
    </row>
    <row r="91" spans="1:26" ht="15.75" customHeight="1">
      <c r="A91" s="101"/>
      <c r="B91" s="103"/>
      <c r="C91" s="103"/>
      <c r="D91" s="103"/>
      <c r="E91" s="103"/>
      <c r="F91" s="103"/>
      <c r="G91" s="103"/>
      <c r="H91" s="103"/>
      <c r="I91" s="103"/>
      <c r="J91" s="103"/>
      <c r="K91" s="103"/>
      <c r="L91" s="103"/>
      <c r="M91" s="103"/>
      <c r="N91" s="103"/>
      <c r="O91" s="103"/>
      <c r="P91" s="103"/>
      <c r="Q91" s="103"/>
      <c r="R91" s="103"/>
      <c r="S91" s="103"/>
      <c r="T91" s="103"/>
      <c r="U91" s="103"/>
      <c r="V91" s="103"/>
      <c r="W91" s="103"/>
      <c r="X91" s="103"/>
      <c r="Y91" s="103"/>
      <c r="Z91" s="103"/>
    </row>
    <row r="92" spans="1:26" ht="15.75" customHeight="1">
      <c r="A92" s="101"/>
      <c r="B92" s="103"/>
      <c r="C92" s="103"/>
      <c r="D92" s="103"/>
      <c r="E92" s="103"/>
      <c r="F92" s="103"/>
      <c r="G92" s="103"/>
      <c r="H92" s="103"/>
      <c r="I92" s="103"/>
      <c r="J92" s="103"/>
      <c r="K92" s="103"/>
      <c r="L92" s="103"/>
      <c r="M92" s="103"/>
      <c r="N92" s="103"/>
      <c r="O92" s="103"/>
      <c r="P92" s="103"/>
      <c r="Q92" s="103"/>
      <c r="R92" s="103"/>
      <c r="S92" s="103"/>
      <c r="T92" s="103"/>
      <c r="U92" s="103"/>
      <c r="V92" s="103"/>
      <c r="W92" s="103"/>
      <c r="X92" s="103"/>
      <c r="Y92" s="103"/>
      <c r="Z92" s="103"/>
    </row>
    <row r="93" spans="1:26" ht="15.75" customHeight="1">
      <c r="A93" s="101"/>
      <c r="B93" s="103"/>
      <c r="C93" s="103"/>
      <c r="D93" s="103"/>
      <c r="E93" s="103"/>
      <c r="F93" s="103"/>
      <c r="G93" s="103"/>
      <c r="H93" s="103"/>
      <c r="I93" s="103"/>
      <c r="J93" s="103"/>
      <c r="K93" s="103"/>
      <c r="L93" s="103"/>
      <c r="M93" s="103"/>
      <c r="N93" s="103"/>
      <c r="O93" s="103"/>
      <c r="P93" s="103"/>
      <c r="Q93" s="103"/>
      <c r="R93" s="103"/>
      <c r="S93" s="103"/>
      <c r="T93" s="103"/>
      <c r="U93" s="103"/>
      <c r="V93" s="103"/>
      <c r="W93" s="103"/>
      <c r="X93" s="103"/>
      <c r="Y93" s="103"/>
      <c r="Z93" s="103"/>
    </row>
    <row r="94" spans="1:26" ht="15.75" customHeight="1">
      <c r="A94" s="101"/>
      <c r="B94" s="103"/>
      <c r="C94" s="103"/>
      <c r="D94" s="103"/>
      <c r="E94" s="103"/>
      <c r="F94" s="103"/>
      <c r="G94" s="103"/>
      <c r="H94" s="103"/>
      <c r="I94" s="103"/>
      <c r="J94" s="103"/>
      <c r="K94" s="103"/>
      <c r="L94" s="103"/>
      <c r="M94" s="103"/>
      <c r="N94" s="103"/>
      <c r="O94" s="103"/>
      <c r="P94" s="103"/>
      <c r="Q94" s="103"/>
      <c r="R94" s="103"/>
      <c r="S94" s="103"/>
      <c r="T94" s="103"/>
      <c r="U94" s="103"/>
      <c r="V94" s="103"/>
      <c r="W94" s="103"/>
      <c r="X94" s="103"/>
      <c r="Y94" s="103"/>
      <c r="Z94" s="103"/>
    </row>
    <row r="95" spans="1:26" ht="15.75" customHeight="1">
      <c r="A95" s="101"/>
      <c r="B95" s="103"/>
      <c r="C95" s="103"/>
      <c r="D95" s="103"/>
      <c r="E95" s="103"/>
      <c r="F95" s="103"/>
      <c r="G95" s="103"/>
      <c r="H95" s="103"/>
      <c r="I95" s="103"/>
      <c r="J95" s="103"/>
      <c r="K95" s="103"/>
      <c r="L95" s="103"/>
      <c r="M95" s="103"/>
      <c r="N95" s="103"/>
      <c r="O95" s="103"/>
      <c r="P95" s="103"/>
      <c r="Q95" s="103"/>
      <c r="R95" s="103"/>
      <c r="S95" s="103"/>
      <c r="T95" s="103"/>
      <c r="U95" s="103"/>
      <c r="V95" s="103"/>
      <c r="W95" s="103"/>
      <c r="X95" s="103"/>
      <c r="Y95" s="103"/>
      <c r="Z95" s="103"/>
    </row>
    <row r="96" spans="1:26" ht="15.75" customHeight="1">
      <c r="A96" s="101"/>
      <c r="B96" s="103"/>
      <c r="C96" s="103"/>
      <c r="D96" s="103"/>
      <c r="E96" s="103"/>
      <c r="F96" s="103"/>
      <c r="G96" s="103"/>
      <c r="H96" s="103"/>
      <c r="I96" s="103"/>
      <c r="J96" s="103"/>
      <c r="K96" s="103"/>
      <c r="L96" s="103"/>
      <c r="M96" s="103"/>
      <c r="N96" s="103"/>
      <c r="O96" s="103"/>
      <c r="P96" s="103"/>
      <c r="Q96" s="103"/>
      <c r="R96" s="103"/>
      <c r="S96" s="103"/>
      <c r="T96" s="103"/>
      <c r="U96" s="103"/>
      <c r="V96" s="103"/>
      <c r="W96" s="103"/>
      <c r="X96" s="103"/>
      <c r="Y96" s="103"/>
      <c r="Z96" s="103"/>
    </row>
    <row r="97" spans="1:26" ht="15.75" customHeight="1">
      <c r="A97" s="101"/>
      <c r="B97" s="103"/>
      <c r="C97" s="103"/>
      <c r="D97" s="103"/>
      <c r="E97" s="103"/>
      <c r="F97" s="103"/>
      <c r="G97" s="103"/>
      <c r="H97" s="103"/>
      <c r="I97" s="103"/>
      <c r="J97" s="103"/>
      <c r="K97" s="103"/>
      <c r="L97" s="103"/>
      <c r="M97" s="103"/>
      <c r="N97" s="103"/>
      <c r="O97" s="103"/>
      <c r="P97" s="103"/>
      <c r="Q97" s="103"/>
      <c r="R97" s="103"/>
      <c r="S97" s="103"/>
      <c r="T97" s="103"/>
      <c r="U97" s="103"/>
      <c r="V97" s="103"/>
      <c r="W97" s="103"/>
      <c r="X97" s="103"/>
      <c r="Y97" s="103"/>
      <c r="Z97" s="103"/>
    </row>
    <row r="98" spans="1:26" ht="15.75" customHeight="1">
      <c r="A98" s="101"/>
      <c r="B98" s="103"/>
      <c r="C98" s="103"/>
      <c r="D98" s="103"/>
      <c r="E98" s="103"/>
      <c r="F98" s="103"/>
      <c r="G98" s="103"/>
      <c r="H98" s="103"/>
      <c r="I98" s="103"/>
      <c r="J98" s="103"/>
      <c r="K98" s="103"/>
      <c r="L98" s="103"/>
      <c r="M98" s="103"/>
      <c r="N98" s="103"/>
      <c r="O98" s="103"/>
      <c r="P98" s="103"/>
      <c r="Q98" s="103"/>
      <c r="R98" s="103"/>
      <c r="S98" s="103"/>
      <c r="T98" s="103"/>
      <c r="U98" s="103"/>
      <c r="V98" s="103"/>
      <c r="W98" s="103"/>
      <c r="X98" s="103"/>
      <c r="Y98" s="103"/>
      <c r="Z98" s="103"/>
    </row>
    <row r="99" spans="1:26" ht="15.75" customHeight="1">
      <c r="A99" s="101"/>
      <c r="B99" s="103"/>
      <c r="C99" s="103"/>
      <c r="D99" s="103"/>
      <c r="E99" s="103"/>
      <c r="F99" s="103"/>
      <c r="G99" s="103"/>
      <c r="H99" s="103"/>
      <c r="I99" s="103"/>
      <c r="J99" s="103"/>
      <c r="K99" s="103"/>
      <c r="L99" s="103"/>
      <c r="M99" s="103"/>
      <c r="N99" s="103"/>
      <c r="O99" s="103"/>
      <c r="P99" s="103"/>
      <c r="Q99" s="103"/>
      <c r="R99" s="103"/>
      <c r="S99" s="103"/>
      <c r="T99" s="103"/>
      <c r="U99" s="103"/>
      <c r="V99" s="103"/>
      <c r="W99" s="103"/>
      <c r="X99" s="103"/>
      <c r="Y99" s="103"/>
      <c r="Z99" s="103"/>
    </row>
    <row r="100" spans="1:26" ht="15.75" customHeight="1">
      <c r="A100" s="101"/>
      <c r="B100" s="103"/>
      <c r="C100" s="103"/>
      <c r="D100" s="103"/>
      <c r="E100" s="103"/>
      <c r="F100" s="103"/>
      <c r="G100" s="103"/>
      <c r="H100" s="103"/>
      <c r="I100" s="103"/>
      <c r="J100" s="103"/>
      <c r="K100" s="103"/>
      <c r="L100" s="103"/>
      <c r="M100" s="103"/>
      <c r="N100" s="103"/>
      <c r="O100" s="103"/>
      <c r="P100" s="103"/>
      <c r="Q100" s="103"/>
      <c r="R100" s="103"/>
      <c r="S100" s="103"/>
      <c r="T100" s="103"/>
      <c r="U100" s="103"/>
      <c r="V100" s="103"/>
      <c r="W100" s="103"/>
      <c r="X100" s="103"/>
      <c r="Y100" s="103"/>
      <c r="Z100" s="103"/>
    </row>
    <row r="101" spans="1:26" ht="15.75" customHeight="1">
      <c r="A101" s="101"/>
      <c r="B101" s="103"/>
      <c r="C101" s="103"/>
      <c r="D101" s="103"/>
      <c r="E101" s="103"/>
      <c r="F101" s="103"/>
      <c r="G101" s="103"/>
      <c r="H101" s="103"/>
      <c r="I101" s="103"/>
      <c r="J101" s="103"/>
      <c r="K101" s="103"/>
      <c r="L101" s="103"/>
      <c r="M101" s="103"/>
      <c r="N101" s="103"/>
      <c r="O101" s="103"/>
      <c r="P101" s="103"/>
      <c r="Q101" s="103"/>
      <c r="R101" s="103"/>
      <c r="S101" s="103"/>
      <c r="T101" s="103"/>
      <c r="U101" s="103"/>
      <c r="V101" s="103"/>
      <c r="W101" s="103"/>
      <c r="X101" s="103"/>
      <c r="Y101" s="103"/>
      <c r="Z101" s="103"/>
    </row>
    <row r="102" spans="1:26" ht="15.75" customHeight="1">
      <c r="A102" s="101"/>
      <c r="B102" s="103"/>
      <c r="C102" s="103"/>
      <c r="D102" s="103"/>
      <c r="E102" s="103"/>
      <c r="F102" s="103"/>
      <c r="G102" s="103"/>
      <c r="H102" s="103"/>
      <c r="I102" s="103"/>
      <c r="J102" s="103"/>
      <c r="K102" s="103"/>
      <c r="L102" s="103"/>
      <c r="M102" s="103"/>
      <c r="N102" s="103"/>
      <c r="O102" s="103"/>
      <c r="P102" s="103"/>
      <c r="Q102" s="103"/>
      <c r="R102" s="103"/>
      <c r="S102" s="103"/>
      <c r="T102" s="103"/>
      <c r="U102" s="103"/>
      <c r="V102" s="103"/>
      <c r="W102" s="103"/>
      <c r="X102" s="103"/>
      <c r="Y102" s="103"/>
      <c r="Z102" s="103"/>
    </row>
    <row r="103" spans="1:26" ht="15.75" customHeight="1">
      <c r="A103" s="101"/>
      <c r="B103" s="103"/>
      <c r="C103" s="103"/>
      <c r="D103" s="103"/>
      <c r="E103" s="103"/>
      <c r="F103" s="103"/>
      <c r="G103" s="103"/>
      <c r="H103" s="103"/>
      <c r="I103" s="103"/>
      <c r="J103" s="103"/>
      <c r="K103" s="103"/>
      <c r="L103" s="103"/>
      <c r="M103" s="103"/>
      <c r="N103" s="103"/>
      <c r="O103" s="103"/>
      <c r="P103" s="103"/>
      <c r="Q103" s="103"/>
      <c r="R103" s="103"/>
      <c r="S103" s="103"/>
      <c r="T103" s="103"/>
      <c r="U103" s="103"/>
      <c r="V103" s="103"/>
      <c r="W103" s="103"/>
      <c r="X103" s="103"/>
      <c r="Y103" s="103"/>
      <c r="Z103" s="103"/>
    </row>
    <row r="104" spans="1:26" ht="15.75" customHeight="1">
      <c r="A104" s="101"/>
      <c r="B104" s="103"/>
      <c r="C104" s="103"/>
      <c r="D104" s="103"/>
      <c r="E104" s="103"/>
      <c r="F104" s="103"/>
      <c r="G104" s="103"/>
      <c r="H104" s="103"/>
      <c r="I104" s="103"/>
      <c r="J104" s="103"/>
      <c r="K104" s="103"/>
      <c r="L104" s="103"/>
      <c r="M104" s="103"/>
      <c r="N104" s="103"/>
      <c r="O104" s="103"/>
      <c r="P104" s="103"/>
      <c r="Q104" s="103"/>
      <c r="R104" s="103"/>
      <c r="S104" s="103"/>
      <c r="T104" s="103"/>
      <c r="U104" s="103"/>
      <c r="V104" s="103"/>
      <c r="W104" s="103"/>
      <c r="X104" s="103"/>
      <c r="Y104" s="103"/>
      <c r="Z104" s="103"/>
    </row>
    <row r="105" spans="1:26" ht="15.75" customHeight="1">
      <c r="A105" s="101"/>
      <c r="B105" s="103"/>
      <c r="C105" s="103"/>
      <c r="D105" s="103"/>
      <c r="E105" s="103"/>
      <c r="F105" s="103"/>
      <c r="G105" s="103"/>
      <c r="H105" s="103"/>
      <c r="I105" s="103"/>
      <c r="J105" s="103"/>
      <c r="K105" s="103"/>
      <c r="L105" s="103"/>
      <c r="M105" s="103"/>
      <c r="N105" s="103"/>
      <c r="O105" s="103"/>
      <c r="P105" s="103"/>
      <c r="Q105" s="103"/>
      <c r="R105" s="103"/>
      <c r="S105" s="103"/>
      <c r="T105" s="103"/>
      <c r="U105" s="103"/>
      <c r="V105" s="103"/>
      <c r="W105" s="103"/>
      <c r="X105" s="103"/>
      <c r="Y105" s="103"/>
      <c r="Z105" s="103"/>
    </row>
    <row r="106" spans="1:26" ht="15.75" customHeight="1">
      <c r="A106" s="101"/>
      <c r="B106" s="103"/>
      <c r="C106" s="103"/>
      <c r="D106" s="103"/>
      <c r="E106" s="103"/>
      <c r="F106" s="103"/>
      <c r="G106" s="103"/>
      <c r="H106" s="103"/>
      <c r="I106" s="103"/>
      <c r="J106" s="103"/>
      <c r="K106" s="103"/>
      <c r="L106" s="103"/>
      <c r="M106" s="103"/>
      <c r="N106" s="103"/>
      <c r="O106" s="103"/>
      <c r="P106" s="103"/>
      <c r="Q106" s="103"/>
      <c r="R106" s="103"/>
      <c r="S106" s="103"/>
      <c r="T106" s="103"/>
      <c r="U106" s="103"/>
      <c r="V106" s="103"/>
      <c r="W106" s="103"/>
      <c r="X106" s="103"/>
      <c r="Y106" s="103"/>
      <c r="Z106" s="103"/>
    </row>
    <row r="107" spans="1:26" ht="15.75" customHeight="1">
      <c r="A107" s="101"/>
      <c r="B107" s="103"/>
      <c r="C107" s="103"/>
      <c r="D107" s="103"/>
      <c r="E107" s="103"/>
      <c r="F107" s="103"/>
      <c r="G107" s="103"/>
      <c r="H107" s="103"/>
      <c r="I107" s="103"/>
      <c r="J107" s="103"/>
      <c r="K107" s="103"/>
      <c r="L107" s="103"/>
      <c r="M107" s="103"/>
      <c r="N107" s="103"/>
      <c r="O107" s="103"/>
      <c r="P107" s="103"/>
      <c r="Q107" s="103"/>
      <c r="R107" s="103"/>
      <c r="S107" s="103"/>
      <c r="T107" s="103"/>
      <c r="U107" s="103"/>
      <c r="V107" s="103"/>
      <c r="W107" s="103"/>
      <c r="X107" s="103"/>
      <c r="Y107" s="103"/>
      <c r="Z107" s="103"/>
    </row>
    <row r="108" spans="1:26" ht="15.75" customHeight="1">
      <c r="A108" s="101"/>
      <c r="B108" s="103"/>
      <c r="C108" s="103"/>
      <c r="D108" s="103"/>
      <c r="E108" s="103"/>
      <c r="F108" s="103"/>
      <c r="G108" s="103"/>
      <c r="H108" s="103"/>
      <c r="I108" s="103"/>
      <c r="J108" s="103"/>
      <c r="K108" s="103"/>
      <c r="L108" s="103"/>
      <c r="M108" s="103"/>
      <c r="N108" s="103"/>
      <c r="O108" s="103"/>
      <c r="P108" s="103"/>
      <c r="Q108" s="103"/>
      <c r="R108" s="103"/>
      <c r="S108" s="103"/>
      <c r="T108" s="103"/>
      <c r="U108" s="103"/>
      <c r="V108" s="103"/>
      <c r="W108" s="103"/>
      <c r="X108" s="103"/>
      <c r="Y108" s="103"/>
      <c r="Z108" s="103"/>
    </row>
    <row r="109" spans="1:26" ht="15.75" customHeight="1">
      <c r="A109" s="101"/>
      <c r="B109" s="103"/>
      <c r="C109" s="103"/>
      <c r="D109" s="103"/>
      <c r="E109" s="103"/>
      <c r="F109" s="103"/>
      <c r="G109" s="103"/>
      <c r="H109" s="103"/>
      <c r="I109" s="103"/>
      <c r="J109" s="103"/>
      <c r="K109" s="103"/>
      <c r="L109" s="103"/>
      <c r="M109" s="103"/>
      <c r="N109" s="103"/>
      <c r="O109" s="103"/>
      <c r="P109" s="103"/>
      <c r="Q109" s="103"/>
      <c r="R109" s="103"/>
      <c r="S109" s="103"/>
      <c r="T109" s="103"/>
      <c r="U109" s="103"/>
      <c r="V109" s="103"/>
      <c r="W109" s="103"/>
      <c r="X109" s="103"/>
      <c r="Y109" s="103"/>
      <c r="Z109" s="103"/>
    </row>
    <row r="110" spans="1:26" ht="15.75" customHeight="1">
      <c r="A110" s="101"/>
      <c r="B110" s="103"/>
      <c r="C110" s="103"/>
      <c r="D110" s="103"/>
      <c r="E110" s="103"/>
      <c r="F110" s="103"/>
      <c r="G110" s="103"/>
      <c r="H110" s="103"/>
      <c r="I110" s="103"/>
      <c r="J110" s="103"/>
      <c r="K110" s="103"/>
      <c r="L110" s="103"/>
      <c r="M110" s="103"/>
      <c r="N110" s="103"/>
      <c r="O110" s="103"/>
      <c r="P110" s="103"/>
      <c r="Q110" s="103"/>
      <c r="R110" s="103"/>
      <c r="S110" s="103"/>
      <c r="T110" s="103"/>
      <c r="U110" s="103"/>
      <c r="V110" s="103"/>
      <c r="W110" s="103"/>
      <c r="X110" s="103"/>
      <c r="Y110" s="103"/>
      <c r="Z110" s="103"/>
    </row>
    <row r="111" spans="1:26" ht="15.75" customHeight="1">
      <c r="A111" s="101"/>
      <c r="B111" s="103"/>
      <c r="C111" s="103"/>
      <c r="D111" s="103"/>
      <c r="E111" s="103"/>
      <c r="F111" s="103"/>
      <c r="G111" s="103"/>
      <c r="H111" s="103"/>
      <c r="I111" s="103"/>
      <c r="J111" s="103"/>
      <c r="K111" s="103"/>
      <c r="L111" s="103"/>
      <c r="M111" s="103"/>
      <c r="N111" s="103"/>
      <c r="O111" s="103"/>
      <c r="P111" s="103"/>
      <c r="Q111" s="103"/>
      <c r="R111" s="103"/>
      <c r="S111" s="103"/>
      <c r="T111" s="103"/>
      <c r="U111" s="103"/>
      <c r="V111" s="103"/>
      <c r="W111" s="103"/>
      <c r="X111" s="103"/>
      <c r="Y111" s="103"/>
      <c r="Z111" s="103"/>
    </row>
    <row r="112" spans="1:26" ht="15.75" customHeight="1">
      <c r="A112" s="101"/>
      <c r="B112" s="103"/>
      <c r="C112" s="103"/>
      <c r="D112" s="103"/>
      <c r="E112" s="103"/>
      <c r="F112" s="103"/>
      <c r="G112" s="103"/>
      <c r="H112" s="103"/>
      <c r="I112" s="103"/>
      <c r="J112" s="103"/>
      <c r="K112" s="103"/>
      <c r="L112" s="103"/>
      <c r="M112" s="103"/>
      <c r="N112" s="103"/>
      <c r="O112" s="103"/>
      <c r="P112" s="103"/>
      <c r="Q112" s="103"/>
      <c r="R112" s="103"/>
      <c r="S112" s="103"/>
      <c r="T112" s="103"/>
      <c r="U112" s="103"/>
      <c r="V112" s="103"/>
      <c r="W112" s="103"/>
      <c r="X112" s="103"/>
      <c r="Y112" s="103"/>
      <c r="Z112" s="103"/>
    </row>
    <row r="113" spans="1:26" ht="15.75" customHeight="1">
      <c r="A113" s="101"/>
      <c r="B113" s="103"/>
      <c r="C113" s="103"/>
      <c r="D113" s="103"/>
      <c r="E113" s="103"/>
      <c r="F113" s="103"/>
      <c r="G113" s="103"/>
      <c r="H113" s="103"/>
      <c r="I113" s="103"/>
      <c r="J113" s="103"/>
      <c r="K113" s="103"/>
      <c r="L113" s="103"/>
      <c r="M113" s="103"/>
      <c r="N113" s="103"/>
      <c r="O113" s="103"/>
      <c r="P113" s="103"/>
      <c r="Q113" s="103"/>
      <c r="R113" s="103"/>
      <c r="S113" s="103"/>
      <c r="T113" s="103"/>
      <c r="U113" s="103"/>
      <c r="V113" s="103"/>
      <c r="W113" s="103"/>
      <c r="X113" s="103"/>
      <c r="Y113" s="103"/>
      <c r="Z113" s="103"/>
    </row>
    <row r="114" spans="1:26" ht="15.75" customHeight="1">
      <c r="A114" s="101"/>
      <c r="B114" s="103"/>
      <c r="C114" s="103"/>
      <c r="D114" s="103"/>
      <c r="E114" s="103"/>
      <c r="F114" s="103"/>
      <c r="G114" s="103"/>
      <c r="H114" s="103"/>
      <c r="I114" s="103"/>
      <c r="J114" s="103"/>
      <c r="K114" s="103"/>
      <c r="L114" s="103"/>
      <c r="M114" s="103"/>
      <c r="N114" s="103"/>
      <c r="O114" s="103"/>
      <c r="P114" s="103"/>
      <c r="Q114" s="103"/>
      <c r="R114" s="103"/>
      <c r="S114" s="103"/>
      <c r="T114" s="103"/>
      <c r="U114" s="103"/>
      <c r="V114" s="103"/>
      <c r="W114" s="103"/>
      <c r="X114" s="103"/>
      <c r="Y114" s="103"/>
      <c r="Z114" s="103"/>
    </row>
    <row r="115" spans="1:26" ht="15.75" customHeight="1">
      <c r="A115" s="101"/>
      <c r="B115" s="103"/>
      <c r="C115" s="103"/>
      <c r="D115" s="103"/>
      <c r="E115" s="103"/>
      <c r="F115" s="103"/>
      <c r="G115" s="103"/>
      <c r="H115" s="103"/>
      <c r="I115" s="103"/>
      <c r="J115" s="103"/>
      <c r="K115" s="103"/>
      <c r="L115" s="103"/>
      <c r="M115" s="103"/>
      <c r="N115" s="103"/>
      <c r="O115" s="103"/>
      <c r="P115" s="103"/>
      <c r="Q115" s="103"/>
      <c r="R115" s="103"/>
      <c r="S115" s="103"/>
      <c r="T115" s="103"/>
      <c r="U115" s="103"/>
      <c r="V115" s="103"/>
      <c r="W115" s="103"/>
      <c r="X115" s="103"/>
      <c r="Y115" s="103"/>
      <c r="Z115" s="103"/>
    </row>
    <row r="116" spans="1:26" ht="15.75" customHeight="1">
      <c r="A116" s="101"/>
      <c r="B116" s="103"/>
      <c r="C116" s="103"/>
      <c r="D116" s="103"/>
      <c r="E116" s="103"/>
      <c r="F116" s="103"/>
      <c r="G116" s="103"/>
      <c r="H116" s="103"/>
      <c r="I116" s="103"/>
      <c r="J116" s="103"/>
      <c r="K116" s="103"/>
      <c r="L116" s="103"/>
      <c r="M116" s="103"/>
      <c r="N116" s="103"/>
      <c r="O116" s="103"/>
      <c r="P116" s="103"/>
      <c r="Q116" s="103"/>
      <c r="R116" s="103"/>
      <c r="S116" s="103"/>
      <c r="T116" s="103"/>
      <c r="U116" s="103"/>
      <c r="V116" s="103"/>
      <c r="W116" s="103"/>
      <c r="X116" s="103"/>
      <c r="Y116" s="103"/>
      <c r="Z116" s="103"/>
    </row>
    <row r="117" spans="1:26" ht="15.75" customHeight="1">
      <c r="A117" s="101"/>
      <c r="B117" s="103"/>
      <c r="C117" s="103"/>
      <c r="D117" s="103"/>
      <c r="E117" s="103"/>
      <c r="F117" s="103"/>
      <c r="G117" s="103"/>
      <c r="H117" s="103"/>
      <c r="I117" s="103"/>
      <c r="J117" s="103"/>
      <c r="K117" s="103"/>
      <c r="L117" s="103"/>
      <c r="M117" s="103"/>
      <c r="N117" s="103"/>
      <c r="O117" s="103"/>
      <c r="P117" s="103"/>
      <c r="Q117" s="103"/>
      <c r="R117" s="103"/>
      <c r="S117" s="103"/>
      <c r="T117" s="103"/>
      <c r="U117" s="103"/>
      <c r="V117" s="103"/>
      <c r="W117" s="103"/>
      <c r="X117" s="103"/>
      <c r="Y117" s="103"/>
      <c r="Z117" s="103"/>
    </row>
    <row r="118" spans="1:26" ht="15.75" customHeight="1">
      <c r="A118" s="101"/>
      <c r="B118" s="103"/>
      <c r="C118" s="103"/>
      <c r="D118" s="103"/>
      <c r="E118" s="103"/>
      <c r="F118" s="103"/>
      <c r="G118" s="103"/>
      <c r="H118" s="103"/>
      <c r="I118" s="103"/>
      <c r="J118" s="103"/>
      <c r="K118" s="103"/>
      <c r="L118" s="103"/>
      <c r="M118" s="103"/>
      <c r="N118" s="103"/>
      <c r="O118" s="103"/>
      <c r="P118" s="103"/>
      <c r="Q118" s="103"/>
      <c r="R118" s="103"/>
      <c r="S118" s="103"/>
      <c r="T118" s="103"/>
      <c r="U118" s="103"/>
      <c r="V118" s="103"/>
      <c r="W118" s="103"/>
      <c r="X118" s="103"/>
      <c r="Y118" s="103"/>
      <c r="Z118" s="103"/>
    </row>
    <row r="119" spans="1:26" ht="15.75" customHeight="1">
      <c r="A119" s="101"/>
      <c r="B119" s="103"/>
      <c r="C119" s="103"/>
      <c r="D119" s="103"/>
      <c r="E119" s="103"/>
      <c r="F119" s="103"/>
      <c r="G119" s="103"/>
      <c r="H119" s="103"/>
      <c r="I119" s="103"/>
      <c r="J119" s="103"/>
      <c r="K119" s="103"/>
      <c r="L119" s="103"/>
      <c r="M119" s="103"/>
      <c r="N119" s="103"/>
      <c r="O119" s="103"/>
      <c r="P119" s="103"/>
      <c r="Q119" s="103"/>
      <c r="R119" s="103"/>
      <c r="S119" s="103"/>
      <c r="T119" s="103"/>
      <c r="U119" s="103"/>
      <c r="V119" s="103"/>
      <c r="W119" s="103"/>
      <c r="X119" s="103"/>
      <c r="Y119" s="103"/>
      <c r="Z119" s="103"/>
    </row>
    <row r="120" spans="1:26" ht="15.75" customHeight="1">
      <c r="A120" s="101"/>
      <c r="B120" s="103"/>
      <c r="C120" s="103"/>
      <c r="D120" s="103"/>
      <c r="E120" s="103"/>
      <c r="F120" s="103"/>
      <c r="G120" s="103"/>
      <c r="H120" s="103"/>
      <c r="I120" s="103"/>
      <c r="J120" s="103"/>
      <c r="K120" s="103"/>
      <c r="L120" s="103"/>
      <c r="M120" s="103"/>
      <c r="N120" s="103"/>
      <c r="O120" s="103"/>
      <c r="P120" s="103"/>
      <c r="Q120" s="103"/>
      <c r="R120" s="103"/>
      <c r="S120" s="103"/>
      <c r="T120" s="103"/>
      <c r="U120" s="103"/>
      <c r="V120" s="103"/>
      <c r="W120" s="103"/>
      <c r="X120" s="103"/>
      <c r="Y120" s="103"/>
      <c r="Z120" s="103"/>
    </row>
    <row r="121" spans="1:26" ht="15.75" customHeight="1">
      <c r="A121" s="101"/>
      <c r="B121" s="103"/>
      <c r="C121" s="103"/>
      <c r="D121" s="103"/>
      <c r="E121" s="103"/>
      <c r="F121" s="103"/>
      <c r="G121" s="103"/>
      <c r="H121" s="103"/>
      <c r="I121" s="103"/>
      <c r="J121" s="103"/>
      <c r="K121" s="103"/>
      <c r="L121" s="103"/>
      <c r="M121" s="103"/>
      <c r="N121" s="103"/>
      <c r="O121" s="103"/>
      <c r="P121" s="103"/>
      <c r="Q121" s="103"/>
      <c r="R121" s="103"/>
      <c r="S121" s="103"/>
      <c r="T121" s="103"/>
      <c r="U121" s="103"/>
      <c r="V121" s="103"/>
      <c r="W121" s="103"/>
      <c r="X121" s="103"/>
      <c r="Y121" s="103"/>
      <c r="Z121" s="103"/>
    </row>
    <row r="122" spans="1:26" ht="15.75" customHeight="1">
      <c r="A122" s="101"/>
      <c r="B122" s="103"/>
      <c r="C122" s="103"/>
      <c r="D122" s="103"/>
      <c r="E122" s="103"/>
      <c r="F122" s="103"/>
      <c r="G122" s="103"/>
      <c r="H122" s="103"/>
      <c r="I122" s="103"/>
      <c r="J122" s="103"/>
      <c r="K122" s="103"/>
      <c r="L122" s="103"/>
      <c r="M122" s="103"/>
      <c r="N122" s="103"/>
      <c r="O122" s="103"/>
      <c r="P122" s="103"/>
      <c r="Q122" s="103"/>
      <c r="R122" s="103"/>
      <c r="S122" s="103"/>
      <c r="T122" s="103"/>
      <c r="U122" s="103"/>
      <c r="V122" s="103"/>
      <c r="W122" s="103"/>
      <c r="X122" s="103"/>
      <c r="Y122" s="103"/>
      <c r="Z122" s="103"/>
    </row>
    <row r="123" spans="1:26" ht="15.75" customHeight="1">
      <c r="A123" s="101"/>
      <c r="B123" s="103"/>
      <c r="C123" s="103"/>
      <c r="D123" s="103"/>
      <c r="E123" s="103"/>
      <c r="F123" s="103"/>
      <c r="G123" s="103"/>
      <c r="H123" s="103"/>
      <c r="I123" s="103"/>
      <c r="J123" s="103"/>
      <c r="K123" s="103"/>
      <c r="L123" s="103"/>
      <c r="M123" s="103"/>
      <c r="N123" s="103"/>
      <c r="O123" s="103"/>
      <c r="P123" s="103"/>
      <c r="Q123" s="103"/>
      <c r="R123" s="103"/>
      <c r="S123" s="103"/>
      <c r="T123" s="103"/>
      <c r="U123" s="103"/>
      <c r="V123" s="103"/>
      <c r="W123" s="103"/>
      <c r="X123" s="103"/>
      <c r="Y123" s="103"/>
      <c r="Z123" s="103"/>
    </row>
    <row r="124" spans="1:26" ht="15.75" customHeight="1">
      <c r="A124" s="101"/>
      <c r="B124" s="103"/>
      <c r="C124" s="103"/>
      <c r="D124" s="103"/>
      <c r="E124" s="103"/>
      <c r="F124" s="103"/>
      <c r="G124" s="103"/>
      <c r="H124" s="103"/>
      <c r="I124" s="103"/>
      <c r="J124" s="103"/>
      <c r="K124" s="103"/>
      <c r="L124" s="103"/>
      <c r="M124" s="103"/>
      <c r="N124" s="103"/>
      <c r="O124" s="103"/>
      <c r="P124" s="103"/>
      <c r="Q124" s="103"/>
      <c r="R124" s="103"/>
      <c r="S124" s="103"/>
      <c r="T124" s="103"/>
      <c r="U124" s="103"/>
      <c r="V124" s="103"/>
      <c r="W124" s="103"/>
      <c r="X124" s="103"/>
      <c r="Y124" s="103"/>
      <c r="Z124" s="103"/>
    </row>
    <row r="125" spans="1:26" ht="15.75" customHeight="1">
      <c r="A125" s="101"/>
      <c r="B125" s="103"/>
      <c r="C125" s="103"/>
      <c r="D125" s="103"/>
      <c r="E125" s="103"/>
      <c r="F125" s="103"/>
      <c r="G125" s="103"/>
      <c r="H125" s="103"/>
      <c r="I125" s="103"/>
      <c r="J125" s="103"/>
      <c r="K125" s="103"/>
      <c r="L125" s="103"/>
      <c r="M125" s="103"/>
      <c r="N125" s="103"/>
      <c r="O125" s="103"/>
      <c r="P125" s="103"/>
      <c r="Q125" s="103"/>
      <c r="R125" s="103"/>
      <c r="S125" s="103"/>
      <c r="T125" s="103"/>
      <c r="U125" s="103"/>
      <c r="V125" s="103"/>
      <c r="W125" s="103"/>
      <c r="X125" s="103"/>
      <c r="Y125" s="103"/>
      <c r="Z125" s="103"/>
    </row>
    <row r="126" spans="1:26" ht="15.75" customHeight="1">
      <c r="A126" s="101"/>
      <c r="B126" s="103"/>
      <c r="C126" s="103"/>
      <c r="D126" s="103"/>
      <c r="E126" s="103"/>
      <c r="F126" s="103"/>
      <c r="G126" s="103"/>
      <c r="H126" s="103"/>
      <c r="I126" s="103"/>
      <c r="J126" s="103"/>
      <c r="K126" s="103"/>
      <c r="L126" s="103"/>
      <c r="M126" s="103"/>
      <c r="N126" s="103"/>
      <c r="O126" s="103"/>
      <c r="P126" s="103"/>
      <c r="Q126" s="103"/>
      <c r="R126" s="103"/>
      <c r="S126" s="103"/>
      <c r="T126" s="103"/>
      <c r="U126" s="103"/>
      <c r="V126" s="103"/>
      <c r="W126" s="103"/>
      <c r="X126" s="103"/>
      <c r="Y126" s="103"/>
      <c r="Z126" s="103"/>
    </row>
    <row r="127" spans="1:26" ht="15.75" customHeight="1">
      <c r="A127" s="101"/>
      <c r="B127" s="103"/>
      <c r="C127" s="103"/>
      <c r="D127" s="103"/>
      <c r="E127" s="103"/>
      <c r="F127" s="103"/>
      <c r="G127" s="103"/>
      <c r="H127" s="103"/>
      <c r="I127" s="103"/>
      <c r="J127" s="103"/>
      <c r="K127" s="103"/>
      <c r="L127" s="103"/>
      <c r="M127" s="103"/>
      <c r="N127" s="103"/>
      <c r="O127" s="103"/>
      <c r="P127" s="103"/>
      <c r="Q127" s="103"/>
      <c r="R127" s="103"/>
      <c r="S127" s="103"/>
      <c r="T127" s="103"/>
      <c r="U127" s="103"/>
      <c r="V127" s="103"/>
      <c r="W127" s="103"/>
      <c r="X127" s="103"/>
      <c r="Y127" s="103"/>
      <c r="Z127" s="103"/>
    </row>
    <row r="128" spans="1:26" ht="15.75" customHeight="1">
      <c r="A128" s="101"/>
      <c r="B128" s="103"/>
      <c r="C128" s="103"/>
      <c r="D128" s="103"/>
      <c r="E128" s="103"/>
      <c r="F128" s="103"/>
      <c r="G128" s="103"/>
      <c r="H128" s="103"/>
      <c r="I128" s="103"/>
      <c r="J128" s="103"/>
      <c r="K128" s="103"/>
      <c r="L128" s="103"/>
      <c r="M128" s="103"/>
      <c r="N128" s="103"/>
      <c r="O128" s="103"/>
      <c r="P128" s="103"/>
      <c r="Q128" s="103"/>
      <c r="R128" s="103"/>
      <c r="S128" s="103"/>
      <c r="T128" s="103"/>
      <c r="U128" s="103"/>
      <c r="V128" s="103"/>
      <c r="W128" s="103"/>
      <c r="X128" s="103"/>
      <c r="Y128" s="103"/>
      <c r="Z128" s="103"/>
    </row>
    <row r="129" spans="1:26" ht="15.75" customHeight="1">
      <c r="A129" s="101"/>
      <c r="B129" s="103"/>
      <c r="C129" s="103"/>
      <c r="D129" s="103"/>
      <c r="E129" s="103"/>
      <c r="F129" s="103"/>
      <c r="G129" s="103"/>
      <c r="H129" s="103"/>
      <c r="I129" s="103"/>
      <c r="J129" s="103"/>
      <c r="K129" s="103"/>
      <c r="L129" s="103"/>
      <c r="M129" s="103"/>
      <c r="N129" s="103"/>
      <c r="O129" s="103"/>
      <c r="P129" s="103"/>
      <c r="Q129" s="103"/>
      <c r="R129" s="103"/>
      <c r="S129" s="103"/>
      <c r="T129" s="103"/>
      <c r="U129" s="103"/>
      <c r="V129" s="103"/>
      <c r="W129" s="103"/>
      <c r="X129" s="103"/>
      <c r="Y129" s="103"/>
      <c r="Z129" s="103"/>
    </row>
    <row r="130" spans="1:26" ht="15.75" customHeight="1">
      <c r="A130" s="101"/>
      <c r="B130" s="103"/>
      <c r="C130" s="103"/>
      <c r="D130" s="103"/>
      <c r="E130" s="103"/>
      <c r="F130" s="103"/>
      <c r="G130" s="103"/>
      <c r="H130" s="103"/>
      <c r="I130" s="103"/>
      <c r="J130" s="103"/>
      <c r="K130" s="103"/>
      <c r="L130" s="103"/>
      <c r="M130" s="103"/>
      <c r="N130" s="103"/>
      <c r="O130" s="103"/>
      <c r="P130" s="103"/>
      <c r="Q130" s="103"/>
      <c r="R130" s="103"/>
      <c r="S130" s="103"/>
      <c r="T130" s="103"/>
      <c r="U130" s="103"/>
      <c r="V130" s="103"/>
      <c r="W130" s="103"/>
      <c r="X130" s="103"/>
      <c r="Y130" s="103"/>
      <c r="Z130" s="103"/>
    </row>
    <row r="131" spans="1:26" ht="15.75" customHeight="1">
      <c r="A131" s="101"/>
      <c r="B131" s="103"/>
      <c r="C131" s="103"/>
      <c r="D131" s="103"/>
      <c r="E131" s="103"/>
      <c r="F131" s="103"/>
      <c r="G131" s="103"/>
      <c r="H131" s="103"/>
      <c r="I131" s="103"/>
      <c r="J131" s="103"/>
      <c r="K131" s="103"/>
      <c r="L131" s="103"/>
      <c r="M131" s="103"/>
      <c r="N131" s="103"/>
      <c r="O131" s="103"/>
      <c r="P131" s="103"/>
      <c r="Q131" s="103"/>
      <c r="R131" s="103"/>
      <c r="S131" s="103"/>
      <c r="T131" s="103"/>
      <c r="U131" s="103"/>
      <c r="V131" s="103"/>
      <c r="W131" s="103"/>
      <c r="X131" s="103"/>
      <c r="Y131" s="103"/>
      <c r="Z131" s="103"/>
    </row>
    <row r="132" spans="1:26" ht="15.75" customHeight="1">
      <c r="A132" s="101"/>
      <c r="B132" s="103"/>
      <c r="C132" s="103"/>
      <c r="D132" s="103"/>
      <c r="E132" s="103"/>
      <c r="F132" s="103"/>
      <c r="G132" s="103"/>
      <c r="H132" s="103"/>
      <c r="I132" s="103"/>
      <c r="J132" s="103"/>
      <c r="K132" s="103"/>
      <c r="L132" s="103"/>
      <c r="M132" s="103"/>
      <c r="N132" s="103"/>
      <c r="O132" s="103"/>
      <c r="P132" s="103"/>
      <c r="Q132" s="103"/>
      <c r="R132" s="103"/>
      <c r="S132" s="103"/>
      <c r="T132" s="103"/>
      <c r="U132" s="103"/>
      <c r="V132" s="103"/>
      <c r="W132" s="103"/>
      <c r="X132" s="103"/>
      <c r="Y132" s="103"/>
      <c r="Z132" s="103"/>
    </row>
    <row r="133" spans="1:26" ht="15.75" customHeight="1">
      <c r="A133" s="101"/>
      <c r="B133" s="103"/>
      <c r="C133" s="103"/>
      <c r="D133" s="103"/>
      <c r="E133" s="103"/>
      <c r="F133" s="103"/>
      <c r="G133" s="103"/>
      <c r="H133" s="103"/>
      <c r="I133" s="103"/>
      <c r="J133" s="103"/>
      <c r="K133" s="103"/>
      <c r="L133" s="103"/>
      <c r="M133" s="103"/>
      <c r="N133" s="103"/>
      <c r="O133" s="103"/>
      <c r="P133" s="103"/>
      <c r="Q133" s="103"/>
      <c r="R133" s="103"/>
      <c r="S133" s="103"/>
      <c r="T133" s="103"/>
      <c r="U133" s="103"/>
      <c r="V133" s="103"/>
      <c r="W133" s="103"/>
      <c r="X133" s="103"/>
      <c r="Y133" s="103"/>
      <c r="Z133" s="103"/>
    </row>
    <row r="134" spans="1:26" ht="15.75" customHeight="1">
      <c r="A134" s="101"/>
      <c r="B134" s="103"/>
      <c r="C134" s="103"/>
      <c r="D134" s="103"/>
      <c r="E134" s="103"/>
      <c r="F134" s="103"/>
      <c r="G134" s="103"/>
      <c r="H134" s="103"/>
      <c r="I134" s="103"/>
      <c r="J134" s="103"/>
      <c r="K134" s="103"/>
      <c r="L134" s="103"/>
      <c r="M134" s="103"/>
      <c r="N134" s="103"/>
      <c r="O134" s="103"/>
      <c r="P134" s="103"/>
      <c r="Q134" s="103"/>
      <c r="R134" s="103"/>
      <c r="S134" s="103"/>
      <c r="T134" s="103"/>
      <c r="U134" s="103"/>
      <c r="V134" s="103"/>
      <c r="W134" s="103"/>
      <c r="X134" s="103"/>
      <c r="Y134" s="103"/>
      <c r="Z134" s="103"/>
    </row>
    <row r="135" spans="1:26" ht="15.75" customHeight="1">
      <c r="A135" s="101"/>
      <c r="B135" s="103"/>
      <c r="C135" s="103"/>
      <c r="D135" s="103"/>
      <c r="E135" s="103"/>
      <c r="F135" s="103"/>
      <c r="G135" s="103"/>
      <c r="H135" s="103"/>
      <c r="I135" s="103"/>
      <c r="J135" s="103"/>
      <c r="K135" s="103"/>
      <c r="L135" s="103"/>
      <c r="M135" s="103"/>
      <c r="N135" s="103"/>
      <c r="O135" s="103"/>
      <c r="P135" s="103"/>
      <c r="Q135" s="103"/>
      <c r="R135" s="103"/>
      <c r="S135" s="103"/>
      <c r="T135" s="103"/>
      <c r="U135" s="103"/>
      <c r="V135" s="103"/>
      <c r="W135" s="103"/>
      <c r="X135" s="103"/>
      <c r="Y135" s="103"/>
      <c r="Z135" s="103"/>
    </row>
    <row r="136" spans="1:26" ht="15.75" customHeight="1">
      <c r="A136" s="101"/>
      <c r="B136" s="103"/>
      <c r="C136" s="103"/>
      <c r="D136" s="103"/>
      <c r="E136" s="103"/>
      <c r="F136" s="103"/>
      <c r="G136" s="103"/>
      <c r="H136" s="103"/>
      <c r="I136" s="103"/>
      <c r="J136" s="103"/>
      <c r="K136" s="103"/>
      <c r="L136" s="103"/>
      <c r="M136" s="103"/>
      <c r="N136" s="103"/>
      <c r="O136" s="103"/>
      <c r="P136" s="103"/>
      <c r="Q136" s="103"/>
      <c r="R136" s="103"/>
      <c r="S136" s="103"/>
      <c r="T136" s="103"/>
      <c r="U136" s="103"/>
      <c r="V136" s="103"/>
      <c r="W136" s="103"/>
      <c r="X136" s="103"/>
      <c r="Y136" s="103"/>
      <c r="Z136" s="103"/>
    </row>
    <row r="137" spans="1:26" ht="15.75" customHeight="1">
      <c r="A137" s="101"/>
      <c r="B137" s="103"/>
      <c r="C137" s="103"/>
      <c r="D137" s="103"/>
      <c r="E137" s="103"/>
      <c r="F137" s="103"/>
      <c r="G137" s="103"/>
      <c r="H137" s="103"/>
      <c r="I137" s="103"/>
      <c r="J137" s="103"/>
      <c r="K137" s="103"/>
      <c r="L137" s="103"/>
      <c r="M137" s="103"/>
      <c r="N137" s="103"/>
      <c r="O137" s="103"/>
      <c r="P137" s="103"/>
      <c r="Q137" s="103"/>
      <c r="R137" s="103"/>
      <c r="S137" s="103"/>
      <c r="T137" s="103"/>
      <c r="U137" s="103"/>
      <c r="V137" s="103"/>
      <c r="W137" s="103"/>
      <c r="X137" s="103"/>
      <c r="Y137" s="103"/>
      <c r="Z137" s="103"/>
    </row>
    <row r="138" spans="1:26" ht="15.75" customHeight="1">
      <c r="A138" s="101"/>
      <c r="B138" s="103"/>
      <c r="C138" s="103"/>
      <c r="D138" s="103"/>
      <c r="E138" s="103"/>
      <c r="F138" s="103"/>
      <c r="G138" s="103"/>
      <c r="H138" s="103"/>
      <c r="I138" s="103"/>
      <c r="J138" s="103"/>
      <c r="K138" s="103"/>
      <c r="L138" s="103"/>
      <c r="M138" s="103"/>
      <c r="N138" s="103"/>
      <c r="O138" s="103"/>
      <c r="P138" s="103"/>
      <c r="Q138" s="103"/>
      <c r="R138" s="103"/>
      <c r="S138" s="103"/>
      <c r="T138" s="103"/>
      <c r="U138" s="103"/>
      <c r="V138" s="103"/>
      <c r="W138" s="103"/>
      <c r="X138" s="103"/>
      <c r="Y138" s="103"/>
      <c r="Z138" s="103"/>
    </row>
    <row r="139" spans="1:26" ht="15.75" customHeight="1">
      <c r="A139" s="101"/>
      <c r="B139" s="103"/>
      <c r="C139" s="103"/>
      <c r="D139" s="103"/>
      <c r="E139" s="103"/>
      <c r="F139" s="103"/>
      <c r="G139" s="103"/>
      <c r="H139" s="103"/>
      <c r="I139" s="103"/>
      <c r="J139" s="103"/>
      <c r="K139" s="103"/>
      <c r="L139" s="103"/>
      <c r="M139" s="103"/>
      <c r="N139" s="103"/>
      <c r="O139" s="103"/>
      <c r="P139" s="103"/>
      <c r="Q139" s="103"/>
      <c r="R139" s="103"/>
      <c r="S139" s="103"/>
      <c r="T139" s="103"/>
      <c r="U139" s="103"/>
      <c r="V139" s="103"/>
      <c r="W139" s="103"/>
      <c r="X139" s="103"/>
      <c r="Y139" s="103"/>
      <c r="Z139" s="103"/>
    </row>
    <row r="140" spans="1:26" ht="15.75" customHeight="1">
      <c r="A140" s="101"/>
      <c r="B140" s="103"/>
      <c r="C140" s="103"/>
      <c r="D140" s="103"/>
      <c r="E140" s="103"/>
      <c r="F140" s="103"/>
      <c r="G140" s="103"/>
      <c r="H140" s="103"/>
      <c r="I140" s="103"/>
      <c r="J140" s="103"/>
      <c r="K140" s="103"/>
      <c r="L140" s="103"/>
      <c r="M140" s="103"/>
      <c r="N140" s="103"/>
      <c r="O140" s="103"/>
      <c r="P140" s="103"/>
      <c r="Q140" s="103"/>
      <c r="R140" s="103"/>
      <c r="S140" s="103"/>
      <c r="T140" s="103"/>
      <c r="U140" s="103"/>
      <c r="V140" s="103"/>
      <c r="W140" s="103"/>
      <c r="X140" s="103"/>
      <c r="Y140" s="103"/>
      <c r="Z140" s="103"/>
    </row>
    <row r="141" spans="1:26" ht="15.75" customHeight="1">
      <c r="A141" s="101"/>
      <c r="B141" s="103"/>
      <c r="C141" s="103"/>
      <c r="D141" s="103"/>
      <c r="E141" s="103"/>
      <c r="F141" s="103"/>
      <c r="G141" s="103"/>
      <c r="H141" s="103"/>
      <c r="I141" s="103"/>
      <c r="J141" s="103"/>
      <c r="K141" s="103"/>
      <c r="L141" s="103"/>
      <c r="M141" s="103"/>
      <c r="N141" s="103"/>
      <c r="O141" s="103"/>
      <c r="P141" s="103"/>
      <c r="Q141" s="103"/>
      <c r="R141" s="103"/>
      <c r="S141" s="103"/>
      <c r="T141" s="103"/>
      <c r="U141" s="103"/>
      <c r="V141" s="103"/>
      <c r="W141" s="103"/>
      <c r="X141" s="103"/>
      <c r="Y141" s="103"/>
      <c r="Z141" s="103"/>
    </row>
    <row r="142" spans="1:26" ht="15.75" customHeight="1">
      <c r="A142" s="101"/>
      <c r="B142" s="103"/>
      <c r="C142" s="103"/>
      <c r="D142" s="103"/>
      <c r="E142" s="103"/>
      <c r="F142" s="103"/>
      <c r="G142" s="103"/>
      <c r="H142" s="103"/>
      <c r="I142" s="103"/>
      <c r="J142" s="103"/>
      <c r="K142" s="103"/>
      <c r="L142" s="103"/>
      <c r="M142" s="103"/>
      <c r="N142" s="103"/>
      <c r="O142" s="103"/>
      <c r="P142" s="103"/>
      <c r="Q142" s="103"/>
      <c r="R142" s="103"/>
      <c r="S142" s="103"/>
      <c r="T142" s="103"/>
      <c r="U142" s="103"/>
      <c r="V142" s="103"/>
      <c r="W142" s="103"/>
      <c r="X142" s="103"/>
      <c r="Y142" s="103"/>
      <c r="Z142" s="103"/>
    </row>
    <row r="143" spans="1:26" ht="15.75" customHeight="1">
      <c r="A143" s="101"/>
      <c r="B143" s="103"/>
      <c r="C143" s="103"/>
      <c r="D143" s="103"/>
      <c r="E143" s="103"/>
      <c r="F143" s="103"/>
      <c r="G143" s="103"/>
      <c r="H143" s="103"/>
      <c r="I143" s="103"/>
      <c r="J143" s="103"/>
      <c r="K143" s="103"/>
      <c r="L143" s="103"/>
      <c r="M143" s="103"/>
      <c r="N143" s="103"/>
      <c r="O143" s="103"/>
      <c r="P143" s="103"/>
      <c r="Q143" s="103"/>
      <c r="R143" s="103"/>
      <c r="S143" s="103"/>
      <c r="T143" s="103"/>
      <c r="U143" s="103"/>
      <c r="V143" s="103"/>
      <c r="W143" s="103"/>
      <c r="X143" s="103"/>
      <c r="Y143" s="103"/>
      <c r="Z143" s="103"/>
    </row>
    <row r="144" spans="1:26" ht="15.75" customHeight="1">
      <c r="A144" s="101"/>
      <c r="B144" s="103"/>
      <c r="C144" s="103"/>
      <c r="D144" s="103"/>
      <c r="E144" s="103"/>
      <c r="F144" s="103"/>
      <c r="G144" s="103"/>
      <c r="H144" s="103"/>
      <c r="I144" s="103"/>
      <c r="J144" s="103"/>
      <c r="K144" s="103"/>
      <c r="L144" s="103"/>
      <c r="M144" s="103"/>
      <c r="N144" s="103"/>
      <c r="O144" s="103"/>
      <c r="P144" s="103"/>
      <c r="Q144" s="103"/>
      <c r="R144" s="103"/>
      <c r="S144" s="103"/>
      <c r="T144" s="103"/>
      <c r="U144" s="103"/>
      <c r="V144" s="103"/>
      <c r="W144" s="103"/>
      <c r="X144" s="103"/>
      <c r="Y144" s="103"/>
      <c r="Z144" s="103"/>
    </row>
    <row r="145" spans="1:26" ht="15.75" customHeight="1">
      <c r="A145" s="101"/>
      <c r="B145" s="103"/>
      <c r="C145" s="103"/>
      <c r="D145" s="103"/>
      <c r="E145" s="103"/>
      <c r="F145" s="103"/>
      <c r="G145" s="103"/>
      <c r="H145" s="103"/>
      <c r="I145" s="103"/>
      <c r="J145" s="103"/>
      <c r="K145" s="103"/>
      <c r="L145" s="103"/>
      <c r="M145" s="103"/>
      <c r="N145" s="103"/>
      <c r="O145" s="103"/>
      <c r="P145" s="103"/>
      <c r="Q145" s="103"/>
      <c r="R145" s="103"/>
      <c r="S145" s="103"/>
      <c r="T145" s="103"/>
      <c r="U145" s="103"/>
      <c r="V145" s="103"/>
      <c r="W145" s="103"/>
      <c r="X145" s="103"/>
      <c r="Y145" s="103"/>
      <c r="Z145" s="103"/>
    </row>
    <row r="146" spans="1:26" ht="15.75" customHeight="1">
      <c r="A146" s="101"/>
      <c r="B146" s="103"/>
      <c r="C146" s="103"/>
      <c r="D146" s="103"/>
      <c r="E146" s="103"/>
      <c r="F146" s="103"/>
      <c r="G146" s="103"/>
      <c r="H146" s="103"/>
      <c r="I146" s="103"/>
      <c r="J146" s="103"/>
      <c r="K146" s="103"/>
      <c r="L146" s="103"/>
      <c r="M146" s="103"/>
      <c r="N146" s="103"/>
      <c r="O146" s="103"/>
      <c r="P146" s="103"/>
      <c r="Q146" s="103"/>
      <c r="R146" s="103"/>
      <c r="S146" s="103"/>
      <c r="T146" s="103"/>
      <c r="U146" s="103"/>
      <c r="V146" s="103"/>
      <c r="W146" s="103"/>
      <c r="X146" s="103"/>
      <c r="Y146" s="103"/>
      <c r="Z146" s="103"/>
    </row>
    <row r="147" spans="1:26" ht="15.75" customHeight="1">
      <c r="A147" s="101"/>
      <c r="B147" s="103"/>
      <c r="C147" s="103"/>
      <c r="D147" s="103"/>
      <c r="E147" s="103"/>
      <c r="F147" s="103"/>
      <c r="G147" s="103"/>
      <c r="H147" s="103"/>
      <c r="I147" s="103"/>
      <c r="J147" s="103"/>
      <c r="K147" s="103"/>
      <c r="L147" s="103"/>
      <c r="M147" s="103"/>
      <c r="N147" s="103"/>
      <c r="O147" s="103"/>
      <c r="P147" s="103"/>
      <c r="Q147" s="103"/>
      <c r="R147" s="103"/>
      <c r="S147" s="103"/>
      <c r="T147" s="103"/>
      <c r="U147" s="103"/>
      <c r="V147" s="103"/>
      <c r="W147" s="103"/>
      <c r="X147" s="103"/>
      <c r="Y147" s="103"/>
      <c r="Z147" s="103"/>
    </row>
    <row r="148" spans="1:26" ht="15.75" customHeight="1">
      <c r="A148" s="101"/>
      <c r="B148" s="103"/>
      <c r="C148" s="103"/>
      <c r="D148" s="103"/>
      <c r="E148" s="103"/>
      <c r="F148" s="103"/>
      <c r="G148" s="103"/>
      <c r="H148" s="103"/>
      <c r="I148" s="103"/>
      <c r="J148" s="103"/>
      <c r="K148" s="103"/>
      <c r="L148" s="103"/>
      <c r="M148" s="103"/>
      <c r="N148" s="103"/>
      <c r="O148" s="103"/>
      <c r="P148" s="103"/>
      <c r="Q148" s="103"/>
      <c r="R148" s="103"/>
      <c r="S148" s="103"/>
      <c r="T148" s="103"/>
      <c r="U148" s="103"/>
      <c r="V148" s="103"/>
      <c r="W148" s="103"/>
      <c r="X148" s="103"/>
      <c r="Y148" s="103"/>
      <c r="Z148" s="103"/>
    </row>
    <row r="149" spans="1:26" ht="15.75" customHeight="1">
      <c r="A149" s="101"/>
      <c r="B149" s="103"/>
      <c r="C149" s="103"/>
      <c r="D149" s="103"/>
      <c r="E149" s="103"/>
      <c r="F149" s="103"/>
      <c r="G149" s="103"/>
      <c r="H149" s="103"/>
      <c r="I149" s="103"/>
      <c r="J149" s="103"/>
      <c r="K149" s="103"/>
      <c r="L149" s="103"/>
      <c r="M149" s="103"/>
      <c r="N149" s="103"/>
      <c r="O149" s="103"/>
      <c r="P149" s="103"/>
      <c r="Q149" s="103"/>
      <c r="R149" s="103"/>
      <c r="S149" s="103"/>
      <c r="T149" s="103"/>
      <c r="U149" s="103"/>
      <c r="V149" s="103"/>
      <c r="W149" s="103"/>
      <c r="X149" s="103"/>
      <c r="Y149" s="103"/>
      <c r="Z149" s="103"/>
    </row>
    <row r="150" spans="1:26" ht="15.75" customHeight="1">
      <c r="A150" s="101"/>
      <c r="B150" s="103"/>
      <c r="C150" s="103"/>
      <c r="D150" s="103"/>
      <c r="E150" s="103"/>
      <c r="F150" s="103"/>
      <c r="G150" s="103"/>
      <c r="H150" s="103"/>
      <c r="I150" s="103"/>
      <c r="J150" s="103"/>
      <c r="K150" s="103"/>
      <c r="L150" s="103"/>
      <c r="M150" s="103"/>
      <c r="N150" s="103"/>
      <c r="O150" s="103"/>
      <c r="P150" s="103"/>
      <c r="Q150" s="103"/>
      <c r="R150" s="103"/>
      <c r="S150" s="103"/>
      <c r="T150" s="103"/>
      <c r="U150" s="103"/>
      <c r="V150" s="103"/>
      <c r="W150" s="103"/>
      <c r="X150" s="103"/>
      <c r="Y150" s="103"/>
      <c r="Z150" s="103"/>
    </row>
    <row r="151" spans="1:26" ht="15.75" customHeight="1">
      <c r="A151" s="101"/>
      <c r="B151" s="103"/>
      <c r="C151" s="103"/>
      <c r="D151" s="103"/>
      <c r="E151" s="103"/>
      <c r="F151" s="103"/>
      <c r="G151" s="103"/>
      <c r="H151" s="103"/>
      <c r="I151" s="103"/>
      <c r="J151" s="103"/>
      <c r="K151" s="103"/>
      <c r="L151" s="103"/>
      <c r="M151" s="103"/>
      <c r="N151" s="103"/>
      <c r="O151" s="103"/>
      <c r="P151" s="103"/>
      <c r="Q151" s="103"/>
      <c r="R151" s="103"/>
      <c r="S151" s="103"/>
      <c r="T151" s="103"/>
      <c r="U151" s="103"/>
      <c r="V151" s="103"/>
      <c r="W151" s="103"/>
      <c r="X151" s="103"/>
      <c r="Y151" s="103"/>
      <c r="Z151" s="103"/>
    </row>
    <row r="152" spans="1:26" ht="15.75" customHeight="1">
      <c r="A152" s="101"/>
      <c r="B152" s="103"/>
      <c r="C152" s="103"/>
      <c r="D152" s="103"/>
      <c r="E152" s="103"/>
      <c r="F152" s="103"/>
      <c r="G152" s="103"/>
      <c r="H152" s="103"/>
      <c r="I152" s="103"/>
      <c r="J152" s="103"/>
      <c r="K152" s="103"/>
      <c r="L152" s="103"/>
      <c r="M152" s="103"/>
      <c r="N152" s="103"/>
      <c r="O152" s="103"/>
      <c r="P152" s="103"/>
      <c r="Q152" s="103"/>
      <c r="R152" s="103"/>
      <c r="S152" s="103"/>
      <c r="T152" s="103"/>
      <c r="U152" s="103"/>
      <c r="V152" s="103"/>
      <c r="W152" s="103"/>
      <c r="X152" s="103"/>
      <c r="Y152" s="103"/>
      <c r="Z152" s="103"/>
    </row>
    <row r="153" spans="1:26" ht="15.75" customHeight="1">
      <c r="A153" s="101"/>
      <c r="B153" s="103"/>
      <c r="C153" s="103"/>
      <c r="D153" s="103"/>
      <c r="E153" s="103"/>
      <c r="F153" s="103"/>
      <c r="G153" s="103"/>
      <c r="H153" s="103"/>
      <c r="I153" s="103"/>
      <c r="J153" s="103"/>
      <c r="K153" s="103"/>
      <c r="L153" s="103"/>
      <c r="M153" s="103"/>
      <c r="N153" s="103"/>
      <c r="O153" s="103"/>
      <c r="P153" s="103"/>
      <c r="Q153" s="103"/>
      <c r="R153" s="103"/>
      <c r="S153" s="103"/>
      <c r="T153" s="103"/>
      <c r="U153" s="103"/>
      <c r="V153" s="103"/>
      <c r="W153" s="103"/>
      <c r="X153" s="103"/>
      <c r="Y153" s="103"/>
      <c r="Z153" s="103"/>
    </row>
    <row r="154" spans="1:26" ht="15.75" customHeight="1">
      <c r="A154" s="101"/>
      <c r="B154" s="103"/>
      <c r="C154" s="103"/>
      <c r="D154" s="103"/>
      <c r="E154" s="103"/>
      <c r="F154" s="103"/>
      <c r="G154" s="103"/>
      <c r="H154" s="103"/>
      <c r="I154" s="103"/>
      <c r="J154" s="103"/>
      <c r="K154" s="103"/>
      <c r="L154" s="103"/>
      <c r="M154" s="103"/>
      <c r="N154" s="103"/>
      <c r="O154" s="103"/>
      <c r="P154" s="103"/>
      <c r="Q154" s="103"/>
      <c r="R154" s="103"/>
      <c r="S154" s="103"/>
      <c r="T154" s="103"/>
      <c r="U154" s="103"/>
      <c r="V154" s="103"/>
      <c r="W154" s="103"/>
      <c r="X154" s="103"/>
      <c r="Y154" s="103"/>
      <c r="Z154" s="103"/>
    </row>
    <row r="155" spans="1:26" ht="15.75" customHeight="1">
      <c r="A155" s="101"/>
      <c r="B155" s="103"/>
      <c r="C155" s="103"/>
      <c r="D155" s="103"/>
      <c r="E155" s="103"/>
      <c r="F155" s="103"/>
      <c r="G155" s="103"/>
      <c r="H155" s="103"/>
      <c r="I155" s="103"/>
      <c r="J155" s="103"/>
      <c r="K155" s="103"/>
      <c r="L155" s="103"/>
      <c r="M155" s="103"/>
      <c r="N155" s="103"/>
      <c r="O155" s="103"/>
      <c r="P155" s="103"/>
      <c r="Q155" s="103"/>
      <c r="R155" s="103"/>
      <c r="S155" s="103"/>
      <c r="T155" s="103"/>
      <c r="U155" s="103"/>
      <c r="V155" s="103"/>
      <c r="W155" s="103"/>
      <c r="X155" s="103"/>
      <c r="Y155" s="103"/>
      <c r="Z155" s="103"/>
    </row>
    <row r="156" spans="1:26" ht="15.75" customHeight="1">
      <c r="A156" s="101"/>
      <c r="B156" s="103"/>
      <c r="C156" s="103"/>
      <c r="D156" s="103"/>
      <c r="E156" s="103"/>
      <c r="F156" s="103"/>
      <c r="G156" s="103"/>
      <c r="H156" s="103"/>
      <c r="I156" s="103"/>
      <c r="J156" s="103"/>
      <c r="K156" s="103"/>
      <c r="L156" s="103"/>
      <c r="M156" s="103"/>
      <c r="N156" s="103"/>
      <c r="O156" s="103"/>
      <c r="P156" s="103"/>
      <c r="Q156" s="103"/>
      <c r="R156" s="103"/>
      <c r="S156" s="103"/>
      <c r="T156" s="103"/>
      <c r="U156" s="103"/>
      <c r="V156" s="103"/>
      <c r="W156" s="103"/>
      <c r="X156" s="103"/>
      <c r="Y156" s="103"/>
      <c r="Z156" s="103"/>
    </row>
    <row r="157" spans="1:26" ht="15.75" customHeight="1">
      <c r="A157" s="101"/>
      <c r="B157" s="103"/>
      <c r="C157" s="103"/>
      <c r="D157" s="103"/>
      <c r="E157" s="103"/>
      <c r="F157" s="103"/>
      <c r="G157" s="103"/>
      <c r="H157" s="103"/>
      <c r="I157" s="103"/>
      <c r="J157" s="103"/>
      <c r="K157" s="103"/>
      <c r="L157" s="103"/>
      <c r="M157" s="103"/>
      <c r="N157" s="103"/>
      <c r="O157" s="103"/>
      <c r="P157" s="103"/>
      <c r="Q157" s="103"/>
      <c r="R157" s="103"/>
      <c r="S157" s="103"/>
      <c r="T157" s="103"/>
      <c r="U157" s="103"/>
      <c r="V157" s="103"/>
      <c r="W157" s="103"/>
      <c r="X157" s="103"/>
      <c r="Y157" s="103"/>
      <c r="Z157" s="103"/>
    </row>
    <row r="158" spans="1:26" ht="15.75" customHeight="1">
      <c r="A158" s="101"/>
      <c r="B158" s="103"/>
      <c r="C158" s="103"/>
      <c r="D158" s="103"/>
      <c r="E158" s="103"/>
      <c r="F158" s="103"/>
      <c r="G158" s="103"/>
      <c r="H158" s="103"/>
      <c r="I158" s="103"/>
      <c r="J158" s="103"/>
      <c r="K158" s="103"/>
      <c r="L158" s="103"/>
      <c r="M158" s="103"/>
      <c r="N158" s="103"/>
      <c r="O158" s="103"/>
      <c r="P158" s="103"/>
      <c r="Q158" s="103"/>
      <c r="R158" s="103"/>
      <c r="S158" s="103"/>
      <c r="T158" s="103"/>
      <c r="U158" s="103"/>
      <c r="V158" s="103"/>
      <c r="W158" s="103"/>
      <c r="X158" s="103"/>
      <c r="Y158" s="103"/>
      <c r="Z158" s="103"/>
    </row>
    <row r="159" spans="1:26" ht="15.75" customHeight="1">
      <c r="A159" s="101"/>
      <c r="B159" s="103"/>
      <c r="C159" s="103"/>
      <c r="D159" s="103"/>
      <c r="E159" s="103"/>
      <c r="F159" s="103"/>
      <c r="G159" s="103"/>
      <c r="H159" s="103"/>
      <c r="I159" s="103"/>
      <c r="J159" s="103"/>
      <c r="K159" s="103"/>
      <c r="L159" s="103"/>
      <c r="M159" s="103"/>
      <c r="N159" s="103"/>
      <c r="O159" s="103"/>
      <c r="P159" s="103"/>
      <c r="Q159" s="103"/>
      <c r="R159" s="103"/>
      <c r="S159" s="103"/>
      <c r="T159" s="103"/>
      <c r="U159" s="103"/>
      <c r="V159" s="103"/>
      <c r="W159" s="103"/>
      <c r="X159" s="103"/>
      <c r="Y159" s="103"/>
      <c r="Z159" s="103"/>
    </row>
    <row r="160" spans="1:26" ht="15.75" customHeight="1">
      <c r="A160" s="101"/>
      <c r="B160" s="103"/>
      <c r="C160" s="103"/>
      <c r="D160" s="103"/>
      <c r="E160" s="103"/>
      <c r="F160" s="103"/>
      <c r="G160" s="103"/>
      <c r="H160" s="103"/>
      <c r="I160" s="103"/>
      <c r="J160" s="103"/>
      <c r="K160" s="103"/>
      <c r="L160" s="103"/>
      <c r="M160" s="103"/>
      <c r="N160" s="103"/>
      <c r="O160" s="103"/>
      <c r="P160" s="103"/>
      <c r="Q160" s="103"/>
      <c r="R160" s="103"/>
      <c r="S160" s="103"/>
      <c r="T160" s="103"/>
      <c r="U160" s="103"/>
      <c r="V160" s="103"/>
      <c r="W160" s="103"/>
      <c r="X160" s="103"/>
      <c r="Y160" s="103"/>
      <c r="Z160" s="103"/>
    </row>
    <row r="161" spans="1:26" ht="15.75" customHeight="1">
      <c r="A161" s="101"/>
      <c r="B161" s="103"/>
      <c r="C161" s="103"/>
      <c r="D161" s="103"/>
      <c r="E161" s="103"/>
      <c r="F161" s="103"/>
      <c r="G161" s="103"/>
      <c r="H161" s="103"/>
      <c r="I161" s="103"/>
      <c r="J161" s="103"/>
      <c r="K161" s="103"/>
      <c r="L161" s="103"/>
      <c r="M161" s="103"/>
      <c r="N161" s="103"/>
      <c r="O161" s="103"/>
      <c r="P161" s="103"/>
      <c r="Q161" s="103"/>
      <c r="R161" s="103"/>
      <c r="S161" s="103"/>
      <c r="T161" s="103"/>
      <c r="U161" s="103"/>
      <c r="V161" s="103"/>
      <c r="W161" s="103"/>
      <c r="X161" s="103"/>
      <c r="Y161" s="103"/>
      <c r="Z161" s="103"/>
    </row>
    <row r="162" spans="1:26" ht="15.75" customHeight="1">
      <c r="A162" s="101"/>
      <c r="B162" s="103"/>
      <c r="C162" s="103"/>
      <c r="D162" s="103"/>
      <c r="E162" s="103"/>
      <c r="F162" s="103"/>
      <c r="G162" s="103"/>
      <c r="H162" s="103"/>
      <c r="I162" s="103"/>
      <c r="J162" s="103"/>
      <c r="K162" s="103"/>
      <c r="L162" s="103"/>
      <c r="M162" s="103"/>
      <c r="N162" s="103"/>
      <c r="O162" s="103"/>
      <c r="P162" s="103"/>
      <c r="Q162" s="103"/>
      <c r="R162" s="103"/>
      <c r="S162" s="103"/>
      <c r="T162" s="103"/>
      <c r="U162" s="103"/>
      <c r="V162" s="103"/>
      <c r="W162" s="103"/>
      <c r="X162" s="103"/>
      <c r="Y162" s="103"/>
      <c r="Z162" s="103"/>
    </row>
    <row r="163" spans="1:26" ht="15.75" customHeight="1">
      <c r="A163" s="101"/>
      <c r="B163" s="103"/>
      <c r="C163" s="103"/>
      <c r="D163" s="103"/>
      <c r="E163" s="103"/>
      <c r="F163" s="103"/>
      <c r="G163" s="103"/>
      <c r="H163" s="103"/>
      <c r="I163" s="103"/>
      <c r="J163" s="103"/>
      <c r="K163" s="103"/>
      <c r="L163" s="103"/>
      <c r="M163" s="103"/>
      <c r="N163" s="103"/>
      <c r="O163" s="103"/>
      <c r="P163" s="103"/>
      <c r="Q163" s="103"/>
      <c r="R163" s="103"/>
      <c r="S163" s="103"/>
      <c r="T163" s="103"/>
      <c r="U163" s="103"/>
      <c r="V163" s="103"/>
      <c r="W163" s="103"/>
      <c r="X163" s="103"/>
      <c r="Y163" s="103"/>
      <c r="Z163" s="103"/>
    </row>
    <row r="164" spans="1:26" ht="15.75" customHeight="1">
      <c r="A164" s="101"/>
      <c r="B164" s="103"/>
      <c r="C164" s="103"/>
      <c r="D164" s="103"/>
      <c r="E164" s="103"/>
      <c r="F164" s="103"/>
      <c r="G164" s="103"/>
      <c r="H164" s="103"/>
      <c r="I164" s="103"/>
      <c r="J164" s="103"/>
      <c r="K164" s="103"/>
      <c r="L164" s="103"/>
      <c r="M164" s="103"/>
      <c r="N164" s="103"/>
      <c r="O164" s="103"/>
      <c r="P164" s="103"/>
      <c r="Q164" s="103"/>
      <c r="R164" s="103"/>
      <c r="S164" s="103"/>
      <c r="T164" s="103"/>
      <c r="U164" s="103"/>
      <c r="V164" s="103"/>
      <c r="W164" s="103"/>
      <c r="X164" s="103"/>
      <c r="Y164" s="103"/>
      <c r="Z164" s="103"/>
    </row>
    <row r="165" spans="1:26" ht="15.75" customHeight="1">
      <c r="A165" s="101"/>
      <c r="B165" s="103"/>
      <c r="C165" s="103"/>
      <c r="D165" s="103"/>
      <c r="E165" s="103"/>
      <c r="F165" s="103"/>
      <c r="G165" s="103"/>
      <c r="H165" s="103"/>
      <c r="I165" s="103"/>
      <c r="J165" s="103"/>
      <c r="K165" s="103"/>
      <c r="L165" s="103"/>
      <c r="M165" s="103"/>
      <c r="N165" s="103"/>
      <c r="O165" s="103"/>
      <c r="P165" s="103"/>
      <c r="Q165" s="103"/>
      <c r="R165" s="103"/>
      <c r="S165" s="103"/>
      <c r="T165" s="103"/>
      <c r="U165" s="103"/>
      <c r="V165" s="103"/>
      <c r="W165" s="103"/>
      <c r="X165" s="103"/>
      <c r="Y165" s="103"/>
      <c r="Z165" s="103"/>
    </row>
    <row r="166" spans="1:26" ht="15.75" customHeight="1">
      <c r="A166" s="101"/>
      <c r="B166" s="103"/>
      <c r="C166" s="103"/>
      <c r="D166" s="103"/>
      <c r="E166" s="103"/>
      <c r="F166" s="103"/>
      <c r="G166" s="103"/>
      <c r="H166" s="103"/>
      <c r="I166" s="103"/>
      <c r="J166" s="103"/>
      <c r="K166" s="103"/>
      <c r="L166" s="103"/>
      <c r="M166" s="103"/>
      <c r="N166" s="103"/>
      <c r="O166" s="103"/>
      <c r="P166" s="103"/>
      <c r="Q166" s="103"/>
      <c r="R166" s="103"/>
      <c r="S166" s="103"/>
      <c r="T166" s="103"/>
      <c r="U166" s="103"/>
      <c r="V166" s="103"/>
      <c r="W166" s="103"/>
      <c r="X166" s="103"/>
      <c r="Y166" s="103"/>
      <c r="Z166" s="103"/>
    </row>
    <row r="167" spans="1:26" ht="15.75" customHeight="1">
      <c r="A167" s="101"/>
      <c r="B167" s="103"/>
      <c r="C167" s="103"/>
      <c r="D167" s="103"/>
      <c r="E167" s="103"/>
      <c r="F167" s="103"/>
      <c r="G167" s="103"/>
      <c r="H167" s="103"/>
      <c r="I167" s="103"/>
      <c r="J167" s="103"/>
      <c r="K167" s="103"/>
      <c r="L167" s="103"/>
      <c r="M167" s="103"/>
      <c r="N167" s="103"/>
      <c r="O167" s="103"/>
      <c r="P167" s="103"/>
      <c r="Q167" s="103"/>
      <c r="R167" s="103"/>
      <c r="S167" s="103"/>
      <c r="T167" s="103"/>
      <c r="U167" s="103"/>
      <c r="V167" s="103"/>
      <c r="W167" s="103"/>
      <c r="X167" s="103"/>
      <c r="Y167" s="103"/>
      <c r="Z167" s="103"/>
    </row>
    <row r="168" spans="1:26" ht="15.75" customHeight="1">
      <c r="A168" s="101"/>
      <c r="B168" s="103"/>
      <c r="C168" s="103"/>
      <c r="D168" s="103"/>
      <c r="E168" s="103"/>
      <c r="F168" s="103"/>
      <c r="G168" s="103"/>
      <c r="H168" s="103"/>
      <c r="I168" s="103"/>
      <c r="J168" s="103"/>
      <c r="K168" s="103"/>
      <c r="L168" s="103"/>
      <c r="M168" s="103"/>
      <c r="N168" s="103"/>
      <c r="O168" s="103"/>
      <c r="P168" s="103"/>
      <c r="Q168" s="103"/>
      <c r="R168" s="103"/>
      <c r="S168" s="103"/>
      <c r="T168" s="103"/>
      <c r="U168" s="103"/>
      <c r="V168" s="103"/>
      <c r="W168" s="103"/>
      <c r="X168" s="103"/>
      <c r="Y168" s="103"/>
      <c r="Z168" s="103"/>
    </row>
    <row r="169" spans="1:26" ht="15.75" customHeight="1">
      <c r="A169" s="101"/>
      <c r="B169" s="103"/>
      <c r="C169" s="103"/>
      <c r="D169" s="103"/>
      <c r="E169" s="103"/>
      <c r="F169" s="103"/>
      <c r="G169" s="103"/>
      <c r="H169" s="103"/>
      <c r="I169" s="103"/>
      <c r="J169" s="103"/>
      <c r="K169" s="103"/>
      <c r="L169" s="103"/>
      <c r="M169" s="103"/>
      <c r="N169" s="103"/>
      <c r="O169" s="103"/>
      <c r="P169" s="103"/>
      <c r="Q169" s="103"/>
      <c r="R169" s="103"/>
      <c r="S169" s="103"/>
      <c r="T169" s="103"/>
      <c r="U169" s="103"/>
      <c r="V169" s="103"/>
      <c r="W169" s="103"/>
      <c r="X169" s="103"/>
      <c r="Y169" s="103"/>
      <c r="Z169" s="103"/>
    </row>
    <row r="170" spans="1:26" ht="15.75" customHeight="1">
      <c r="A170" s="101"/>
      <c r="B170" s="103"/>
      <c r="C170" s="103"/>
      <c r="D170" s="103"/>
      <c r="E170" s="103"/>
      <c r="F170" s="103"/>
      <c r="G170" s="103"/>
      <c r="H170" s="103"/>
      <c r="I170" s="103"/>
      <c r="J170" s="103"/>
      <c r="K170" s="103"/>
      <c r="L170" s="103"/>
      <c r="M170" s="103"/>
      <c r="N170" s="103"/>
      <c r="O170" s="103"/>
      <c r="P170" s="103"/>
      <c r="Q170" s="103"/>
      <c r="R170" s="103"/>
      <c r="S170" s="103"/>
      <c r="T170" s="103"/>
      <c r="U170" s="103"/>
      <c r="V170" s="103"/>
      <c r="W170" s="103"/>
      <c r="X170" s="103"/>
      <c r="Y170" s="103"/>
      <c r="Z170" s="103"/>
    </row>
    <row r="171" spans="1:26" ht="15.75" customHeight="1">
      <c r="A171" s="101"/>
      <c r="B171" s="103"/>
      <c r="C171" s="103"/>
      <c r="D171" s="103"/>
      <c r="E171" s="103"/>
      <c r="F171" s="103"/>
      <c r="G171" s="103"/>
      <c r="H171" s="103"/>
      <c r="I171" s="103"/>
      <c r="J171" s="103"/>
      <c r="K171" s="103"/>
      <c r="L171" s="103"/>
      <c r="M171" s="103"/>
      <c r="N171" s="103"/>
      <c r="O171" s="103"/>
      <c r="P171" s="103"/>
      <c r="Q171" s="103"/>
      <c r="R171" s="103"/>
      <c r="S171" s="103"/>
      <c r="T171" s="103"/>
      <c r="U171" s="103"/>
      <c r="V171" s="103"/>
      <c r="W171" s="103"/>
      <c r="X171" s="103"/>
      <c r="Y171" s="103"/>
      <c r="Z171" s="103"/>
    </row>
    <row r="172" spans="1:26" ht="15.75" customHeight="1">
      <c r="A172" s="101"/>
      <c r="B172" s="103"/>
      <c r="C172" s="103"/>
      <c r="D172" s="103"/>
      <c r="E172" s="103"/>
      <c r="F172" s="103"/>
      <c r="G172" s="103"/>
      <c r="H172" s="103"/>
      <c r="I172" s="103"/>
      <c r="J172" s="103"/>
      <c r="K172" s="103"/>
      <c r="L172" s="103"/>
      <c r="M172" s="103"/>
      <c r="N172" s="103"/>
      <c r="O172" s="103"/>
      <c r="P172" s="103"/>
      <c r="Q172" s="103"/>
      <c r="R172" s="103"/>
      <c r="S172" s="103"/>
      <c r="T172" s="103"/>
      <c r="U172" s="103"/>
      <c r="V172" s="103"/>
      <c r="W172" s="103"/>
      <c r="X172" s="103"/>
      <c r="Y172" s="103"/>
      <c r="Z172" s="103"/>
    </row>
    <row r="173" spans="1:26" ht="15.75" customHeight="1">
      <c r="A173" s="101"/>
      <c r="B173" s="103"/>
      <c r="C173" s="103"/>
      <c r="D173" s="103"/>
      <c r="E173" s="103"/>
      <c r="F173" s="103"/>
      <c r="G173" s="103"/>
      <c r="H173" s="103"/>
      <c r="I173" s="103"/>
      <c r="J173" s="103"/>
      <c r="K173" s="103"/>
      <c r="L173" s="103"/>
      <c r="M173" s="103"/>
      <c r="N173" s="103"/>
      <c r="O173" s="103"/>
      <c r="P173" s="103"/>
      <c r="Q173" s="103"/>
      <c r="R173" s="103"/>
      <c r="S173" s="103"/>
      <c r="T173" s="103"/>
      <c r="U173" s="103"/>
      <c r="V173" s="103"/>
      <c r="W173" s="103"/>
      <c r="X173" s="103"/>
      <c r="Y173" s="103"/>
      <c r="Z173" s="103"/>
    </row>
    <row r="174" spans="1:26" ht="15.75" customHeight="1">
      <c r="A174" s="101"/>
      <c r="B174" s="103"/>
      <c r="C174" s="103"/>
      <c r="D174" s="103"/>
      <c r="E174" s="103"/>
      <c r="F174" s="103"/>
      <c r="G174" s="103"/>
      <c r="H174" s="103"/>
      <c r="I174" s="103"/>
      <c r="J174" s="103"/>
      <c r="K174" s="103"/>
      <c r="L174" s="103"/>
      <c r="M174" s="103"/>
      <c r="N174" s="103"/>
      <c r="O174" s="103"/>
      <c r="P174" s="103"/>
      <c r="Q174" s="103"/>
      <c r="R174" s="103"/>
      <c r="S174" s="103"/>
      <c r="T174" s="103"/>
      <c r="U174" s="103"/>
      <c r="V174" s="103"/>
      <c r="W174" s="103"/>
      <c r="X174" s="103"/>
      <c r="Y174" s="103"/>
      <c r="Z174" s="103"/>
    </row>
    <row r="175" spans="1:26" ht="15.75" customHeight="1">
      <c r="A175" s="101"/>
      <c r="B175" s="103"/>
      <c r="C175" s="103"/>
      <c r="D175" s="103"/>
      <c r="E175" s="103"/>
      <c r="F175" s="103"/>
      <c r="G175" s="103"/>
      <c r="H175" s="103"/>
      <c r="I175" s="103"/>
      <c r="J175" s="103"/>
      <c r="K175" s="103"/>
      <c r="L175" s="103"/>
      <c r="M175" s="103"/>
      <c r="N175" s="103"/>
      <c r="O175" s="103"/>
      <c r="P175" s="103"/>
      <c r="Q175" s="103"/>
      <c r="R175" s="103"/>
      <c r="S175" s="103"/>
      <c r="T175" s="103"/>
      <c r="U175" s="103"/>
      <c r="V175" s="103"/>
      <c r="W175" s="103"/>
      <c r="X175" s="103"/>
      <c r="Y175" s="103"/>
      <c r="Z175" s="103"/>
    </row>
    <row r="176" spans="1:26" ht="15.75" customHeight="1">
      <c r="A176" s="101"/>
      <c r="B176" s="103"/>
      <c r="C176" s="103"/>
      <c r="D176" s="103"/>
      <c r="E176" s="103"/>
      <c r="F176" s="103"/>
      <c r="G176" s="103"/>
      <c r="H176" s="103"/>
      <c r="I176" s="103"/>
      <c r="J176" s="103"/>
      <c r="K176" s="103"/>
      <c r="L176" s="103"/>
      <c r="M176" s="103"/>
      <c r="N176" s="103"/>
      <c r="O176" s="103"/>
      <c r="P176" s="103"/>
      <c r="Q176" s="103"/>
      <c r="R176" s="103"/>
      <c r="S176" s="103"/>
      <c r="T176" s="103"/>
      <c r="U176" s="103"/>
      <c r="V176" s="103"/>
      <c r="W176" s="103"/>
      <c r="X176" s="103"/>
      <c r="Y176" s="103"/>
      <c r="Z176" s="103"/>
    </row>
    <row r="177" spans="1:26" ht="15.75" customHeight="1">
      <c r="A177" s="101"/>
      <c r="B177" s="103"/>
      <c r="C177" s="103"/>
      <c r="D177" s="103"/>
      <c r="E177" s="103"/>
      <c r="F177" s="103"/>
      <c r="G177" s="103"/>
      <c r="H177" s="103"/>
      <c r="I177" s="103"/>
      <c r="J177" s="103"/>
      <c r="K177" s="103"/>
      <c r="L177" s="103"/>
      <c r="M177" s="103"/>
      <c r="N177" s="103"/>
      <c r="O177" s="103"/>
      <c r="P177" s="103"/>
      <c r="Q177" s="103"/>
      <c r="R177" s="103"/>
      <c r="S177" s="103"/>
      <c r="T177" s="103"/>
      <c r="U177" s="103"/>
      <c r="V177" s="103"/>
      <c r="W177" s="103"/>
      <c r="X177" s="103"/>
      <c r="Y177" s="103"/>
      <c r="Z177" s="103"/>
    </row>
    <row r="178" spans="1:26" ht="15.75" customHeight="1">
      <c r="A178" s="101"/>
      <c r="B178" s="103"/>
      <c r="C178" s="103"/>
      <c r="D178" s="103"/>
      <c r="E178" s="103"/>
      <c r="F178" s="103"/>
      <c r="G178" s="103"/>
      <c r="H178" s="103"/>
      <c r="I178" s="103"/>
      <c r="J178" s="103"/>
      <c r="K178" s="103"/>
      <c r="L178" s="103"/>
      <c r="M178" s="103"/>
      <c r="N178" s="103"/>
      <c r="O178" s="103"/>
      <c r="P178" s="103"/>
      <c r="Q178" s="103"/>
      <c r="R178" s="103"/>
      <c r="S178" s="103"/>
      <c r="T178" s="103"/>
      <c r="U178" s="103"/>
      <c r="V178" s="103"/>
      <c r="W178" s="103"/>
      <c r="X178" s="103"/>
      <c r="Y178" s="103"/>
      <c r="Z178" s="103"/>
    </row>
    <row r="179" spans="1:26" ht="15.75" customHeight="1">
      <c r="A179" s="101"/>
      <c r="B179" s="103"/>
      <c r="C179" s="103"/>
      <c r="D179" s="103"/>
      <c r="E179" s="103"/>
      <c r="F179" s="103"/>
      <c r="G179" s="103"/>
      <c r="H179" s="103"/>
      <c r="I179" s="103"/>
      <c r="J179" s="103"/>
      <c r="K179" s="103"/>
      <c r="L179" s="103"/>
      <c r="M179" s="103"/>
      <c r="N179" s="103"/>
      <c r="O179" s="103"/>
      <c r="P179" s="103"/>
      <c r="Q179" s="103"/>
      <c r="R179" s="103"/>
      <c r="S179" s="103"/>
      <c r="T179" s="103"/>
      <c r="U179" s="103"/>
      <c r="V179" s="103"/>
      <c r="W179" s="103"/>
      <c r="X179" s="103"/>
      <c r="Y179" s="103"/>
      <c r="Z179" s="103"/>
    </row>
    <row r="180" spans="1:26" ht="15.75" customHeight="1">
      <c r="A180" s="101"/>
      <c r="B180" s="103"/>
      <c r="C180" s="103"/>
      <c r="D180" s="103"/>
      <c r="E180" s="103"/>
      <c r="F180" s="103"/>
      <c r="G180" s="103"/>
      <c r="H180" s="103"/>
      <c r="I180" s="103"/>
      <c r="J180" s="103"/>
      <c r="K180" s="103"/>
      <c r="L180" s="103"/>
      <c r="M180" s="103"/>
      <c r="N180" s="103"/>
      <c r="O180" s="103"/>
      <c r="P180" s="103"/>
      <c r="Q180" s="103"/>
      <c r="R180" s="103"/>
      <c r="S180" s="103"/>
      <c r="T180" s="103"/>
      <c r="U180" s="103"/>
      <c r="V180" s="103"/>
      <c r="W180" s="103"/>
      <c r="X180" s="103"/>
      <c r="Y180" s="103"/>
      <c r="Z180" s="103"/>
    </row>
    <row r="181" spans="1:26" ht="15.75" customHeight="1">
      <c r="A181" s="101"/>
      <c r="B181" s="103"/>
      <c r="C181" s="103"/>
      <c r="D181" s="103"/>
      <c r="E181" s="103"/>
      <c r="F181" s="103"/>
      <c r="G181" s="103"/>
      <c r="H181" s="103"/>
      <c r="I181" s="103"/>
      <c r="J181" s="103"/>
      <c r="K181" s="103"/>
      <c r="L181" s="103"/>
      <c r="M181" s="103"/>
      <c r="N181" s="103"/>
      <c r="O181" s="103"/>
      <c r="P181" s="103"/>
      <c r="Q181" s="103"/>
      <c r="R181" s="103"/>
      <c r="S181" s="103"/>
      <c r="T181" s="103"/>
      <c r="U181" s="103"/>
      <c r="V181" s="103"/>
      <c r="W181" s="103"/>
      <c r="X181" s="103"/>
      <c r="Y181" s="103"/>
      <c r="Z181" s="103"/>
    </row>
    <row r="182" spans="1:26" ht="15.75" customHeight="1">
      <c r="A182" s="101"/>
      <c r="B182" s="103"/>
      <c r="C182" s="103"/>
      <c r="D182" s="103"/>
      <c r="E182" s="103"/>
      <c r="F182" s="103"/>
      <c r="G182" s="103"/>
      <c r="H182" s="103"/>
      <c r="I182" s="103"/>
      <c r="J182" s="103"/>
      <c r="K182" s="103"/>
      <c r="L182" s="103"/>
      <c r="M182" s="103"/>
      <c r="N182" s="103"/>
      <c r="O182" s="103"/>
      <c r="P182" s="103"/>
      <c r="Q182" s="103"/>
      <c r="R182" s="103"/>
      <c r="S182" s="103"/>
      <c r="T182" s="103"/>
      <c r="U182" s="103"/>
      <c r="V182" s="103"/>
      <c r="W182" s="103"/>
      <c r="X182" s="103"/>
      <c r="Y182" s="103"/>
      <c r="Z182" s="103"/>
    </row>
    <row r="183" spans="1:26" ht="15.75" customHeight="1">
      <c r="A183" s="101"/>
      <c r="B183" s="103"/>
      <c r="C183" s="103"/>
      <c r="D183" s="103"/>
      <c r="E183" s="103"/>
      <c r="F183" s="103"/>
      <c r="G183" s="103"/>
      <c r="H183" s="103"/>
      <c r="I183" s="103"/>
      <c r="J183" s="103"/>
      <c r="K183" s="103"/>
      <c r="L183" s="103"/>
      <c r="M183" s="103"/>
      <c r="N183" s="103"/>
      <c r="O183" s="103"/>
      <c r="P183" s="103"/>
      <c r="Q183" s="103"/>
      <c r="R183" s="103"/>
      <c r="S183" s="103"/>
      <c r="T183" s="103"/>
      <c r="U183" s="103"/>
      <c r="V183" s="103"/>
      <c r="W183" s="103"/>
      <c r="X183" s="103"/>
      <c r="Y183" s="103"/>
      <c r="Z183" s="103"/>
    </row>
    <row r="184" spans="1:26" ht="15.75" customHeight="1">
      <c r="A184" s="101"/>
      <c r="B184" s="103"/>
      <c r="C184" s="103"/>
      <c r="D184" s="103"/>
      <c r="E184" s="103"/>
      <c r="F184" s="103"/>
      <c r="G184" s="103"/>
      <c r="H184" s="103"/>
      <c r="I184" s="103"/>
      <c r="J184" s="103"/>
      <c r="K184" s="103"/>
      <c r="L184" s="103"/>
      <c r="M184" s="103"/>
      <c r="N184" s="103"/>
      <c r="O184" s="103"/>
      <c r="P184" s="103"/>
      <c r="Q184" s="103"/>
      <c r="R184" s="103"/>
      <c r="S184" s="103"/>
      <c r="T184" s="103"/>
      <c r="U184" s="103"/>
      <c r="V184" s="103"/>
      <c r="W184" s="103"/>
      <c r="X184" s="103"/>
      <c r="Y184" s="103"/>
      <c r="Z184" s="103"/>
    </row>
    <row r="185" spans="1:26" ht="15.75" customHeight="1">
      <c r="A185" s="101"/>
      <c r="B185" s="103"/>
      <c r="C185" s="103"/>
      <c r="D185" s="103"/>
      <c r="E185" s="103"/>
      <c r="F185" s="103"/>
      <c r="G185" s="103"/>
      <c r="H185" s="103"/>
      <c r="I185" s="103"/>
      <c r="J185" s="103"/>
      <c r="K185" s="103"/>
      <c r="L185" s="103"/>
      <c r="M185" s="103"/>
      <c r="N185" s="103"/>
      <c r="O185" s="103"/>
      <c r="P185" s="103"/>
      <c r="Q185" s="103"/>
      <c r="R185" s="103"/>
      <c r="S185" s="103"/>
      <c r="T185" s="103"/>
      <c r="U185" s="103"/>
      <c r="V185" s="103"/>
      <c r="W185" s="103"/>
      <c r="X185" s="103"/>
      <c r="Y185" s="103"/>
      <c r="Z185" s="103"/>
    </row>
    <row r="186" spans="1:26" ht="15.75" customHeight="1">
      <c r="A186" s="101"/>
      <c r="B186" s="103"/>
      <c r="C186" s="103"/>
      <c r="D186" s="103"/>
      <c r="E186" s="103"/>
      <c r="F186" s="103"/>
      <c r="G186" s="103"/>
      <c r="H186" s="103"/>
      <c r="I186" s="103"/>
      <c r="J186" s="103"/>
      <c r="K186" s="103"/>
      <c r="L186" s="103"/>
      <c r="M186" s="103"/>
      <c r="N186" s="103"/>
      <c r="O186" s="103"/>
      <c r="P186" s="103"/>
      <c r="Q186" s="103"/>
      <c r="R186" s="103"/>
      <c r="S186" s="103"/>
      <c r="T186" s="103"/>
      <c r="U186" s="103"/>
      <c r="V186" s="103"/>
      <c r="W186" s="103"/>
      <c r="X186" s="103"/>
      <c r="Y186" s="103"/>
      <c r="Z186" s="103"/>
    </row>
    <row r="187" spans="1:26" ht="15.75" customHeight="1">
      <c r="A187" s="101"/>
      <c r="B187" s="103"/>
      <c r="C187" s="103"/>
      <c r="D187" s="103"/>
      <c r="E187" s="103"/>
      <c r="F187" s="103"/>
      <c r="G187" s="103"/>
      <c r="H187" s="103"/>
      <c r="I187" s="103"/>
      <c r="J187" s="103"/>
      <c r="K187" s="103"/>
      <c r="L187" s="103"/>
      <c r="M187" s="103"/>
      <c r="N187" s="103"/>
      <c r="O187" s="103"/>
      <c r="P187" s="103"/>
      <c r="Q187" s="103"/>
      <c r="R187" s="103"/>
      <c r="S187" s="103"/>
      <c r="T187" s="103"/>
      <c r="U187" s="103"/>
      <c r="V187" s="103"/>
      <c r="W187" s="103"/>
      <c r="X187" s="103"/>
      <c r="Y187" s="103"/>
      <c r="Z187" s="103"/>
    </row>
    <row r="188" spans="1:26" ht="15.75" customHeight="1">
      <c r="A188" s="101"/>
      <c r="B188" s="103"/>
      <c r="C188" s="103"/>
      <c r="D188" s="103"/>
      <c r="E188" s="103"/>
      <c r="F188" s="103"/>
      <c r="G188" s="103"/>
      <c r="H188" s="103"/>
      <c r="I188" s="103"/>
      <c r="J188" s="103"/>
      <c r="K188" s="103"/>
      <c r="L188" s="103"/>
      <c r="M188" s="103"/>
      <c r="N188" s="103"/>
      <c r="O188" s="103"/>
      <c r="P188" s="103"/>
      <c r="Q188" s="103"/>
      <c r="R188" s="103"/>
      <c r="S188" s="103"/>
      <c r="T188" s="103"/>
      <c r="U188" s="103"/>
      <c r="V188" s="103"/>
      <c r="W188" s="103"/>
      <c r="X188" s="103"/>
      <c r="Y188" s="103"/>
      <c r="Z188" s="103"/>
    </row>
    <row r="189" spans="1:26" ht="15.75" customHeight="1">
      <c r="A189" s="101"/>
      <c r="B189" s="103"/>
      <c r="C189" s="103"/>
      <c r="D189" s="103"/>
      <c r="E189" s="103"/>
      <c r="F189" s="103"/>
      <c r="G189" s="103"/>
      <c r="H189" s="103"/>
      <c r="I189" s="103"/>
      <c r="J189" s="103"/>
      <c r="K189" s="103"/>
      <c r="L189" s="103"/>
      <c r="M189" s="103"/>
      <c r="N189" s="103"/>
      <c r="O189" s="103"/>
      <c r="P189" s="103"/>
      <c r="Q189" s="103"/>
      <c r="R189" s="103"/>
      <c r="S189" s="103"/>
      <c r="T189" s="103"/>
      <c r="U189" s="103"/>
      <c r="V189" s="103"/>
      <c r="W189" s="103"/>
      <c r="X189" s="103"/>
      <c r="Y189" s="103"/>
      <c r="Z189" s="103"/>
    </row>
    <row r="190" spans="1:26" ht="15.75" customHeight="1">
      <c r="A190" s="101"/>
      <c r="B190" s="103"/>
      <c r="C190" s="103"/>
      <c r="D190" s="103"/>
      <c r="E190" s="103"/>
      <c r="F190" s="103"/>
      <c r="G190" s="103"/>
      <c r="H190" s="103"/>
      <c r="I190" s="103"/>
      <c r="J190" s="103"/>
      <c r="K190" s="103"/>
      <c r="L190" s="103"/>
      <c r="M190" s="103"/>
      <c r="N190" s="103"/>
      <c r="O190" s="103"/>
      <c r="P190" s="103"/>
      <c r="Q190" s="103"/>
      <c r="R190" s="103"/>
      <c r="S190" s="103"/>
      <c r="T190" s="103"/>
      <c r="U190" s="103"/>
      <c r="V190" s="103"/>
      <c r="W190" s="103"/>
      <c r="X190" s="103"/>
      <c r="Y190" s="103"/>
      <c r="Z190" s="103"/>
    </row>
    <row r="191" spans="1:26" ht="15.75" customHeight="1">
      <c r="A191" s="101"/>
      <c r="B191" s="103"/>
      <c r="C191" s="103"/>
      <c r="D191" s="103"/>
      <c r="E191" s="103"/>
      <c r="F191" s="103"/>
      <c r="G191" s="103"/>
      <c r="H191" s="103"/>
      <c r="I191" s="103"/>
      <c r="J191" s="103"/>
      <c r="K191" s="103"/>
      <c r="L191" s="103"/>
      <c r="M191" s="103"/>
      <c r="N191" s="103"/>
      <c r="O191" s="103"/>
      <c r="P191" s="103"/>
      <c r="Q191" s="103"/>
      <c r="R191" s="103"/>
      <c r="S191" s="103"/>
      <c r="T191" s="103"/>
      <c r="U191" s="103"/>
      <c r="V191" s="103"/>
      <c r="W191" s="103"/>
      <c r="X191" s="103"/>
      <c r="Y191" s="103"/>
      <c r="Z191" s="103"/>
    </row>
    <row r="192" spans="1:26" ht="15.75" customHeight="1">
      <c r="A192" s="101"/>
      <c r="B192" s="103"/>
      <c r="C192" s="103"/>
      <c r="D192" s="103"/>
      <c r="E192" s="103"/>
      <c r="F192" s="103"/>
      <c r="G192" s="103"/>
      <c r="H192" s="103"/>
      <c r="I192" s="103"/>
      <c r="J192" s="103"/>
      <c r="K192" s="103"/>
      <c r="L192" s="103"/>
      <c r="M192" s="103"/>
      <c r="N192" s="103"/>
      <c r="O192" s="103"/>
      <c r="P192" s="103"/>
      <c r="Q192" s="103"/>
      <c r="R192" s="103"/>
      <c r="S192" s="103"/>
      <c r="T192" s="103"/>
      <c r="U192" s="103"/>
      <c r="V192" s="103"/>
      <c r="W192" s="103"/>
      <c r="X192" s="103"/>
      <c r="Y192" s="103"/>
      <c r="Z192" s="103"/>
    </row>
    <row r="193" spans="1:26" ht="15.75" customHeight="1">
      <c r="A193" s="101"/>
      <c r="B193" s="103"/>
      <c r="C193" s="103"/>
      <c r="D193" s="103"/>
      <c r="E193" s="103"/>
      <c r="F193" s="103"/>
      <c r="G193" s="103"/>
      <c r="H193" s="103"/>
      <c r="I193" s="103"/>
      <c r="J193" s="103"/>
      <c r="K193" s="103"/>
      <c r="L193" s="103"/>
      <c r="M193" s="103"/>
      <c r="N193" s="103"/>
      <c r="O193" s="103"/>
      <c r="P193" s="103"/>
      <c r="Q193" s="103"/>
      <c r="R193" s="103"/>
      <c r="S193" s="103"/>
      <c r="T193" s="103"/>
      <c r="U193" s="103"/>
      <c r="V193" s="103"/>
      <c r="W193" s="103"/>
      <c r="X193" s="103"/>
      <c r="Y193" s="103"/>
      <c r="Z193" s="103"/>
    </row>
    <row r="194" spans="1:26" ht="15.75" customHeight="1">
      <c r="A194" s="101"/>
      <c r="B194" s="103"/>
      <c r="C194" s="103"/>
      <c r="D194" s="103"/>
      <c r="E194" s="103"/>
      <c r="F194" s="103"/>
      <c r="G194" s="103"/>
      <c r="H194" s="103"/>
      <c r="I194" s="103"/>
      <c r="J194" s="103"/>
      <c r="K194" s="103"/>
      <c r="L194" s="103"/>
      <c r="M194" s="103"/>
      <c r="N194" s="103"/>
      <c r="O194" s="103"/>
      <c r="P194" s="103"/>
      <c r="Q194" s="103"/>
      <c r="R194" s="103"/>
      <c r="S194" s="103"/>
      <c r="T194" s="103"/>
      <c r="U194" s="103"/>
      <c r="V194" s="103"/>
      <c r="W194" s="103"/>
      <c r="X194" s="103"/>
      <c r="Y194" s="103"/>
      <c r="Z194" s="103"/>
    </row>
    <row r="195" spans="1:26" ht="15.75" customHeight="1">
      <c r="A195" s="101"/>
      <c r="B195" s="103"/>
      <c r="C195" s="103"/>
      <c r="D195" s="103"/>
      <c r="E195" s="103"/>
      <c r="F195" s="103"/>
      <c r="G195" s="103"/>
      <c r="H195" s="103"/>
      <c r="I195" s="103"/>
      <c r="J195" s="103"/>
      <c r="K195" s="103"/>
      <c r="L195" s="103"/>
      <c r="M195" s="103"/>
      <c r="N195" s="103"/>
      <c r="O195" s="103"/>
      <c r="P195" s="103"/>
      <c r="Q195" s="103"/>
      <c r="R195" s="103"/>
      <c r="S195" s="103"/>
      <c r="T195" s="103"/>
      <c r="U195" s="103"/>
      <c r="V195" s="103"/>
      <c r="W195" s="103"/>
      <c r="X195" s="103"/>
      <c r="Y195" s="103"/>
      <c r="Z195" s="103"/>
    </row>
    <row r="196" spans="1:26" ht="15.75" customHeight="1">
      <c r="A196" s="101"/>
      <c r="B196" s="103"/>
      <c r="C196" s="103"/>
      <c r="D196" s="103"/>
      <c r="E196" s="103"/>
      <c r="F196" s="103"/>
      <c r="G196" s="103"/>
      <c r="H196" s="103"/>
      <c r="I196" s="103"/>
      <c r="J196" s="103"/>
      <c r="K196" s="103"/>
      <c r="L196" s="103"/>
      <c r="M196" s="103"/>
      <c r="N196" s="103"/>
      <c r="O196" s="103"/>
      <c r="P196" s="103"/>
      <c r="Q196" s="103"/>
      <c r="R196" s="103"/>
      <c r="S196" s="103"/>
      <c r="T196" s="103"/>
      <c r="U196" s="103"/>
      <c r="V196" s="103"/>
      <c r="W196" s="103"/>
      <c r="X196" s="103"/>
      <c r="Y196" s="103"/>
      <c r="Z196" s="103"/>
    </row>
    <row r="197" spans="1:26" ht="15.75" customHeight="1">
      <c r="A197" s="101"/>
      <c r="B197" s="103"/>
      <c r="C197" s="103"/>
      <c r="D197" s="103"/>
      <c r="E197" s="103"/>
      <c r="F197" s="103"/>
      <c r="G197" s="103"/>
      <c r="H197" s="103"/>
      <c r="I197" s="103"/>
      <c r="J197" s="103"/>
      <c r="K197" s="103"/>
      <c r="L197" s="103"/>
      <c r="M197" s="103"/>
      <c r="N197" s="103"/>
      <c r="O197" s="103"/>
      <c r="P197" s="103"/>
      <c r="Q197" s="103"/>
      <c r="R197" s="103"/>
      <c r="S197" s="103"/>
      <c r="T197" s="103"/>
      <c r="U197" s="103"/>
      <c r="V197" s="103"/>
      <c r="W197" s="103"/>
      <c r="X197" s="103"/>
      <c r="Y197" s="103"/>
      <c r="Z197" s="103"/>
    </row>
    <row r="198" spans="1:26" ht="15.75" customHeight="1">
      <c r="A198" s="101"/>
      <c r="B198" s="103"/>
      <c r="C198" s="103"/>
      <c r="D198" s="103"/>
      <c r="E198" s="103"/>
      <c r="F198" s="103"/>
      <c r="G198" s="103"/>
      <c r="H198" s="103"/>
      <c r="I198" s="103"/>
      <c r="J198" s="103"/>
      <c r="K198" s="103"/>
      <c r="L198" s="103"/>
      <c r="M198" s="103"/>
      <c r="N198" s="103"/>
      <c r="O198" s="103"/>
      <c r="P198" s="103"/>
      <c r="Q198" s="103"/>
      <c r="R198" s="103"/>
      <c r="S198" s="103"/>
      <c r="T198" s="103"/>
      <c r="U198" s="103"/>
      <c r="V198" s="103"/>
      <c r="W198" s="103"/>
      <c r="X198" s="103"/>
      <c r="Y198" s="103"/>
      <c r="Z198" s="103"/>
    </row>
    <row r="199" spans="1:26" ht="15.75" customHeight="1">
      <c r="A199" s="101"/>
      <c r="B199" s="103"/>
      <c r="C199" s="103"/>
      <c r="D199" s="103"/>
      <c r="E199" s="103"/>
      <c r="F199" s="103"/>
      <c r="G199" s="103"/>
      <c r="H199" s="103"/>
      <c r="I199" s="103"/>
      <c r="J199" s="103"/>
      <c r="K199" s="103"/>
      <c r="L199" s="103"/>
      <c r="M199" s="103"/>
      <c r="N199" s="103"/>
      <c r="O199" s="103"/>
      <c r="P199" s="103"/>
      <c r="Q199" s="103"/>
      <c r="R199" s="103"/>
      <c r="S199" s="103"/>
      <c r="T199" s="103"/>
      <c r="U199" s="103"/>
      <c r="V199" s="103"/>
      <c r="W199" s="103"/>
      <c r="X199" s="103"/>
      <c r="Y199" s="103"/>
      <c r="Z199" s="103"/>
    </row>
    <row r="200" spans="1:26" ht="15.75" customHeight="1">
      <c r="A200" s="101"/>
      <c r="B200" s="103"/>
      <c r="C200" s="103"/>
      <c r="D200" s="103"/>
      <c r="E200" s="103"/>
      <c r="F200" s="103"/>
      <c r="G200" s="103"/>
      <c r="H200" s="103"/>
      <c r="I200" s="103"/>
      <c r="J200" s="103"/>
      <c r="K200" s="103"/>
      <c r="L200" s="103"/>
      <c r="M200" s="103"/>
      <c r="N200" s="103"/>
      <c r="O200" s="103"/>
      <c r="P200" s="103"/>
      <c r="Q200" s="103"/>
      <c r="R200" s="103"/>
      <c r="S200" s="103"/>
      <c r="T200" s="103"/>
      <c r="U200" s="103"/>
      <c r="V200" s="103"/>
      <c r="W200" s="103"/>
      <c r="X200" s="103"/>
      <c r="Y200" s="103"/>
      <c r="Z200" s="103"/>
    </row>
    <row r="201" spans="1:26" ht="15.75" customHeight="1">
      <c r="A201" s="101"/>
      <c r="B201" s="103"/>
      <c r="C201" s="103"/>
      <c r="D201" s="103"/>
      <c r="E201" s="103"/>
      <c r="F201" s="103"/>
      <c r="G201" s="103"/>
      <c r="H201" s="103"/>
      <c r="I201" s="103"/>
      <c r="J201" s="103"/>
      <c r="K201" s="103"/>
      <c r="L201" s="103"/>
      <c r="M201" s="103"/>
      <c r="N201" s="103"/>
      <c r="O201" s="103"/>
      <c r="P201" s="103"/>
      <c r="Q201" s="103"/>
      <c r="R201" s="103"/>
      <c r="S201" s="103"/>
      <c r="T201" s="103"/>
      <c r="U201" s="103"/>
      <c r="V201" s="103"/>
      <c r="W201" s="103"/>
      <c r="X201" s="103"/>
      <c r="Y201" s="103"/>
      <c r="Z201" s="103"/>
    </row>
    <row r="202" spans="1:26" ht="15.75" customHeight="1">
      <c r="A202" s="101"/>
      <c r="B202" s="103"/>
      <c r="C202" s="103"/>
      <c r="D202" s="103"/>
      <c r="E202" s="103"/>
      <c r="F202" s="103"/>
      <c r="G202" s="103"/>
      <c r="H202" s="103"/>
      <c r="I202" s="103"/>
      <c r="J202" s="103"/>
      <c r="K202" s="103"/>
      <c r="L202" s="103"/>
      <c r="M202" s="103"/>
      <c r="N202" s="103"/>
      <c r="O202" s="103"/>
      <c r="P202" s="103"/>
      <c r="Q202" s="103"/>
      <c r="R202" s="103"/>
      <c r="S202" s="103"/>
      <c r="T202" s="103"/>
      <c r="U202" s="103"/>
      <c r="V202" s="103"/>
      <c r="W202" s="103"/>
      <c r="X202" s="103"/>
      <c r="Y202" s="103"/>
      <c r="Z202" s="103"/>
    </row>
    <row r="203" spans="1:26" ht="15.75" customHeight="1">
      <c r="A203" s="101"/>
      <c r="B203" s="103"/>
      <c r="C203" s="103"/>
      <c r="D203" s="103"/>
      <c r="E203" s="103"/>
      <c r="F203" s="103"/>
      <c r="G203" s="103"/>
      <c r="H203" s="103"/>
      <c r="I203" s="103"/>
      <c r="J203" s="103"/>
      <c r="K203" s="103"/>
      <c r="L203" s="103"/>
      <c r="M203" s="103"/>
      <c r="N203" s="103"/>
      <c r="O203" s="103"/>
      <c r="P203" s="103"/>
      <c r="Q203" s="103"/>
      <c r="R203" s="103"/>
      <c r="S203" s="103"/>
      <c r="T203" s="103"/>
      <c r="U203" s="103"/>
      <c r="V203" s="103"/>
      <c r="W203" s="103"/>
      <c r="X203" s="103"/>
      <c r="Y203" s="103"/>
      <c r="Z203" s="103"/>
    </row>
    <row r="204" spans="1:26" ht="15.75" customHeight="1">
      <c r="A204" s="101"/>
      <c r="B204" s="103"/>
      <c r="C204" s="103"/>
      <c r="D204" s="103"/>
      <c r="E204" s="103"/>
      <c r="F204" s="103"/>
      <c r="G204" s="103"/>
      <c r="H204" s="103"/>
      <c r="I204" s="103"/>
      <c r="J204" s="103"/>
      <c r="K204" s="103"/>
      <c r="L204" s="103"/>
      <c r="M204" s="103"/>
      <c r="N204" s="103"/>
      <c r="O204" s="103"/>
      <c r="P204" s="103"/>
      <c r="Q204" s="103"/>
      <c r="R204" s="103"/>
      <c r="S204" s="103"/>
      <c r="T204" s="103"/>
      <c r="U204" s="103"/>
      <c r="V204" s="103"/>
      <c r="W204" s="103"/>
      <c r="X204" s="103"/>
      <c r="Y204" s="103"/>
      <c r="Z204" s="103"/>
    </row>
    <row r="205" spans="1:26" ht="15.75" customHeight="1">
      <c r="A205" s="101"/>
      <c r="B205" s="103"/>
      <c r="C205" s="103"/>
      <c r="D205" s="103"/>
      <c r="E205" s="103"/>
      <c r="F205" s="103"/>
      <c r="G205" s="103"/>
      <c r="H205" s="103"/>
      <c r="I205" s="103"/>
      <c r="J205" s="103"/>
      <c r="K205" s="103"/>
      <c r="L205" s="103"/>
      <c r="M205" s="103"/>
      <c r="N205" s="103"/>
      <c r="O205" s="103"/>
      <c r="P205" s="103"/>
      <c r="Q205" s="103"/>
      <c r="R205" s="103"/>
      <c r="S205" s="103"/>
      <c r="T205" s="103"/>
      <c r="U205" s="103"/>
      <c r="V205" s="103"/>
      <c r="W205" s="103"/>
      <c r="X205" s="103"/>
      <c r="Y205" s="103"/>
      <c r="Z205" s="103"/>
    </row>
    <row r="206" spans="1:26" ht="15.75" customHeight="1">
      <c r="A206" s="101"/>
      <c r="B206" s="103"/>
      <c r="C206" s="103"/>
      <c r="D206" s="103"/>
      <c r="E206" s="103"/>
      <c r="F206" s="103"/>
      <c r="G206" s="103"/>
      <c r="H206" s="103"/>
      <c r="I206" s="103"/>
      <c r="J206" s="103"/>
      <c r="K206" s="103"/>
      <c r="L206" s="103"/>
      <c r="M206" s="103"/>
      <c r="N206" s="103"/>
      <c r="O206" s="103"/>
      <c r="P206" s="103"/>
      <c r="Q206" s="103"/>
      <c r="R206" s="103"/>
      <c r="S206" s="103"/>
      <c r="T206" s="103"/>
      <c r="U206" s="103"/>
      <c r="V206" s="103"/>
      <c r="W206" s="103"/>
      <c r="X206" s="103"/>
      <c r="Y206" s="103"/>
      <c r="Z206" s="103"/>
    </row>
    <row r="207" spans="1:26" ht="15.75" customHeight="1">
      <c r="A207" s="101"/>
      <c r="B207" s="103"/>
      <c r="C207" s="103"/>
      <c r="D207" s="103"/>
      <c r="E207" s="103"/>
      <c r="F207" s="103"/>
      <c r="G207" s="103"/>
      <c r="H207" s="103"/>
      <c r="I207" s="103"/>
      <c r="J207" s="103"/>
      <c r="K207" s="103"/>
      <c r="L207" s="103"/>
      <c r="M207" s="103"/>
      <c r="N207" s="103"/>
      <c r="O207" s="103"/>
      <c r="P207" s="103"/>
      <c r="Q207" s="103"/>
      <c r="R207" s="103"/>
      <c r="S207" s="103"/>
      <c r="T207" s="103"/>
      <c r="U207" s="103"/>
      <c r="V207" s="103"/>
      <c r="W207" s="103"/>
      <c r="X207" s="103"/>
      <c r="Y207" s="103"/>
      <c r="Z207" s="103"/>
    </row>
    <row r="208" spans="1:26" ht="15.75" customHeight="1">
      <c r="A208" s="101"/>
      <c r="B208" s="103"/>
      <c r="C208" s="103"/>
      <c r="D208" s="103"/>
      <c r="E208" s="103"/>
      <c r="F208" s="103"/>
      <c r="G208" s="103"/>
      <c r="H208" s="103"/>
      <c r="I208" s="103"/>
      <c r="J208" s="103"/>
      <c r="K208" s="103"/>
      <c r="L208" s="103"/>
      <c r="M208" s="103"/>
      <c r="N208" s="103"/>
      <c r="O208" s="103"/>
      <c r="P208" s="103"/>
      <c r="Q208" s="103"/>
      <c r="R208" s="103"/>
      <c r="S208" s="103"/>
      <c r="T208" s="103"/>
      <c r="U208" s="103"/>
      <c r="V208" s="103"/>
      <c r="W208" s="103"/>
      <c r="X208" s="103"/>
      <c r="Y208" s="103"/>
      <c r="Z208" s="103"/>
    </row>
    <row r="209" spans="1:26" ht="15.75" customHeight="1">
      <c r="A209" s="101"/>
      <c r="B209" s="103"/>
      <c r="C209" s="103"/>
      <c r="D209" s="103"/>
      <c r="E209" s="103"/>
      <c r="F209" s="103"/>
      <c r="G209" s="103"/>
      <c r="H209" s="103"/>
      <c r="I209" s="103"/>
      <c r="J209" s="103"/>
      <c r="K209" s="103"/>
      <c r="L209" s="103"/>
      <c r="M209" s="103"/>
      <c r="N209" s="103"/>
      <c r="O209" s="103"/>
      <c r="P209" s="103"/>
      <c r="Q209" s="103"/>
      <c r="R209" s="103"/>
      <c r="S209" s="103"/>
      <c r="T209" s="103"/>
      <c r="U209" s="103"/>
      <c r="V209" s="103"/>
      <c r="W209" s="103"/>
      <c r="X209" s="103"/>
      <c r="Y209" s="103"/>
      <c r="Z209" s="103"/>
    </row>
    <row r="210" spans="1:26" ht="15.75" customHeight="1">
      <c r="A210" s="101"/>
      <c r="B210" s="103"/>
      <c r="C210" s="103"/>
      <c r="D210" s="103"/>
      <c r="E210" s="103"/>
      <c r="F210" s="103"/>
      <c r="G210" s="103"/>
      <c r="H210" s="103"/>
      <c r="I210" s="103"/>
      <c r="J210" s="103"/>
      <c r="K210" s="103"/>
      <c r="L210" s="103"/>
      <c r="M210" s="103"/>
      <c r="N210" s="103"/>
      <c r="O210" s="103"/>
      <c r="P210" s="103"/>
      <c r="Q210" s="103"/>
      <c r="R210" s="103"/>
      <c r="S210" s="103"/>
      <c r="T210" s="103"/>
      <c r="U210" s="103"/>
      <c r="V210" s="103"/>
      <c r="W210" s="103"/>
      <c r="X210" s="103"/>
      <c r="Y210" s="103"/>
      <c r="Z210" s="103"/>
    </row>
    <row r="211" spans="1:26" ht="15.75" customHeight="1">
      <c r="A211" s="101"/>
      <c r="B211" s="103"/>
      <c r="C211" s="103"/>
      <c r="D211" s="103"/>
      <c r="E211" s="103"/>
      <c r="F211" s="103"/>
      <c r="G211" s="103"/>
      <c r="H211" s="103"/>
      <c r="I211" s="103"/>
      <c r="J211" s="103"/>
      <c r="K211" s="103"/>
      <c r="L211" s="103"/>
      <c r="M211" s="103"/>
      <c r="N211" s="103"/>
      <c r="O211" s="103"/>
      <c r="P211" s="103"/>
      <c r="Q211" s="103"/>
      <c r="R211" s="103"/>
      <c r="S211" s="103"/>
      <c r="T211" s="103"/>
      <c r="U211" s="103"/>
      <c r="V211" s="103"/>
      <c r="W211" s="103"/>
      <c r="X211" s="103"/>
      <c r="Y211" s="103"/>
      <c r="Z211" s="103"/>
    </row>
    <row r="212" spans="1:26" ht="15.75" customHeight="1">
      <c r="A212" s="101"/>
      <c r="B212" s="103"/>
      <c r="C212" s="103"/>
      <c r="D212" s="103"/>
      <c r="E212" s="103"/>
      <c r="F212" s="103"/>
      <c r="G212" s="103"/>
      <c r="H212" s="103"/>
      <c r="I212" s="103"/>
      <c r="J212" s="103"/>
      <c r="K212" s="103"/>
      <c r="L212" s="103"/>
      <c r="M212" s="103"/>
      <c r="N212" s="103"/>
      <c r="O212" s="103"/>
      <c r="P212" s="103"/>
      <c r="Q212" s="103"/>
      <c r="R212" s="103"/>
      <c r="S212" s="103"/>
      <c r="T212" s="103"/>
      <c r="U212" s="103"/>
      <c r="V212" s="103"/>
      <c r="W212" s="103"/>
      <c r="X212" s="103"/>
      <c r="Y212" s="103"/>
      <c r="Z212" s="103"/>
    </row>
    <row r="213" spans="1:26" ht="15.75" customHeight="1">
      <c r="A213" s="101"/>
      <c r="B213" s="103"/>
      <c r="C213" s="103"/>
      <c r="D213" s="103"/>
      <c r="E213" s="103"/>
      <c r="F213" s="103"/>
      <c r="G213" s="103"/>
      <c r="H213" s="103"/>
      <c r="I213" s="103"/>
      <c r="J213" s="103"/>
      <c r="K213" s="103"/>
      <c r="L213" s="103"/>
      <c r="M213" s="103"/>
      <c r="N213" s="103"/>
      <c r="O213" s="103"/>
      <c r="P213" s="103"/>
      <c r="Q213" s="103"/>
      <c r="R213" s="103"/>
      <c r="S213" s="103"/>
      <c r="T213" s="103"/>
      <c r="U213" s="103"/>
      <c r="V213" s="103"/>
      <c r="W213" s="103"/>
      <c r="X213" s="103"/>
      <c r="Y213" s="103"/>
      <c r="Z213" s="103"/>
    </row>
    <row r="214" spans="1:26" ht="15.75" customHeight="1">
      <c r="A214" s="101"/>
      <c r="B214" s="103"/>
      <c r="C214" s="103"/>
      <c r="D214" s="103"/>
      <c r="E214" s="103"/>
      <c r="F214" s="103"/>
      <c r="G214" s="103"/>
      <c r="H214" s="103"/>
      <c r="I214" s="103"/>
      <c r="J214" s="103"/>
      <c r="K214" s="103"/>
      <c r="L214" s="103"/>
      <c r="M214" s="103"/>
      <c r="N214" s="103"/>
      <c r="O214" s="103"/>
      <c r="P214" s="103"/>
      <c r="Q214" s="103"/>
      <c r="R214" s="103"/>
      <c r="S214" s="103"/>
      <c r="T214" s="103"/>
      <c r="U214" s="103"/>
      <c r="V214" s="103"/>
      <c r="W214" s="103"/>
      <c r="X214" s="103"/>
      <c r="Y214" s="103"/>
      <c r="Z214" s="103"/>
    </row>
    <row r="215" spans="1:26" ht="15.75" customHeight="1">
      <c r="A215" s="101"/>
      <c r="B215" s="103"/>
      <c r="C215" s="103"/>
      <c r="D215" s="103"/>
      <c r="E215" s="103"/>
      <c r="F215" s="103"/>
      <c r="G215" s="103"/>
      <c r="H215" s="103"/>
      <c r="I215" s="103"/>
      <c r="J215" s="103"/>
      <c r="K215" s="103"/>
      <c r="L215" s="103"/>
      <c r="M215" s="103"/>
      <c r="N215" s="103"/>
      <c r="O215" s="103"/>
      <c r="P215" s="103"/>
      <c r="Q215" s="103"/>
      <c r="R215" s="103"/>
      <c r="S215" s="103"/>
      <c r="T215" s="103"/>
      <c r="U215" s="103"/>
      <c r="V215" s="103"/>
      <c r="W215" s="103"/>
      <c r="X215" s="103"/>
      <c r="Y215" s="103"/>
      <c r="Z215" s="103"/>
    </row>
    <row r="216" spans="1:26" ht="15.75" customHeight="1">
      <c r="A216" s="101"/>
      <c r="B216" s="103"/>
      <c r="C216" s="103"/>
      <c r="D216" s="103"/>
      <c r="E216" s="103"/>
      <c r="F216" s="103"/>
      <c r="G216" s="103"/>
      <c r="H216" s="103"/>
      <c r="I216" s="103"/>
      <c r="J216" s="103"/>
      <c r="K216" s="103"/>
      <c r="L216" s="103"/>
      <c r="M216" s="103"/>
      <c r="N216" s="103"/>
      <c r="O216" s="103"/>
      <c r="P216" s="103"/>
      <c r="Q216" s="103"/>
      <c r="R216" s="103"/>
      <c r="S216" s="103"/>
      <c r="T216" s="103"/>
      <c r="U216" s="103"/>
      <c r="V216" s="103"/>
      <c r="W216" s="103"/>
      <c r="X216" s="103"/>
      <c r="Y216" s="103"/>
      <c r="Z216" s="103"/>
    </row>
    <row r="217" spans="1:26" ht="15.75" customHeight="1">
      <c r="A217" s="101"/>
      <c r="B217" s="103"/>
      <c r="C217" s="103"/>
      <c r="D217" s="103"/>
      <c r="E217" s="103"/>
      <c r="F217" s="103"/>
      <c r="G217" s="103"/>
      <c r="H217" s="103"/>
      <c r="I217" s="103"/>
      <c r="J217" s="103"/>
      <c r="K217" s="103"/>
      <c r="L217" s="103"/>
      <c r="M217" s="103"/>
      <c r="N217" s="103"/>
      <c r="O217" s="103"/>
      <c r="P217" s="103"/>
      <c r="Q217" s="103"/>
      <c r="R217" s="103"/>
      <c r="S217" s="103"/>
      <c r="T217" s="103"/>
      <c r="U217" s="103"/>
      <c r="V217" s="103"/>
      <c r="W217" s="103"/>
      <c r="X217" s="103"/>
      <c r="Y217" s="103"/>
      <c r="Z217" s="103"/>
    </row>
    <row r="218" spans="1:26" ht="15.75" customHeight="1">
      <c r="A218" s="101"/>
      <c r="B218" s="103"/>
      <c r="C218" s="103"/>
      <c r="D218" s="103"/>
      <c r="E218" s="103"/>
      <c r="F218" s="103"/>
      <c r="G218" s="103"/>
      <c r="H218" s="103"/>
      <c r="I218" s="103"/>
      <c r="J218" s="103"/>
      <c r="K218" s="103"/>
      <c r="L218" s="103"/>
      <c r="M218" s="103"/>
      <c r="N218" s="103"/>
      <c r="O218" s="103"/>
      <c r="P218" s="103"/>
      <c r="Q218" s="103"/>
      <c r="R218" s="103"/>
      <c r="S218" s="103"/>
      <c r="T218" s="103"/>
      <c r="U218" s="103"/>
      <c r="V218" s="103"/>
      <c r="W218" s="103"/>
      <c r="X218" s="103"/>
      <c r="Y218" s="103"/>
      <c r="Z218" s="103"/>
    </row>
    <row r="219" spans="1:26" ht="15.75" customHeight="1">
      <c r="A219" s="101"/>
      <c r="B219" s="103"/>
      <c r="C219" s="103"/>
      <c r="D219" s="103"/>
      <c r="E219" s="103"/>
      <c r="F219" s="103"/>
      <c r="G219" s="103"/>
      <c r="H219" s="103"/>
      <c r="I219" s="103"/>
      <c r="J219" s="103"/>
      <c r="K219" s="103"/>
      <c r="L219" s="103"/>
      <c r="M219" s="103"/>
      <c r="N219" s="103"/>
      <c r="O219" s="103"/>
      <c r="P219" s="103"/>
      <c r="Q219" s="103"/>
      <c r="R219" s="103"/>
      <c r="S219" s="103"/>
      <c r="T219" s="103"/>
      <c r="U219" s="103"/>
      <c r="V219" s="103"/>
      <c r="W219" s="103"/>
      <c r="X219" s="103"/>
      <c r="Y219" s="103"/>
      <c r="Z219" s="103"/>
    </row>
    <row r="220" spans="1:26" ht="15.75" customHeight="1">
      <c r="A220" s="101"/>
      <c r="B220" s="103"/>
      <c r="C220" s="103"/>
      <c r="D220" s="103"/>
      <c r="E220" s="103"/>
      <c r="F220" s="103"/>
      <c r="G220" s="103"/>
      <c r="H220" s="103"/>
      <c r="I220" s="103"/>
      <c r="J220" s="103"/>
      <c r="K220" s="103"/>
      <c r="L220" s="103"/>
      <c r="M220" s="103"/>
      <c r="N220" s="103"/>
      <c r="O220" s="103"/>
      <c r="P220" s="103"/>
      <c r="Q220" s="103"/>
      <c r="R220" s="103"/>
      <c r="S220" s="103"/>
      <c r="T220" s="103"/>
      <c r="U220" s="103"/>
      <c r="V220" s="103"/>
      <c r="W220" s="103"/>
      <c r="X220" s="103"/>
      <c r="Y220" s="103"/>
      <c r="Z220" s="103"/>
    </row>
    <row r="221" spans="1:26" ht="15.75" customHeight="1">
      <c r="A221" s="101"/>
      <c r="B221" s="103"/>
      <c r="C221" s="103"/>
      <c r="D221" s="103"/>
      <c r="E221" s="103"/>
      <c r="F221" s="103"/>
      <c r="G221" s="103"/>
      <c r="H221" s="103"/>
      <c r="I221" s="103"/>
      <c r="J221" s="103"/>
      <c r="K221" s="103"/>
      <c r="L221" s="103"/>
      <c r="M221" s="103"/>
      <c r="N221" s="103"/>
      <c r="O221" s="103"/>
      <c r="P221" s="103"/>
      <c r="Q221" s="103"/>
      <c r="R221" s="103"/>
      <c r="S221" s="103"/>
      <c r="T221" s="103"/>
      <c r="U221" s="103"/>
      <c r="V221" s="103"/>
      <c r="W221" s="103"/>
      <c r="X221" s="103"/>
      <c r="Y221" s="103"/>
      <c r="Z221" s="103"/>
    </row>
    <row r="222" spans="1:26" ht="15.75" customHeight="1">
      <c r="A222" s="101"/>
      <c r="B222" s="103"/>
      <c r="C222" s="103"/>
      <c r="D222" s="103"/>
      <c r="E222" s="103"/>
      <c r="F222" s="103"/>
      <c r="G222" s="103"/>
      <c r="H222" s="103"/>
      <c r="I222" s="103"/>
      <c r="J222" s="103"/>
      <c r="K222" s="103"/>
      <c r="L222" s="103"/>
      <c r="M222" s="103"/>
      <c r="N222" s="103"/>
      <c r="O222" s="103"/>
      <c r="P222" s="103"/>
      <c r="Q222" s="103"/>
      <c r="R222" s="103"/>
      <c r="S222" s="103"/>
      <c r="T222" s="103"/>
      <c r="U222" s="103"/>
      <c r="V222" s="103"/>
      <c r="W222" s="103"/>
      <c r="X222" s="103"/>
      <c r="Y222" s="103"/>
      <c r="Z222" s="103"/>
    </row>
    <row r="223" spans="1:26" ht="15.75" customHeight="1">
      <c r="A223" s="101"/>
      <c r="B223" s="103"/>
      <c r="C223" s="103"/>
      <c r="D223" s="103"/>
      <c r="E223" s="103"/>
      <c r="F223" s="103"/>
      <c r="G223" s="103"/>
      <c r="H223" s="103"/>
      <c r="I223" s="103"/>
      <c r="J223" s="103"/>
      <c r="K223" s="103"/>
      <c r="L223" s="103"/>
      <c r="M223" s="103"/>
      <c r="N223" s="103"/>
      <c r="O223" s="103"/>
      <c r="P223" s="103"/>
      <c r="Q223" s="103"/>
      <c r="R223" s="103"/>
      <c r="S223" s="103"/>
      <c r="T223" s="103"/>
      <c r="U223" s="103"/>
      <c r="V223" s="103"/>
      <c r="W223" s="103"/>
      <c r="X223" s="103"/>
      <c r="Y223" s="103"/>
      <c r="Z223" s="103"/>
    </row>
    <row r="224" spans="1:26" ht="15.75" customHeight="1">
      <c r="A224" s="101"/>
      <c r="B224" s="103"/>
      <c r="C224" s="103"/>
      <c r="D224" s="103"/>
      <c r="E224" s="103"/>
      <c r="F224" s="103"/>
      <c r="G224" s="103"/>
      <c r="H224" s="103"/>
      <c r="I224" s="103"/>
      <c r="J224" s="103"/>
      <c r="K224" s="103"/>
      <c r="L224" s="103"/>
      <c r="M224" s="103"/>
      <c r="N224" s="103"/>
      <c r="O224" s="103"/>
      <c r="P224" s="103"/>
      <c r="Q224" s="103"/>
      <c r="R224" s="103"/>
      <c r="S224" s="103"/>
      <c r="T224" s="103"/>
      <c r="U224" s="103"/>
      <c r="V224" s="103"/>
      <c r="W224" s="103"/>
      <c r="X224" s="103"/>
      <c r="Y224" s="103"/>
      <c r="Z224" s="103"/>
    </row>
    <row r="225" spans="1:26" ht="15.75" customHeight="1">
      <c r="A225" s="101"/>
      <c r="B225" s="103"/>
      <c r="C225" s="103"/>
      <c r="D225" s="103"/>
      <c r="E225" s="103"/>
      <c r="F225" s="103"/>
      <c r="G225" s="103"/>
      <c r="H225" s="103"/>
      <c r="I225" s="103"/>
      <c r="J225" s="103"/>
      <c r="K225" s="103"/>
      <c r="L225" s="103"/>
      <c r="M225" s="103"/>
      <c r="N225" s="103"/>
      <c r="O225" s="103"/>
      <c r="P225" s="103"/>
      <c r="Q225" s="103"/>
      <c r="R225" s="103"/>
      <c r="S225" s="103"/>
      <c r="T225" s="103"/>
      <c r="U225" s="103"/>
      <c r="V225" s="103"/>
      <c r="W225" s="103"/>
      <c r="X225" s="103"/>
      <c r="Y225" s="103"/>
      <c r="Z225" s="103"/>
    </row>
    <row r="226" spans="1:26" ht="15.75" customHeight="1">
      <c r="A226" s="101"/>
      <c r="B226" s="103"/>
      <c r="C226" s="103"/>
      <c r="D226" s="103"/>
      <c r="E226" s="103"/>
      <c r="F226" s="103"/>
      <c r="G226" s="103"/>
      <c r="H226" s="103"/>
      <c r="I226" s="103"/>
      <c r="J226" s="103"/>
      <c r="K226" s="103"/>
      <c r="L226" s="103"/>
      <c r="M226" s="103"/>
      <c r="N226" s="103"/>
      <c r="O226" s="103"/>
      <c r="P226" s="103"/>
      <c r="Q226" s="103"/>
      <c r="R226" s="103"/>
      <c r="S226" s="103"/>
      <c r="T226" s="103"/>
      <c r="U226" s="103"/>
      <c r="V226" s="103"/>
      <c r="W226" s="103"/>
      <c r="X226" s="103"/>
      <c r="Y226" s="103"/>
      <c r="Z226" s="103"/>
    </row>
    <row r="227" spans="1:26" ht="15.75" customHeight="1">
      <c r="A227" s="101"/>
      <c r="B227" s="103"/>
      <c r="C227" s="103"/>
      <c r="D227" s="103"/>
      <c r="E227" s="103"/>
      <c r="F227" s="103"/>
      <c r="G227" s="103"/>
      <c r="H227" s="103"/>
      <c r="I227" s="103"/>
      <c r="J227" s="103"/>
      <c r="K227" s="103"/>
      <c r="L227" s="103"/>
      <c r="M227" s="103"/>
      <c r="N227" s="103"/>
      <c r="O227" s="103"/>
      <c r="P227" s="103"/>
      <c r="Q227" s="103"/>
      <c r="R227" s="103"/>
      <c r="S227" s="103"/>
      <c r="T227" s="103"/>
      <c r="U227" s="103"/>
      <c r="V227" s="103"/>
      <c r="W227" s="103"/>
      <c r="X227" s="103"/>
      <c r="Y227" s="103"/>
      <c r="Z227" s="103"/>
    </row>
    <row r="228" spans="1:26" ht="15.75" customHeight="1">
      <c r="A228" s="101"/>
      <c r="B228" s="103"/>
      <c r="C228" s="103"/>
      <c r="D228" s="103"/>
      <c r="E228" s="103"/>
      <c r="F228" s="103"/>
      <c r="G228" s="103"/>
      <c r="H228" s="103"/>
      <c r="I228" s="103"/>
      <c r="J228" s="103"/>
      <c r="K228" s="103"/>
      <c r="L228" s="103"/>
      <c r="M228" s="103"/>
      <c r="N228" s="103"/>
      <c r="O228" s="103"/>
      <c r="P228" s="103"/>
      <c r="Q228" s="103"/>
      <c r="R228" s="103"/>
      <c r="S228" s="103"/>
      <c r="T228" s="103"/>
      <c r="U228" s="103"/>
      <c r="V228" s="103"/>
      <c r="W228" s="103"/>
      <c r="X228" s="103"/>
      <c r="Y228" s="103"/>
      <c r="Z228" s="103"/>
    </row>
    <row r="229" spans="1:26" ht="15.75" customHeight="1">
      <c r="A229" s="101"/>
      <c r="B229" s="103"/>
      <c r="C229" s="103"/>
      <c r="D229" s="103"/>
      <c r="E229" s="103"/>
      <c r="F229" s="103"/>
      <c r="G229" s="103"/>
      <c r="H229" s="103"/>
      <c r="I229" s="103"/>
      <c r="J229" s="103"/>
      <c r="K229" s="103"/>
      <c r="L229" s="103"/>
      <c r="M229" s="103"/>
      <c r="N229" s="103"/>
      <c r="O229" s="103"/>
      <c r="P229" s="103"/>
      <c r="Q229" s="103"/>
      <c r="R229" s="103"/>
      <c r="S229" s="103"/>
      <c r="T229" s="103"/>
      <c r="U229" s="103"/>
      <c r="V229" s="103"/>
      <c r="W229" s="103"/>
      <c r="X229" s="103"/>
      <c r="Y229" s="103"/>
      <c r="Z229" s="103"/>
    </row>
    <row r="230" spans="1:26" ht="15.75" customHeight="1">
      <c r="A230" s="101"/>
      <c r="B230" s="103"/>
      <c r="C230" s="103"/>
      <c r="D230" s="103"/>
      <c r="E230" s="103"/>
      <c r="F230" s="103"/>
      <c r="G230" s="103"/>
      <c r="H230" s="103"/>
      <c r="I230" s="103"/>
      <c r="J230" s="103"/>
      <c r="K230" s="103"/>
      <c r="L230" s="103"/>
      <c r="M230" s="103"/>
      <c r="N230" s="103"/>
      <c r="O230" s="103"/>
      <c r="P230" s="103"/>
      <c r="Q230" s="103"/>
      <c r="R230" s="103"/>
      <c r="S230" s="103"/>
      <c r="T230" s="103"/>
      <c r="U230" s="103"/>
      <c r="V230" s="103"/>
      <c r="W230" s="103"/>
      <c r="X230" s="103"/>
      <c r="Y230" s="103"/>
      <c r="Z230" s="103"/>
    </row>
    <row r="231" spans="1:26" ht="15.75" customHeight="1">
      <c r="A231" s="101"/>
      <c r="B231" s="103"/>
      <c r="C231" s="103"/>
      <c r="D231" s="103"/>
      <c r="E231" s="103"/>
      <c r="F231" s="103"/>
      <c r="G231" s="103"/>
      <c r="H231" s="103"/>
      <c r="I231" s="103"/>
      <c r="J231" s="103"/>
      <c r="K231" s="103"/>
      <c r="L231" s="103"/>
      <c r="M231" s="103"/>
      <c r="N231" s="103"/>
      <c r="O231" s="103"/>
      <c r="P231" s="103"/>
      <c r="Q231" s="103"/>
      <c r="R231" s="103"/>
      <c r="S231" s="103"/>
      <c r="T231" s="103"/>
      <c r="U231" s="103"/>
      <c r="V231" s="103"/>
      <c r="W231" s="103"/>
      <c r="X231" s="103"/>
      <c r="Y231" s="103"/>
      <c r="Z231" s="103"/>
    </row>
    <row r="232" spans="1:26" ht="15.75" customHeight="1">
      <c r="A232" s="101"/>
      <c r="B232" s="103"/>
      <c r="C232" s="103"/>
      <c r="D232" s="103"/>
      <c r="E232" s="103"/>
      <c r="F232" s="103"/>
      <c r="G232" s="103"/>
      <c r="H232" s="103"/>
      <c r="I232" s="103"/>
      <c r="J232" s="103"/>
      <c r="K232" s="103"/>
      <c r="L232" s="103"/>
      <c r="M232" s="103"/>
      <c r="N232" s="103"/>
      <c r="O232" s="103"/>
      <c r="P232" s="103"/>
      <c r="Q232" s="103"/>
      <c r="R232" s="103"/>
      <c r="S232" s="103"/>
      <c r="T232" s="103"/>
      <c r="U232" s="103"/>
      <c r="V232" s="103"/>
      <c r="W232" s="103"/>
      <c r="X232" s="103"/>
      <c r="Y232" s="103"/>
      <c r="Z232" s="103"/>
    </row>
    <row r="233" spans="1:26" ht="15.75" customHeight="1">
      <c r="A233" s="101"/>
      <c r="B233" s="103"/>
      <c r="C233" s="103"/>
      <c r="D233" s="103"/>
      <c r="E233" s="103"/>
      <c r="F233" s="103"/>
      <c r="G233" s="103"/>
      <c r="H233" s="103"/>
      <c r="I233" s="103"/>
      <c r="J233" s="103"/>
      <c r="K233" s="103"/>
      <c r="L233" s="103"/>
      <c r="M233" s="103"/>
      <c r="N233" s="103"/>
      <c r="O233" s="103"/>
      <c r="P233" s="103"/>
      <c r="Q233" s="103"/>
      <c r="R233" s="103"/>
      <c r="S233" s="103"/>
      <c r="T233" s="103"/>
      <c r="U233" s="103"/>
      <c r="V233" s="103"/>
      <c r="W233" s="103"/>
      <c r="X233" s="103"/>
      <c r="Y233" s="103"/>
      <c r="Z233" s="103"/>
    </row>
    <row r="234" spans="1:26" ht="15.75" customHeight="1">
      <c r="A234" s="101"/>
      <c r="B234" s="103"/>
      <c r="C234" s="103"/>
      <c r="D234" s="103"/>
      <c r="E234" s="103"/>
      <c r="F234" s="103"/>
      <c r="G234" s="103"/>
      <c r="H234" s="103"/>
      <c r="I234" s="103"/>
      <c r="J234" s="103"/>
      <c r="K234" s="103"/>
      <c r="L234" s="103"/>
      <c r="M234" s="103"/>
      <c r="N234" s="103"/>
      <c r="O234" s="103"/>
      <c r="P234" s="103"/>
      <c r="Q234" s="103"/>
      <c r="R234" s="103"/>
      <c r="S234" s="103"/>
      <c r="T234" s="103"/>
      <c r="U234" s="103"/>
      <c r="V234" s="103"/>
      <c r="W234" s="103"/>
      <c r="X234" s="103"/>
      <c r="Y234" s="103"/>
      <c r="Z234" s="103"/>
    </row>
    <row r="235" spans="1:26" ht="15.75" customHeight="1">
      <c r="A235" s="101"/>
      <c r="B235" s="103"/>
      <c r="C235" s="103"/>
      <c r="D235" s="103"/>
      <c r="E235" s="103"/>
      <c r="F235" s="103"/>
      <c r="G235" s="103"/>
      <c r="H235" s="103"/>
      <c r="I235" s="103"/>
      <c r="J235" s="103"/>
      <c r="K235" s="103"/>
      <c r="L235" s="103"/>
      <c r="M235" s="103"/>
      <c r="N235" s="103"/>
      <c r="O235" s="103"/>
      <c r="P235" s="103"/>
      <c r="Q235" s="103"/>
      <c r="R235" s="103"/>
      <c r="S235" s="103"/>
      <c r="T235" s="103"/>
      <c r="U235" s="103"/>
      <c r="V235" s="103"/>
      <c r="W235" s="103"/>
      <c r="X235" s="103"/>
      <c r="Y235" s="103"/>
      <c r="Z235" s="103"/>
    </row>
    <row r="236" spans="1:26" ht="15.75" customHeight="1">
      <c r="A236" s="101"/>
      <c r="B236" s="103"/>
      <c r="C236" s="103"/>
      <c r="D236" s="103"/>
      <c r="E236" s="103"/>
      <c r="F236" s="103"/>
      <c r="G236" s="103"/>
      <c r="H236" s="103"/>
      <c r="I236" s="103"/>
      <c r="J236" s="103"/>
      <c r="K236" s="103"/>
      <c r="L236" s="103"/>
      <c r="M236" s="103"/>
      <c r="N236" s="103"/>
      <c r="O236" s="103"/>
      <c r="P236" s="103"/>
      <c r="Q236" s="103"/>
      <c r="R236" s="103"/>
      <c r="S236" s="103"/>
      <c r="T236" s="103"/>
      <c r="U236" s="103"/>
      <c r="V236" s="103"/>
      <c r="W236" s="103"/>
      <c r="X236" s="103"/>
      <c r="Y236" s="103"/>
      <c r="Z236" s="103"/>
    </row>
    <row r="237" spans="1:26" ht="15.75" customHeight="1">
      <c r="A237" s="101"/>
      <c r="B237" s="103"/>
      <c r="C237" s="103"/>
      <c r="D237" s="103"/>
      <c r="E237" s="103"/>
      <c r="F237" s="103"/>
      <c r="G237" s="103"/>
      <c r="H237" s="103"/>
      <c r="I237" s="103"/>
      <c r="J237" s="103"/>
      <c r="K237" s="103"/>
      <c r="L237" s="103"/>
      <c r="M237" s="103"/>
      <c r="N237" s="103"/>
      <c r="O237" s="103"/>
      <c r="P237" s="103"/>
      <c r="Q237" s="103"/>
      <c r="R237" s="103"/>
      <c r="S237" s="103"/>
      <c r="T237" s="103"/>
      <c r="U237" s="103"/>
      <c r="V237" s="103"/>
      <c r="W237" s="103"/>
      <c r="X237" s="103"/>
      <c r="Y237" s="103"/>
      <c r="Z237" s="103"/>
    </row>
    <row r="238" spans="1:26" ht="15.75" customHeight="1">
      <c r="A238" s="101"/>
      <c r="B238" s="103"/>
      <c r="C238" s="103"/>
      <c r="D238" s="103"/>
      <c r="E238" s="103"/>
      <c r="F238" s="103"/>
      <c r="G238" s="103"/>
      <c r="H238" s="103"/>
      <c r="I238" s="103"/>
      <c r="J238" s="103"/>
      <c r="K238" s="103"/>
      <c r="L238" s="103"/>
      <c r="M238" s="103"/>
      <c r="N238" s="103"/>
      <c r="O238" s="103"/>
      <c r="P238" s="103"/>
      <c r="Q238" s="103"/>
      <c r="R238" s="103"/>
      <c r="S238" s="103"/>
      <c r="T238" s="103"/>
      <c r="U238" s="103"/>
      <c r="V238" s="103"/>
      <c r="W238" s="103"/>
      <c r="X238" s="103"/>
      <c r="Y238" s="103"/>
      <c r="Z238" s="103"/>
    </row>
    <row r="239" spans="1:26" ht="15.75" customHeight="1">
      <c r="A239" s="101"/>
      <c r="B239" s="103"/>
      <c r="C239" s="103"/>
      <c r="D239" s="103"/>
      <c r="E239" s="103"/>
      <c r="F239" s="103"/>
      <c r="G239" s="103"/>
      <c r="H239" s="103"/>
      <c r="I239" s="103"/>
      <c r="J239" s="103"/>
      <c r="K239" s="103"/>
      <c r="L239" s="103"/>
      <c r="M239" s="103"/>
      <c r="N239" s="103"/>
      <c r="O239" s="103"/>
      <c r="P239" s="103"/>
      <c r="Q239" s="103"/>
      <c r="R239" s="103"/>
      <c r="S239" s="103"/>
      <c r="T239" s="103"/>
      <c r="U239" s="103"/>
      <c r="V239" s="103"/>
      <c r="W239" s="103"/>
      <c r="X239" s="103"/>
      <c r="Y239" s="103"/>
      <c r="Z239" s="103"/>
    </row>
    <row r="240" spans="1:26" ht="15.75" customHeight="1">
      <c r="A240" s="101"/>
      <c r="B240" s="103"/>
      <c r="C240" s="103"/>
      <c r="D240" s="103"/>
      <c r="E240" s="103"/>
      <c r="F240" s="103"/>
      <c r="G240" s="103"/>
      <c r="H240" s="103"/>
      <c r="I240" s="103"/>
      <c r="J240" s="103"/>
      <c r="K240" s="103"/>
      <c r="L240" s="103"/>
      <c r="M240" s="103"/>
      <c r="N240" s="103"/>
      <c r="O240" s="103"/>
      <c r="P240" s="103"/>
      <c r="Q240" s="103"/>
      <c r="R240" s="103"/>
      <c r="S240" s="103"/>
      <c r="T240" s="103"/>
      <c r="U240" s="103"/>
      <c r="V240" s="103"/>
      <c r="W240" s="103"/>
      <c r="X240" s="103"/>
      <c r="Y240" s="103"/>
      <c r="Z240" s="103"/>
    </row>
    <row r="241" spans="1:26" ht="15.75" customHeight="1">
      <c r="A241" s="101"/>
      <c r="B241" s="103"/>
      <c r="C241" s="103"/>
      <c r="D241" s="103"/>
      <c r="E241" s="103"/>
      <c r="F241" s="103"/>
      <c r="G241" s="103"/>
      <c r="H241" s="103"/>
      <c r="I241" s="103"/>
      <c r="J241" s="103"/>
      <c r="K241" s="103"/>
      <c r="L241" s="103"/>
      <c r="M241" s="103"/>
      <c r="N241" s="103"/>
      <c r="O241" s="103"/>
      <c r="P241" s="103"/>
      <c r="Q241" s="103"/>
      <c r="R241" s="103"/>
      <c r="S241" s="103"/>
      <c r="T241" s="103"/>
      <c r="U241" s="103"/>
      <c r="V241" s="103"/>
      <c r="W241" s="103"/>
      <c r="X241" s="103"/>
      <c r="Y241" s="103"/>
      <c r="Z241" s="103"/>
    </row>
    <row r="242" spans="1:26" ht="15.75" customHeight="1">
      <c r="A242" s="101"/>
      <c r="B242" s="103"/>
      <c r="C242" s="103"/>
      <c r="D242" s="103"/>
      <c r="E242" s="103"/>
      <c r="F242" s="103"/>
      <c r="G242" s="103"/>
      <c r="H242" s="103"/>
      <c r="I242" s="103"/>
      <c r="J242" s="103"/>
      <c r="K242" s="103"/>
      <c r="L242" s="103"/>
      <c r="M242" s="103"/>
      <c r="N242" s="103"/>
      <c r="O242" s="103"/>
      <c r="P242" s="103"/>
      <c r="Q242" s="103"/>
      <c r="R242" s="103"/>
      <c r="S242" s="103"/>
      <c r="T242" s="103"/>
      <c r="U242" s="103"/>
      <c r="V242" s="103"/>
      <c r="W242" s="103"/>
      <c r="X242" s="103"/>
      <c r="Y242" s="103"/>
      <c r="Z242" s="103"/>
    </row>
    <row r="243" spans="1:26" ht="15.75" customHeight="1">
      <c r="A243" s="101"/>
      <c r="B243" s="103"/>
      <c r="C243" s="103"/>
      <c r="D243" s="103"/>
      <c r="E243" s="103"/>
      <c r="F243" s="103"/>
      <c r="G243" s="103"/>
      <c r="H243" s="103"/>
      <c r="I243" s="103"/>
      <c r="J243" s="103"/>
      <c r="K243" s="103"/>
      <c r="L243" s="103"/>
      <c r="M243" s="103"/>
      <c r="N243" s="103"/>
      <c r="O243" s="103"/>
      <c r="P243" s="103"/>
      <c r="Q243" s="103"/>
      <c r="R243" s="103"/>
      <c r="S243" s="103"/>
      <c r="T243" s="103"/>
      <c r="U243" s="103"/>
      <c r="V243" s="103"/>
      <c r="W243" s="103"/>
      <c r="X243" s="103"/>
      <c r="Y243" s="103"/>
      <c r="Z243" s="103"/>
    </row>
    <row r="244" spans="1:26" ht="15.75" customHeight="1">
      <c r="A244" s="101"/>
      <c r="B244" s="103"/>
      <c r="C244" s="103"/>
      <c r="D244" s="103"/>
      <c r="E244" s="103"/>
      <c r="F244" s="103"/>
      <c r="G244" s="103"/>
      <c r="H244" s="103"/>
      <c r="I244" s="103"/>
      <c r="J244" s="103"/>
      <c r="K244" s="103"/>
      <c r="L244" s="103"/>
      <c r="M244" s="103"/>
      <c r="N244" s="103"/>
      <c r="O244" s="103"/>
      <c r="P244" s="103"/>
      <c r="Q244" s="103"/>
      <c r="R244" s="103"/>
      <c r="S244" s="103"/>
      <c r="T244" s="103"/>
      <c r="U244" s="103"/>
      <c r="V244" s="103"/>
      <c r="W244" s="103"/>
      <c r="X244" s="103"/>
      <c r="Y244" s="103"/>
      <c r="Z244" s="103"/>
    </row>
    <row r="245" spans="1:26" ht="15.75" customHeight="1">
      <c r="A245" s="101"/>
      <c r="B245" s="103"/>
      <c r="C245" s="103"/>
      <c r="D245" s="103"/>
      <c r="E245" s="103"/>
      <c r="F245" s="103"/>
      <c r="G245" s="103"/>
      <c r="H245" s="103"/>
      <c r="I245" s="103"/>
      <c r="J245" s="103"/>
      <c r="K245" s="103"/>
      <c r="L245" s="103"/>
      <c r="M245" s="103"/>
      <c r="N245" s="103"/>
      <c r="O245" s="103"/>
      <c r="P245" s="103"/>
      <c r="Q245" s="103"/>
      <c r="R245" s="103"/>
      <c r="S245" s="103"/>
      <c r="T245" s="103"/>
      <c r="U245" s="103"/>
      <c r="V245" s="103"/>
      <c r="W245" s="103"/>
      <c r="X245" s="103"/>
      <c r="Y245" s="103"/>
      <c r="Z245" s="103"/>
    </row>
    <row r="246" spans="1:26" ht="15.75" customHeight="1">
      <c r="A246" s="101"/>
      <c r="B246" s="103"/>
      <c r="C246" s="103"/>
      <c r="D246" s="103"/>
      <c r="E246" s="103"/>
      <c r="F246" s="103"/>
      <c r="G246" s="103"/>
      <c r="H246" s="103"/>
      <c r="I246" s="103"/>
      <c r="J246" s="103"/>
      <c r="K246" s="103"/>
      <c r="L246" s="103"/>
      <c r="M246" s="103"/>
      <c r="N246" s="103"/>
      <c r="O246" s="103"/>
      <c r="P246" s="103"/>
      <c r="Q246" s="103"/>
      <c r="R246" s="103"/>
      <c r="S246" s="103"/>
      <c r="T246" s="103"/>
      <c r="U246" s="103"/>
      <c r="V246" s="103"/>
      <c r="W246" s="103"/>
      <c r="X246" s="103"/>
      <c r="Y246" s="103"/>
      <c r="Z246" s="103"/>
    </row>
    <row r="247" spans="1:26" ht="15.75" customHeight="1">
      <c r="A247" s="101"/>
      <c r="B247" s="103"/>
      <c r="C247" s="103"/>
      <c r="D247" s="103"/>
      <c r="E247" s="103"/>
      <c r="F247" s="103"/>
      <c r="G247" s="103"/>
      <c r="H247" s="103"/>
      <c r="I247" s="103"/>
      <c r="J247" s="103"/>
      <c r="K247" s="103"/>
      <c r="L247" s="103"/>
      <c r="M247" s="103"/>
      <c r="N247" s="103"/>
      <c r="O247" s="103"/>
      <c r="P247" s="103"/>
      <c r="Q247" s="103"/>
      <c r="R247" s="103"/>
      <c r="S247" s="103"/>
      <c r="T247" s="103"/>
      <c r="U247" s="103"/>
      <c r="V247" s="103"/>
      <c r="W247" s="103"/>
      <c r="X247" s="103"/>
      <c r="Y247" s="103"/>
      <c r="Z247" s="103"/>
    </row>
    <row r="248" spans="1:26" ht="15.75" customHeight="1">
      <c r="A248" s="101"/>
      <c r="B248" s="103"/>
      <c r="C248" s="103"/>
      <c r="D248" s="103"/>
      <c r="E248" s="103"/>
      <c r="F248" s="103"/>
      <c r="G248" s="103"/>
      <c r="H248" s="103"/>
      <c r="I248" s="103"/>
      <c r="J248" s="103"/>
      <c r="K248" s="103"/>
      <c r="L248" s="103"/>
      <c r="M248" s="103"/>
      <c r="N248" s="103"/>
      <c r="O248" s="103"/>
      <c r="P248" s="103"/>
      <c r="Q248" s="103"/>
      <c r="R248" s="103"/>
      <c r="S248" s="103"/>
      <c r="T248" s="103"/>
      <c r="U248" s="103"/>
      <c r="V248" s="103"/>
      <c r="W248" s="103"/>
      <c r="X248" s="103"/>
      <c r="Y248" s="103"/>
      <c r="Z248" s="103"/>
    </row>
    <row r="249" spans="1:26" ht="15.75" customHeight="1">
      <c r="A249" s="101"/>
      <c r="B249" s="103"/>
      <c r="C249" s="103"/>
      <c r="D249" s="103"/>
      <c r="E249" s="103"/>
      <c r="F249" s="103"/>
      <c r="G249" s="103"/>
      <c r="H249" s="103"/>
      <c r="I249" s="103"/>
      <c r="J249" s="103"/>
      <c r="K249" s="103"/>
      <c r="L249" s="103"/>
      <c r="M249" s="103"/>
      <c r="N249" s="103"/>
      <c r="O249" s="103"/>
      <c r="P249" s="103"/>
      <c r="Q249" s="103"/>
      <c r="R249" s="103"/>
      <c r="S249" s="103"/>
      <c r="T249" s="103"/>
      <c r="U249" s="103"/>
      <c r="V249" s="103"/>
      <c r="W249" s="103"/>
      <c r="X249" s="103"/>
      <c r="Y249" s="103"/>
      <c r="Z249" s="103"/>
    </row>
    <row r="250" spans="1:26" ht="15.75" customHeight="1">
      <c r="A250" s="101"/>
      <c r="B250" s="103"/>
      <c r="C250" s="103"/>
      <c r="D250" s="103"/>
      <c r="E250" s="103"/>
      <c r="F250" s="103"/>
      <c r="G250" s="103"/>
      <c r="H250" s="103"/>
      <c r="I250" s="103"/>
      <c r="J250" s="103"/>
      <c r="K250" s="103"/>
      <c r="L250" s="103"/>
      <c r="M250" s="103"/>
      <c r="N250" s="103"/>
      <c r="O250" s="103"/>
      <c r="P250" s="103"/>
      <c r="Q250" s="103"/>
      <c r="R250" s="103"/>
      <c r="S250" s="103"/>
      <c r="T250" s="103"/>
      <c r="U250" s="103"/>
      <c r="V250" s="103"/>
      <c r="W250" s="103"/>
      <c r="X250" s="103"/>
      <c r="Y250" s="103"/>
      <c r="Z250" s="103"/>
    </row>
    <row r="251" spans="1:26" ht="15.75" customHeight="1">
      <c r="A251" s="101"/>
      <c r="B251" s="103"/>
      <c r="C251" s="103"/>
      <c r="D251" s="103"/>
      <c r="E251" s="103"/>
      <c r="F251" s="103"/>
      <c r="G251" s="103"/>
      <c r="H251" s="103"/>
      <c r="I251" s="103"/>
      <c r="J251" s="103"/>
      <c r="K251" s="103"/>
      <c r="L251" s="103"/>
      <c r="M251" s="103"/>
      <c r="N251" s="103"/>
      <c r="O251" s="103"/>
      <c r="P251" s="103"/>
      <c r="Q251" s="103"/>
      <c r="R251" s="103"/>
      <c r="S251" s="103"/>
      <c r="T251" s="103"/>
      <c r="U251" s="103"/>
      <c r="V251" s="103"/>
      <c r="W251" s="103"/>
      <c r="X251" s="103"/>
      <c r="Y251" s="103"/>
      <c r="Z251" s="103"/>
    </row>
    <row r="252" spans="1:26" ht="15.75" customHeight="1">
      <c r="A252" s="101"/>
      <c r="B252" s="103"/>
      <c r="C252" s="103"/>
      <c r="D252" s="103"/>
      <c r="E252" s="103"/>
      <c r="F252" s="103"/>
      <c r="G252" s="103"/>
      <c r="H252" s="103"/>
      <c r="I252" s="103"/>
      <c r="J252" s="103"/>
      <c r="K252" s="103"/>
      <c r="L252" s="103"/>
      <c r="M252" s="103"/>
      <c r="N252" s="103"/>
      <c r="O252" s="103"/>
      <c r="P252" s="103"/>
      <c r="Q252" s="103"/>
      <c r="R252" s="103"/>
      <c r="S252" s="103"/>
      <c r="T252" s="103"/>
      <c r="U252" s="103"/>
      <c r="V252" s="103"/>
      <c r="W252" s="103"/>
      <c r="X252" s="103"/>
      <c r="Y252" s="103"/>
      <c r="Z252" s="103"/>
    </row>
    <row r="253" spans="1:26" ht="15.75" customHeight="1">
      <c r="A253" s="101"/>
      <c r="B253" s="103"/>
      <c r="C253" s="103"/>
      <c r="D253" s="103"/>
      <c r="E253" s="103"/>
      <c r="F253" s="103"/>
      <c r="G253" s="103"/>
      <c r="H253" s="103"/>
      <c r="I253" s="103"/>
      <c r="J253" s="103"/>
      <c r="K253" s="103"/>
      <c r="L253" s="103"/>
      <c r="M253" s="103"/>
      <c r="N253" s="103"/>
      <c r="O253" s="103"/>
      <c r="P253" s="103"/>
      <c r="Q253" s="103"/>
      <c r="R253" s="103"/>
      <c r="S253" s="103"/>
      <c r="T253" s="103"/>
      <c r="U253" s="103"/>
      <c r="V253" s="103"/>
      <c r="W253" s="103"/>
      <c r="X253" s="103"/>
      <c r="Y253" s="103"/>
      <c r="Z253" s="103"/>
    </row>
    <row r="254" spans="1:26" ht="15.75" customHeight="1">
      <c r="A254" s="101"/>
      <c r="B254" s="103"/>
      <c r="C254" s="103"/>
      <c r="D254" s="103"/>
      <c r="E254" s="103"/>
      <c r="F254" s="103"/>
      <c r="G254" s="103"/>
      <c r="H254" s="103"/>
      <c r="I254" s="103"/>
      <c r="J254" s="103"/>
      <c r="K254" s="103"/>
      <c r="L254" s="103"/>
      <c r="M254" s="103"/>
      <c r="N254" s="103"/>
      <c r="O254" s="103"/>
      <c r="P254" s="103"/>
      <c r="Q254" s="103"/>
      <c r="R254" s="103"/>
      <c r="S254" s="103"/>
      <c r="T254" s="103"/>
      <c r="U254" s="103"/>
      <c r="V254" s="103"/>
      <c r="W254" s="103"/>
      <c r="X254" s="103"/>
      <c r="Y254" s="103"/>
      <c r="Z254" s="103"/>
    </row>
    <row r="255" spans="1:26" ht="15.75" customHeight="1">
      <c r="A255" s="101"/>
      <c r="B255" s="103"/>
      <c r="C255" s="103"/>
      <c r="D255" s="103"/>
      <c r="E255" s="103"/>
      <c r="F255" s="103"/>
      <c r="G255" s="103"/>
      <c r="H255" s="103"/>
      <c r="I255" s="103"/>
      <c r="J255" s="103"/>
      <c r="K255" s="103"/>
      <c r="L255" s="103"/>
      <c r="M255" s="103"/>
      <c r="N255" s="103"/>
      <c r="O255" s="103"/>
      <c r="P255" s="103"/>
      <c r="Q255" s="103"/>
      <c r="R255" s="103"/>
      <c r="S255" s="103"/>
      <c r="T255" s="103"/>
      <c r="U255" s="103"/>
      <c r="V255" s="103"/>
      <c r="W255" s="103"/>
      <c r="X255" s="103"/>
      <c r="Y255" s="103"/>
      <c r="Z255" s="103"/>
    </row>
    <row r="256" spans="1:26" ht="15.75" customHeight="1">
      <c r="A256" s="101"/>
      <c r="B256" s="103"/>
      <c r="C256" s="103"/>
      <c r="D256" s="103"/>
      <c r="E256" s="103"/>
      <c r="F256" s="103"/>
      <c r="G256" s="103"/>
      <c r="H256" s="103"/>
      <c r="I256" s="103"/>
      <c r="J256" s="103"/>
      <c r="K256" s="103"/>
      <c r="L256" s="103"/>
      <c r="M256" s="103"/>
      <c r="N256" s="103"/>
      <c r="O256" s="103"/>
      <c r="P256" s="103"/>
      <c r="Q256" s="103"/>
      <c r="R256" s="103"/>
      <c r="S256" s="103"/>
      <c r="T256" s="103"/>
      <c r="U256" s="103"/>
      <c r="V256" s="103"/>
      <c r="W256" s="103"/>
      <c r="X256" s="103"/>
      <c r="Y256" s="103"/>
      <c r="Z256" s="103"/>
    </row>
    <row r="257" spans="1:26" ht="15.75" customHeight="1">
      <c r="A257" s="101"/>
      <c r="B257" s="103"/>
      <c r="C257" s="103"/>
      <c r="D257" s="103"/>
      <c r="E257" s="103"/>
      <c r="F257" s="103"/>
      <c r="G257" s="103"/>
      <c r="H257" s="103"/>
      <c r="I257" s="103"/>
      <c r="J257" s="103"/>
      <c r="K257" s="103"/>
      <c r="L257" s="103"/>
      <c r="M257" s="103"/>
      <c r="N257" s="103"/>
      <c r="O257" s="103"/>
      <c r="P257" s="103"/>
      <c r="Q257" s="103"/>
      <c r="R257" s="103"/>
      <c r="S257" s="103"/>
      <c r="T257" s="103"/>
      <c r="U257" s="103"/>
      <c r="V257" s="103"/>
      <c r="W257" s="103"/>
      <c r="X257" s="103"/>
      <c r="Y257" s="103"/>
      <c r="Z257" s="103"/>
    </row>
    <row r="258" spans="1:26" ht="15.75" customHeight="1">
      <c r="A258" s="101"/>
      <c r="B258" s="103"/>
      <c r="C258" s="103"/>
      <c r="D258" s="103"/>
      <c r="E258" s="103"/>
      <c r="F258" s="103"/>
      <c r="G258" s="103"/>
      <c r="H258" s="103"/>
      <c r="I258" s="103"/>
      <c r="J258" s="103"/>
      <c r="K258" s="103"/>
      <c r="L258" s="103"/>
      <c r="M258" s="103"/>
      <c r="N258" s="103"/>
      <c r="O258" s="103"/>
      <c r="P258" s="103"/>
      <c r="Q258" s="103"/>
      <c r="R258" s="103"/>
      <c r="S258" s="103"/>
      <c r="T258" s="103"/>
      <c r="U258" s="103"/>
      <c r="V258" s="103"/>
      <c r="W258" s="103"/>
      <c r="X258" s="103"/>
      <c r="Y258" s="103"/>
      <c r="Z258" s="103"/>
    </row>
    <row r="259" spans="1:26" ht="15.75" customHeight="1">
      <c r="A259" s="101"/>
      <c r="B259" s="103"/>
      <c r="C259" s="103"/>
      <c r="D259" s="103"/>
      <c r="E259" s="103"/>
      <c r="F259" s="103"/>
      <c r="G259" s="103"/>
      <c r="H259" s="103"/>
      <c r="I259" s="103"/>
      <c r="J259" s="103"/>
      <c r="K259" s="103"/>
      <c r="L259" s="103"/>
      <c r="M259" s="103"/>
      <c r="N259" s="103"/>
      <c r="O259" s="103"/>
      <c r="P259" s="103"/>
      <c r="Q259" s="103"/>
      <c r="R259" s="103"/>
      <c r="S259" s="103"/>
      <c r="T259" s="103"/>
      <c r="U259" s="103"/>
      <c r="V259" s="103"/>
      <c r="W259" s="103"/>
      <c r="X259" s="103"/>
      <c r="Y259" s="103"/>
      <c r="Z259" s="103"/>
    </row>
    <row r="260" spans="1:26" ht="15.75" customHeight="1">
      <c r="A260" s="101"/>
      <c r="B260" s="103"/>
      <c r="C260" s="103"/>
      <c r="D260" s="103"/>
      <c r="E260" s="103"/>
      <c r="F260" s="103"/>
      <c r="G260" s="103"/>
      <c r="H260" s="103"/>
      <c r="I260" s="103"/>
      <c r="J260" s="103"/>
      <c r="K260" s="103"/>
      <c r="L260" s="103"/>
      <c r="M260" s="103"/>
      <c r="N260" s="103"/>
      <c r="O260" s="103"/>
      <c r="P260" s="103"/>
      <c r="Q260" s="103"/>
      <c r="R260" s="103"/>
      <c r="S260" s="103"/>
      <c r="T260" s="103"/>
      <c r="U260" s="103"/>
      <c r="V260" s="103"/>
      <c r="W260" s="103"/>
      <c r="X260" s="103"/>
      <c r="Y260" s="103"/>
      <c r="Z260" s="103"/>
    </row>
    <row r="261" spans="1:26" ht="15.75" customHeight="1">
      <c r="A261" s="101"/>
      <c r="B261" s="103"/>
      <c r="C261" s="103"/>
      <c r="D261" s="103"/>
      <c r="E261" s="103"/>
      <c r="F261" s="103"/>
      <c r="G261" s="103"/>
      <c r="H261" s="103"/>
      <c r="I261" s="103"/>
      <c r="J261" s="103"/>
      <c r="K261" s="103"/>
      <c r="L261" s="103"/>
      <c r="M261" s="103"/>
      <c r="N261" s="103"/>
      <c r="O261" s="103"/>
      <c r="P261" s="103"/>
      <c r="Q261" s="103"/>
      <c r="R261" s="103"/>
      <c r="S261" s="103"/>
      <c r="T261" s="103"/>
      <c r="U261" s="103"/>
      <c r="V261" s="103"/>
      <c r="W261" s="103"/>
      <c r="X261" s="103"/>
      <c r="Y261" s="103"/>
      <c r="Z261" s="103"/>
    </row>
    <row r="262" spans="1:26" ht="15.75" customHeight="1">
      <c r="A262" s="101"/>
      <c r="B262" s="103"/>
      <c r="C262" s="103"/>
      <c r="D262" s="103"/>
      <c r="E262" s="103"/>
      <c r="F262" s="103"/>
      <c r="G262" s="103"/>
      <c r="H262" s="103"/>
      <c r="I262" s="103"/>
      <c r="J262" s="103"/>
      <c r="K262" s="103"/>
      <c r="L262" s="103"/>
      <c r="M262" s="103"/>
      <c r="N262" s="103"/>
      <c r="O262" s="103"/>
      <c r="P262" s="103"/>
      <c r="Q262" s="103"/>
      <c r="R262" s="103"/>
      <c r="S262" s="103"/>
      <c r="T262" s="103"/>
      <c r="U262" s="103"/>
      <c r="V262" s="103"/>
      <c r="W262" s="103"/>
      <c r="X262" s="103"/>
      <c r="Y262" s="103"/>
      <c r="Z262" s="103"/>
    </row>
    <row r="263" spans="1:26" ht="15.75" customHeight="1">
      <c r="A263" s="101"/>
      <c r="B263" s="103"/>
      <c r="C263" s="103"/>
      <c r="D263" s="103"/>
      <c r="E263" s="103"/>
      <c r="F263" s="103"/>
      <c r="G263" s="103"/>
      <c r="H263" s="103"/>
      <c r="I263" s="103"/>
      <c r="J263" s="103"/>
      <c r="K263" s="103"/>
      <c r="L263" s="103"/>
      <c r="M263" s="103"/>
      <c r="N263" s="103"/>
      <c r="O263" s="103"/>
      <c r="P263" s="103"/>
      <c r="Q263" s="103"/>
      <c r="R263" s="103"/>
      <c r="S263" s="103"/>
      <c r="T263" s="103"/>
      <c r="U263" s="103"/>
      <c r="V263" s="103"/>
      <c r="W263" s="103"/>
      <c r="X263" s="103"/>
      <c r="Y263" s="103"/>
      <c r="Z263" s="103"/>
    </row>
    <row r="264" spans="1:26" ht="15.75" customHeight="1">
      <c r="A264" s="101"/>
      <c r="B264" s="103"/>
      <c r="C264" s="103"/>
      <c r="D264" s="103"/>
      <c r="E264" s="103"/>
      <c r="F264" s="103"/>
      <c r="G264" s="103"/>
      <c r="H264" s="103"/>
      <c r="I264" s="103"/>
      <c r="J264" s="103"/>
      <c r="K264" s="103"/>
      <c r="L264" s="103"/>
      <c r="M264" s="103"/>
      <c r="N264" s="103"/>
      <c r="O264" s="103"/>
      <c r="P264" s="103"/>
      <c r="Q264" s="103"/>
      <c r="R264" s="103"/>
      <c r="S264" s="103"/>
      <c r="T264" s="103"/>
      <c r="U264" s="103"/>
      <c r="V264" s="103"/>
      <c r="W264" s="103"/>
      <c r="X264" s="103"/>
      <c r="Y264" s="103"/>
      <c r="Z264" s="103"/>
    </row>
    <row r="265" spans="1:26" ht="15.75" customHeight="1">
      <c r="A265" s="101"/>
      <c r="B265" s="103"/>
      <c r="C265" s="103"/>
      <c r="D265" s="103"/>
      <c r="E265" s="103"/>
      <c r="F265" s="103"/>
      <c r="G265" s="103"/>
      <c r="H265" s="103"/>
      <c r="I265" s="103"/>
      <c r="J265" s="103"/>
      <c r="K265" s="103"/>
      <c r="L265" s="103"/>
      <c r="M265" s="103"/>
      <c r="N265" s="103"/>
      <c r="O265" s="103"/>
      <c r="P265" s="103"/>
      <c r="Q265" s="103"/>
      <c r="R265" s="103"/>
      <c r="S265" s="103"/>
      <c r="T265" s="103"/>
      <c r="U265" s="103"/>
      <c r="V265" s="103"/>
      <c r="W265" s="103"/>
      <c r="X265" s="103"/>
      <c r="Y265" s="103"/>
      <c r="Z265" s="103"/>
    </row>
    <row r="266" spans="1:26" ht="15.75" customHeight="1">
      <c r="A266" s="101"/>
      <c r="B266" s="103"/>
      <c r="C266" s="103"/>
      <c r="D266" s="103"/>
      <c r="E266" s="103"/>
      <c r="F266" s="103"/>
      <c r="G266" s="103"/>
      <c r="H266" s="103"/>
      <c r="I266" s="103"/>
      <c r="J266" s="103"/>
      <c r="K266" s="103"/>
      <c r="L266" s="103"/>
      <c r="M266" s="103"/>
      <c r="N266" s="103"/>
      <c r="O266" s="103"/>
      <c r="P266" s="103"/>
      <c r="Q266" s="103"/>
      <c r="R266" s="103"/>
      <c r="S266" s="103"/>
      <c r="T266" s="103"/>
      <c r="U266" s="103"/>
      <c r="V266" s="103"/>
      <c r="W266" s="103"/>
      <c r="X266" s="103"/>
      <c r="Y266" s="103"/>
      <c r="Z266" s="103"/>
    </row>
    <row r="267" spans="1:26" ht="15.75" customHeight="1">
      <c r="A267" s="101"/>
      <c r="B267" s="103"/>
      <c r="C267" s="103"/>
      <c r="D267" s="103"/>
      <c r="E267" s="103"/>
      <c r="F267" s="103"/>
      <c r="G267" s="103"/>
      <c r="H267" s="103"/>
      <c r="I267" s="103"/>
      <c r="J267" s="103"/>
      <c r="K267" s="103"/>
      <c r="L267" s="103"/>
      <c r="M267" s="103"/>
      <c r="N267" s="103"/>
      <c r="O267" s="103"/>
      <c r="P267" s="103"/>
      <c r="Q267" s="103"/>
      <c r="R267" s="103"/>
      <c r="S267" s="103"/>
      <c r="T267" s="103"/>
      <c r="U267" s="103"/>
      <c r="V267" s="103"/>
      <c r="W267" s="103"/>
      <c r="X267" s="103"/>
      <c r="Y267" s="103"/>
      <c r="Z267" s="103"/>
    </row>
    <row r="268" spans="1:26" ht="15.75" customHeight="1">
      <c r="A268" s="101"/>
      <c r="B268" s="103"/>
      <c r="C268" s="103"/>
      <c r="D268" s="103"/>
      <c r="E268" s="103"/>
      <c r="F268" s="103"/>
      <c r="G268" s="103"/>
      <c r="H268" s="103"/>
      <c r="I268" s="103"/>
      <c r="J268" s="103"/>
      <c r="K268" s="103"/>
      <c r="L268" s="103"/>
      <c r="M268" s="103"/>
      <c r="N268" s="103"/>
      <c r="O268" s="103"/>
      <c r="P268" s="103"/>
      <c r="Q268" s="103"/>
      <c r="R268" s="103"/>
      <c r="S268" s="103"/>
      <c r="T268" s="103"/>
      <c r="U268" s="103"/>
      <c r="V268" s="103"/>
      <c r="W268" s="103"/>
      <c r="X268" s="103"/>
      <c r="Y268" s="103"/>
      <c r="Z268" s="103"/>
    </row>
    <row r="269" spans="1:26" ht="15.75" customHeight="1">
      <c r="A269" s="101"/>
      <c r="B269" s="103"/>
      <c r="C269" s="103"/>
      <c r="D269" s="103"/>
      <c r="E269" s="103"/>
      <c r="F269" s="103"/>
      <c r="G269" s="103"/>
      <c r="H269" s="103"/>
      <c r="I269" s="103"/>
      <c r="J269" s="103"/>
      <c r="K269" s="103"/>
      <c r="L269" s="103"/>
      <c r="M269" s="103"/>
      <c r="N269" s="103"/>
      <c r="O269" s="103"/>
      <c r="P269" s="103"/>
      <c r="Q269" s="103"/>
      <c r="R269" s="103"/>
      <c r="S269" s="103"/>
      <c r="T269" s="103"/>
      <c r="U269" s="103"/>
      <c r="V269" s="103"/>
      <c r="W269" s="103"/>
      <c r="X269" s="103"/>
      <c r="Y269" s="103"/>
      <c r="Z269" s="103"/>
    </row>
    <row r="270" spans="1:26" ht="15.75" customHeight="1">
      <c r="A270" s="101"/>
      <c r="B270" s="103"/>
      <c r="C270" s="103"/>
      <c r="D270" s="103"/>
      <c r="E270" s="103"/>
      <c r="F270" s="103"/>
      <c r="G270" s="103"/>
      <c r="H270" s="103"/>
      <c r="I270" s="103"/>
      <c r="J270" s="103"/>
      <c r="K270" s="103"/>
      <c r="L270" s="103"/>
      <c r="M270" s="103"/>
      <c r="N270" s="103"/>
      <c r="O270" s="103"/>
      <c r="P270" s="103"/>
      <c r="Q270" s="103"/>
      <c r="R270" s="103"/>
      <c r="S270" s="103"/>
      <c r="T270" s="103"/>
      <c r="U270" s="103"/>
      <c r="V270" s="103"/>
      <c r="W270" s="103"/>
      <c r="X270" s="103"/>
      <c r="Y270" s="103"/>
      <c r="Z270" s="103"/>
    </row>
    <row r="271" spans="1:26" ht="15.75" customHeight="1">
      <c r="A271" s="101"/>
      <c r="B271" s="103"/>
      <c r="C271" s="103"/>
      <c r="D271" s="103"/>
      <c r="E271" s="103"/>
      <c r="F271" s="103"/>
      <c r="G271" s="103"/>
      <c r="H271" s="103"/>
      <c r="I271" s="103"/>
      <c r="J271" s="103"/>
      <c r="K271" s="103"/>
      <c r="L271" s="103"/>
      <c r="M271" s="103"/>
      <c r="N271" s="103"/>
      <c r="O271" s="103"/>
      <c r="P271" s="103"/>
      <c r="Q271" s="103"/>
      <c r="R271" s="103"/>
      <c r="S271" s="103"/>
      <c r="T271" s="103"/>
      <c r="U271" s="103"/>
      <c r="V271" s="103"/>
      <c r="W271" s="103"/>
      <c r="X271" s="103"/>
      <c r="Y271" s="103"/>
      <c r="Z271" s="103"/>
    </row>
    <row r="272" spans="1:26" ht="15.75" customHeight="1">
      <c r="A272" s="101"/>
      <c r="B272" s="103"/>
      <c r="C272" s="103"/>
      <c r="D272" s="103"/>
      <c r="E272" s="103"/>
      <c r="F272" s="103"/>
      <c r="G272" s="103"/>
      <c r="H272" s="103"/>
      <c r="I272" s="103"/>
      <c r="J272" s="103"/>
      <c r="K272" s="103"/>
      <c r="L272" s="103"/>
      <c r="M272" s="103"/>
      <c r="N272" s="103"/>
      <c r="O272" s="103"/>
      <c r="P272" s="103"/>
      <c r="Q272" s="103"/>
      <c r="R272" s="103"/>
      <c r="S272" s="103"/>
      <c r="T272" s="103"/>
      <c r="U272" s="103"/>
      <c r="V272" s="103"/>
      <c r="W272" s="103"/>
      <c r="X272" s="103"/>
      <c r="Y272" s="103"/>
      <c r="Z272" s="103"/>
    </row>
    <row r="273" spans="1:26" ht="15.75" customHeight="1">
      <c r="A273" s="101"/>
      <c r="B273" s="103"/>
      <c r="C273" s="103"/>
      <c r="D273" s="103"/>
      <c r="E273" s="103"/>
      <c r="F273" s="103"/>
      <c r="G273" s="103"/>
      <c r="H273" s="103"/>
      <c r="I273" s="103"/>
      <c r="J273" s="103"/>
      <c r="K273" s="103"/>
      <c r="L273" s="103"/>
      <c r="M273" s="103"/>
      <c r="N273" s="103"/>
      <c r="O273" s="103"/>
      <c r="P273" s="103"/>
      <c r="Q273" s="103"/>
      <c r="R273" s="103"/>
      <c r="S273" s="103"/>
      <c r="T273" s="103"/>
      <c r="U273" s="103"/>
      <c r="V273" s="103"/>
      <c r="W273" s="103"/>
      <c r="X273" s="103"/>
      <c r="Y273" s="103"/>
      <c r="Z273" s="103"/>
    </row>
    <row r="274" spans="1:26" ht="15.75" customHeight="1">
      <c r="A274" s="101"/>
      <c r="B274" s="103"/>
      <c r="C274" s="103"/>
      <c r="D274" s="103"/>
      <c r="E274" s="103"/>
      <c r="F274" s="103"/>
      <c r="G274" s="103"/>
      <c r="H274" s="103"/>
      <c r="I274" s="103"/>
      <c r="J274" s="103"/>
      <c r="K274" s="103"/>
      <c r="L274" s="103"/>
      <c r="M274" s="103"/>
      <c r="N274" s="103"/>
      <c r="O274" s="103"/>
      <c r="P274" s="103"/>
      <c r="Q274" s="103"/>
      <c r="R274" s="103"/>
      <c r="S274" s="103"/>
      <c r="T274" s="103"/>
      <c r="U274" s="103"/>
      <c r="V274" s="103"/>
      <c r="W274" s="103"/>
      <c r="X274" s="103"/>
      <c r="Y274" s="103"/>
      <c r="Z274" s="103"/>
    </row>
    <row r="275" spans="1:26" ht="15.75" customHeight="1">
      <c r="A275" s="101"/>
      <c r="B275" s="103"/>
      <c r="C275" s="103"/>
      <c r="D275" s="103"/>
      <c r="E275" s="103"/>
      <c r="F275" s="103"/>
      <c r="G275" s="103"/>
      <c r="H275" s="103"/>
      <c r="I275" s="103"/>
      <c r="J275" s="103"/>
      <c r="K275" s="103"/>
      <c r="L275" s="103"/>
      <c r="M275" s="103"/>
      <c r="N275" s="103"/>
      <c r="O275" s="103"/>
      <c r="P275" s="103"/>
      <c r="Q275" s="103"/>
      <c r="R275" s="103"/>
      <c r="S275" s="103"/>
      <c r="T275" s="103"/>
      <c r="U275" s="103"/>
      <c r="V275" s="103"/>
      <c r="W275" s="103"/>
      <c r="X275" s="103"/>
      <c r="Y275" s="103"/>
      <c r="Z275" s="103"/>
    </row>
    <row r="276" spans="1:26" ht="15.75" customHeight="1">
      <c r="A276" s="101"/>
      <c r="B276" s="103"/>
      <c r="C276" s="103"/>
      <c r="D276" s="103"/>
      <c r="E276" s="103"/>
      <c r="F276" s="103"/>
      <c r="G276" s="103"/>
      <c r="H276" s="103"/>
      <c r="I276" s="103"/>
      <c r="J276" s="103"/>
      <c r="K276" s="103"/>
      <c r="L276" s="103"/>
      <c r="M276" s="103"/>
      <c r="N276" s="103"/>
      <c r="O276" s="103"/>
      <c r="P276" s="103"/>
      <c r="Q276" s="103"/>
      <c r="R276" s="103"/>
      <c r="S276" s="103"/>
      <c r="T276" s="103"/>
      <c r="U276" s="103"/>
      <c r="V276" s="103"/>
      <c r="W276" s="103"/>
      <c r="X276" s="103"/>
      <c r="Y276" s="103"/>
      <c r="Z276" s="103"/>
    </row>
    <row r="277" spans="1:26" ht="15.75" customHeight="1">
      <c r="A277" s="101"/>
      <c r="B277" s="103"/>
      <c r="C277" s="103"/>
      <c r="D277" s="103"/>
      <c r="E277" s="103"/>
      <c r="F277" s="103"/>
      <c r="G277" s="103"/>
      <c r="H277" s="103"/>
      <c r="I277" s="103"/>
      <c r="J277" s="103"/>
      <c r="K277" s="103"/>
      <c r="L277" s="103"/>
      <c r="M277" s="103"/>
      <c r="N277" s="103"/>
      <c r="O277" s="103"/>
      <c r="P277" s="103"/>
      <c r="Q277" s="103"/>
      <c r="R277" s="103"/>
      <c r="S277" s="103"/>
      <c r="T277" s="103"/>
      <c r="U277" s="103"/>
      <c r="V277" s="103"/>
      <c r="W277" s="103"/>
      <c r="X277" s="103"/>
      <c r="Y277" s="103"/>
      <c r="Z277" s="103"/>
    </row>
    <row r="278" spans="1:26" ht="15.75" customHeight="1">
      <c r="A278" s="101"/>
      <c r="B278" s="103"/>
      <c r="C278" s="103"/>
      <c r="D278" s="103"/>
      <c r="E278" s="103"/>
      <c r="F278" s="103"/>
      <c r="G278" s="103"/>
      <c r="H278" s="103"/>
      <c r="I278" s="103"/>
      <c r="J278" s="103"/>
      <c r="K278" s="103"/>
      <c r="L278" s="103"/>
      <c r="M278" s="103"/>
      <c r="N278" s="103"/>
      <c r="O278" s="103"/>
      <c r="P278" s="103"/>
      <c r="Q278" s="103"/>
      <c r="R278" s="103"/>
      <c r="S278" s="103"/>
      <c r="T278" s="103"/>
      <c r="U278" s="103"/>
      <c r="V278" s="103"/>
      <c r="W278" s="103"/>
      <c r="X278" s="103"/>
      <c r="Y278" s="103"/>
      <c r="Z278" s="103"/>
    </row>
    <row r="279" spans="1:26" ht="15.75" customHeight="1">
      <c r="A279" s="101"/>
      <c r="B279" s="103"/>
      <c r="C279" s="103"/>
      <c r="D279" s="103"/>
      <c r="E279" s="103"/>
      <c r="F279" s="103"/>
      <c r="G279" s="103"/>
      <c r="H279" s="103"/>
      <c r="I279" s="103"/>
      <c r="J279" s="103"/>
      <c r="K279" s="103"/>
      <c r="L279" s="103"/>
      <c r="M279" s="103"/>
      <c r="N279" s="103"/>
      <c r="O279" s="103"/>
      <c r="P279" s="103"/>
      <c r="Q279" s="103"/>
      <c r="R279" s="103"/>
      <c r="S279" s="103"/>
      <c r="T279" s="103"/>
      <c r="U279" s="103"/>
      <c r="V279" s="103"/>
      <c r="W279" s="103"/>
      <c r="X279" s="103"/>
      <c r="Y279" s="103"/>
      <c r="Z279" s="103"/>
    </row>
    <row r="280" spans="1:26" ht="15.75" customHeight="1">
      <c r="A280" s="101"/>
      <c r="B280" s="103"/>
      <c r="C280" s="103"/>
      <c r="D280" s="103"/>
      <c r="E280" s="103"/>
      <c r="F280" s="103"/>
      <c r="G280" s="103"/>
      <c r="H280" s="103"/>
      <c r="I280" s="103"/>
      <c r="J280" s="103"/>
      <c r="K280" s="103"/>
      <c r="L280" s="103"/>
      <c r="M280" s="103"/>
      <c r="N280" s="103"/>
      <c r="O280" s="103"/>
      <c r="P280" s="103"/>
      <c r="Q280" s="103"/>
      <c r="R280" s="103"/>
      <c r="S280" s="103"/>
      <c r="T280" s="103"/>
      <c r="U280" s="103"/>
      <c r="V280" s="103"/>
      <c r="W280" s="103"/>
      <c r="X280" s="103"/>
      <c r="Y280" s="103"/>
      <c r="Z280" s="103"/>
    </row>
    <row r="281" spans="1:26" ht="15.75" customHeight="1">
      <c r="A281" s="101"/>
      <c r="B281" s="103"/>
      <c r="C281" s="103"/>
      <c r="D281" s="103"/>
      <c r="E281" s="103"/>
      <c r="F281" s="103"/>
      <c r="G281" s="103"/>
      <c r="H281" s="103"/>
      <c r="I281" s="103"/>
      <c r="J281" s="103"/>
      <c r="K281" s="103"/>
      <c r="L281" s="103"/>
      <c r="M281" s="103"/>
      <c r="N281" s="103"/>
      <c r="O281" s="103"/>
      <c r="P281" s="103"/>
      <c r="Q281" s="103"/>
      <c r="R281" s="103"/>
      <c r="S281" s="103"/>
      <c r="T281" s="103"/>
      <c r="U281" s="103"/>
      <c r="V281" s="103"/>
      <c r="W281" s="103"/>
      <c r="X281" s="103"/>
      <c r="Y281" s="103"/>
      <c r="Z281" s="103"/>
    </row>
    <row r="282" spans="1:26" ht="15.75" customHeight="1">
      <c r="A282" s="101"/>
      <c r="B282" s="103"/>
      <c r="C282" s="103"/>
      <c r="D282" s="103"/>
      <c r="E282" s="103"/>
      <c r="F282" s="103"/>
      <c r="G282" s="103"/>
      <c r="H282" s="103"/>
      <c r="I282" s="103"/>
      <c r="J282" s="103"/>
      <c r="K282" s="103"/>
      <c r="L282" s="103"/>
      <c r="M282" s="103"/>
      <c r="N282" s="103"/>
      <c r="O282" s="103"/>
      <c r="P282" s="103"/>
      <c r="Q282" s="103"/>
      <c r="R282" s="103"/>
      <c r="S282" s="103"/>
      <c r="T282" s="103"/>
      <c r="U282" s="103"/>
      <c r="V282" s="103"/>
      <c r="W282" s="103"/>
      <c r="X282" s="103"/>
      <c r="Y282" s="103"/>
      <c r="Z282" s="103"/>
    </row>
    <row r="283" spans="1:26" ht="15.75" customHeight="1">
      <c r="A283" s="101"/>
      <c r="B283" s="103"/>
      <c r="C283" s="103"/>
      <c r="D283" s="103"/>
      <c r="E283" s="103"/>
      <c r="F283" s="103"/>
      <c r="G283" s="103"/>
      <c r="H283" s="103"/>
      <c r="I283" s="103"/>
      <c r="J283" s="103"/>
      <c r="K283" s="103"/>
      <c r="L283" s="103"/>
      <c r="M283" s="103"/>
      <c r="N283" s="103"/>
      <c r="O283" s="103"/>
      <c r="P283" s="103"/>
      <c r="Q283" s="103"/>
      <c r="R283" s="103"/>
      <c r="S283" s="103"/>
      <c r="T283" s="103"/>
      <c r="U283" s="103"/>
      <c r="V283" s="103"/>
      <c r="W283" s="103"/>
      <c r="X283" s="103"/>
      <c r="Y283" s="103"/>
      <c r="Z283" s="103"/>
    </row>
    <row r="284" spans="1:26" ht="15.75" customHeight="1">
      <c r="A284" s="101"/>
      <c r="B284" s="103"/>
      <c r="C284" s="103"/>
      <c r="D284" s="103"/>
      <c r="E284" s="103"/>
      <c r="F284" s="103"/>
      <c r="G284" s="103"/>
      <c r="H284" s="103"/>
      <c r="I284" s="103"/>
      <c r="J284" s="103"/>
      <c r="K284" s="103"/>
      <c r="L284" s="103"/>
      <c r="M284" s="103"/>
      <c r="N284" s="103"/>
      <c r="O284" s="103"/>
      <c r="P284" s="103"/>
      <c r="Q284" s="103"/>
      <c r="R284" s="103"/>
      <c r="S284" s="103"/>
      <c r="T284" s="103"/>
      <c r="U284" s="103"/>
      <c r="V284" s="103"/>
      <c r="W284" s="103"/>
      <c r="X284" s="103"/>
      <c r="Y284" s="103"/>
      <c r="Z284" s="103"/>
    </row>
    <row r="285" spans="1:26" ht="15.75" customHeight="1">
      <c r="A285" s="101"/>
      <c r="B285" s="103"/>
      <c r="C285" s="103"/>
      <c r="D285" s="103"/>
      <c r="E285" s="103"/>
      <c r="F285" s="103"/>
      <c r="G285" s="103"/>
      <c r="H285" s="103"/>
      <c r="I285" s="103"/>
      <c r="J285" s="103"/>
      <c r="K285" s="103"/>
      <c r="L285" s="103"/>
      <c r="M285" s="103"/>
      <c r="N285" s="103"/>
      <c r="O285" s="103"/>
      <c r="P285" s="103"/>
      <c r="Q285" s="103"/>
      <c r="R285" s="103"/>
      <c r="S285" s="103"/>
      <c r="T285" s="103"/>
      <c r="U285" s="103"/>
      <c r="V285" s="103"/>
      <c r="W285" s="103"/>
      <c r="X285" s="103"/>
      <c r="Y285" s="103"/>
      <c r="Z285" s="103"/>
    </row>
    <row r="286" spans="1:26" ht="15.75" customHeight="1">
      <c r="A286" s="101"/>
      <c r="B286" s="103"/>
      <c r="C286" s="103"/>
      <c r="D286" s="103"/>
      <c r="E286" s="103"/>
      <c r="F286" s="103"/>
      <c r="G286" s="103"/>
      <c r="H286" s="103"/>
      <c r="I286" s="103"/>
      <c r="J286" s="103"/>
      <c r="K286" s="103"/>
      <c r="L286" s="103"/>
      <c r="M286" s="103"/>
      <c r="N286" s="103"/>
      <c r="O286" s="103"/>
      <c r="P286" s="103"/>
      <c r="Q286" s="103"/>
      <c r="R286" s="103"/>
      <c r="S286" s="103"/>
      <c r="T286" s="103"/>
      <c r="U286" s="103"/>
      <c r="V286" s="103"/>
      <c r="W286" s="103"/>
      <c r="X286" s="103"/>
      <c r="Y286" s="103"/>
      <c r="Z286" s="103"/>
    </row>
    <row r="287" spans="1:26" ht="15.75" customHeight="1">
      <c r="A287" s="101"/>
      <c r="B287" s="103"/>
      <c r="C287" s="103"/>
      <c r="D287" s="103"/>
      <c r="E287" s="103"/>
      <c r="F287" s="103"/>
      <c r="G287" s="103"/>
      <c r="H287" s="103"/>
      <c r="I287" s="103"/>
      <c r="J287" s="103"/>
      <c r="K287" s="103"/>
      <c r="L287" s="103"/>
      <c r="M287" s="103"/>
      <c r="N287" s="103"/>
      <c r="O287" s="103"/>
      <c r="P287" s="103"/>
      <c r="Q287" s="103"/>
      <c r="R287" s="103"/>
      <c r="S287" s="103"/>
      <c r="T287" s="103"/>
      <c r="U287" s="103"/>
      <c r="V287" s="103"/>
      <c r="W287" s="103"/>
      <c r="X287" s="103"/>
      <c r="Y287" s="103"/>
      <c r="Z287" s="103"/>
    </row>
    <row r="288" spans="1:26" ht="15.75" customHeight="1">
      <c r="A288" s="101"/>
      <c r="B288" s="103"/>
      <c r="C288" s="103"/>
      <c r="D288" s="103"/>
      <c r="E288" s="103"/>
      <c r="F288" s="103"/>
      <c r="G288" s="103"/>
      <c r="H288" s="103"/>
      <c r="I288" s="103"/>
      <c r="J288" s="103"/>
      <c r="K288" s="103"/>
      <c r="L288" s="103"/>
      <c r="M288" s="103"/>
      <c r="N288" s="103"/>
      <c r="O288" s="103"/>
      <c r="P288" s="103"/>
      <c r="Q288" s="103"/>
      <c r="R288" s="103"/>
      <c r="S288" s="103"/>
      <c r="T288" s="103"/>
      <c r="U288" s="103"/>
      <c r="V288" s="103"/>
      <c r="W288" s="103"/>
      <c r="X288" s="103"/>
      <c r="Y288" s="103"/>
      <c r="Z288" s="103"/>
    </row>
    <row r="289" spans="1:26" ht="15.75" customHeight="1">
      <c r="A289" s="101"/>
      <c r="B289" s="103"/>
      <c r="C289" s="103"/>
      <c r="D289" s="103"/>
      <c r="E289" s="103"/>
      <c r="F289" s="103"/>
      <c r="G289" s="103"/>
      <c r="H289" s="103"/>
      <c r="I289" s="103"/>
      <c r="J289" s="103"/>
      <c r="K289" s="103"/>
      <c r="L289" s="103"/>
      <c r="M289" s="103"/>
      <c r="N289" s="103"/>
      <c r="O289" s="103"/>
      <c r="P289" s="103"/>
      <c r="Q289" s="103"/>
      <c r="R289" s="103"/>
      <c r="S289" s="103"/>
      <c r="T289" s="103"/>
      <c r="U289" s="103"/>
      <c r="V289" s="103"/>
      <c r="W289" s="103"/>
      <c r="X289" s="103"/>
      <c r="Y289" s="103"/>
      <c r="Z289" s="103"/>
    </row>
    <row r="290" spans="1:26" ht="15.75" customHeight="1">
      <c r="A290" s="101"/>
      <c r="B290" s="103"/>
      <c r="C290" s="103"/>
      <c r="D290" s="103"/>
      <c r="E290" s="103"/>
      <c r="F290" s="103"/>
      <c r="G290" s="103"/>
      <c r="H290" s="103"/>
      <c r="I290" s="103"/>
      <c r="J290" s="103"/>
      <c r="K290" s="103"/>
      <c r="L290" s="103"/>
      <c r="M290" s="103"/>
      <c r="N290" s="103"/>
      <c r="O290" s="103"/>
      <c r="P290" s="103"/>
      <c r="Q290" s="103"/>
      <c r="R290" s="103"/>
      <c r="S290" s="103"/>
      <c r="T290" s="103"/>
      <c r="U290" s="103"/>
      <c r="V290" s="103"/>
      <c r="W290" s="103"/>
      <c r="X290" s="103"/>
      <c r="Y290" s="103"/>
      <c r="Z290" s="103"/>
    </row>
    <row r="291" spans="1:26" ht="15.75" customHeight="1">
      <c r="A291" s="101"/>
      <c r="B291" s="103"/>
      <c r="C291" s="103"/>
      <c r="D291" s="103"/>
      <c r="E291" s="103"/>
      <c r="F291" s="103"/>
      <c r="G291" s="103"/>
      <c r="H291" s="103"/>
      <c r="I291" s="103"/>
      <c r="J291" s="103"/>
      <c r="K291" s="103"/>
      <c r="L291" s="103"/>
      <c r="M291" s="103"/>
      <c r="N291" s="103"/>
      <c r="O291" s="103"/>
      <c r="P291" s="103"/>
      <c r="Q291" s="103"/>
      <c r="R291" s="103"/>
      <c r="S291" s="103"/>
      <c r="T291" s="103"/>
      <c r="U291" s="103"/>
      <c r="V291" s="103"/>
      <c r="W291" s="103"/>
      <c r="X291" s="103"/>
      <c r="Y291" s="103"/>
      <c r="Z291" s="103"/>
    </row>
    <row r="292" spans="1:26" ht="15.75" customHeight="1">
      <c r="A292" s="101"/>
      <c r="B292" s="103"/>
      <c r="C292" s="103"/>
      <c r="D292" s="103"/>
      <c r="E292" s="103"/>
      <c r="F292" s="103"/>
      <c r="G292" s="103"/>
      <c r="H292" s="103"/>
      <c r="I292" s="103"/>
      <c r="J292" s="103"/>
      <c r="K292" s="103"/>
      <c r="L292" s="103"/>
      <c r="M292" s="103"/>
      <c r="N292" s="103"/>
      <c r="O292" s="103"/>
      <c r="P292" s="103"/>
      <c r="Q292" s="103"/>
      <c r="R292" s="103"/>
      <c r="S292" s="103"/>
      <c r="T292" s="103"/>
      <c r="U292" s="103"/>
      <c r="V292" s="103"/>
      <c r="W292" s="103"/>
      <c r="X292" s="103"/>
      <c r="Y292" s="103"/>
      <c r="Z292" s="103"/>
    </row>
    <row r="293" spans="1:26" ht="15.75" customHeight="1">
      <c r="A293" s="101"/>
      <c r="B293" s="103"/>
      <c r="C293" s="103"/>
      <c r="D293" s="103"/>
      <c r="E293" s="103"/>
      <c r="F293" s="103"/>
      <c r="G293" s="103"/>
      <c r="H293" s="103"/>
      <c r="I293" s="103"/>
      <c r="J293" s="103"/>
      <c r="K293" s="103"/>
      <c r="L293" s="103"/>
      <c r="M293" s="103"/>
      <c r="N293" s="103"/>
      <c r="O293" s="103"/>
      <c r="P293" s="103"/>
      <c r="Q293" s="103"/>
      <c r="R293" s="103"/>
      <c r="S293" s="103"/>
      <c r="T293" s="103"/>
      <c r="U293" s="103"/>
      <c r="V293" s="103"/>
      <c r="W293" s="103"/>
      <c r="X293" s="103"/>
      <c r="Y293" s="103"/>
      <c r="Z293" s="103"/>
    </row>
    <row r="294" spans="1:26" ht="15.75" customHeight="1">
      <c r="A294" s="101"/>
      <c r="B294" s="103"/>
      <c r="C294" s="103"/>
      <c r="D294" s="103"/>
      <c r="E294" s="103"/>
      <c r="F294" s="103"/>
      <c r="G294" s="103"/>
      <c r="H294" s="103"/>
      <c r="I294" s="103"/>
      <c r="J294" s="103"/>
      <c r="K294" s="103"/>
      <c r="L294" s="103"/>
      <c r="M294" s="103"/>
      <c r="N294" s="103"/>
      <c r="O294" s="103"/>
      <c r="P294" s="103"/>
      <c r="Q294" s="103"/>
      <c r="R294" s="103"/>
      <c r="S294" s="103"/>
      <c r="T294" s="103"/>
      <c r="U294" s="103"/>
      <c r="V294" s="103"/>
      <c r="W294" s="103"/>
      <c r="X294" s="103"/>
      <c r="Y294" s="103"/>
      <c r="Z294" s="103"/>
    </row>
    <row r="295" spans="1:26" ht="15.75" customHeight="1">
      <c r="A295" s="101"/>
      <c r="B295" s="103"/>
      <c r="C295" s="103"/>
      <c r="D295" s="103"/>
      <c r="E295" s="103"/>
      <c r="F295" s="103"/>
      <c r="G295" s="103"/>
      <c r="H295" s="103"/>
      <c r="I295" s="103"/>
      <c r="J295" s="103"/>
      <c r="K295" s="103"/>
      <c r="L295" s="103"/>
      <c r="M295" s="103"/>
      <c r="N295" s="103"/>
      <c r="O295" s="103"/>
      <c r="P295" s="103"/>
      <c r="Q295" s="103"/>
      <c r="R295" s="103"/>
      <c r="S295" s="103"/>
      <c r="T295" s="103"/>
      <c r="U295" s="103"/>
      <c r="V295" s="103"/>
      <c r="W295" s="103"/>
      <c r="X295" s="103"/>
      <c r="Y295" s="103"/>
      <c r="Z295" s="103"/>
    </row>
    <row r="296" spans="1:26" ht="15.75" customHeight="1">
      <c r="A296" s="101"/>
      <c r="B296" s="103"/>
      <c r="C296" s="103"/>
      <c r="D296" s="103"/>
      <c r="E296" s="103"/>
      <c r="F296" s="103"/>
      <c r="G296" s="103"/>
      <c r="H296" s="103"/>
      <c r="I296" s="103"/>
      <c r="J296" s="103"/>
      <c r="K296" s="103"/>
      <c r="L296" s="103"/>
      <c r="M296" s="103"/>
      <c r="N296" s="103"/>
      <c r="O296" s="103"/>
      <c r="P296" s="103"/>
      <c r="Q296" s="103"/>
      <c r="R296" s="103"/>
      <c r="S296" s="103"/>
      <c r="T296" s="103"/>
      <c r="U296" s="103"/>
      <c r="V296" s="103"/>
      <c r="W296" s="103"/>
      <c r="X296" s="103"/>
      <c r="Y296" s="103"/>
      <c r="Z296" s="103"/>
    </row>
    <row r="297" spans="1:26" ht="15.75" customHeight="1">
      <c r="A297" s="101"/>
      <c r="B297" s="103"/>
      <c r="C297" s="103"/>
      <c r="D297" s="103"/>
      <c r="E297" s="103"/>
      <c r="F297" s="103"/>
      <c r="G297" s="103"/>
      <c r="H297" s="103"/>
      <c r="I297" s="103"/>
      <c r="J297" s="103"/>
      <c r="K297" s="103"/>
      <c r="L297" s="103"/>
      <c r="M297" s="103"/>
      <c r="N297" s="103"/>
      <c r="O297" s="103"/>
      <c r="P297" s="103"/>
      <c r="Q297" s="103"/>
      <c r="R297" s="103"/>
      <c r="S297" s="103"/>
      <c r="T297" s="103"/>
      <c r="U297" s="103"/>
      <c r="V297" s="103"/>
      <c r="W297" s="103"/>
      <c r="X297" s="103"/>
      <c r="Y297" s="103"/>
      <c r="Z297" s="103"/>
    </row>
    <row r="298" spans="1:26" ht="15.75" customHeight="1">
      <c r="A298" s="101"/>
      <c r="B298" s="103"/>
      <c r="C298" s="103"/>
      <c r="D298" s="103"/>
      <c r="E298" s="103"/>
      <c r="F298" s="103"/>
      <c r="G298" s="103"/>
      <c r="H298" s="103"/>
      <c r="I298" s="103"/>
      <c r="J298" s="103"/>
      <c r="K298" s="103"/>
      <c r="L298" s="103"/>
      <c r="M298" s="103"/>
      <c r="N298" s="103"/>
      <c r="O298" s="103"/>
      <c r="P298" s="103"/>
      <c r="Q298" s="103"/>
      <c r="R298" s="103"/>
      <c r="S298" s="103"/>
      <c r="T298" s="103"/>
      <c r="U298" s="103"/>
      <c r="V298" s="103"/>
      <c r="W298" s="103"/>
      <c r="X298" s="103"/>
      <c r="Y298" s="103"/>
      <c r="Z298" s="103"/>
    </row>
    <row r="299" spans="1:26" ht="15.75" customHeight="1">
      <c r="A299" s="101"/>
      <c r="B299" s="103"/>
      <c r="C299" s="103"/>
      <c r="D299" s="103"/>
      <c r="E299" s="103"/>
      <c r="F299" s="103"/>
      <c r="G299" s="103"/>
      <c r="H299" s="103"/>
      <c r="I299" s="103"/>
      <c r="J299" s="103"/>
      <c r="K299" s="103"/>
      <c r="L299" s="103"/>
      <c r="M299" s="103"/>
      <c r="N299" s="103"/>
      <c r="O299" s="103"/>
      <c r="P299" s="103"/>
      <c r="Q299" s="103"/>
      <c r="R299" s="103"/>
      <c r="S299" s="103"/>
      <c r="T299" s="103"/>
      <c r="U299" s="103"/>
      <c r="V299" s="103"/>
      <c r="W299" s="103"/>
      <c r="X299" s="103"/>
      <c r="Y299" s="103"/>
      <c r="Z299" s="103"/>
    </row>
    <row r="300" spans="1:26" ht="15.75" customHeight="1">
      <c r="A300" s="101"/>
      <c r="B300" s="103"/>
      <c r="C300" s="103"/>
      <c r="D300" s="103"/>
      <c r="E300" s="103"/>
      <c r="F300" s="103"/>
      <c r="G300" s="103"/>
      <c r="H300" s="103"/>
      <c r="I300" s="103"/>
      <c r="J300" s="103"/>
      <c r="K300" s="103"/>
      <c r="L300" s="103"/>
      <c r="M300" s="103"/>
      <c r="N300" s="103"/>
      <c r="O300" s="103"/>
      <c r="P300" s="103"/>
      <c r="Q300" s="103"/>
      <c r="R300" s="103"/>
      <c r="S300" s="103"/>
      <c r="T300" s="103"/>
      <c r="U300" s="103"/>
      <c r="V300" s="103"/>
      <c r="W300" s="103"/>
      <c r="X300" s="103"/>
      <c r="Y300" s="103"/>
      <c r="Z300" s="103"/>
    </row>
    <row r="301" spans="1:26" ht="15.75" customHeight="1">
      <c r="A301" s="101"/>
      <c r="B301" s="103"/>
      <c r="C301" s="103"/>
      <c r="D301" s="103"/>
      <c r="E301" s="103"/>
      <c r="F301" s="103"/>
      <c r="G301" s="103"/>
      <c r="H301" s="103"/>
      <c r="I301" s="103"/>
      <c r="J301" s="103"/>
      <c r="K301" s="103"/>
      <c r="L301" s="103"/>
      <c r="M301" s="103"/>
      <c r="N301" s="103"/>
      <c r="O301" s="103"/>
      <c r="P301" s="103"/>
      <c r="Q301" s="103"/>
      <c r="R301" s="103"/>
      <c r="S301" s="103"/>
      <c r="T301" s="103"/>
      <c r="U301" s="103"/>
      <c r="V301" s="103"/>
      <c r="W301" s="103"/>
      <c r="X301" s="103"/>
      <c r="Y301" s="103"/>
      <c r="Z301" s="103"/>
    </row>
    <row r="302" spans="1:26" ht="15.75" customHeight="1">
      <c r="A302" s="101"/>
      <c r="B302" s="103"/>
      <c r="C302" s="103"/>
      <c r="D302" s="103"/>
      <c r="E302" s="103"/>
      <c r="F302" s="103"/>
      <c r="G302" s="103"/>
      <c r="H302" s="103"/>
      <c r="I302" s="103"/>
      <c r="J302" s="103"/>
      <c r="K302" s="103"/>
      <c r="L302" s="103"/>
      <c r="M302" s="103"/>
      <c r="N302" s="103"/>
      <c r="O302" s="103"/>
      <c r="P302" s="103"/>
      <c r="Q302" s="103"/>
      <c r="R302" s="103"/>
      <c r="S302" s="103"/>
      <c r="T302" s="103"/>
      <c r="U302" s="103"/>
      <c r="V302" s="103"/>
      <c r="W302" s="103"/>
      <c r="X302" s="103"/>
      <c r="Y302" s="103"/>
      <c r="Z302" s="103"/>
    </row>
    <row r="303" spans="1:26" ht="15.75" customHeight="1">
      <c r="A303" s="101"/>
      <c r="B303" s="103"/>
      <c r="C303" s="103"/>
      <c r="D303" s="103"/>
      <c r="E303" s="103"/>
      <c r="F303" s="103"/>
      <c r="G303" s="103"/>
      <c r="H303" s="103"/>
      <c r="I303" s="103"/>
      <c r="J303" s="103"/>
      <c r="K303" s="103"/>
      <c r="L303" s="103"/>
      <c r="M303" s="103"/>
      <c r="N303" s="103"/>
      <c r="O303" s="103"/>
      <c r="P303" s="103"/>
      <c r="Q303" s="103"/>
      <c r="R303" s="103"/>
      <c r="S303" s="103"/>
      <c r="T303" s="103"/>
      <c r="U303" s="103"/>
      <c r="V303" s="103"/>
      <c r="W303" s="103"/>
      <c r="X303" s="103"/>
      <c r="Y303" s="103"/>
      <c r="Z303" s="103"/>
    </row>
    <row r="304" spans="1:26" ht="15.75" customHeight="1">
      <c r="A304" s="101"/>
      <c r="B304" s="103"/>
      <c r="C304" s="103"/>
      <c r="D304" s="103"/>
      <c r="E304" s="103"/>
      <c r="F304" s="103"/>
      <c r="G304" s="103"/>
      <c r="H304" s="103"/>
      <c r="I304" s="103"/>
      <c r="J304" s="103"/>
      <c r="K304" s="103"/>
      <c r="L304" s="103"/>
      <c r="M304" s="103"/>
      <c r="N304" s="103"/>
      <c r="O304" s="103"/>
      <c r="P304" s="103"/>
      <c r="Q304" s="103"/>
      <c r="R304" s="103"/>
      <c r="S304" s="103"/>
      <c r="T304" s="103"/>
      <c r="U304" s="103"/>
      <c r="V304" s="103"/>
      <c r="W304" s="103"/>
      <c r="X304" s="103"/>
      <c r="Y304" s="103"/>
      <c r="Z304" s="103"/>
    </row>
    <row r="305" spans="1:26" ht="15.75" customHeight="1">
      <c r="A305" s="101"/>
      <c r="B305" s="103"/>
      <c r="C305" s="103"/>
      <c r="D305" s="103"/>
      <c r="E305" s="103"/>
      <c r="F305" s="103"/>
      <c r="G305" s="103"/>
      <c r="H305" s="103"/>
      <c r="I305" s="103"/>
      <c r="J305" s="103"/>
      <c r="K305" s="103"/>
      <c r="L305" s="103"/>
      <c r="M305" s="103"/>
      <c r="N305" s="103"/>
      <c r="O305" s="103"/>
      <c r="P305" s="103"/>
      <c r="Q305" s="103"/>
      <c r="R305" s="103"/>
      <c r="S305" s="103"/>
      <c r="T305" s="103"/>
      <c r="U305" s="103"/>
      <c r="V305" s="103"/>
      <c r="W305" s="103"/>
      <c r="X305" s="103"/>
      <c r="Y305" s="103"/>
      <c r="Z305" s="103"/>
    </row>
    <row r="306" spans="1:26" ht="15.75" customHeight="1">
      <c r="A306" s="101"/>
      <c r="B306" s="103"/>
      <c r="C306" s="103"/>
      <c r="D306" s="103"/>
      <c r="E306" s="103"/>
      <c r="F306" s="103"/>
      <c r="G306" s="103"/>
      <c r="H306" s="103"/>
      <c r="I306" s="103"/>
      <c r="J306" s="103"/>
      <c r="K306" s="103"/>
      <c r="L306" s="103"/>
      <c r="M306" s="103"/>
      <c r="N306" s="103"/>
      <c r="O306" s="103"/>
      <c r="P306" s="103"/>
      <c r="Q306" s="103"/>
      <c r="R306" s="103"/>
      <c r="S306" s="103"/>
      <c r="T306" s="103"/>
      <c r="U306" s="103"/>
      <c r="V306" s="103"/>
      <c r="W306" s="103"/>
      <c r="X306" s="103"/>
      <c r="Y306" s="103"/>
      <c r="Z306" s="103"/>
    </row>
    <row r="307" spans="1:26" ht="15.75" customHeight="1">
      <c r="A307" s="101"/>
      <c r="B307" s="103"/>
      <c r="C307" s="103"/>
      <c r="D307" s="103"/>
      <c r="E307" s="103"/>
      <c r="F307" s="103"/>
      <c r="G307" s="103"/>
      <c r="H307" s="103"/>
      <c r="I307" s="103"/>
      <c r="J307" s="103"/>
      <c r="K307" s="103"/>
      <c r="L307" s="103"/>
      <c r="M307" s="103"/>
      <c r="N307" s="103"/>
      <c r="O307" s="103"/>
      <c r="P307" s="103"/>
      <c r="Q307" s="103"/>
      <c r="R307" s="103"/>
      <c r="S307" s="103"/>
      <c r="T307" s="103"/>
      <c r="U307" s="103"/>
      <c r="V307" s="103"/>
      <c r="W307" s="103"/>
      <c r="X307" s="103"/>
      <c r="Y307" s="103"/>
      <c r="Z307" s="103"/>
    </row>
    <row r="308" spans="1:26" ht="15.75" customHeight="1">
      <c r="A308" s="101"/>
      <c r="B308" s="103"/>
      <c r="C308" s="103"/>
      <c r="D308" s="103"/>
      <c r="E308" s="103"/>
      <c r="F308" s="103"/>
      <c r="G308" s="103"/>
      <c r="H308" s="103"/>
      <c r="I308" s="103"/>
      <c r="J308" s="103"/>
      <c r="K308" s="103"/>
      <c r="L308" s="103"/>
      <c r="M308" s="103"/>
      <c r="N308" s="103"/>
      <c r="O308" s="103"/>
      <c r="P308" s="103"/>
      <c r="Q308" s="103"/>
      <c r="R308" s="103"/>
      <c r="S308" s="103"/>
      <c r="T308" s="103"/>
      <c r="U308" s="103"/>
      <c r="V308" s="103"/>
      <c r="W308" s="103"/>
      <c r="X308" s="103"/>
      <c r="Y308" s="103"/>
      <c r="Z308" s="103"/>
    </row>
    <row r="309" spans="1:26" ht="15.75" customHeight="1">
      <c r="A309" s="101"/>
      <c r="B309" s="103"/>
      <c r="C309" s="103"/>
      <c r="D309" s="103"/>
      <c r="E309" s="103"/>
      <c r="F309" s="103"/>
      <c r="G309" s="103"/>
      <c r="H309" s="103"/>
      <c r="I309" s="103"/>
      <c r="J309" s="103"/>
      <c r="K309" s="103"/>
      <c r="L309" s="103"/>
      <c r="M309" s="103"/>
      <c r="N309" s="103"/>
      <c r="O309" s="103"/>
      <c r="P309" s="103"/>
      <c r="Q309" s="103"/>
      <c r="R309" s="103"/>
      <c r="S309" s="103"/>
      <c r="T309" s="103"/>
      <c r="U309" s="103"/>
      <c r="V309" s="103"/>
      <c r="W309" s="103"/>
      <c r="X309" s="103"/>
      <c r="Y309" s="103"/>
      <c r="Z309" s="103"/>
    </row>
    <row r="310" spans="1:26" ht="15.75" customHeight="1">
      <c r="A310" s="101"/>
      <c r="B310" s="103"/>
      <c r="C310" s="103"/>
      <c r="D310" s="103"/>
      <c r="E310" s="103"/>
      <c r="F310" s="103"/>
      <c r="G310" s="103"/>
      <c r="H310" s="103"/>
      <c r="I310" s="103"/>
      <c r="J310" s="103"/>
      <c r="K310" s="103"/>
      <c r="L310" s="103"/>
      <c r="M310" s="103"/>
      <c r="N310" s="103"/>
      <c r="O310" s="103"/>
      <c r="P310" s="103"/>
      <c r="Q310" s="103"/>
      <c r="R310" s="103"/>
      <c r="S310" s="103"/>
      <c r="T310" s="103"/>
      <c r="U310" s="103"/>
      <c r="V310" s="103"/>
      <c r="W310" s="103"/>
      <c r="X310" s="103"/>
      <c r="Y310" s="103"/>
      <c r="Z310" s="103"/>
    </row>
    <row r="311" spans="1:26" ht="15.75" customHeight="1">
      <c r="A311" s="101"/>
      <c r="B311" s="103"/>
      <c r="C311" s="103"/>
      <c r="D311" s="103"/>
      <c r="E311" s="103"/>
      <c r="F311" s="103"/>
      <c r="G311" s="103"/>
      <c r="H311" s="103"/>
      <c r="I311" s="103"/>
      <c r="J311" s="103"/>
      <c r="K311" s="103"/>
      <c r="L311" s="103"/>
      <c r="M311" s="103"/>
      <c r="N311" s="103"/>
      <c r="O311" s="103"/>
      <c r="P311" s="103"/>
      <c r="Q311" s="103"/>
      <c r="R311" s="103"/>
      <c r="S311" s="103"/>
      <c r="T311" s="103"/>
      <c r="U311" s="103"/>
      <c r="V311" s="103"/>
      <c r="W311" s="103"/>
      <c r="X311" s="103"/>
      <c r="Y311" s="103"/>
      <c r="Z311" s="103"/>
    </row>
    <row r="312" spans="1:26" ht="15.75" customHeight="1">
      <c r="A312" s="101"/>
      <c r="B312" s="103"/>
      <c r="C312" s="103"/>
      <c r="D312" s="103"/>
      <c r="E312" s="103"/>
      <c r="F312" s="103"/>
      <c r="G312" s="103"/>
      <c r="H312" s="103"/>
      <c r="I312" s="103"/>
      <c r="J312" s="103"/>
      <c r="K312" s="103"/>
      <c r="L312" s="103"/>
      <c r="M312" s="103"/>
      <c r="N312" s="103"/>
      <c r="O312" s="103"/>
      <c r="P312" s="103"/>
      <c r="Q312" s="103"/>
      <c r="R312" s="103"/>
      <c r="S312" s="103"/>
      <c r="T312" s="103"/>
      <c r="U312" s="103"/>
      <c r="V312" s="103"/>
      <c r="W312" s="103"/>
      <c r="X312" s="103"/>
      <c r="Y312" s="103"/>
      <c r="Z312" s="103"/>
    </row>
    <row r="313" spans="1:26" ht="15.75" customHeight="1">
      <c r="A313" s="101"/>
      <c r="B313" s="103"/>
      <c r="C313" s="103"/>
      <c r="D313" s="103"/>
      <c r="E313" s="103"/>
      <c r="F313" s="103"/>
      <c r="G313" s="103"/>
      <c r="H313" s="103"/>
      <c r="I313" s="103"/>
      <c r="J313" s="103"/>
      <c r="K313" s="103"/>
      <c r="L313" s="103"/>
      <c r="M313" s="103"/>
      <c r="N313" s="103"/>
      <c r="O313" s="103"/>
      <c r="P313" s="103"/>
      <c r="Q313" s="103"/>
      <c r="R313" s="103"/>
      <c r="S313" s="103"/>
      <c r="T313" s="103"/>
      <c r="U313" s="103"/>
      <c r="V313" s="103"/>
      <c r="W313" s="103"/>
      <c r="X313" s="103"/>
      <c r="Y313" s="103"/>
      <c r="Z313" s="103"/>
    </row>
    <row r="314" spans="1:26" ht="15.75" customHeight="1">
      <c r="A314" s="101"/>
      <c r="B314" s="103"/>
      <c r="C314" s="103"/>
      <c r="D314" s="103"/>
      <c r="E314" s="103"/>
      <c r="F314" s="103"/>
      <c r="G314" s="103"/>
      <c r="H314" s="103"/>
      <c r="I314" s="103"/>
      <c r="J314" s="103"/>
      <c r="K314" s="103"/>
      <c r="L314" s="103"/>
      <c r="M314" s="103"/>
      <c r="N314" s="103"/>
      <c r="O314" s="103"/>
      <c r="P314" s="103"/>
      <c r="Q314" s="103"/>
      <c r="R314" s="103"/>
      <c r="S314" s="103"/>
      <c r="T314" s="103"/>
      <c r="U314" s="103"/>
      <c r="V314" s="103"/>
      <c r="W314" s="103"/>
      <c r="X314" s="103"/>
      <c r="Y314" s="103"/>
      <c r="Z314" s="103"/>
    </row>
    <row r="315" spans="1:26" ht="15.75" customHeight="1">
      <c r="A315" s="101"/>
      <c r="B315" s="103"/>
      <c r="C315" s="103"/>
      <c r="D315" s="103"/>
      <c r="E315" s="103"/>
      <c r="F315" s="103"/>
      <c r="G315" s="103"/>
      <c r="H315" s="103"/>
      <c r="I315" s="103"/>
      <c r="J315" s="103"/>
      <c r="K315" s="103"/>
      <c r="L315" s="103"/>
      <c r="M315" s="103"/>
      <c r="N315" s="103"/>
      <c r="O315" s="103"/>
      <c r="P315" s="103"/>
      <c r="Q315" s="103"/>
      <c r="R315" s="103"/>
      <c r="S315" s="103"/>
      <c r="T315" s="103"/>
      <c r="U315" s="103"/>
      <c r="V315" s="103"/>
      <c r="W315" s="103"/>
      <c r="X315" s="103"/>
      <c r="Y315" s="103"/>
      <c r="Z315" s="103"/>
    </row>
    <row r="316" spans="1:26" ht="15.75" customHeight="1">
      <c r="A316" s="101"/>
      <c r="B316" s="103"/>
      <c r="C316" s="103"/>
      <c r="D316" s="103"/>
      <c r="E316" s="103"/>
      <c r="F316" s="103"/>
      <c r="G316" s="103"/>
      <c r="H316" s="103"/>
      <c r="I316" s="103"/>
      <c r="J316" s="103"/>
      <c r="K316" s="103"/>
      <c r="L316" s="103"/>
      <c r="M316" s="103"/>
      <c r="N316" s="103"/>
      <c r="O316" s="103"/>
      <c r="P316" s="103"/>
      <c r="Q316" s="103"/>
      <c r="R316" s="103"/>
      <c r="S316" s="103"/>
      <c r="T316" s="103"/>
      <c r="U316" s="103"/>
      <c r="V316" s="103"/>
      <c r="W316" s="103"/>
      <c r="X316" s="103"/>
      <c r="Y316" s="103"/>
      <c r="Z316" s="103"/>
    </row>
    <row r="317" spans="1:26" ht="15.75" customHeight="1">
      <c r="A317" s="101"/>
      <c r="B317" s="103"/>
      <c r="C317" s="103"/>
      <c r="D317" s="103"/>
      <c r="E317" s="103"/>
      <c r="F317" s="103"/>
      <c r="G317" s="103"/>
      <c r="H317" s="103"/>
      <c r="I317" s="103"/>
      <c r="J317" s="103"/>
      <c r="K317" s="103"/>
      <c r="L317" s="103"/>
      <c r="M317" s="103"/>
      <c r="N317" s="103"/>
      <c r="O317" s="103"/>
      <c r="P317" s="103"/>
      <c r="Q317" s="103"/>
      <c r="R317" s="103"/>
      <c r="S317" s="103"/>
      <c r="T317" s="103"/>
      <c r="U317" s="103"/>
      <c r="V317" s="103"/>
      <c r="W317" s="103"/>
      <c r="X317" s="103"/>
      <c r="Y317" s="103"/>
      <c r="Z317" s="103"/>
    </row>
    <row r="318" spans="1:26" ht="15.75" customHeight="1">
      <c r="A318" s="101"/>
      <c r="B318" s="103"/>
      <c r="C318" s="103"/>
      <c r="D318" s="103"/>
      <c r="E318" s="103"/>
      <c r="F318" s="103"/>
      <c r="G318" s="103"/>
      <c r="H318" s="103"/>
      <c r="I318" s="103"/>
      <c r="J318" s="103"/>
      <c r="K318" s="103"/>
      <c r="L318" s="103"/>
      <c r="M318" s="103"/>
      <c r="N318" s="103"/>
      <c r="O318" s="103"/>
      <c r="P318" s="103"/>
      <c r="Q318" s="103"/>
      <c r="R318" s="103"/>
      <c r="S318" s="103"/>
      <c r="T318" s="103"/>
      <c r="U318" s="103"/>
      <c r="V318" s="103"/>
      <c r="W318" s="103"/>
      <c r="X318" s="103"/>
      <c r="Y318" s="103"/>
      <c r="Z318" s="103"/>
    </row>
    <row r="319" spans="1:26" ht="15.75" customHeight="1">
      <c r="A319" s="101"/>
      <c r="B319" s="103"/>
      <c r="C319" s="103"/>
      <c r="D319" s="103"/>
      <c r="E319" s="103"/>
      <c r="F319" s="103"/>
      <c r="G319" s="103"/>
      <c r="H319" s="103"/>
      <c r="I319" s="103"/>
      <c r="J319" s="103"/>
      <c r="K319" s="103"/>
      <c r="L319" s="103"/>
      <c r="M319" s="103"/>
      <c r="N319" s="103"/>
      <c r="O319" s="103"/>
      <c r="P319" s="103"/>
      <c r="Q319" s="103"/>
      <c r="R319" s="103"/>
      <c r="S319" s="103"/>
      <c r="T319" s="103"/>
      <c r="U319" s="103"/>
      <c r="V319" s="103"/>
      <c r="W319" s="103"/>
      <c r="X319" s="103"/>
      <c r="Y319" s="103"/>
      <c r="Z319" s="103"/>
    </row>
    <row r="320" spans="1:26" ht="15.75" customHeight="1">
      <c r="A320" s="101"/>
      <c r="B320" s="103"/>
      <c r="C320" s="103"/>
      <c r="D320" s="103"/>
      <c r="E320" s="103"/>
      <c r="F320" s="103"/>
      <c r="G320" s="103"/>
      <c r="H320" s="103"/>
      <c r="I320" s="103"/>
      <c r="J320" s="103"/>
      <c r="K320" s="103"/>
      <c r="L320" s="103"/>
      <c r="M320" s="103"/>
      <c r="N320" s="103"/>
      <c r="O320" s="103"/>
      <c r="P320" s="103"/>
      <c r="Q320" s="103"/>
      <c r="R320" s="103"/>
      <c r="S320" s="103"/>
      <c r="T320" s="103"/>
      <c r="U320" s="103"/>
      <c r="V320" s="103"/>
      <c r="W320" s="103"/>
      <c r="X320" s="103"/>
      <c r="Y320" s="103"/>
      <c r="Z320" s="103"/>
    </row>
    <row r="321" spans="1:26" ht="15.75" customHeight="1">
      <c r="A321" s="101"/>
      <c r="B321" s="103"/>
      <c r="C321" s="103"/>
      <c r="D321" s="103"/>
      <c r="E321" s="103"/>
      <c r="F321" s="103"/>
      <c r="G321" s="103"/>
      <c r="H321" s="103"/>
      <c r="I321" s="103"/>
      <c r="J321" s="103"/>
      <c r="K321" s="103"/>
      <c r="L321" s="103"/>
      <c r="M321" s="103"/>
      <c r="N321" s="103"/>
      <c r="O321" s="103"/>
      <c r="P321" s="103"/>
      <c r="Q321" s="103"/>
      <c r="R321" s="103"/>
      <c r="S321" s="103"/>
      <c r="T321" s="103"/>
      <c r="U321" s="103"/>
      <c r="V321" s="103"/>
      <c r="W321" s="103"/>
      <c r="X321" s="103"/>
      <c r="Y321" s="103"/>
      <c r="Z321" s="103"/>
    </row>
    <row r="322" spans="1:26" ht="15.75" customHeight="1">
      <c r="A322" s="101"/>
      <c r="B322" s="103"/>
      <c r="C322" s="103"/>
      <c r="D322" s="103"/>
      <c r="E322" s="103"/>
      <c r="F322" s="103"/>
      <c r="G322" s="103"/>
      <c r="H322" s="103"/>
      <c r="I322" s="103"/>
      <c r="J322" s="103"/>
      <c r="K322" s="103"/>
      <c r="L322" s="103"/>
      <c r="M322" s="103"/>
      <c r="N322" s="103"/>
      <c r="O322" s="103"/>
      <c r="P322" s="103"/>
      <c r="Q322" s="103"/>
      <c r="R322" s="103"/>
      <c r="S322" s="103"/>
      <c r="T322" s="103"/>
      <c r="U322" s="103"/>
      <c r="V322" s="103"/>
      <c r="W322" s="103"/>
      <c r="X322" s="103"/>
      <c r="Y322" s="103"/>
      <c r="Z322" s="103"/>
    </row>
    <row r="323" spans="1:26" ht="15.75" customHeight="1">
      <c r="A323" s="101"/>
      <c r="B323" s="103"/>
      <c r="C323" s="103"/>
      <c r="D323" s="103"/>
      <c r="E323" s="103"/>
      <c r="F323" s="103"/>
      <c r="G323" s="103"/>
      <c r="H323" s="103"/>
      <c r="I323" s="103"/>
      <c r="J323" s="103"/>
      <c r="K323" s="103"/>
      <c r="L323" s="103"/>
      <c r="M323" s="103"/>
      <c r="N323" s="103"/>
      <c r="O323" s="103"/>
      <c r="P323" s="103"/>
      <c r="Q323" s="103"/>
      <c r="R323" s="103"/>
      <c r="S323" s="103"/>
      <c r="T323" s="103"/>
      <c r="U323" s="103"/>
      <c r="V323" s="103"/>
      <c r="W323" s="103"/>
      <c r="X323" s="103"/>
      <c r="Y323" s="103"/>
      <c r="Z323" s="103"/>
    </row>
    <row r="324" spans="1:26" ht="15.75" customHeight="1">
      <c r="A324" s="101"/>
      <c r="B324" s="103"/>
      <c r="C324" s="103"/>
      <c r="D324" s="103"/>
      <c r="E324" s="103"/>
      <c r="F324" s="103"/>
      <c r="G324" s="103"/>
      <c r="H324" s="103"/>
      <c r="I324" s="103"/>
      <c r="J324" s="103"/>
      <c r="K324" s="103"/>
      <c r="L324" s="103"/>
      <c r="M324" s="103"/>
      <c r="N324" s="103"/>
      <c r="O324" s="103"/>
      <c r="P324" s="103"/>
      <c r="Q324" s="103"/>
      <c r="R324" s="103"/>
      <c r="S324" s="103"/>
      <c r="T324" s="103"/>
      <c r="U324" s="103"/>
      <c r="V324" s="103"/>
      <c r="W324" s="103"/>
      <c r="X324" s="103"/>
      <c r="Y324" s="103"/>
      <c r="Z324" s="103"/>
    </row>
    <row r="325" spans="1:26" ht="15.75" customHeight="1">
      <c r="A325" s="101"/>
      <c r="B325" s="103"/>
      <c r="C325" s="103"/>
      <c r="D325" s="103"/>
      <c r="E325" s="103"/>
      <c r="F325" s="103"/>
      <c r="G325" s="103"/>
      <c r="H325" s="103"/>
      <c r="I325" s="103"/>
      <c r="J325" s="103"/>
      <c r="K325" s="103"/>
      <c r="L325" s="103"/>
      <c r="M325" s="103"/>
      <c r="N325" s="103"/>
      <c r="O325" s="103"/>
      <c r="P325" s="103"/>
      <c r="Q325" s="103"/>
      <c r="R325" s="103"/>
      <c r="S325" s="103"/>
      <c r="T325" s="103"/>
      <c r="U325" s="103"/>
      <c r="V325" s="103"/>
      <c r="W325" s="103"/>
      <c r="X325" s="103"/>
      <c r="Y325" s="103"/>
      <c r="Z325" s="103"/>
    </row>
    <row r="326" spans="1:26" ht="15.75" customHeight="1">
      <c r="A326" s="101"/>
      <c r="B326" s="103"/>
      <c r="C326" s="103"/>
      <c r="D326" s="103"/>
      <c r="E326" s="103"/>
      <c r="F326" s="103"/>
      <c r="G326" s="103"/>
      <c r="H326" s="103"/>
      <c r="I326" s="103"/>
      <c r="J326" s="103"/>
      <c r="K326" s="103"/>
      <c r="L326" s="103"/>
      <c r="M326" s="103"/>
      <c r="N326" s="103"/>
      <c r="O326" s="103"/>
      <c r="P326" s="103"/>
      <c r="Q326" s="103"/>
      <c r="R326" s="103"/>
      <c r="S326" s="103"/>
      <c r="T326" s="103"/>
      <c r="U326" s="103"/>
      <c r="V326" s="103"/>
      <c r="W326" s="103"/>
      <c r="X326" s="103"/>
      <c r="Y326" s="103"/>
      <c r="Z326" s="103"/>
    </row>
    <row r="327" spans="1:26" ht="15.75" customHeight="1">
      <c r="A327" s="101"/>
      <c r="B327" s="103"/>
      <c r="C327" s="103"/>
      <c r="D327" s="103"/>
      <c r="E327" s="103"/>
      <c r="F327" s="103"/>
      <c r="G327" s="103"/>
      <c r="H327" s="103"/>
      <c r="I327" s="103"/>
      <c r="J327" s="103"/>
      <c r="K327" s="103"/>
      <c r="L327" s="103"/>
      <c r="M327" s="103"/>
      <c r="N327" s="103"/>
      <c r="O327" s="103"/>
      <c r="P327" s="103"/>
      <c r="Q327" s="103"/>
      <c r="R327" s="103"/>
      <c r="S327" s="103"/>
      <c r="T327" s="103"/>
      <c r="U327" s="103"/>
      <c r="V327" s="103"/>
      <c r="W327" s="103"/>
      <c r="X327" s="103"/>
      <c r="Y327" s="103"/>
      <c r="Z327" s="103"/>
    </row>
    <row r="328" spans="1:26" ht="15.75" customHeight="1">
      <c r="A328" s="101"/>
      <c r="B328" s="103"/>
      <c r="C328" s="103"/>
      <c r="D328" s="103"/>
      <c r="E328" s="103"/>
      <c r="F328" s="103"/>
      <c r="G328" s="103"/>
      <c r="H328" s="103"/>
      <c r="I328" s="103"/>
      <c r="J328" s="103"/>
      <c r="K328" s="103"/>
      <c r="L328" s="103"/>
      <c r="M328" s="103"/>
      <c r="N328" s="103"/>
      <c r="O328" s="103"/>
      <c r="P328" s="103"/>
      <c r="Q328" s="103"/>
      <c r="R328" s="103"/>
      <c r="S328" s="103"/>
      <c r="T328" s="103"/>
      <c r="U328" s="103"/>
      <c r="V328" s="103"/>
      <c r="W328" s="103"/>
      <c r="X328" s="103"/>
      <c r="Y328" s="103"/>
      <c r="Z328" s="103"/>
    </row>
    <row r="329" spans="1:26" ht="15.75" customHeight="1">
      <c r="A329" s="101"/>
      <c r="B329" s="103"/>
      <c r="C329" s="103"/>
      <c r="D329" s="103"/>
      <c r="E329" s="103"/>
      <c r="F329" s="103"/>
      <c r="G329" s="103"/>
      <c r="H329" s="103"/>
      <c r="I329" s="103"/>
      <c r="J329" s="103"/>
      <c r="K329" s="103"/>
      <c r="L329" s="103"/>
      <c r="M329" s="103"/>
      <c r="N329" s="103"/>
      <c r="O329" s="103"/>
      <c r="P329" s="103"/>
      <c r="Q329" s="103"/>
      <c r="R329" s="103"/>
      <c r="S329" s="103"/>
      <c r="T329" s="103"/>
      <c r="U329" s="103"/>
      <c r="V329" s="103"/>
      <c r="W329" s="103"/>
      <c r="X329" s="103"/>
      <c r="Y329" s="103"/>
      <c r="Z329" s="103"/>
    </row>
    <row r="330" spans="1:26" ht="15.75" customHeight="1">
      <c r="A330" s="101"/>
      <c r="B330" s="103"/>
      <c r="C330" s="103"/>
      <c r="D330" s="103"/>
      <c r="E330" s="103"/>
      <c r="F330" s="103"/>
      <c r="G330" s="103"/>
      <c r="H330" s="103"/>
      <c r="I330" s="103"/>
      <c r="J330" s="103"/>
      <c r="K330" s="103"/>
      <c r="L330" s="103"/>
      <c r="M330" s="103"/>
      <c r="N330" s="103"/>
      <c r="O330" s="103"/>
      <c r="P330" s="103"/>
      <c r="Q330" s="103"/>
      <c r="R330" s="103"/>
      <c r="S330" s="103"/>
      <c r="T330" s="103"/>
      <c r="U330" s="103"/>
      <c r="V330" s="103"/>
      <c r="W330" s="103"/>
      <c r="X330" s="103"/>
      <c r="Y330" s="103"/>
      <c r="Z330" s="103"/>
    </row>
    <row r="331" spans="1:26" ht="15.75" customHeight="1">
      <c r="A331" s="101"/>
      <c r="B331" s="103"/>
      <c r="C331" s="103"/>
      <c r="D331" s="103"/>
      <c r="E331" s="103"/>
      <c r="F331" s="103"/>
      <c r="G331" s="103"/>
      <c r="H331" s="103"/>
      <c r="I331" s="103"/>
      <c r="J331" s="103"/>
      <c r="K331" s="103"/>
      <c r="L331" s="103"/>
      <c r="M331" s="103"/>
      <c r="N331" s="103"/>
      <c r="O331" s="103"/>
      <c r="P331" s="103"/>
      <c r="Q331" s="103"/>
      <c r="R331" s="103"/>
      <c r="S331" s="103"/>
      <c r="T331" s="103"/>
      <c r="U331" s="103"/>
      <c r="V331" s="103"/>
      <c r="W331" s="103"/>
      <c r="X331" s="103"/>
      <c r="Y331" s="103"/>
      <c r="Z331" s="103"/>
    </row>
    <row r="332" spans="1:26" ht="15.75" customHeight="1">
      <c r="A332" s="101"/>
      <c r="B332" s="103"/>
      <c r="C332" s="103"/>
      <c r="D332" s="103"/>
      <c r="E332" s="103"/>
      <c r="F332" s="103"/>
      <c r="G332" s="103"/>
      <c r="H332" s="103"/>
      <c r="I332" s="103"/>
      <c r="J332" s="103"/>
      <c r="K332" s="103"/>
      <c r="L332" s="103"/>
      <c r="M332" s="103"/>
      <c r="N332" s="103"/>
      <c r="O332" s="103"/>
      <c r="P332" s="103"/>
      <c r="Q332" s="103"/>
      <c r="R332" s="103"/>
      <c r="S332" s="103"/>
      <c r="T332" s="103"/>
      <c r="U332" s="103"/>
      <c r="V332" s="103"/>
      <c r="W332" s="103"/>
      <c r="X332" s="103"/>
      <c r="Y332" s="103"/>
      <c r="Z332" s="103"/>
    </row>
    <row r="333" spans="1:26" ht="15.75" customHeight="1">
      <c r="A333" s="101"/>
      <c r="B333" s="103"/>
      <c r="C333" s="103"/>
      <c r="D333" s="103"/>
      <c r="E333" s="103"/>
      <c r="F333" s="103"/>
      <c r="G333" s="103"/>
      <c r="H333" s="103"/>
      <c r="I333" s="103"/>
      <c r="J333" s="103"/>
      <c r="K333" s="103"/>
      <c r="L333" s="103"/>
      <c r="M333" s="103"/>
      <c r="N333" s="103"/>
      <c r="O333" s="103"/>
      <c r="P333" s="103"/>
      <c r="Q333" s="103"/>
      <c r="R333" s="103"/>
      <c r="S333" s="103"/>
      <c r="T333" s="103"/>
      <c r="U333" s="103"/>
      <c r="V333" s="103"/>
      <c r="W333" s="103"/>
      <c r="X333" s="103"/>
      <c r="Y333" s="103"/>
      <c r="Z333" s="103"/>
    </row>
    <row r="334" spans="1:26" ht="15.75" customHeight="1">
      <c r="A334" s="101"/>
      <c r="B334" s="103"/>
      <c r="C334" s="103"/>
      <c r="D334" s="103"/>
      <c r="E334" s="103"/>
      <c r="F334" s="103"/>
      <c r="G334" s="103"/>
      <c r="H334" s="103"/>
      <c r="I334" s="103"/>
      <c r="J334" s="103"/>
      <c r="K334" s="103"/>
      <c r="L334" s="103"/>
      <c r="M334" s="103"/>
      <c r="N334" s="103"/>
      <c r="O334" s="103"/>
      <c r="P334" s="103"/>
      <c r="Q334" s="103"/>
      <c r="R334" s="103"/>
      <c r="S334" s="103"/>
      <c r="T334" s="103"/>
      <c r="U334" s="103"/>
      <c r="V334" s="103"/>
      <c r="W334" s="103"/>
      <c r="X334" s="103"/>
      <c r="Y334" s="103"/>
      <c r="Z334" s="103"/>
    </row>
    <row r="335" spans="1:26" ht="15.75" customHeight="1">
      <c r="A335" s="101"/>
      <c r="B335" s="103"/>
      <c r="C335" s="103"/>
      <c r="D335" s="103"/>
      <c r="E335" s="103"/>
      <c r="F335" s="103"/>
      <c r="G335" s="103"/>
      <c r="H335" s="103"/>
      <c r="I335" s="103"/>
      <c r="J335" s="103"/>
      <c r="K335" s="103"/>
      <c r="L335" s="103"/>
      <c r="M335" s="103"/>
      <c r="N335" s="103"/>
      <c r="O335" s="103"/>
      <c r="P335" s="103"/>
      <c r="Q335" s="103"/>
      <c r="R335" s="103"/>
      <c r="S335" s="103"/>
      <c r="T335" s="103"/>
      <c r="U335" s="103"/>
      <c r="V335" s="103"/>
      <c r="W335" s="103"/>
      <c r="X335" s="103"/>
      <c r="Y335" s="103"/>
      <c r="Z335" s="103"/>
    </row>
    <row r="336" spans="1:26" ht="15.75" customHeight="1">
      <c r="A336" s="101"/>
      <c r="B336" s="103"/>
      <c r="C336" s="103"/>
      <c r="D336" s="103"/>
      <c r="E336" s="103"/>
      <c r="F336" s="103"/>
      <c r="G336" s="103"/>
      <c r="H336" s="103"/>
      <c r="I336" s="103"/>
      <c r="J336" s="103"/>
      <c r="K336" s="103"/>
      <c r="L336" s="103"/>
      <c r="M336" s="103"/>
      <c r="N336" s="103"/>
      <c r="O336" s="103"/>
      <c r="P336" s="103"/>
      <c r="Q336" s="103"/>
      <c r="R336" s="103"/>
      <c r="S336" s="103"/>
      <c r="T336" s="103"/>
      <c r="U336" s="103"/>
      <c r="V336" s="103"/>
      <c r="W336" s="103"/>
      <c r="X336" s="103"/>
      <c r="Y336" s="103"/>
      <c r="Z336" s="103"/>
    </row>
    <row r="337" spans="1:26" ht="15.75" customHeight="1">
      <c r="A337" s="101"/>
      <c r="B337" s="103"/>
      <c r="C337" s="103"/>
      <c r="D337" s="103"/>
      <c r="E337" s="103"/>
      <c r="F337" s="103"/>
      <c r="G337" s="103"/>
      <c r="H337" s="103"/>
      <c r="I337" s="103"/>
      <c r="J337" s="103"/>
      <c r="K337" s="103"/>
      <c r="L337" s="103"/>
      <c r="M337" s="103"/>
      <c r="N337" s="103"/>
      <c r="O337" s="103"/>
      <c r="P337" s="103"/>
      <c r="Q337" s="103"/>
      <c r="R337" s="103"/>
      <c r="S337" s="103"/>
      <c r="T337" s="103"/>
      <c r="U337" s="103"/>
      <c r="V337" s="103"/>
      <c r="W337" s="103"/>
      <c r="X337" s="103"/>
      <c r="Y337" s="103"/>
      <c r="Z337" s="103"/>
    </row>
    <row r="338" spans="1:26" ht="15.75" customHeight="1">
      <c r="A338" s="101"/>
      <c r="B338" s="103"/>
      <c r="C338" s="103"/>
      <c r="D338" s="103"/>
      <c r="E338" s="103"/>
      <c r="F338" s="103"/>
      <c r="G338" s="103"/>
      <c r="H338" s="103"/>
      <c r="I338" s="103"/>
      <c r="J338" s="103"/>
      <c r="K338" s="103"/>
      <c r="L338" s="103"/>
      <c r="M338" s="103"/>
      <c r="N338" s="103"/>
      <c r="O338" s="103"/>
      <c r="P338" s="103"/>
      <c r="Q338" s="103"/>
      <c r="R338" s="103"/>
      <c r="S338" s="103"/>
      <c r="T338" s="103"/>
      <c r="U338" s="103"/>
      <c r="V338" s="103"/>
      <c r="W338" s="103"/>
      <c r="X338" s="103"/>
      <c r="Y338" s="103"/>
      <c r="Z338" s="103"/>
    </row>
    <row r="339" spans="1:26" ht="15.75" customHeight="1">
      <c r="A339" s="101"/>
      <c r="B339" s="103"/>
      <c r="C339" s="103"/>
      <c r="D339" s="103"/>
      <c r="E339" s="103"/>
      <c r="F339" s="103"/>
      <c r="G339" s="103"/>
      <c r="H339" s="103"/>
      <c r="I339" s="103"/>
      <c r="J339" s="103"/>
      <c r="K339" s="103"/>
      <c r="L339" s="103"/>
      <c r="M339" s="103"/>
      <c r="N339" s="103"/>
      <c r="O339" s="103"/>
      <c r="P339" s="103"/>
      <c r="Q339" s="103"/>
      <c r="R339" s="103"/>
      <c r="S339" s="103"/>
      <c r="T339" s="103"/>
      <c r="U339" s="103"/>
      <c r="V339" s="103"/>
      <c r="W339" s="103"/>
      <c r="X339" s="103"/>
      <c r="Y339" s="103"/>
      <c r="Z339" s="103"/>
    </row>
    <row r="340" spans="1:26" ht="15.75" customHeight="1">
      <c r="A340" s="101"/>
      <c r="B340" s="103"/>
      <c r="C340" s="103"/>
      <c r="D340" s="103"/>
      <c r="E340" s="103"/>
      <c r="F340" s="103"/>
      <c r="G340" s="103"/>
      <c r="H340" s="103"/>
      <c r="I340" s="103"/>
      <c r="J340" s="103"/>
      <c r="K340" s="103"/>
      <c r="L340" s="103"/>
      <c r="M340" s="103"/>
      <c r="N340" s="103"/>
      <c r="O340" s="103"/>
      <c r="P340" s="103"/>
      <c r="Q340" s="103"/>
      <c r="R340" s="103"/>
      <c r="S340" s="103"/>
      <c r="T340" s="103"/>
      <c r="U340" s="103"/>
      <c r="V340" s="103"/>
      <c r="W340" s="103"/>
      <c r="X340" s="103"/>
      <c r="Y340" s="103"/>
      <c r="Z340" s="103"/>
    </row>
    <row r="341" spans="1:26" ht="15.75" customHeight="1">
      <c r="A341" s="101"/>
      <c r="B341" s="103"/>
      <c r="C341" s="103"/>
      <c r="D341" s="103"/>
      <c r="E341" s="103"/>
      <c r="F341" s="103"/>
      <c r="G341" s="103"/>
      <c r="H341" s="103"/>
      <c r="I341" s="103"/>
      <c r="J341" s="103"/>
      <c r="K341" s="103"/>
      <c r="L341" s="103"/>
      <c r="M341" s="103"/>
      <c r="N341" s="103"/>
      <c r="O341" s="103"/>
      <c r="P341" s="103"/>
      <c r="Q341" s="103"/>
      <c r="R341" s="103"/>
      <c r="S341" s="103"/>
      <c r="T341" s="103"/>
      <c r="U341" s="103"/>
      <c r="V341" s="103"/>
      <c r="W341" s="103"/>
      <c r="X341" s="103"/>
      <c r="Y341" s="103"/>
      <c r="Z341" s="103"/>
    </row>
    <row r="342" spans="1:26" ht="15.75" customHeight="1">
      <c r="A342" s="101"/>
      <c r="B342" s="103"/>
      <c r="C342" s="103"/>
      <c r="D342" s="103"/>
      <c r="E342" s="103"/>
      <c r="F342" s="103"/>
      <c r="G342" s="103"/>
      <c r="H342" s="103"/>
      <c r="I342" s="103"/>
      <c r="J342" s="103"/>
      <c r="K342" s="103"/>
      <c r="L342" s="103"/>
      <c r="M342" s="103"/>
      <c r="N342" s="103"/>
      <c r="O342" s="103"/>
      <c r="P342" s="103"/>
      <c r="Q342" s="103"/>
      <c r="R342" s="103"/>
      <c r="S342" s="103"/>
      <c r="T342" s="103"/>
      <c r="U342" s="103"/>
      <c r="V342" s="103"/>
      <c r="W342" s="103"/>
      <c r="X342" s="103"/>
      <c r="Y342" s="103"/>
      <c r="Z342" s="103"/>
    </row>
    <row r="343" spans="1:26" ht="15.75" customHeight="1">
      <c r="A343" s="101"/>
      <c r="B343" s="103"/>
      <c r="C343" s="103"/>
      <c r="D343" s="103"/>
      <c r="E343" s="103"/>
      <c r="F343" s="103"/>
      <c r="G343" s="103"/>
      <c r="H343" s="103"/>
      <c r="I343" s="103"/>
      <c r="J343" s="103"/>
      <c r="K343" s="103"/>
      <c r="L343" s="103"/>
      <c r="M343" s="103"/>
      <c r="N343" s="103"/>
      <c r="O343" s="103"/>
      <c r="P343" s="103"/>
      <c r="Q343" s="103"/>
      <c r="R343" s="103"/>
      <c r="S343" s="103"/>
      <c r="T343" s="103"/>
      <c r="U343" s="103"/>
      <c r="V343" s="103"/>
      <c r="W343" s="103"/>
      <c r="X343" s="103"/>
      <c r="Y343" s="103"/>
      <c r="Z343" s="103"/>
    </row>
    <row r="344" spans="1:26" ht="15.75" customHeight="1">
      <c r="A344" s="101"/>
      <c r="B344" s="103"/>
      <c r="C344" s="103"/>
      <c r="D344" s="103"/>
      <c r="E344" s="103"/>
      <c r="F344" s="103"/>
      <c r="G344" s="103"/>
      <c r="H344" s="103"/>
      <c r="I344" s="103"/>
      <c r="J344" s="103"/>
      <c r="K344" s="103"/>
      <c r="L344" s="103"/>
      <c r="M344" s="103"/>
      <c r="N344" s="103"/>
      <c r="O344" s="103"/>
      <c r="P344" s="103"/>
      <c r="Q344" s="103"/>
      <c r="R344" s="103"/>
      <c r="S344" s="103"/>
      <c r="T344" s="103"/>
      <c r="U344" s="103"/>
      <c r="V344" s="103"/>
      <c r="W344" s="103"/>
      <c r="X344" s="103"/>
      <c r="Y344" s="103"/>
      <c r="Z344" s="103"/>
    </row>
    <row r="345" spans="1:26" ht="15.75" customHeight="1">
      <c r="A345" s="101"/>
      <c r="B345" s="103"/>
      <c r="C345" s="103"/>
      <c r="D345" s="103"/>
      <c r="E345" s="103"/>
      <c r="F345" s="103"/>
      <c r="G345" s="103"/>
      <c r="H345" s="103"/>
      <c r="I345" s="103"/>
      <c r="J345" s="103"/>
      <c r="K345" s="103"/>
      <c r="L345" s="103"/>
      <c r="M345" s="103"/>
      <c r="N345" s="103"/>
      <c r="O345" s="103"/>
      <c r="P345" s="103"/>
      <c r="Q345" s="103"/>
      <c r="R345" s="103"/>
      <c r="S345" s="103"/>
      <c r="T345" s="103"/>
      <c r="U345" s="103"/>
      <c r="V345" s="103"/>
      <c r="W345" s="103"/>
      <c r="X345" s="103"/>
      <c r="Y345" s="103"/>
      <c r="Z345" s="103"/>
    </row>
    <row r="346" spans="1:26" ht="15.75" customHeight="1">
      <c r="A346" s="101"/>
      <c r="B346" s="103"/>
      <c r="C346" s="103"/>
      <c r="D346" s="103"/>
      <c r="E346" s="103"/>
      <c r="F346" s="103"/>
      <c r="G346" s="103"/>
      <c r="H346" s="103"/>
      <c r="I346" s="103"/>
      <c r="J346" s="103"/>
      <c r="K346" s="103"/>
      <c r="L346" s="103"/>
      <c r="M346" s="103"/>
      <c r="N346" s="103"/>
      <c r="O346" s="103"/>
      <c r="P346" s="103"/>
      <c r="Q346" s="103"/>
      <c r="R346" s="103"/>
      <c r="S346" s="103"/>
      <c r="T346" s="103"/>
      <c r="U346" s="103"/>
      <c r="V346" s="103"/>
      <c r="W346" s="103"/>
      <c r="X346" s="103"/>
      <c r="Y346" s="103"/>
      <c r="Z346" s="103"/>
    </row>
    <row r="347" spans="1:26" ht="15.75" customHeight="1">
      <c r="A347" s="101"/>
      <c r="B347" s="103"/>
      <c r="C347" s="103"/>
      <c r="D347" s="103"/>
      <c r="E347" s="103"/>
      <c r="F347" s="103"/>
      <c r="G347" s="103"/>
      <c r="H347" s="103"/>
      <c r="I347" s="103"/>
      <c r="J347" s="103"/>
      <c r="K347" s="103"/>
      <c r="L347" s="103"/>
      <c r="M347" s="103"/>
      <c r="N347" s="103"/>
      <c r="O347" s="103"/>
      <c r="P347" s="103"/>
      <c r="Q347" s="103"/>
      <c r="R347" s="103"/>
      <c r="S347" s="103"/>
      <c r="T347" s="103"/>
      <c r="U347" s="103"/>
      <c r="V347" s="103"/>
      <c r="W347" s="103"/>
      <c r="X347" s="103"/>
      <c r="Y347" s="103"/>
      <c r="Z347" s="103"/>
    </row>
    <row r="348" spans="1:26" ht="15.75" customHeight="1">
      <c r="A348" s="101"/>
      <c r="B348" s="103"/>
      <c r="C348" s="103"/>
      <c r="D348" s="103"/>
      <c r="E348" s="103"/>
      <c r="F348" s="103"/>
      <c r="G348" s="103"/>
      <c r="H348" s="103"/>
      <c r="I348" s="103"/>
      <c r="J348" s="103"/>
      <c r="K348" s="103"/>
      <c r="L348" s="103"/>
      <c r="M348" s="103"/>
      <c r="N348" s="103"/>
      <c r="O348" s="103"/>
      <c r="P348" s="103"/>
      <c r="Q348" s="103"/>
      <c r="R348" s="103"/>
      <c r="S348" s="103"/>
      <c r="T348" s="103"/>
      <c r="U348" s="103"/>
      <c r="V348" s="103"/>
      <c r="W348" s="103"/>
      <c r="X348" s="103"/>
      <c r="Y348" s="103"/>
      <c r="Z348" s="103"/>
    </row>
    <row r="349" spans="1:26" ht="15.75" customHeight="1">
      <c r="A349" s="101"/>
      <c r="B349" s="103"/>
      <c r="C349" s="103"/>
      <c r="D349" s="103"/>
      <c r="E349" s="103"/>
      <c r="F349" s="103"/>
      <c r="G349" s="103"/>
      <c r="H349" s="103"/>
      <c r="I349" s="103"/>
      <c r="J349" s="103"/>
      <c r="K349" s="103"/>
      <c r="L349" s="103"/>
      <c r="M349" s="103"/>
      <c r="N349" s="103"/>
      <c r="O349" s="103"/>
      <c r="P349" s="103"/>
      <c r="Q349" s="103"/>
      <c r="R349" s="103"/>
      <c r="S349" s="103"/>
      <c r="T349" s="103"/>
      <c r="U349" s="103"/>
      <c r="V349" s="103"/>
      <c r="W349" s="103"/>
      <c r="X349" s="103"/>
      <c r="Y349" s="103"/>
      <c r="Z349" s="103"/>
    </row>
    <row r="350" spans="1:26" ht="15.75" customHeight="1">
      <c r="A350" s="101"/>
      <c r="B350" s="103"/>
      <c r="C350" s="103"/>
      <c r="D350" s="103"/>
      <c r="E350" s="103"/>
      <c r="F350" s="103"/>
      <c r="G350" s="103"/>
      <c r="H350" s="103"/>
      <c r="I350" s="103"/>
      <c r="J350" s="103"/>
      <c r="K350" s="103"/>
      <c r="L350" s="103"/>
      <c r="M350" s="103"/>
      <c r="N350" s="103"/>
      <c r="O350" s="103"/>
      <c r="P350" s="103"/>
      <c r="Q350" s="103"/>
      <c r="R350" s="103"/>
      <c r="S350" s="103"/>
      <c r="T350" s="103"/>
      <c r="U350" s="103"/>
      <c r="V350" s="103"/>
      <c r="W350" s="103"/>
      <c r="X350" s="103"/>
      <c r="Y350" s="103"/>
      <c r="Z350" s="103"/>
    </row>
    <row r="351" spans="1:26" ht="15.75" customHeight="1">
      <c r="A351" s="101"/>
      <c r="B351" s="103"/>
      <c r="C351" s="103"/>
      <c r="D351" s="103"/>
      <c r="E351" s="103"/>
      <c r="F351" s="103"/>
      <c r="G351" s="103"/>
      <c r="H351" s="103"/>
      <c r="I351" s="103"/>
      <c r="J351" s="103"/>
      <c r="K351" s="103"/>
      <c r="L351" s="103"/>
      <c r="M351" s="103"/>
      <c r="N351" s="103"/>
      <c r="O351" s="103"/>
      <c r="P351" s="103"/>
      <c r="Q351" s="103"/>
      <c r="R351" s="103"/>
      <c r="S351" s="103"/>
      <c r="T351" s="103"/>
      <c r="U351" s="103"/>
      <c r="V351" s="103"/>
      <c r="W351" s="103"/>
      <c r="X351" s="103"/>
      <c r="Y351" s="103"/>
      <c r="Z351" s="103"/>
    </row>
    <row r="352" spans="1:26" ht="15.75" customHeight="1">
      <c r="A352" s="101"/>
      <c r="B352" s="103"/>
      <c r="C352" s="103"/>
      <c r="D352" s="103"/>
      <c r="E352" s="103"/>
      <c r="F352" s="103"/>
      <c r="G352" s="103"/>
      <c r="H352" s="103"/>
      <c r="I352" s="103"/>
      <c r="J352" s="103"/>
      <c r="K352" s="103"/>
      <c r="L352" s="103"/>
      <c r="M352" s="103"/>
      <c r="N352" s="103"/>
      <c r="O352" s="103"/>
      <c r="P352" s="103"/>
      <c r="Q352" s="103"/>
      <c r="R352" s="103"/>
      <c r="S352" s="103"/>
      <c r="T352" s="103"/>
      <c r="U352" s="103"/>
      <c r="V352" s="103"/>
      <c r="W352" s="103"/>
      <c r="X352" s="103"/>
      <c r="Y352" s="103"/>
      <c r="Z352" s="103"/>
    </row>
    <row r="353" spans="1:26" ht="15.75" customHeight="1">
      <c r="A353" s="101"/>
      <c r="B353" s="103"/>
      <c r="C353" s="103"/>
      <c r="D353" s="103"/>
      <c r="E353" s="103"/>
      <c r="F353" s="103"/>
      <c r="G353" s="103"/>
      <c r="H353" s="103"/>
      <c r="I353" s="103"/>
      <c r="J353" s="103"/>
      <c r="K353" s="103"/>
      <c r="L353" s="103"/>
      <c r="M353" s="103"/>
      <c r="N353" s="103"/>
      <c r="O353" s="103"/>
      <c r="P353" s="103"/>
      <c r="Q353" s="103"/>
      <c r="R353" s="103"/>
      <c r="S353" s="103"/>
      <c r="T353" s="103"/>
      <c r="U353" s="103"/>
      <c r="V353" s="103"/>
      <c r="W353" s="103"/>
      <c r="X353" s="103"/>
      <c r="Y353" s="103"/>
      <c r="Z353" s="103"/>
    </row>
    <row r="354" spans="1:26" ht="15.75" customHeight="1">
      <c r="A354" s="101"/>
      <c r="B354" s="103"/>
      <c r="C354" s="103"/>
      <c r="D354" s="103"/>
      <c r="E354" s="103"/>
      <c r="F354" s="103"/>
      <c r="G354" s="103"/>
      <c r="H354" s="103"/>
      <c r="I354" s="103"/>
      <c r="J354" s="103"/>
      <c r="K354" s="103"/>
      <c r="L354" s="103"/>
      <c r="M354" s="103"/>
      <c r="N354" s="103"/>
      <c r="O354" s="103"/>
      <c r="P354" s="103"/>
      <c r="Q354" s="103"/>
      <c r="R354" s="103"/>
      <c r="S354" s="103"/>
      <c r="T354" s="103"/>
      <c r="U354" s="103"/>
      <c r="V354" s="103"/>
      <c r="W354" s="103"/>
      <c r="X354" s="103"/>
      <c r="Y354" s="103"/>
      <c r="Z354" s="103"/>
    </row>
    <row r="355" spans="1:26" ht="15.75" customHeight="1">
      <c r="A355" s="101"/>
      <c r="B355" s="103"/>
      <c r="C355" s="103"/>
      <c r="D355" s="103"/>
      <c r="E355" s="103"/>
      <c r="F355" s="103"/>
      <c r="G355" s="103"/>
      <c r="H355" s="103"/>
      <c r="I355" s="103"/>
      <c r="J355" s="103"/>
      <c r="K355" s="103"/>
      <c r="L355" s="103"/>
      <c r="M355" s="103"/>
      <c r="N355" s="103"/>
      <c r="O355" s="103"/>
      <c r="P355" s="103"/>
      <c r="Q355" s="103"/>
      <c r="R355" s="103"/>
      <c r="S355" s="103"/>
      <c r="T355" s="103"/>
      <c r="U355" s="103"/>
      <c r="V355" s="103"/>
      <c r="W355" s="103"/>
      <c r="X355" s="103"/>
      <c r="Y355" s="103"/>
      <c r="Z355" s="103"/>
    </row>
    <row r="356" spans="1:26" ht="15.75" customHeight="1">
      <c r="A356" s="101"/>
      <c r="B356" s="103"/>
      <c r="C356" s="103"/>
      <c r="D356" s="103"/>
      <c r="E356" s="103"/>
      <c r="F356" s="103"/>
      <c r="G356" s="103"/>
      <c r="H356" s="103"/>
      <c r="I356" s="103"/>
      <c r="J356" s="103"/>
      <c r="K356" s="103"/>
      <c r="L356" s="103"/>
      <c r="M356" s="103"/>
      <c r="N356" s="103"/>
      <c r="O356" s="103"/>
      <c r="P356" s="103"/>
      <c r="Q356" s="103"/>
      <c r="R356" s="103"/>
      <c r="S356" s="103"/>
      <c r="T356" s="103"/>
      <c r="U356" s="103"/>
      <c r="V356" s="103"/>
      <c r="W356" s="103"/>
      <c r="X356" s="103"/>
      <c r="Y356" s="103"/>
      <c r="Z356" s="103"/>
    </row>
    <row r="357" spans="1:26" ht="15.75" customHeight="1">
      <c r="A357" s="101"/>
      <c r="B357" s="103"/>
      <c r="C357" s="103"/>
      <c r="D357" s="103"/>
      <c r="E357" s="103"/>
      <c r="F357" s="103"/>
      <c r="G357" s="103"/>
      <c r="H357" s="103"/>
      <c r="I357" s="103"/>
      <c r="J357" s="103"/>
      <c r="K357" s="103"/>
      <c r="L357" s="103"/>
      <c r="M357" s="103"/>
      <c r="N357" s="103"/>
      <c r="O357" s="103"/>
      <c r="P357" s="103"/>
      <c r="Q357" s="103"/>
      <c r="R357" s="103"/>
      <c r="S357" s="103"/>
      <c r="T357" s="103"/>
      <c r="U357" s="103"/>
      <c r="V357" s="103"/>
      <c r="W357" s="103"/>
      <c r="X357" s="103"/>
      <c r="Y357" s="103"/>
      <c r="Z357" s="103"/>
    </row>
    <row r="358" spans="1:26" ht="15.75" customHeight="1">
      <c r="A358" s="101"/>
      <c r="B358" s="103"/>
      <c r="C358" s="103"/>
      <c r="D358" s="103"/>
      <c r="E358" s="103"/>
      <c r="F358" s="103"/>
      <c r="G358" s="103"/>
      <c r="H358" s="103"/>
      <c r="I358" s="103"/>
      <c r="J358" s="103"/>
      <c r="K358" s="103"/>
      <c r="L358" s="103"/>
      <c r="M358" s="103"/>
      <c r="N358" s="103"/>
      <c r="O358" s="103"/>
      <c r="P358" s="103"/>
      <c r="Q358" s="103"/>
      <c r="R358" s="103"/>
      <c r="S358" s="103"/>
      <c r="T358" s="103"/>
      <c r="U358" s="103"/>
      <c r="V358" s="103"/>
      <c r="W358" s="103"/>
      <c r="X358" s="103"/>
      <c r="Y358" s="103"/>
      <c r="Z358" s="103"/>
    </row>
    <row r="359" spans="1:26" ht="15.75" customHeight="1">
      <c r="A359" s="101"/>
      <c r="B359" s="103"/>
      <c r="C359" s="103"/>
      <c r="D359" s="103"/>
      <c r="E359" s="103"/>
      <c r="F359" s="103"/>
      <c r="G359" s="103"/>
      <c r="H359" s="103"/>
      <c r="I359" s="103"/>
      <c r="J359" s="103"/>
      <c r="K359" s="103"/>
      <c r="L359" s="103"/>
      <c r="M359" s="103"/>
      <c r="N359" s="103"/>
      <c r="O359" s="103"/>
      <c r="P359" s="103"/>
      <c r="Q359" s="103"/>
      <c r="R359" s="103"/>
      <c r="S359" s="103"/>
      <c r="T359" s="103"/>
      <c r="U359" s="103"/>
      <c r="V359" s="103"/>
      <c r="W359" s="103"/>
      <c r="X359" s="103"/>
      <c r="Y359" s="103"/>
      <c r="Z359" s="103"/>
    </row>
    <row r="360" spans="1:26" ht="15.75" customHeight="1">
      <c r="A360" s="101"/>
      <c r="B360" s="103"/>
      <c r="C360" s="103"/>
      <c r="D360" s="103"/>
      <c r="E360" s="103"/>
      <c r="F360" s="103"/>
      <c r="G360" s="103"/>
      <c r="H360" s="103"/>
      <c r="I360" s="103"/>
      <c r="J360" s="103"/>
      <c r="K360" s="103"/>
      <c r="L360" s="103"/>
      <c r="M360" s="103"/>
      <c r="N360" s="103"/>
      <c r="O360" s="103"/>
      <c r="P360" s="103"/>
      <c r="Q360" s="103"/>
      <c r="R360" s="103"/>
      <c r="S360" s="103"/>
      <c r="T360" s="103"/>
      <c r="U360" s="103"/>
      <c r="V360" s="103"/>
      <c r="W360" s="103"/>
      <c r="X360" s="103"/>
      <c r="Y360" s="103"/>
      <c r="Z360" s="103"/>
    </row>
    <row r="361" spans="1:26" ht="15.75" customHeight="1">
      <c r="A361" s="101"/>
      <c r="B361" s="103"/>
      <c r="C361" s="103"/>
      <c r="D361" s="103"/>
      <c r="E361" s="103"/>
      <c r="F361" s="103"/>
      <c r="G361" s="103"/>
      <c r="H361" s="103"/>
      <c r="I361" s="103"/>
      <c r="J361" s="103"/>
      <c r="K361" s="103"/>
      <c r="L361" s="103"/>
      <c r="M361" s="103"/>
      <c r="N361" s="103"/>
      <c r="O361" s="103"/>
      <c r="P361" s="103"/>
      <c r="Q361" s="103"/>
      <c r="R361" s="103"/>
      <c r="S361" s="103"/>
      <c r="T361" s="103"/>
      <c r="U361" s="103"/>
      <c r="V361" s="103"/>
      <c r="W361" s="103"/>
      <c r="X361" s="103"/>
      <c r="Y361" s="103"/>
      <c r="Z361" s="103"/>
    </row>
    <row r="362" spans="1:26" ht="15.75" customHeight="1">
      <c r="A362" s="101"/>
      <c r="B362" s="103"/>
      <c r="C362" s="103"/>
      <c r="D362" s="103"/>
      <c r="E362" s="103"/>
      <c r="F362" s="103"/>
      <c r="G362" s="103"/>
      <c r="H362" s="103"/>
      <c r="I362" s="103"/>
      <c r="J362" s="103"/>
      <c r="K362" s="103"/>
      <c r="L362" s="103"/>
      <c r="M362" s="103"/>
      <c r="N362" s="103"/>
      <c r="O362" s="103"/>
      <c r="P362" s="103"/>
      <c r="Q362" s="103"/>
      <c r="R362" s="103"/>
      <c r="S362" s="103"/>
      <c r="T362" s="103"/>
      <c r="U362" s="103"/>
      <c r="V362" s="103"/>
      <c r="W362" s="103"/>
      <c r="X362" s="103"/>
      <c r="Y362" s="103"/>
      <c r="Z362" s="103"/>
    </row>
    <row r="363" spans="1:26" ht="15.75" customHeight="1">
      <c r="A363" s="101"/>
      <c r="B363" s="103"/>
      <c r="C363" s="103"/>
      <c r="D363" s="103"/>
      <c r="E363" s="103"/>
      <c r="F363" s="103"/>
      <c r="G363" s="103"/>
      <c r="H363" s="103"/>
      <c r="I363" s="103"/>
      <c r="J363" s="103"/>
      <c r="K363" s="103"/>
      <c r="L363" s="103"/>
      <c r="M363" s="103"/>
      <c r="N363" s="103"/>
      <c r="O363" s="103"/>
      <c r="P363" s="103"/>
      <c r="Q363" s="103"/>
      <c r="R363" s="103"/>
      <c r="S363" s="103"/>
      <c r="T363" s="103"/>
      <c r="U363" s="103"/>
      <c r="V363" s="103"/>
      <c r="W363" s="103"/>
      <c r="X363" s="103"/>
      <c r="Y363" s="103"/>
      <c r="Z363" s="103"/>
    </row>
    <row r="364" spans="1:26" ht="15.75" customHeight="1">
      <c r="A364" s="101"/>
      <c r="B364" s="103"/>
      <c r="C364" s="103"/>
      <c r="D364" s="103"/>
      <c r="E364" s="103"/>
      <c r="F364" s="103"/>
      <c r="G364" s="103"/>
      <c r="H364" s="103"/>
      <c r="I364" s="103"/>
      <c r="J364" s="103"/>
      <c r="K364" s="103"/>
      <c r="L364" s="103"/>
      <c r="M364" s="103"/>
      <c r="N364" s="103"/>
      <c r="O364" s="103"/>
      <c r="P364" s="103"/>
      <c r="Q364" s="103"/>
      <c r="R364" s="103"/>
      <c r="S364" s="103"/>
      <c r="T364" s="103"/>
      <c r="U364" s="103"/>
      <c r="V364" s="103"/>
      <c r="W364" s="103"/>
      <c r="X364" s="103"/>
      <c r="Y364" s="103"/>
      <c r="Z364" s="103"/>
    </row>
    <row r="365" spans="1:26" ht="15.75" customHeight="1">
      <c r="A365" s="101"/>
      <c r="B365" s="103"/>
      <c r="C365" s="103"/>
      <c r="D365" s="103"/>
      <c r="E365" s="103"/>
      <c r="F365" s="103"/>
      <c r="G365" s="103"/>
      <c r="H365" s="103"/>
      <c r="I365" s="103"/>
      <c r="J365" s="103"/>
      <c r="K365" s="103"/>
      <c r="L365" s="103"/>
      <c r="M365" s="103"/>
      <c r="N365" s="103"/>
      <c r="O365" s="103"/>
      <c r="P365" s="103"/>
      <c r="Q365" s="103"/>
      <c r="R365" s="103"/>
      <c r="S365" s="103"/>
      <c r="T365" s="103"/>
      <c r="U365" s="103"/>
      <c r="V365" s="103"/>
      <c r="W365" s="103"/>
      <c r="X365" s="103"/>
      <c r="Y365" s="103"/>
      <c r="Z365" s="103"/>
    </row>
    <row r="366" spans="1:26" ht="15.75" customHeight="1">
      <c r="A366" s="101"/>
      <c r="B366" s="103"/>
      <c r="C366" s="103"/>
      <c r="D366" s="103"/>
      <c r="E366" s="103"/>
      <c r="F366" s="103"/>
      <c r="G366" s="103"/>
      <c r="H366" s="103"/>
      <c r="I366" s="103"/>
      <c r="J366" s="103"/>
      <c r="K366" s="103"/>
      <c r="L366" s="103"/>
      <c r="M366" s="103"/>
      <c r="N366" s="103"/>
      <c r="O366" s="103"/>
      <c r="P366" s="103"/>
      <c r="Q366" s="103"/>
      <c r="R366" s="103"/>
      <c r="S366" s="103"/>
      <c r="T366" s="103"/>
      <c r="U366" s="103"/>
      <c r="V366" s="103"/>
      <c r="W366" s="103"/>
      <c r="X366" s="103"/>
      <c r="Y366" s="103"/>
      <c r="Z366" s="103"/>
    </row>
    <row r="367" spans="1:26" ht="15.75" customHeight="1">
      <c r="A367" s="101"/>
      <c r="B367" s="103"/>
      <c r="C367" s="103"/>
      <c r="D367" s="103"/>
      <c r="E367" s="103"/>
      <c r="F367" s="103"/>
      <c r="G367" s="103"/>
      <c r="H367" s="103"/>
      <c r="I367" s="103"/>
      <c r="J367" s="103"/>
      <c r="K367" s="103"/>
      <c r="L367" s="103"/>
      <c r="M367" s="103"/>
      <c r="N367" s="103"/>
      <c r="O367" s="103"/>
      <c r="P367" s="103"/>
      <c r="Q367" s="103"/>
      <c r="R367" s="103"/>
      <c r="S367" s="103"/>
      <c r="T367" s="103"/>
      <c r="U367" s="103"/>
      <c r="V367" s="103"/>
      <c r="W367" s="103"/>
      <c r="X367" s="103"/>
      <c r="Y367" s="103"/>
      <c r="Z367" s="103"/>
    </row>
    <row r="368" spans="1:26" ht="15.75" customHeight="1">
      <c r="A368" s="101"/>
      <c r="B368" s="103"/>
      <c r="C368" s="103"/>
      <c r="D368" s="103"/>
      <c r="E368" s="103"/>
      <c r="F368" s="103"/>
      <c r="G368" s="103"/>
      <c r="H368" s="103"/>
      <c r="I368" s="103"/>
      <c r="J368" s="103"/>
      <c r="K368" s="103"/>
      <c r="L368" s="103"/>
      <c r="M368" s="103"/>
      <c r="N368" s="103"/>
      <c r="O368" s="103"/>
      <c r="P368" s="103"/>
      <c r="Q368" s="103"/>
      <c r="R368" s="103"/>
      <c r="S368" s="103"/>
      <c r="T368" s="103"/>
      <c r="U368" s="103"/>
      <c r="V368" s="103"/>
      <c r="W368" s="103"/>
      <c r="X368" s="103"/>
      <c r="Y368" s="103"/>
      <c r="Z368" s="103"/>
    </row>
    <row r="369" spans="1:26" ht="15.75" customHeight="1">
      <c r="A369" s="101"/>
      <c r="B369" s="103"/>
      <c r="C369" s="103"/>
      <c r="D369" s="103"/>
      <c r="E369" s="103"/>
      <c r="F369" s="103"/>
      <c r="G369" s="103"/>
      <c r="H369" s="103"/>
      <c r="I369" s="103"/>
      <c r="J369" s="103"/>
      <c r="K369" s="103"/>
      <c r="L369" s="103"/>
      <c r="M369" s="103"/>
      <c r="N369" s="103"/>
      <c r="O369" s="103"/>
      <c r="P369" s="103"/>
      <c r="Q369" s="103"/>
      <c r="R369" s="103"/>
      <c r="S369" s="103"/>
      <c r="T369" s="103"/>
      <c r="U369" s="103"/>
      <c r="V369" s="103"/>
      <c r="W369" s="103"/>
      <c r="X369" s="103"/>
      <c r="Y369" s="103"/>
      <c r="Z369" s="103"/>
    </row>
    <row r="370" spans="1:26" ht="15.75" customHeight="1">
      <c r="A370" s="101"/>
      <c r="B370" s="103"/>
      <c r="C370" s="103"/>
      <c r="D370" s="103"/>
      <c r="E370" s="103"/>
      <c r="F370" s="103"/>
      <c r="G370" s="103"/>
      <c r="H370" s="103"/>
      <c r="I370" s="103"/>
      <c r="J370" s="103"/>
      <c r="K370" s="103"/>
      <c r="L370" s="103"/>
      <c r="M370" s="103"/>
      <c r="N370" s="103"/>
      <c r="O370" s="103"/>
      <c r="P370" s="103"/>
      <c r="Q370" s="103"/>
      <c r="R370" s="103"/>
      <c r="S370" s="103"/>
      <c r="T370" s="103"/>
      <c r="U370" s="103"/>
      <c r="V370" s="103"/>
      <c r="W370" s="103"/>
      <c r="X370" s="103"/>
      <c r="Y370" s="103"/>
      <c r="Z370" s="103"/>
    </row>
    <row r="371" spans="1:26" ht="15.75" customHeight="1">
      <c r="A371" s="101"/>
      <c r="B371" s="103"/>
      <c r="C371" s="103"/>
      <c r="D371" s="103"/>
      <c r="E371" s="103"/>
      <c r="F371" s="103"/>
      <c r="G371" s="103"/>
      <c r="H371" s="103"/>
      <c r="I371" s="103"/>
      <c r="J371" s="103"/>
      <c r="K371" s="103"/>
      <c r="L371" s="103"/>
      <c r="M371" s="103"/>
      <c r="N371" s="103"/>
      <c r="O371" s="103"/>
      <c r="P371" s="103"/>
      <c r="Q371" s="103"/>
      <c r="R371" s="103"/>
      <c r="S371" s="103"/>
      <c r="T371" s="103"/>
      <c r="U371" s="103"/>
      <c r="V371" s="103"/>
      <c r="W371" s="103"/>
      <c r="X371" s="103"/>
      <c r="Y371" s="103"/>
      <c r="Z371" s="103"/>
    </row>
    <row r="372" spans="1:26" ht="15.75" customHeight="1">
      <c r="A372" s="101"/>
      <c r="B372" s="103"/>
      <c r="C372" s="103"/>
      <c r="D372" s="103"/>
      <c r="E372" s="103"/>
      <c r="F372" s="103"/>
      <c r="G372" s="103"/>
      <c r="H372" s="103"/>
      <c r="I372" s="103"/>
      <c r="J372" s="103"/>
      <c r="K372" s="103"/>
      <c r="L372" s="103"/>
      <c r="M372" s="103"/>
      <c r="N372" s="103"/>
      <c r="O372" s="103"/>
      <c r="P372" s="103"/>
      <c r="Q372" s="103"/>
      <c r="R372" s="103"/>
      <c r="S372" s="103"/>
      <c r="T372" s="103"/>
      <c r="U372" s="103"/>
      <c r="V372" s="103"/>
      <c r="W372" s="103"/>
      <c r="X372" s="103"/>
      <c r="Y372" s="103"/>
      <c r="Z372" s="103"/>
    </row>
    <row r="373" spans="1:26" ht="15.75" customHeight="1">
      <c r="A373" s="101"/>
      <c r="B373" s="103"/>
      <c r="C373" s="103"/>
      <c r="D373" s="103"/>
      <c r="E373" s="103"/>
      <c r="F373" s="103"/>
      <c r="G373" s="103"/>
      <c r="H373" s="103"/>
      <c r="I373" s="103"/>
      <c r="J373" s="103"/>
      <c r="K373" s="103"/>
      <c r="L373" s="103"/>
      <c r="M373" s="103"/>
      <c r="N373" s="103"/>
      <c r="O373" s="103"/>
      <c r="P373" s="103"/>
      <c r="Q373" s="103"/>
      <c r="R373" s="103"/>
      <c r="S373" s="103"/>
      <c r="T373" s="103"/>
      <c r="U373" s="103"/>
      <c r="V373" s="103"/>
      <c r="W373" s="103"/>
      <c r="X373" s="103"/>
      <c r="Y373" s="103"/>
      <c r="Z373" s="103"/>
    </row>
    <row r="374" spans="1:26" ht="15.75" customHeight="1">
      <c r="A374" s="101"/>
      <c r="B374" s="103"/>
      <c r="C374" s="103"/>
      <c r="D374" s="103"/>
      <c r="E374" s="103"/>
      <c r="F374" s="103"/>
      <c r="G374" s="103"/>
      <c r="H374" s="103"/>
      <c r="I374" s="103"/>
      <c r="J374" s="103"/>
      <c r="K374" s="103"/>
      <c r="L374" s="103"/>
      <c r="M374" s="103"/>
      <c r="N374" s="103"/>
      <c r="O374" s="103"/>
      <c r="P374" s="103"/>
      <c r="Q374" s="103"/>
      <c r="R374" s="103"/>
      <c r="S374" s="103"/>
      <c r="T374" s="103"/>
      <c r="U374" s="103"/>
      <c r="V374" s="103"/>
      <c r="W374" s="103"/>
      <c r="X374" s="103"/>
      <c r="Y374" s="103"/>
      <c r="Z374" s="103"/>
    </row>
    <row r="375" spans="1:26" ht="15.75" customHeight="1">
      <c r="A375" s="101"/>
      <c r="B375" s="103"/>
      <c r="C375" s="103"/>
      <c r="D375" s="103"/>
      <c r="E375" s="103"/>
      <c r="F375" s="103"/>
      <c r="G375" s="103"/>
      <c r="H375" s="103"/>
      <c r="I375" s="103"/>
      <c r="J375" s="103"/>
      <c r="K375" s="103"/>
      <c r="L375" s="103"/>
      <c r="M375" s="103"/>
      <c r="N375" s="103"/>
      <c r="O375" s="103"/>
      <c r="P375" s="103"/>
      <c r="Q375" s="103"/>
      <c r="R375" s="103"/>
      <c r="S375" s="103"/>
      <c r="T375" s="103"/>
      <c r="U375" s="103"/>
      <c r="V375" s="103"/>
      <c r="W375" s="103"/>
      <c r="X375" s="103"/>
      <c r="Y375" s="103"/>
      <c r="Z375" s="103"/>
    </row>
    <row r="376" spans="1:26" ht="15.75" customHeight="1">
      <c r="A376" s="101"/>
      <c r="B376" s="103"/>
      <c r="C376" s="103"/>
      <c r="D376" s="103"/>
      <c r="E376" s="103"/>
      <c r="F376" s="103"/>
      <c r="G376" s="103"/>
      <c r="H376" s="103"/>
      <c r="I376" s="103"/>
      <c r="J376" s="103"/>
      <c r="K376" s="103"/>
      <c r="L376" s="103"/>
      <c r="M376" s="103"/>
      <c r="N376" s="103"/>
      <c r="O376" s="103"/>
      <c r="P376" s="103"/>
      <c r="Q376" s="103"/>
      <c r="R376" s="103"/>
      <c r="S376" s="103"/>
      <c r="T376" s="103"/>
      <c r="U376" s="103"/>
      <c r="V376" s="103"/>
      <c r="W376" s="103"/>
      <c r="X376" s="103"/>
      <c r="Y376" s="103"/>
      <c r="Z376" s="103"/>
    </row>
    <row r="377" spans="1:26" ht="15.75" customHeight="1">
      <c r="A377" s="101"/>
      <c r="B377" s="103"/>
      <c r="C377" s="103"/>
      <c r="D377" s="103"/>
      <c r="E377" s="103"/>
      <c r="F377" s="103"/>
      <c r="G377" s="103"/>
      <c r="H377" s="103"/>
      <c r="I377" s="103"/>
      <c r="J377" s="103"/>
      <c r="K377" s="103"/>
      <c r="L377" s="103"/>
      <c r="M377" s="103"/>
      <c r="N377" s="103"/>
      <c r="O377" s="103"/>
      <c r="P377" s="103"/>
      <c r="Q377" s="103"/>
      <c r="R377" s="103"/>
      <c r="S377" s="103"/>
      <c r="T377" s="103"/>
      <c r="U377" s="103"/>
      <c r="V377" s="103"/>
      <c r="W377" s="103"/>
      <c r="X377" s="103"/>
      <c r="Y377" s="103"/>
      <c r="Z377" s="103"/>
    </row>
    <row r="378" spans="1:26" ht="15.75" customHeight="1">
      <c r="A378" s="101"/>
      <c r="B378" s="103"/>
      <c r="C378" s="103"/>
      <c r="D378" s="103"/>
      <c r="E378" s="103"/>
      <c r="F378" s="103"/>
      <c r="G378" s="103"/>
      <c r="H378" s="103"/>
      <c r="I378" s="103"/>
      <c r="J378" s="103"/>
      <c r="K378" s="103"/>
      <c r="L378" s="103"/>
      <c r="M378" s="103"/>
      <c r="N378" s="103"/>
      <c r="O378" s="103"/>
      <c r="P378" s="103"/>
      <c r="Q378" s="103"/>
      <c r="R378" s="103"/>
      <c r="S378" s="103"/>
      <c r="T378" s="103"/>
      <c r="U378" s="103"/>
      <c r="V378" s="103"/>
      <c r="W378" s="103"/>
      <c r="X378" s="103"/>
      <c r="Y378" s="103"/>
      <c r="Z378" s="103"/>
    </row>
    <row r="379" spans="1:26" ht="15.75" customHeight="1">
      <c r="A379" s="101"/>
      <c r="B379" s="103"/>
      <c r="C379" s="103"/>
      <c r="D379" s="103"/>
      <c r="E379" s="103"/>
      <c r="F379" s="103"/>
      <c r="G379" s="103"/>
      <c r="H379" s="103"/>
      <c r="I379" s="103"/>
      <c r="J379" s="103"/>
      <c r="K379" s="103"/>
      <c r="L379" s="103"/>
      <c r="M379" s="103"/>
      <c r="N379" s="103"/>
      <c r="O379" s="103"/>
      <c r="P379" s="103"/>
      <c r="Q379" s="103"/>
      <c r="R379" s="103"/>
      <c r="S379" s="103"/>
      <c r="T379" s="103"/>
      <c r="U379" s="103"/>
      <c r="V379" s="103"/>
      <c r="W379" s="103"/>
      <c r="X379" s="103"/>
      <c r="Y379" s="103"/>
      <c r="Z379" s="103"/>
    </row>
    <row r="380" spans="1:26" ht="15.75" customHeight="1">
      <c r="A380" s="101"/>
      <c r="B380" s="103"/>
      <c r="C380" s="103"/>
      <c r="D380" s="103"/>
      <c r="E380" s="103"/>
      <c r="F380" s="103"/>
      <c r="G380" s="103"/>
      <c r="H380" s="103"/>
      <c r="I380" s="103"/>
      <c r="J380" s="103"/>
      <c r="K380" s="103"/>
      <c r="L380" s="103"/>
      <c r="M380" s="103"/>
      <c r="N380" s="103"/>
      <c r="O380" s="103"/>
      <c r="P380" s="103"/>
      <c r="Q380" s="103"/>
      <c r="R380" s="103"/>
      <c r="S380" s="103"/>
      <c r="T380" s="103"/>
      <c r="U380" s="103"/>
      <c r="V380" s="103"/>
      <c r="W380" s="103"/>
      <c r="X380" s="103"/>
      <c r="Y380" s="103"/>
      <c r="Z380" s="103"/>
    </row>
    <row r="381" spans="1:26" ht="15.75" customHeight="1">
      <c r="A381" s="101"/>
      <c r="B381" s="103"/>
      <c r="C381" s="103"/>
      <c r="D381" s="103"/>
      <c r="E381" s="103"/>
      <c r="F381" s="103"/>
      <c r="G381" s="103"/>
      <c r="H381" s="103"/>
      <c r="I381" s="103"/>
      <c r="J381" s="103"/>
      <c r="K381" s="103"/>
      <c r="L381" s="103"/>
      <c r="M381" s="103"/>
      <c r="N381" s="103"/>
      <c r="O381" s="103"/>
      <c r="P381" s="103"/>
      <c r="Q381" s="103"/>
      <c r="R381" s="103"/>
      <c r="S381" s="103"/>
      <c r="T381" s="103"/>
      <c r="U381" s="103"/>
      <c r="V381" s="103"/>
      <c r="W381" s="103"/>
      <c r="X381" s="103"/>
      <c r="Y381" s="103"/>
      <c r="Z381" s="103"/>
    </row>
    <row r="382" spans="1:26" ht="15.75" customHeight="1">
      <c r="A382" s="101"/>
      <c r="B382" s="103"/>
      <c r="C382" s="103"/>
      <c r="D382" s="103"/>
      <c r="E382" s="103"/>
      <c r="F382" s="103"/>
      <c r="G382" s="103"/>
      <c r="H382" s="103"/>
      <c r="I382" s="103"/>
      <c r="J382" s="103"/>
      <c r="K382" s="103"/>
      <c r="L382" s="103"/>
      <c r="M382" s="103"/>
      <c r="N382" s="103"/>
      <c r="O382" s="103"/>
      <c r="P382" s="103"/>
      <c r="Q382" s="103"/>
      <c r="R382" s="103"/>
      <c r="S382" s="103"/>
      <c r="T382" s="103"/>
      <c r="U382" s="103"/>
      <c r="V382" s="103"/>
      <c r="W382" s="103"/>
      <c r="X382" s="103"/>
      <c r="Y382" s="103"/>
      <c r="Z382" s="103"/>
    </row>
    <row r="383" spans="1:26" ht="15.75" customHeight="1">
      <c r="A383" s="101"/>
      <c r="B383" s="103"/>
      <c r="C383" s="103"/>
      <c r="D383" s="103"/>
      <c r="E383" s="103"/>
      <c r="F383" s="103"/>
      <c r="G383" s="103"/>
      <c r="H383" s="103"/>
      <c r="I383" s="103"/>
      <c r="J383" s="103"/>
      <c r="K383" s="103"/>
      <c r="L383" s="103"/>
      <c r="M383" s="103"/>
      <c r="N383" s="103"/>
      <c r="O383" s="103"/>
      <c r="P383" s="103"/>
      <c r="Q383" s="103"/>
      <c r="R383" s="103"/>
      <c r="S383" s="103"/>
      <c r="T383" s="103"/>
      <c r="U383" s="103"/>
      <c r="V383" s="103"/>
      <c r="W383" s="103"/>
      <c r="X383" s="103"/>
      <c r="Y383" s="103"/>
      <c r="Z383" s="103"/>
    </row>
    <row r="384" spans="1:26" ht="15.75" customHeight="1">
      <c r="A384" s="101"/>
      <c r="B384" s="103"/>
      <c r="C384" s="103"/>
      <c r="D384" s="103"/>
      <c r="E384" s="103"/>
      <c r="F384" s="103"/>
      <c r="G384" s="103"/>
      <c r="H384" s="103"/>
      <c r="I384" s="103"/>
      <c r="J384" s="103"/>
      <c r="K384" s="103"/>
      <c r="L384" s="103"/>
      <c r="M384" s="103"/>
      <c r="N384" s="103"/>
      <c r="O384" s="103"/>
      <c r="P384" s="103"/>
      <c r="Q384" s="103"/>
      <c r="R384" s="103"/>
      <c r="S384" s="103"/>
      <c r="T384" s="103"/>
      <c r="U384" s="103"/>
      <c r="V384" s="103"/>
      <c r="W384" s="103"/>
      <c r="X384" s="103"/>
      <c r="Y384" s="103"/>
      <c r="Z384" s="103"/>
    </row>
    <row r="385" spans="1:26" ht="15.75" customHeight="1">
      <c r="A385" s="101"/>
      <c r="B385" s="103"/>
      <c r="C385" s="103"/>
      <c r="D385" s="103"/>
      <c r="E385" s="103"/>
      <c r="F385" s="103"/>
      <c r="G385" s="103"/>
      <c r="H385" s="103"/>
      <c r="I385" s="103"/>
      <c r="J385" s="103"/>
      <c r="K385" s="103"/>
      <c r="L385" s="103"/>
      <c r="M385" s="103"/>
      <c r="N385" s="103"/>
      <c r="O385" s="103"/>
      <c r="P385" s="103"/>
      <c r="Q385" s="103"/>
      <c r="R385" s="103"/>
      <c r="S385" s="103"/>
      <c r="T385" s="103"/>
      <c r="U385" s="103"/>
      <c r="V385" s="103"/>
      <c r="W385" s="103"/>
      <c r="X385" s="103"/>
      <c r="Y385" s="103"/>
      <c r="Z385" s="103"/>
    </row>
    <row r="386" spans="1:26" ht="15.75" customHeight="1">
      <c r="A386" s="101"/>
      <c r="B386" s="103"/>
      <c r="C386" s="103"/>
      <c r="D386" s="103"/>
      <c r="E386" s="103"/>
      <c r="F386" s="103"/>
      <c r="G386" s="103"/>
      <c r="H386" s="103"/>
      <c r="I386" s="103"/>
      <c r="J386" s="103"/>
      <c r="K386" s="103"/>
      <c r="L386" s="103"/>
      <c r="M386" s="103"/>
      <c r="N386" s="103"/>
      <c r="O386" s="103"/>
      <c r="P386" s="103"/>
      <c r="Q386" s="103"/>
      <c r="R386" s="103"/>
      <c r="S386" s="103"/>
      <c r="T386" s="103"/>
      <c r="U386" s="103"/>
      <c r="V386" s="103"/>
      <c r="W386" s="103"/>
      <c r="X386" s="103"/>
      <c r="Y386" s="103"/>
      <c r="Z386" s="103"/>
    </row>
    <row r="387" spans="1:26" ht="15.75" customHeight="1">
      <c r="A387" s="101"/>
      <c r="B387" s="103"/>
      <c r="C387" s="103"/>
      <c r="D387" s="103"/>
      <c r="E387" s="103"/>
      <c r="F387" s="103"/>
      <c r="G387" s="103"/>
      <c r="H387" s="103"/>
      <c r="I387" s="103"/>
      <c r="J387" s="103"/>
      <c r="K387" s="103"/>
      <c r="L387" s="103"/>
      <c r="M387" s="103"/>
      <c r="N387" s="103"/>
      <c r="O387" s="103"/>
      <c r="P387" s="103"/>
      <c r="Q387" s="103"/>
      <c r="R387" s="103"/>
      <c r="S387" s="103"/>
      <c r="T387" s="103"/>
      <c r="U387" s="103"/>
      <c r="V387" s="103"/>
      <c r="W387" s="103"/>
      <c r="X387" s="103"/>
      <c r="Y387" s="103"/>
      <c r="Z387" s="103"/>
    </row>
    <row r="388" spans="1:26" ht="15.75" customHeight="1">
      <c r="A388" s="101"/>
      <c r="B388" s="103"/>
      <c r="C388" s="103"/>
      <c r="D388" s="103"/>
      <c r="E388" s="103"/>
      <c r="F388" s="103"/>
      <c r="G388" s="103"/>
      <c r="H388" s="103"/>
      <c r="I388" s="103"/>
      <c r="J388" s="103"/>
      <c r="K388" s="103"/>
      <c r="L388" s="103"/>
      <c r="M388" s="103"/>
      <c r="N388" s="103"/>
      <c r="O388" s="103"/>
      <c r="P388" s="103"/>
      <c r="Q388" s="103"/>
      <c r="R388" s="103"/>
      <c r="S388" s="103"/>
      <c r="T388" s="103"/>
      <c r="U388" s="103"/>
      <c r="V388" s="103"/>
      <c r="W388" s="103"/>
      <c r="X388" s="103"/>
      <c r="Y388" s="103"/>
      <c r="Z388" s="103"/>
    </row>
    <row r="389" spans="1:26" ht="15.75" customHeight="1">
      <c r="A389" s="101"/>
      <c r="B389" s="103"/>
      <c r="C389" s="103"/>
      <c r="D389" s="103"/>
      <c r="E389" s="103"/>
      <c r="F389" s="103"/>
      <c r="G389" s="103"/>
      <c r="H389" s="103"/>
      <c r="I389" s="103"/>
      <c r="J389" s="103"/>
      <c r="K389" s="103"/>
      <c r="L389" s="103"/>
      <c r="M389" s="103"/>
      <c r="N389" s="103"/>
      <c r="O389" s="103"/>
      <c r="P389" s="103"/>
      <c r="Q389" s="103"/>
      <c r="R389" s="103"/>
      <c r="S389" s="103"/>
      <c r="T389" s="103"/>
      <c r="U389" s="103"/>
      <c r="V389" s="103"/>
      <c r="W389" s="103"/>
      <c r="X389" s="103"/>
      <c r="Y389" s="103"/>
      <c r="Z389" s="103"/>
    </row>
    <row r="390" spans="1:26" ht="15.75" customHeight="1">
      <c r="A390" s="101"/>
      <c r="B390" s="103"/>
      <c r="C390" s="103"/>
      <c r="D390" s="103"/>
      <c r="E390" s="103"/>
      <c r="F390" s="103"/>
      <c r="G390" s="103"/>
      <c r="H390" s="103"/>
      <c r="I390" s="103"/>
      <c r="J390" s="103"/>
      <c r="K390" s="103"/>
      <c r="L390" s="103"/>
      <c r="M390" s="103"/>
      <c r="N390" s="103"/>
      <c r="O390" s="103"/>
      <c r="P390" s="103"/>
      <c r="Q390" s="103"/>
      <c r="R390" s="103"/>
      <c r="S390" s="103"/>
      <c r="T390" s="103"/>
      <c r="U390" s="103"/>
      <c r="V390" s="103"/>
      <c r="W390" s="103"/>
      <c r="X390" s="103"/>
      <c r="Y390" s="103"/>
      <c r="Z390" s="103"/>
    </row>
    <row r="391" spans="1:26" ht="15.75" customHeight="1">
      <c r="A391" s="101"/>
      <c r="B391" s="103"/>
      <c r="C391" s="103"/>
      <c r="D391" s="103"/>
      <c r="E391" s="103"/>
      <c r="F391" s="103"/>
      <c r="G391" s="103"/>
      <c r="H391" s="103"/>
      <c r="I391" s="103"/>
      <c r="J391" s="103"/>
      <c r="K391" s="103"/>
      <c r="L391" s="103"/>
      <c r="M391" s="103"/>
      <c r="N391" s="103"/>
      <c r="O391" s="103"/>
      <c r="P391" s="103"/>
      <c r="Q391" s="103"/>
      <c r="R391" s="103"/>
      <c r="S391" s="103"/>
      <c r="T391" s="103"/>
      <c r="U391" s="103"/>
      <c r="V391" s="103"/>
      <c r="W391" s="103"/>
      <c r="X391" s="103"/>
      <c r="Y391" s="103"/>
      <c r="Z391" s="103"/>
    </row>
    <row r="392" spans="1:26" ht="15.75" customHeight="1">
      <c r="A392" s="101"/>
      <c r="B392" s="103"/>
      <c r="C392" s="103"/>
      <c r="D392" s="103"/>
      <c r="E392" s="103"/>
      <c r="F392" s="103"/>
      <c r="G392" s="103"/>
      <c r="H392" s="103"/>
      <c r="I392" s="103"/>
      <c r="J392" s="103"/>
      <c r="K392" s="103"/>
      <c r="L392" s="103"/>
      <c r="M392" s="103"/>
      <c r="N392" s="103"/>
      <c r="O392" s="103"/>
      <c r="P392" s="103"/>
      <c r="Q392" s="103"/>
      <c r="R392" s="103"/>
      <c r="S392" s="103"/>
      <c r="T392" s="103"/>
      <c r="U392" s="103"/>
      <c r="V392" s="103"/>
      <c r="W392" s="103"/>
      <c r="X392" s="103"/>
      <c r="Y392" s="103"/>
      <c r="Z392" s="103"/>
    </row>
    <row r="393" spans="1:26" ht="15.75" customHeight="1">
      <c r="A393" s="101"/>
      <c r="B393" s="103"/>
      <c r="C393" s="103"/>
      <c r="D393" s="103"/>
      <c r="E393" s="103"/>
      <c r="F393" s="103"/>
      <c r="G393" s="103"/>
      <c r="H393" s="103"/>
      <c r="I393" s="103"/>
      <c r="J393" s="103"/>
      <c r="K393" s="103"/>
      <c r="L393" s="103"/>
      <c r="M393" s="103"/>
      <c r="N393" s="103"/>
      <c r="O393" s="103"/>
      <c r="P393" s="103"/>
      <c r="Q393" s="103"/>
      <c r="R393" s="103"/>
      <c r="S393" s="103"/>
      <c r="T393" s="103"/>
      <c r="U393" s="103"/>
      <c r="V393" s="103"/>
      <c r="W393" s="103"/>
      <c r="X393" s="103"/>
      <c r="Y393" s="103"/>
      <c r="Z393" s="103"/>
    </row>
    <row r="394" spans="1:26" ht="15.75" customHeight="1">
      <c r="A394" s="101"/>
      <c r="B394" s="103"/>
      <c r="C394" s="103"/>
      <c r="D394" s="103"/>
      <c r="E394" s="103"/>
      <c r="F394" s="103"/>
      <c r="G394" s="103"/>
      <c r="H394" s="103"/>
      <c r="I394" s="103"/>
      <c r="J394" s="103"/>
      <c r="K394" s="103"/>
      <c r="L394" s="103"/>
      <c r="M394" s="103"/>
      <c r="N394" s="103"/>
      <c r="O394" s="103"/>
      <c r="P394" s="103"/>
      <c r="Q394" s="103"/>
      <c r="R394" s="103"/>
      <c r="S394" s="103"/>
      <c r="T394" s="103"/>
      <c r="U394" s="103"/>
      <c r="V394" s="103"/>
      <c r="W394" s="103"/>
      <c r="X394" s="103"/>
      <c r="Y394" s="103"/>
      <c r="Z394" s="103"/>
    </row>
    <row r="395" spans="1:26" ht="15.75" customHeight="1">
      <c r="A395" s="101"/>
      <c r="B395" s="103"/>
      <c r="C395" s="103"/>
      <c r="D395" s="103"/>
      <c r="E395" s="103"/>
      <c r="F395" s="103"/>
      <c r="G395" s="103"/>
      <c r="H395" s="103"/>
      <c r="I395" s="103"/>
      <c r="J395" s="103"/>
      <c r="K395" s="103"/>
      <c r="L395" s="103"/>
      <c r="M395" s="103"/>
      <c r="N395" s="103"/>
      <c r="O395" s="103"/>
      <c r="P395" s="103"/>
      <c r="Q395" s="103"/>
      <c r="R395" s="103"/>
      <c r="S395" s="103"/>
      <c r="T395" s="103"/>
      <c r="U395" s="103"/>
      <c r="V395" s="103"/>
      <c r="W395" s="103"/>
      <c r="X395" s="103"/>
      <c r="Y395" s="103"/>
      <c r="Z395" s="103"/>
    </row>
    <row r="396" spans="1:26" ht="15.75" customHeight="1">
      <c r="A396" s="101"/>
      <c r="B396" s="103"/>
      <c r="C396" s="103"/>
      <c r="D396" s="103"/>
      <c r="E396" s="103"/>
      <c r="F396" s="103"/>
      <c r="G396" s="103"/>
      <c r="H396" s="103"/>
      <c r="I396" s="103"/>
      <c r="J396" s="103"/>
      <c r="K396" s="103"/>
      <c r="L396" s="103"/>
      <c r="M396" s="103"/>
      <c r="N396" s="103"/>
      <c r="O396" s="103"/>
      <c r="P396" s="103"/>
      <c r="Q396" s="103"/>
      <c r="R396" s="103"/>
      <c r="S396" s="103"/>
      <c r="T396" s="103"/>
      <c r="U396" s="103"/>
      <c r="V396" s="103"/>
      <c r="W396" s="103"/>
      <c r="X396" s="103"/>
      <c r="Y396" s="103"/>
      <c r="Z396" s="103"/>
    </row>
    <row r="397" spans="1:26" ht="15.75" customHeight="1">
      <c r="A397" s="101"/>
      <c r="B397" s="103"/>
      <c r="C397" s="103"/>
      <c r="D397" s="103"/>
      <c r="E397" s="103"/>
      <c r="F397" s="103"/>
      <c r="G397" s="103"/>
      <c r="H397" s="103"/>
      <c r="I397" s="103"/>
      <c r="J397" s="103"/>
      <c r="K397" s="103"/>
      <c r="L397" s="103"/>
      <c r="M397" s="103"/>
      <c r="N397" s="103"/>
      <c r="O397" s="103"/>
      <c r="P397" s="103"/>
      <c r="Q397" s="103"/>
      <c r="R397" s="103"/>
      <c r="S397" s="103"/>
      <c r="T397" s="103"/>
      <c r="U397" s="103"/>
      <c r="V397" s="103"/>
      <c r="W397" s="103"/>
      <c r="X397" s="103"/>
      <c r="Y397" s="103"/>
      <c r="Z397" s="103"/>
    </row>
    <row r="398" spans="1:26" ht="15.75" customHeight="1">
      <c r="A398" s="101"/>
      <c r="B398" s="103"/>
      <c r="C398" s="103"/>
      <c r="D398" s="103"/>
      <c r="E398" s="103"/>
      <c r="F398" s="103"/>
      <c r="G398" s="103"/>
      <c r="H398" s="103"/>
      <c r="I398" s="103"/>
      <c r="J398" s="103"/>
      <c r="K398" s="103"/>
      <c r="L398" s="103"/>
      <c r="M398" s="103"/>
      <c r="N398" s="103"/>
      <c r="O398" s="103"/>
      <c r="P398" s="103"/>
      <c r="Q398" s="103"/>
      <c r="R398" s="103"/>
      <c r="S398" s="103"/>
      <c r="T398" s="103"/>
      <c r="U398" s="103"/>
      <c r="V398" s="103"/>
      <c r="W398" s="103"/>
      <c r="X398" s="103"/>
      <c r="Y398" s="103"/>
      <c r="Z398" s="103"/>
    </row>
    <row r="399" spans="1:26" ht="15.75" customHeight="1">
      <c r="A399" s="101"/>
      <c r="B399" s="103"/>
      <c r="C399" s="103"/>
      <c r="D399" s="103"/>
      <c r="E399" s="103"/>
      <c r="F399" s="103"/>
      <c r="G399" s="103"/>
      <c r="H399" s="103"/>
      <c r="I399" s="103"/>
      <c r="J399" s="103"/>
      <c r="K399" s="103"/>
      <c r="L399" s="103"/>
      <c r="M399" s="103"/>
      <c r="N399" s="103"/>
      <c r="O399" s="103"/>
      <c r="P399" s="103"/>
      <c r="Q399" s="103"/>
      <c r="R399" s="103"/>
      <c r="S399" s="103"/>
      <c r="T399" s="103"/>
      <c r="U399" s="103"/>
      <c r="V399" s="103"/>
      <c r="W399" s="103"/>
      <c r="X399" s="103"/>
      <c r="Y399" s="103"/>
      <c r="Z399" s="103"/>
    </row>
    <row r="400" spans="1:26" ht="15.75" customHeight="1">
      <c r="A400" s="101"/>
      <c r="B400" s="103"/>
      <c r="C400" s="103"/>
      <c r="D400" s="103"/>
      <c r="E400" s="103"/>
      <c r="F400" s="103"/>
      <c r="G400" s="103"/>
      <c r="H400" s="103"/>
      <c r="I400" s="103"/>
      <c r="J400" s="103"/>
      <c r="K400" s="103"/>
      <c r="L400" s="103"/>
      <c r="M400" s="103"/>
      <c r="N400" s="103"/>
      <c r="O400" s="103"/>
      <c r="P400" s="103"/>
      <c r="Q400" s="103"/>
      <c r="R400" s="103"/>
      <c r="S400" s="103"/>
      <c r="T400" s="103"/>
      <c r="U400" s="103"/>
      <c r="V400" s="103"/>
      <c r="W400" s="103"/>
      <c r="X400" s="103"/>
      <c r="Y400" s="103"/>
      <c r="Z400" s="103"/>
    </row>
    <row r="401" spans="1:26" ht="15.75" customHeight="1">
      <c r="A401" s="101"/>
      <c r="B401" s="103"/>
      <c r="C401" s="103"/>
      <c r="D401" s="103"/>
      <c r="E401" s="103"/>
      <c r="F401" s="103"/>
      <c r="G401" s="103"/>
      <c r="H401" s="103"/>
      <c r="I401" s="103"/>
      <c r="J401" s="103"/>
      <c r="K401" s="103"/>
      <c r="L401" s="103"/>
      <c r="M401" s="103"/>
      <c r="N401" s="103"/>
      <c r="O401" s="103"/>
      <c r="P401" s="103"/>
      <c r="Q401" s="103"/>
      <c r="R401" s="103"/>
      <c r="S401" s="103"/>
      <c r="T401" s="103"/>
      <c r="U401" s="103"/>
      <c r="V401" s="103"/>
      <c r="W401" s="103"/>
      <c r="X401" s="103"/>
      <c r="Y401" s="103"/>
      <c r="Z401" s="103"/>
    </row>
    <row r="402" spans="1:26" ht="15.75" customHeight="1">
      <c r="A402" s="101"/>
      <c r="B402" s="103"/>
      <c r="C402" s="103"/>
      <c r="D402" s="103"/>
      <c r="E402" s="103"/>
      <c r="F402" s="103"/>
      <c r="G402" s="103"/>
      <c r="H402" s="103"/>
      <c r="I402" s="103"/>
      <c r="J402" s="103"/>
      <c r="K402" s="103"/>
      <c r="L402" s="103"/>
      <c r="M402" s="103"/>
      <c r="N402" s="103"/>
      <c r="O402" s="103"/>
      <c r="P402" s="103"/>
      <c r="Q402" s="103"/>
      <c r="R402" s="103"/>
      <c r="S402" s="103"/>
      <c r="T402" s="103"/>
      <c r="U402" s="103"/>
      <c r="V402" s="103"/>
      <c r="W402" s="103"/>
      <c r="X402" s="103"/>
      <c r="Y402" s="103"/>
      <c r="Z402" s="103"/>
    </row>
    <row r="403" spans="1:26" ht="15.75" customHeight="1">
      <c r="A403" s="101"/>
      <c r="B403" s="103"/>
      <c r="C403" s="103"/>
      <c r="D403" s="103"/>
      <c r="E403" s="103"/>
      <c r="F403" s="103"/>
      <c r="G403" s="103"/>
      <c r="H403" s="103"/>
      <c r="I403" s="103"/>
      <c r="J403" s="103"/>
      <c r="K403" s="103"/>
      <c r="L403" s="103"/>
      <c r="M403" s="103"/>
      <c r="N403" s="103"/>
      <c r="O403" s="103"/>
      <c r="P403" s="103"/>
      <c r="Q403" s="103"/>
      <c r="R403" s="103"/>
      <c r="S403" s="103"/>
      <c r="T403" s="103"/>
      <c r="U403" s="103"/>
      <c r="V403" s="103"/>
      <c r="W403" s="103"/>
      <c r="X403" s="103"/>
      <c r="Y403" s="103"/>
      <c r="Z403" s="103"/>
    </row>
    <row r="404" spans="1:26" ht="15.75" customHeight="1">
      <c r="A404" s="101"/>
      <c r="B404" s="103"/>
      <c r="C404" s="103"/>
      <c r="D404" s="103"/>
      <c r="E404" s="103"/>
      <c r="F404" s="103"/>
      <c r="G404" s="103"/>
      <c r="H404" s="103"/>
      <c r="I404" s="103"/>
      <c r="J404" s="103"/>
      <c r="K404" s="103"/>
      <c r="L404" s="103"/>
      <c r="M404" s="103"/>
      <c r="N404" s="103"/>
      <c r="O404" s="103"/>
      <c r="P404" s="103"/>
      <c r="Q404" s="103"/>
      <c r="R404" s="103"/>
      <c r="S404" s="103"/>
      <c r="T404" s="103"/>
      <c r="U404" s="103"/>
      <c r="V404" s="103"/>
      <c r="W404" s="103"/>
      <c r="X404" s="103"/>
      <c r="Y404" s="103"/>
      <c r="Z404" s="103"/>
    </row>
    <row r="405" spans="1:26" ht="15.75" customHeight="1">
      <c r="A405" s="101"/>
      <c r="B405" s="103"/>
      <c r="C405" s="103"/>
      <c r="D405" s="103"/>
      <c r="E405" s="103"/>
      <c r="F405" s="103"/>
      <c r="G405" s="103"/>
      <c r="H405" s="103"/>
      <c r="I405" s="103"/>
      <c r="J405" s="103"/>
      <c r="K405" s="103"/>
      <c r="L405" s="103"/>
      <c r="M405" s="103"/>
      <c r="N405" s="103"/>
      <c r="O405" s="103"/>
      <c r="P405" s="103"/>
      <c r="Q405" s="103"/>
      <c r="R405" s="103"/>
      <c r="S405" s="103"/>
      <c r="T405" s="103"/>
      <c r="U405" s="103"/>
      <c r="V405" s="103"/>
      <c r="W405" s="103"/>
      <c r="X405" s="103"/>
      <c r="Y405" s="103"/>
      <c r="Z405" s="103"/>
    </row>
    <row r="406" spans="1:26" ht="15.75" customHeight="1">
      <c r="A406" s="101"/>
      <c r="B406" s="103"/>
      <c r="C406" s="103"/>
      <c r="D406" s="103"/>
      <c r="E406" s="103"/>
      <c r="F406" s="103"/>
      <c r="G406" s="103"/>
      <c r="H406" s="103"/>
      <c r="I406" s="103"/>
      <c r="J406" s="103"/>
      <c r="K406" s="103"/>
      <c r="L406" s="103"/>
      <c r="M406" s="103"/>
      <c r="N406" s="103"/>
      <c r="O406" s="103"/>
      <c r="P406" s="103"/>
      <c r="Q406" s="103"/>
      <c r="R406" s="103"/>
      <c r="S406" s="103"/>
      <c r="T406" s="103"/>
      <c r="U406" s="103"/>
      <c r="V406" s="103"/>
      <c r="W406" s="103"/>
      <c r="X406" s="103"/>
      <c r="Y406" s="103"/>
      <c r="Z406" s="103"/>
    </row>
    <row r="407" spans="1:26" ht="15.75" customHeight="1">
      <c r="A407" s="101"/>
      <c r="B407" s="103"/>
      <c r="C407" s="103"/>
      <c r="D407" s="103"/>
      <c r="E407" s="103"/>
      <c r="F407" s="103"/>
      <c r="G407" s="103"/>
      <c r="H407" s="103"/>
      <c r="I407" s="103"/>
      <c r="J407" s="103"/>
      <c r="K407" s="103"/>
      <c r="L407" s="103"/>
      <c r="M407" s="103"/>
      <c r="N407" s="103"/>
      <c r="O407" s="103"/>
      <c r="P407" s="103"/>
      <c r="Q407" s="103"/>
      <c r="R407" s="103"/>
      <c r="S407" s="103"/>
      <c r="T407" s="103"/>
      <c r="U407" s="103"/>
      <c r="V407" s="103"/>
      <c r="W407" s="103"/>
      <c r="X407" s="103"/>
      <c r="Y407" s="103"/>
      <c r="Z407" s="103"/>
    </row>
    <row r="408" spans="1:26" ht="15.75" customHeight="1">
      <c r="A408" s="101"/>
      <c r="B408" s="103"/>
      <c r="C408" s="103"/>
      <c r="D408" s="103"/>
      <c r="E408" s="103"/>
      <c r="F408" s="103"/>
      <c r="G408" s="103"/>
      <c r="H408" s="103"/>
      <c r="I408" s="103"/>
      <c r="J408" s="103"/>
      <c r="K408" s="103"/>
      <c r="L408" s="103"/>
      <c r="M408" s="103"/>
      <c r="N408" s="103"/>
      <c r="O408" s="103"/>
      <c r="P408" s="103"/>
      <c r="Q408" s="103"/>
      <c r="R408" s="103"/>
      <c r="S408" s="103"/>
      <c r="T408" s="103"/>
      <c r="U408" s="103"/>
      <c r="V408" s="103"/>
      <c r="W408" s="103"/>
      <c r="X408" s="103"/>
      <c r="Y408" s="103"/>
      <c r="Z408" s="103"/>
    </row>
    <row r="409" spans="1:26" ht="15.75" customHeight="1">
      <c r="A409" s="101"/>
      <c r="B409" s="103"/>
      <c r="C409" s="103"/>
      <c r="D409" s="103"/>
      <c r="E409" s="103"/>
      <c r="F409" s="103"/>
      <c r="G409" s="103"/>
      <c r="H409" s="103"/>
      <c r="I409" s="103"/>
      <c r="J409" s="103"/>
      <c r="K409" s="103"/>
      <c r="L409" s="103"/>
      <c r="M409" s="103"/>
      <c r="N409" s="103"/>
      <c r="O409" s="103"/>
      <c r="P409" s="103"/>
      <c r="Q409" s="103"/>
      <c r="R409" s="103"/>
      <c r="S409" s="103"/>
      <c r="T409" s="103"/>
      <c r="U409" s="103"/>
      <c r="V409" s="103"/>
      <c r="W409" s="103"/>
      <c r="X409" s="103"/>
      <c r="Y409" s="103"/>
      <c r="Z409" s="103"/>
    </row>
    <row r="410" spans="1:26" ht="15.75" customHeight="1">
      <c r="A410" s="101"/>
      <c r="B410" s="103"/>
      <c r="C410" s="103"/>
      <c r="D410" s="103"/>
      <c r="E410" s="103"/>
      <c r="F410" s="103"/>
      <c r="G410" s="103"/>
      <c r="H410" s="103"/>
      <c r="I410" s="103"/>
      <c r="J410" s="103"/>
      <c r="K410" s="103"/>
      <c r="L410" s="103"/>
      <c r="M410" s="103"/>
      <c r="N410" s="103"/>
      <c r="O410" s="103"/>
      <c r="P410" s="103"/>
      <c r="Q410" s="103"/>
      <c r="R410" s="103"/>
      <c r="S410" s="103"/>
      <c r="T410" s="103"/>
      <c r="U410" s="103"/>
      <c r="V410" s="103"/>
      <c r="W410" s="103"/>
      <c r="X410" s="103"/>
      <c r="Y410" s="103"/>
      <c r="Z410" s="103"/>
    </row>
    <row r="411" spans="1:26" ht="15.75" customHeight="1">
      <c r="A411" s="101"/>
      <c r="B411" s="103"/>
      <c r="C411" s="103"/>
      <c r="D411" s="103"/>
      <c r="E411" s="103"/>
      <c r="F411" s="103"/>
      <c r="G411" s="103"/>
      <c r="H411" s="103"/>
      <c r="I411" s="103"/>
      <c r="J411" s="103"/>
      <c r="K411" s="103"/>
      <c r="L411" s="103"/>
      <c r="M411" s="103"/>
      <c r="N411" s="103"/>
      <c r="O411" s="103"/>
      <c r="P411" s="103"/>
      <c r="Q411" s="103"/>
      <c r="R411" s="103"/>
      <c r="S411" s="103"/>
      <c r="T411" s="103"/>
      <c r="U411" s="103"/>
      <c r="V411" s="103"/>
      <c r="W411" s="103"/>
      <c r="X411" s="103"/>
      <c r="Y411" s="103"/>
      <c r="Z411" s="103"/>
    </row>
    <row r="412" spans="1:26" ht="15.75" customHeight="1">
      <c r="A412" s="101"/>
      <c r="B412" s="103"/>
      <c r="C412" s="103"/>
      <c r="D412" s="103"/>
      <c r="E412" s="103"/>
      <c r="F412" s="103"/>
      <c r="G412" s="103"/>
      <c r="H412" s="103"/>
      <c r="I412" s="103"/>
      <c r="J412" s="103"/>
      <c r="K412" s="103"/>
      <c r="L412" s="103"/>
      <c r="M412" s="103"/>
      <c r="N412" s="103"/>
      <c r="O412" s="103"/>
      <c r="P412" s="103"/>
      <c r="Q412" s="103"/>
      <c r="R412" s="103"/>
      <c r="S412" s="103"/>
      <c r="T412" s="103"/>
      <c r="U412" s="103"/>
      <c r="V412" s="103"/>
      <c r="W412" s="103"/>
      <c r="X412" s="103"/>
      <c r="Y412" s="103"/>
      <c r="Z412" s="103"/>
    </row>
    <row r="413" spans="1:26" ht="15.75" customHeight="1">
      <c r="A413" s="101"/>
      <c r="B413" s="103"/>
      <c r="C413" s="103"/>
      <c r="D413" s="103"/>
      <c r="E413" s="103"/>
      <c r="F413" s="103"/>
      <c r="G413" s="103"/>
      <c r="H413" s="103"/>
      <c r="I413" s="103"/>
      <c r="J413" s="103"/>
      <c r="K413" s="103"/>
      <c r="L413" s="103"/>
      <c r="M413" s="103"/>
      <c r="N413" s="103"/>
      <c r="O413" s="103"/>
      <c r="P413" s="103"/>
      <c r="Q413" s="103"/>
      <c r="R413" s="103"/>
      <c r="S413" s="103"/>
      <c r="T413" s="103"/>
      <c r="U413" s="103"/>
      <c r="V413" s="103"/>
      <c r="W413" s="103"/>
      <c r="X413" s="103"/>
      <c r="Y413" s="103"/>
      <c r="Z413" s="103"/>
    </row>
    <row r="414" spans="1:26" ht="15.75" customHeight="1">
      <c r="A414" s="101"/>
      <c r="B414" s="103"/>
      <c r="C414" s="103"/>
      <c r="D414" s="103"/>
      <c r="E414" s="103"/>
      <c r="F414" s="103"/>
      <c r="G414" s="103"/>
      <c r="H414" s="103"/>
      <c r="I414" s="103"/>
      <c r="J414" s="103"/>
      <c r="K414" s="103"/>
      <c r="L414" s="103"/>
      <c r="M414" s="103"/>
      <c r="N414" s="103"/>
      <c r="O414" s="103"/>
      <c r="P414" s="103"/>
      <c r="Q414" s="103"/>
      <c r="R414" s="103"/>
      <c r="S414" s="103"/>
      <c r="T414" s="103"/>
      <c r="U414" s="103"/>
      <c r="V414" s="103"/>
      <c r="W414" s="103"/>
      <c r="X414" s="103"/>
      <c r="Y414" s="103"/>
      <c r="Z414" s="103"/>
    </row>
    <row r="415" spans="1:26" ht="15.75" customHeight="1">
      <c r="A415" s="101"/>
      <c r="B415" s="103"/>
      <c r="C415" s="103"/>
      <c r="D415" s="103"/>
      <c r="E415" s="103"/>
      <c r="F415" s="103"/>
      <c r="G415" s="103"/>
      <c r="H415" s="103"/>
      <c r="I415" s="103"/>
      <c r="J415" s="103"/>
      <c r="K415" s="103"/>
      <c r="L415" s="103"/>
      <c r="M415" s="103"/>
      <c r="N415" s="103"/>
      <c r="O415" s="103"/>
      <c r="P415" s="103"/>
      <c r="Q415" s="103"/>
      <c r="R415" s="103"/>
      <c r="S415" s="103"/>
      <c r="T415" s="103"/>
      <c r="U415" s="103"/>
      <c r="V415" s="103"/>
      <c r="W415" s="103"/>
      <c r="X415" s="103"/>
      <c r="Y415" s="103"/>
      <c r="Z415" s="103"/>
    </row>
    <row r="416" spans="1:26" ht="15.75" customHeight="1">
      <c r="A416" s="101"/>
      <c r="B416" s="103"/>
      <c r="C416" s="103"/>
      <c r="D416" s="103"/>
      <c r="E416" s="103"/>
      <c r="F416" s="103"/>
      <c r="G416" s="103"/>
      <c r="H416" s="103"/>
      <c r="I416" s="103"/>
      <c r="J416" s="103"/>
      <c r="K416" s="103"/>
      <c r="L416" s="103"/>
      <c r="M416" s="103"/>
      <c r="N416" s="103"/>
      <c r="O416" s="103"/>
      <c r="P416" s="103"/>
      <c r="Q416" s="103"/>
      <c r="R416" s="103"/>
      <c r="S416" s="103"/>
      <c r="T416" s="103"/>
      <c r="U416" s="103"/>
      <c r="V416" s="103"/>
      <c r="W416" s="103"/>
      <c r="X416" s="103"/>
      <c r="Y416" s="103"/>
      <c r="Z416" s="103"/>
    </row>
    <row r="417" spans="1:26" ht="15.75" customHeight="1">
      <c r="A417" s="101"/>
      <c r="B417" s="103"/>
      <c r="C417" s="103"/>
      <c r="D417" s="103"/>
      <c r="E417" s="103"/>
      <c r="F417" s="103"/>
      <c r="G417" s="103"/>
      <c r="H417" s="103"/>
      <c r="I417" s="103"/>
      <c r="J417" s="103"/>
      <c r="K417" s="103"/>
      <c r="L417" s="103"/>
      <c r="M417" s="103"/>
      <c r="N417" s="103"/>
      <c r="O417" s="103"/>
      <c r="P417" s="103"/>
      <c r="Q417" s="103"/>
      <c r="R417" s="103"/>
      <c r="S417" s="103"/>
      <c r="T417" s="103"/>
      <c r="U417" s="103"/>
      <c r="V417" s="103"/>
      <c r="W417" s="103"/>
      <c r="X417" s="103"/>
      <c r="Y417" s="103"/>
      <c r="Z417" s="103"/>
    </row>
    <row r="418" spans="1:26" ht="15.75" customHeight="1">
      <c r="A418" s="101"/>
      <c r="B418" s="103"/>
      <c r="C418" s="103"/>
      <c r="D418" s="103"/>
      <c r="E418" s="103"/>
      <c r="F418" s="103"/>
      <c r="G418" s="103"/>
      <c r="H418" s="103"/>
      <c r="I418" s="103"/>
      <c r="J418" s="103"/>
      <c r="K418" s="103"/>
      <c r="L418" s="103"/>
      <c r="M418" s="103"/>
      <c r="N418" s="103"/>
      <c r="O418" s="103"/>
      <c r="P418" s="103"/>
      <c r="Q418" s="103"/>
      <c r="R418" s="103"/>
      <c r="S418" s="103"/>
      <c r="T418" s="103"/>
      <c r="U418" s="103"/>
      <c r="V418" s="103"/>
      <c r="W418" s="103"/>
      <c r="X418" s="103"/>
      <c r="Y418" s="103"/>
      <c r="Z418" s="103"/>
    </row>
    <row r="419" spans="1:26" ht="15.75" customHeight="1">
      <c r="A419" s="101"/>
      <c r="B419" s="103"/>
      <c r="C419" s="103"/>
      <c r="D419" s="103"/>
      <c r="E419" s="103"/>
      <c r="F419" s="103"/>
      <c r="G419" s="103"/>
      <c r="H419" s="103"/>
      <c r="I419" s="103"/>
      <c r="J419" s="103"/>
      <c r="K419" s="103"/>
      <c r="L419" s="103"/>
      <c r="M419" s="103"/>
      <c r="N419" s="103"/>
      <c r="O419" s="103"/>
      <c r="P419" s="103"/>
      <c r="Q419" s="103"/>
      <c r="R419" s="103"/>
      <c r="S419" s="103"/>
      <c r="T419" s="103"/>
      <c r="U419" s="103"/>
      <c r="V419" s="103"/>
      <c r="W419" s="103"/>
      <c r="X419" s="103"/>
      <c r="Y419" s="103"/>
      <c r="Z419" s="103"/>
    </row>
    <row r="420" spans="1:26" ht="15.75" customHeight="1">
      <c r="A420" s="101"/>
      <c r="B420" s="103"/>
      <c r="C420" s="103"/>
      <c r="D420" s="103"/>
      <c r="E420" s="103"/>
      <c r="F420" s="103"/>
      <c r="G420" s="103"/>
      <c r="H420" s="103"/>
      <c r="I420" s="103"/>
      <c r="J420" s="103"/>
      <c r="K420" s="103"/>
      <c r="L420" s="103"/>
      <c r="M420" s="103"/>
      <c r="N420" s="103"/>
      <c r="O420" s="103"/>
      <c r="P420" s="103"/>
      <c r="Q420" s="103"/>
      <c r="R420" s="103"/>
      <c r="S420" s="103"/>
      <c r="T420" s="103"/>
      <c r="U420" s="103"/>
      <c r="V420" s="103"/>
      <c r="W420" s="103"/>
      <c r="X420" s="103"/>
      <c r="Y420" s="103"/>
      <c r="Z420" s="103"/>
    </row>
    <row r="421" spans="1:26" ht="15.75" customHeight="1">
      <c r="A421" s="101"/>
      <c r="B421" s="103"/>
      <c r="C421" s="103"/>
      <c r="D421" s="103"/>
      <c r="E421" s="103"/>
      <c r="F421" s="103"/>
      <c r="G421" s="103"/>
      <c r="H421" s="103"/>
      <c r="I421" s="103"/>
      <c r="J421" s="103"/>
      <c r="K421" s="103"/>
      <c r="L421" s="103"/>
      <c r="M421" s="103"/>
      <c r="N421" s="103"/>
      <c r="O421" s="103"/>
      <c r="P421" s="103"/>
      <c r="Q421" s="103"/>
      <c r="R421" s="103"/>
      <c r="S421" s="103"/>
      <c r="T421" s="103"/>
      <c r="U421" s="103"/>
      <c r="V421" s="103"/>
      <c r="W421" s="103"/>
      <c r="X421" s="103"/>
      <c r="Y421" s="103"/>
      <c r="Z421" s="103"/>
    </row>
    <row r="422" spans="1:26" ht="15.75" customHeight="1">
      <c r="A422" s="101"/>
      <c r="B422" s="103"/>
      <c r="C422" s="103"/>
      <c r="D422" s="103"/>
      <c r="E422" s="103"/>
      <c r="F422" s="103"/>
      <c r="G422" s="103"/>
      <c r="H422" s="103"/>
      <c r="I422" s="103"/>
      <c r="J422" s="103"/>
      <c r="K422" s="103"/>
      <c r="L422" s="103"/>
      <c r="M422" s="103"/>
      <c r="N422" s="103"/>
      <c r="O422" s="103"/>
      <c r="P422" s="103"/>
      <c r="Q422" s="103"/>
      <c r="R422" s="103"/>
      <c r="S422" s="103"/>
      <c r="T422" s="103"/>
      <c r="U422" s="103"/>
      <c r="V422" s="103"/>
      <c r="W422" s="103"/>
      <c r="X422" s="103"/>
      <c r="Y422" s="103"/>
      <c r="Z422" s="103"/>
    </row>
    <row r="423" spans="1:26" ht="15.75" customHeight="1">
      <c r="A423" s="101"/>
      <c r="B423" s="103"/>
      <c r="C423" s="103"/>
      <c r="D423" s="103"/>
      <c r="E423" s="103"/>
      <c r="F423" s="103"/>
      <c r="G423" s="103"/>
      <c r="H423" s="103"/>
      <c r="I423" s="103"/>
      <c r="J423" s="103"/>
      <c r="K423" s="103"/>
      <c r="L423" s="103"/>
      <c r="M423" s="103"/>
      <c r="N423" s="103"/>
      <c r="O423" s="103"/>
      <c r="P423" s="103"/>
      <c r="Q423" s="103"/>
      <c r="R423" s="103"/>
      <c r="S423" s="103"/>
      <c r="T423" s="103"/>
      <c r="U423" s="103"/>
      <c r="V423" s="103"/>
      <c r="W423" s="103"/>
      <c r="X423" s="103"/>
      <c r="Y423" s="103"/>
      <c r="Z423" s="103"/>
    </row>
    <row r="424" spans="1:26" ht="15.75" customHeight="1">
      <c r="A424" s="101"/>
      <c r="B424" s="103"/>
      <c r="C424" s="103"/>
      <c r="D424" s="103"/>
      <c r="E424" s="103"/>
      <c r="F424" s="103"/>
      <c r="G424" s="103"/>
      <c r="H424" s="103"/>
      <c r="I424" s="103"/>
      <c r="J424" s="103"/>
      <c r="K424" s="103"/>
      <c r="L424" s="103"/>
      <c r="M424" s="103"/>
      <c r="N424" s="103"/>
      <c r="O424" s="103"/>
      <c r="P424" s="103"/>
      <c r="Q424" s="103"/>
      <c r="R424" s="103"/>
      <c r="S424" s="103"/>
      <c r="T424" s="103"/>
      <c r="U424" s="103"/>
      <c r="V424" s="103"/>
      <c r="W424" s="103"/>
      <c r="X424" s="103"/>
      <c r="Y424" s="103"/>
      <c r="Z424" s="103"/>
    </row>
    <row r="425" spans="1:26" ht="15.75" customHeight="1">
      <c r="A425" s="101"/>
      <c r="B425" s="103"/>
      <c r="C425" s="103"/>
      <c r="D425" s="103"/>
      <c r="E425" s="103"/>
      <c r="F425" s="103"/>
      <c r="G425" s="103"/>
      <c r="H425" s="103"/>
      <c r="I425" s="103"/>
      <c r="J425" s="103"/>
      <c r="K425" s="103"/>
      <c r="L425" s="103"/>
      <c r="M425" s="103"/>
      <c r="N425" s="103"/>
      <c r="O425" s="103"/>
      <c r="P425" s="103"/>
      <c r="Q425" s="103"/>
      <c r="R425" s="103"/>
      <c r="S425" s="103"/>
      <c r="T425" s="103"/>
      <c r="U425" s="103"/>
      <c r="V425" s="103"/>
      <c r="W425" s="103"/>
      <c r="X425" s="103"/>
      <c r="Y425" s="103"/>
      <c r="Z425" s="103"/>
    </row>
    <row r="426" spans="1:26" ht="15.75" customHeight="1">
      <c r="A426" s="101"/>
      <c r="B426" s="103"/>
      <c r="C426" s="103"/>
      <c r="D426" s="103"/>
      <c r="E426" s="103"/>
      <c r="F426" s="103"/>
      <c r="G426" s="103"/>
      <c r="H426" s="103"/>
      <c r="I426" s="103"/>
      <c r="J426" s="103"/>
      <c r="K426" s="103"/>
      <c r="L426" s="103"/>
      <c r="M426" s="103"/>
      <c r="N426" s="103"/>
      <c r="O426" s="103"/>
      <c r="P426" s="103"/>
      <c r="Q426" s="103"/>
      <c r="R426" s="103"/>
      <c r="S426" s="103"/>
      <c r="T426" s="103"/>
      <c r="U426" s="103"/>
      <c r="V426" s="103"/>
      <c r="W426" s="103"/>
      <c r="X426" s="103"/>
      <c r="Y426" s="103"/>
      <c r="Z426" s="103"/>
    </row>
    <row r="427" spans="1:26" ht="15.75" customHeight="1">
      <c r="A427" s="101"/>
      <c r="B427" s="103"/>
      <c r="C427" s="103"/>
      <c r="D427" s="103"/>
      <c r="E427" s="103"/>
      <c r="F427" s="103"/>
      <c r="G427" s="103"/>
      <c r="H427" s="103"/>
      <c r="I427" s="103"/>
      <c r="J427" s="103"/>
      <c r="K427" s="103"/>
      <c r="L427" s="103"/>
      <c r="M427" s="103"/>
      <c r="N427" s="103"/>
      <c r="O427" s="103"/>
      <c r="P427" s="103"/>
      <c r="Q427" s="103"/>
      <c r="R427" s="103"/>
      <c r="S427" s="103"/>
      <c r="T427" s="103"/>
      <c r="U427" s="103"/>
      <c r="V427" s="103"/>
      <c r="W427" s="103"/>
      <c r="X427" s="103"/>
      <c r="Y427" s="103"/>
      <c r="Z427" s="103"/>
    </row>
    <row r="428" spans="1:26" ht="15.75" customHeight="1">
      <c r="A428" s="101"/>
      <c r="B428" s="103"/>
      <c r="C428" s="103"/>
      <c r="D428" s="103"/>
      <c r="E428" s="103"/>
      <c r="F428" s="103"/>
      <c r="G428" s="103"/>
      <c r="H428" s="103"/>
      <c r="I428" s="103"/>
      <c r="J428" s="103"/>
      <c r="K428" s="103"/>
      <c r="L428" s="103"/>
      <c r="M428" s="103"/>
      <c r="N428" s="103"/>
      <c r="O428" s="103"/>
      <c r="P428" s="103"/>
      <c r="Q428" s="103"/>
      <c r="R428" s="103"/>
      <c r="S428" s="103"/>
      <c r="T428" s="103"/>
      <c r="U428" s="103"/>
      <c r="V428" s="103"/>
      <c r="W428" s="103"/>
      <c r="X428" s="103"/>
      <c r="Y428" s="103"/>
      <c r="Z428" s="103"/>
    </row>
    <row r="429" spans="1:26" ht="15.75" customHeight="1">
      <c r="A429" s="101"/>
      <c r="B429" s="103"/>
      <c r="C429" s="103"/>
      <c r="D429" s="103"/>
      <c r="E429" s="103"/>
      <c r="F429" s="103"/>
      <c r="G429" s="103"/>
      <c r="H429" s="103"/>
      <c r="I429" s="103"/>
      <c r="J429" s="103"/>
      <c r="K429" s="103"/>
      <c r="L429" s="103"/>
      <c r="M429" s="103"/>
      <c r="N429" s="103"/>
      <c r="O429" s="103"/>
      <c r="P429" s="103"/>
      <c r="Q429" s="103"/>
      <c r="R429" s="103"/>
      <c r="S429" s="103"/>
      <c r="T429" s="103"/>
      <c r="U429" s="103"/>
      <c r="V429" s="103"/>
      <c r="W429" s="103"/>
      <c r="X429" s="103"/>
      <c r="Y429" s="103"/>
      <c r="Z429" s="103"/>
    </row>
    <row r="430" spans="1:26" ht="15.75" customHeight="1">
      <c r="A430" s="101"/>
      <c r="B430" s="103"/>
      <c r="C430" s="103"/>
      <c r="D430" s="103"/>
      <c r="E430" s="103"/>
      <c r="F430" s="103"/>
      <c r="G430" s="103"/>
      <c r="H430" s="103"/>
      <c r="I430" s="103"/>
      <c r="J430" s="103"/>
      <c r="K430" s="103"/>
      <c r="L430" s="103"/>
      <c r="M430" s="103"/>
      <c r="N430" s="103"/>
      <c r="O430" s="103"/>
      <c r="P430" s="103"/>
      <c r="Q430" s="103"/>
      <c r="R430" s="103"/>
      <c r="S430" s="103"/>
      <c r="T430" s="103"/>
      <c r="U430" s="103"/>
      <c r="V430" s="103"/>
      <c r="W430" s="103"/>
      <c r="X430" s="103"/>
      <c r="Y430" s="103"/>
      <c r="Z430" s="103"/>
    </row>
    <row r="431" spans="1:26" ht="15.75" customHeight="1">
      <c r="A431" s="101"/>
      <c r="B431" s="103"/>
      <c r="C431" s="103"/>
      <c r="D431" s="103"/>
      <c r="E431" s="103"/>
      <c r="F431" s="103"/>
      <c r="G431" s="103"/>
      <c r="H431" s="103"/>
      <c r="I431" s="103"/>
      <c r="J431" s="103"/>
      <c r="K431" s="103"/>
      <c r="L431" s="103"/>
      <c r="M431" s="103"/>
      <c r="N431" s="103"/>
      <c r="O431" s="103"/>
      <c r="P431" s="103"/>
      <c r="Q431" s="103"/>
      <c r="R431" s="103"/>
      <c r="S431" s="103"/>
      <c r="T431" s="103"/>
      <c r="U431" s="103"/>
      <c r="V431" s="103"/>
      <c r="W431" s="103"/>
      <c r="X431" s="103"/>
      <c r="Y431" s="103"/>
      <c r="Z431" s="103"/>
    </row>
    <row r="432" spans="1:26" ht="15.75" customHeight="1">
      <c r="A432" s="101"/>
      <c r="B432" s="103"/>
      <c r="C432" s="103"/>
      <c r="D432" s="103"/>
      <c r="E432" s="103"/>
      <c r="F432" s="103"/>
      <c r="G432" s="103"/>
      <c r="H432" s="103"/>
      <c r="I432" s="103"/>
      <c r="J432" s="103"/>
      <c r="K432" s="103"/>
      <c r="L432" s="103"/>
      <c r="M432" s="103"/>
      <c r="N432" s="103"/>
      <c r="O432" s="103"/>
      <c r="P432" s="103"/>
      <c r="Q432" s="103"/>
      <c r="R432" s="103"/>
      <c r="S432" s="103"/>
      <c r="T432" s="103"/>
      <c r="U432" s="103"/>
      <c r="V432" s="103"/>
      <c r="W432" s="103"/>
      <c r="X432" s="103"/>
      <c r="Y432" s="103"/>
      <c r="Z432" s="103"/>
    </row>
    <row r="433" spans="1:26" ht="15.75" customHeight="1">
      <c r="A433" s="101"/>
      <c r="B433" s="103"/>
      <c r="C433" s="103"/>
      <c r="D433" s="103"/>
      <c r="E433" s="103"/>
      <c r="F433" s="103"/>
      <c r="G433" s="103"/>
      <c r="H433" s="103"/>
      <c r="I433" s="103"/>
      <c r="J433" s="103"/>
      <c r="K433" s="103"/>
      <c r="L433" s="103"/>
      <c r="M433" s="103"/>
      <c r="N433" s="103"/>
      <c r="O433" s="103"/>
      <c r="P433" s="103"/>
      <c r="Q433" s="103"/>
      <c r="R433" s="103"/>
      <c r="S433" s="103"/>
      <c r="T433" s="103"/>
      <c r="U433" s="103"/>
      <c r="V433" s="103"/>
      <c r="W433" s="103"/>
      <c r="X433" s="103"/>
      <c r="Y433" s="103"/>
      <c r="Z433" s="103"/>
    </row>
    <row r="434" spans="1:26" ht="15.75" customHeight="1">
      <c r="A434" s="101"/>
      <c r="B434" s="103"/>
      <c r="C434" s="103"/>
      <c r="D434" s="103"/>
      <c r="E434" s="103"/>
      <c r="F434" s="103"/>
      <c r="G434" s="103"/>
      <c r="H434" s="103"/>
      <c r="I434" s="103"/>
      <c r="J434" s="103"/>
      <c r="K434" s="103"/>
      <c r="L434" s="103"/>
      <c r="M434" s="103"/>
      <c r="N434" s="103"/>
      <c r="O434" s="103"/>
      <c r="P434" s="103"/>
      <c r="Q434" s="103"/>
      <c r="R434" s="103"/>
      <c r="S434" s="103"/>
      <c r="T434" s="103"/>
      <c r="U434" s="103"/>
      <c r="V434" s="103"/>
      <c r="W434" s="103"/>
      <c r="X434" s="103"/>
      <c r="Y434" s="103"/>
      <c r="Z434" s="103"/>
    </row>
    <row r="435" spans="1:26" ht="15.75" customHeight="1">
      <c r="A435" s="101"/>
      <c r="B435" s="103"/>
      <c r="C435" s="103"/>
      <c r="D435" s="103"/>
      <c r="E435" s="103"/>
      <c r="F435" s="103"/>
      <c r="G435" s="103"/>
      <c r="H435" s="103"/>
      <c r="I435" s="103"/>
      <c r="J435" s="103"/>
      <c r="K435" s="103"/>
      <c r="L435" s="103"/>
      <c r="M435" s="103"/>
      <c r="N435" s="103"/>
      <c r="O435" s="103"/>
      <c r="P435" s="103"/>
      <c r="Q435" s="103"/>
      <c r="R435" s="103"/>
      <c r="S435" s="103"/>
      <c r="T435" s="103"/>
      <c r="U435" s="103"/>
      <c r="V435" s="103"/>
      <c r="W435" s="103"/>
      <c r="X435" s="103"/>
      <c r="Y435" s="103"/>
      <c r="Z435" s="103"/>
    </row>
    <row r="436" spans="1:26" ht="15.75" customHeight="1">
      <c r="A436" s="101"/>
      <c r="B436" s="103"/>
      <c r="C436" s="103"/>
      <c r="D436" s="103"/>
      <c r="E436" s="103"/>
      <c r="F436" s="103"/>
      <c r="G436" s="103"/>
      <c r="H436" s="103"/>
      <c r="I436" s="103"/>
      <c r="J436" s="103"/>
      <c r="K436" s="103"/>
      <c r="L436" s="103"/>
      <c r="M436" s="103"/>
      <c r="N436" s="103"/>
      <c r="O436" s="103"/>
      <c r="P436" s="103"/>
      <c r="Q436" s="103"/>
      <c r="R436" s="103"/>
      <c r="S436" s="103"/>
      <c r="T436" s="103"/>
      <c r="U436" s="103"/>
      <c r="V436" s="103"/>
      <c r="W436" s="103"/>
      <c r="X436" s="103"/>
      <c r="Y436" s="103"/>
      <c r="Z436" s="103"/>
    </row>
    <row r="437" spans="1:26" ht="15.75" customHeight="1">
      <c r="A437" s="101"/>
      <c r="B437" s="103"/>
      <c r="C437" s="103"/>
      <c r="D437" s="103"/>
      <c r="E437" s="103"/>
      <c r="F437" s="103"/>
      <c r="G437" s="103"/>
      <c r="H437" s="103"/>
      <c r="I437" s="103"/>
      <c r="J437" s="103"/>
      <c r="K437" s="103"/>
      <c r="L437" s="103"/>
      <c r="M437" s="103"/>
      <c r="N437" s="103"/>
      <c r="O437" s="103"/>
      <c r="P437" s="103"/>
      <c r="Q437" s="103"/>
      <c r="R437" s="103"/>
      <c r="S437" s="103"/>
      <c r="T437" s="103"/>
      <c r="U437" s="103"/>
      <c r="V437" s="103"/>
      <c r="W437" s="103"/>
      <c r="X437" s="103"/>
      <c r="Y437" s="103"/>
      <c r="Z437" s="103"/>
    </row>
    <row r="438" spans="1:26" ht="15.75" customHeight="1">
      <c r="A438" s="101"/>
      <c r="B438" s="103"/>
      <c r="C438" s="103"/>
      <c r="D438" s="103"/>
      <c r="E438" s="103"/>
      <c r="F438" s="103"/>
      <c r="G438" s="103"/>
      <c r="H438" s="103"/>
      <c r="I438" s="103"/>
      <c r="J438" s="103"/>
      <c r="K438" s="103"/>
      <c r="L438" s="103"/>
      <c r="M438" s="103"/>
      <c r="N438" s="103"/>
      <c r="O438" s="103"/>
      <c r="P438" s="103"/>
      <c r="Q438" s="103"/>
      <c r="R438" s="103"/>
      <c r="S438" s="103"/>
      <c r="T438" s="103"/>
      <c r="U438" s="103"/>
      <c r="V438" s="103"/>
      <c r="W438" s="103"/>
      <c r="X438" s="103"/>
      <c r="Y438" s="103"/>
      <c r="Z438" s="103"/>
    </row>
    <row r="439" spans="1:26" ht="15.75" customHeight="1">
      <c r="A439" s="101"/>
      <c r="B439" s="103"/>
      <c r="C439" s="103"/>
      <c r="D439" s="103"/>
      <c r="E439" s="103"/>
      <c r="F439" s="103"/>
      <c r="G439" s="103"/>
      <c r="H439" s="103"/>
      <c r="I439" s="103"/>
      <c r="J439" s="103"/>
      <c r="K439" s="103"/>
      <c r="L439" s="103"/>
      <c r="M439" s="103"/>
      <c r="N439" s="103"/>
      <c r="O439" s="103"/>
      <c r="P439" s="103"/>
      <c r="Q439" s="103"/>
      <c r="R439" s="103"/>
      <c r="S439" s="103"/>
      <c r="T439" s="103"/>
      <c r="U439" s="103"/>
      <c r="V439" s="103"/>
      <c r="W439" s="103"/>
      <c r="X439" s="103"/>
      <c r="Y439" s="103"/>
      <c r="Z439" s="103"/>
    </row>
    <row r="440" spans="1:26" ht="15.75" customHeight="1">
      <c r="A440" s="101"/>
      <c r="B440" s="103"/>
      <c r="C440" s="103"/>
      <c r="D440" s="103"/>
      <c r="E440" s="103"/>
      <c r="F440" s="103"/>
      <c r="G440" s="103"/>
      <c r="H440" s="103"/>
      <c r="I440" s="103"/>
      <c r="J440" s="103"/>
      <c r="K440" s="103"/>
      <c r="L440" s="103"/>
      <c r="M440" s="103"/>
      <c r="N440" s="103"/>
      <c r="O440" s="103"/>
      <c r="P440" s="103"/>
      <c r="Q440" s="103"/>
      <c r="R440" s="103"/>
      <c r="S440" s="103"/>
      <c r="T440" s="103"/>
      <c r="U440" s="103"/>
      <c r="V440" s="103"/>
      <c r="W440" s="103"/>
      <c r="X440" s="103"/>
      <c r="Y440" s="103"/>
      <c r="Z440" s="103"/>
    </row>
    <row r="441" spans="1:26" ht="15.75" customHeight="1">
      <c r="A441" s="101"/>
      <c r="B441" s="103"/>
      <c r="C441" s="103"/>
      <c r="D441" s="103"/>
      <c r="E441" s="103"/>
      <c r="F441" s="103"/>
      <c r="G441" s="103"/>
      <c r="H441" s="103"/>
      <c r="I441" s="103"/>
      <c r="J441" s="103"/>
      <c r="K441" s="103"/>
      <c r="L441" s="103"/>
      <c r="M441" s="103"/>
      <c r="N441" s="103"/>
      <c r="O441" s="103"/>
      <c r="P441" s="103"/>
      <c r="Q441" s="103"/>
      <c r="R441" s="103"/>
      <c r="S441" s="103"/>
      <c r="T441" s="103"/>
      <c r="U441" s="103"/>
      <c r="V441" s="103"/>
      <c r="W441" s="103"/>
      <c r="X441" s="103"/>
      <c r="Y441" s="103"/>
      <c r="Z441" s="103"/>
    </row>
    <row r="442" spans="1:26" ht="15.75" customHeight="1">
      <c r="A442" s="101"/>
      <c r="B442" s="103"/>
      <c r="C442" s="103"/>
      <c r="D442" s="103"/>
      <c r="E442" s="103"/>
      <c r="F442" s="103"/>
      <c r="G442" s="103"/>
      <c r="H442" s="103"/>
      <c r="I442" s="103"/>
      <c r="J442" s="103"/>
      <c r="K442" s="103"/>
      <c r="L442" s="103"/>
      <c r="M442" s="103"/>
      <c r="N442" s="103"/>
      <c r="O442" s="103"/>
      <c r="P442" s="103"/>
      <c r="Q442" s="103"/>
      <c r="R442" s="103"/>
      <c r="S442" s="103"/>
      <c r="T442" s="103"/>
      <c r="U442" s="103"/>
      <c r="V442" s="103"/>
      <c r="W442" s="103"/>
      <c r="X442" s="103"/>
      <c r="Y442" s="103"/>
      <c r="Z442" s="103"/>
    </row>
    <row r="443" spans="1:26" ht="15.75" customHeight="1">
      <c r="A443" s="101"/>
      <c r="B443" s="103"/>
      <c r="C443" s="103"/>
      <c r="D443" s="103"/>
      <c r="E443" s="103"/>
      <c r="F443" s="103"/>
      <c r="G443" s="103"/>
      <c r="H443" s="103"/>
      <c r="I443" s="103"/>
      <c r="J443" s="103"/>
      <c r="K443" s="103"/>
      <c r="L443" s="103"/>
      <c r="M443" s="103"/>
      <c r="N443" s="103"/>
      <c r="O443" s="103"/>
      <c r="P443" s="103"/>
      <c r="Q443" s="103"/>
      <c r="R443" s="103"/>
      <c r="S443" s="103"/>
      <c r="T443" s="103"/>
      <c r="U443" s="103"/>
      <c r="V443" s="103"/>
      <c r="W443" s="103"/>
      <c r="X443" s="103"/>
      <c r="Y443" s="103"/>
      <c r="Z443" s="103"/>
    </row>
    <row r="444" spans="1:26" ht="15.75" customHeight="1">
      <c r="A444" s="101"/>
      <c r="B444" s="103"/>
      <c r="C444" s="103"/>
      <c r="D444" s="103"/>
      <c r="E444" s="103"/>
      <c r="F444" s="103"/>
      <c r="G444" s="103"/>
      <c r="H444" s="103"/>
      <c r="I444" s="103"/>
      <c r="J444" s="103"/>
      <c r="K444" s="103"/>
      <c r="L444" s="103"/>
      <c r="M444" s="103"/>
      <c r="N444" s="103"/>
      <c r="O444" s="103"/>
      <c r="P444" s="103"/>
      <c r="Q444" s="103"/>
      <c r="R444" s="103"/>
      <c r="S444" s="103"/>
      <c r="T444" s="103"/>
      <c r="U444" s="103"/>
      <c r="V444" s="103"/>
      <c r="W444" s="103"/>
      <c r="X444" s="103"/>
      <c r="Y444" s="103"/>
      <c r="Z444" s="103"/>
    </row>
    <row r="445" spans="1:26" ht="15.75" customHeight="1">
      <c r="A445" s="101"/>
      <c r="B445" s="103"/>
      <c r="C445" s="103"/>
      <c r="D445" s="103"/>
      <c r="E445" s="103"/>
      <c r="F445" s="103"/>
      <c r="G445" s="103"/>
      <c r="H445" s="103"/>
      <c r="I445" s="103"/>
      <c r="J445" s="103"/>
      <c r="K445" s="103"/>
      <c r="L445" s="103"/>
      <c r="M445" s="103"/>
      <c r="N445" s="103"/>
      <c r="O445" s="103"/>
      <c r="P445" s="103"/>
      <c r="Q445" s="103"/>
      <c r="R445" s="103"/>
      <c r="S445" s="103"/>
      <c r="T445" s="103"/>
      <c r="U445" s="103"/>
      <c r="V445" s="103"/>
      <c r="W445" s="103"/>
      <c r="X445" s="103"/>
      <c r="Y445" s="103"/>
      <c r="Z445" s="103"/>
    </row>
    <row r="446" spans="1:26" ht="15.75" customHeight="1">
      <c r="A446" s="101"/>
      <c r="B446" s="103"/>
      <c r="C446" s="103"/>
      <c r="D446" s="103"/>
      <c r="E446" s="103"/>
      <c r="F446" s="103"/>
      <c r="G446" s="103"/>
      <c r="H446" s="103"/>
      <c r="I446" s="103"/>
      <c r="J446" s="103"/>
      <c r="K446" s="103"/>
      <c r="L446" s="103"/>
      <c r="M446" s="103"/>
      <c r="N446" s="103"/>
      <c r="O446" s="103"/>
      <c r="P446" s="103"/>
      <c r="Q446" s="103"/>
      <c r="R446" s="103"/>
      <c r="S446" s="103"/>
      <c r="T446" s="103"/>
      <c r="U446" s="103"/>
      <c r="V446" s="103"/>
      <c r="W446" s="103"/>
      <c r="X446" s="103"/>
      <c r="Y446" s="103"/>
      <c r="Z446" s="103"/>
    </row>
    <row r="447" spans="1:26" ht="15.75" customHeight="1">
      <c r="A447" s="101"/>
      <c r="B447" s="103"/>
      <c r="C447" s="103"/>
      <c r="D447" s="103"/>
      <c r="E447" s="103"/>
      <c r="F447" s="103"/>
      <c r="G447" s="103"/>
      <c r="H447" s="103"/>
      <c r="I447" s="103"/>
      <c r="J447" s="103"/>
      <c r="K447" s="103"/>
      <c r="L447" s="103"/>
      <c r="M447" s="103"/>
      <c r="N447" s="103"/>
      <c r="O447" s="103"/>
      <c r="P447" s="103"/>
      <c r="Q447" s="103"/>
      <c r="R447" s="103"/>
      <c r="S447" s="103"/>
      <c r="T447" s="103"/>
      <c r="U447" s="103"/>
      <c r="V447" s="103"/>
      <c r="W447" s="103"/>
      <c r="X447" s="103"/>
      <c r="Y447" s="103"/>
      <c r="Z447" s="103"/>
    </row>
    <row r="448" spans="1:26" ht="15.75" customHeight="1">
      <c r="A448" s="101"/>
      <c r="B448" s="103"/>
      <c r="C448" s="103"/>
      <c r="D448" s="103"/>
      <c r="E448" s="103"/>
      <c r="F448" s="103"/>
      <c r="G448" s="103"/>
      <c r="H448" s="103"/>
      <c r="I448" s="103"/>
      <c r="J448" s="103"/>
      <c r="K448" s="103"/>
      <c r="L448" s="103"/>
      <c r="M448" s="103"/>
      <c r="N448" s="103"/>
      <c r="O448" s="103"/>
      <c r="P448" s="103"/>
      <c r="Q448" s="103"/>
      <c r="R448" s="103"/>
      <c r="S448" s="103"/>
      <c r="T448" s="103"/>
      <c r="U448" s="103"/>
      <c r="V448" s="103"/>
      <c r="W448" s="103"/>
      <c r="X448" s="103"/>
      <c r="Y448" s="103"/>
      <c r="Z448" s="103"/>
    </row>
    <row r="449" spans="1:26" ht="15.75" customHeight="1">
      <c r="A449" s="101"/>
      <c r="B449" s="103"/>
      <c r="C449" s="103"/>
      <c r="D449" s="103"/>
      <c r="E449" s="103"/>
      <c r="F449" s="103"/>
      <c r="G449" s="103"/>
      <c r="H449" s="103"/>
      <c r="I449" s="103"/>
      <c r="J449" s="103"/>
      <c r="K449" s="103"/>
      <c r="L449" s="103"/>
      <c r="M449" s="103"/>
      <c r="N449" s="103"/>
      <c r="O449" s="103"/>
      <c r="P449" s="103"/>
      <c r="Q449" s="103"/>
      <c r="R449" s="103"/>
      <c r="S449" s="103"/>
      <c r="T449" s="103"/>
      <c r="U449" s="103"/>
      <c r="V449" s="103"/>
      <c r="W449" s="103"/>
      <c r="X449" s="103"/>
      <c r="Y449" s="103"/>
      <c r="Z449" s="103"/>
    </row>
    <row r="450" spans="1:26" ht="15.75" customHeight="1">
      <c r="A450" s="101"/>
      <c r="B450" s="103"/>
      <c r="C450" s="103"/>
      <c r="D450" s="103"/>
      <c r="E450" s="103"/>
      <c r="F450" s="103"/>
      <c r="G450" s="103"/>
      <c r="H450" s="103"/>
      <c r="I450" s="103"/>
      <c r="J450" s="103"/>
      <c r="K450" s="103"/>
      <c r="L450" s="103"/>
      <c r="M450" s="103"/>
      <c r="N450" s="103"/>
      <c r="O450" s="103"/>
      <c r="P450" s="103"/>
      <c r="Q450" s="103"/>
      <c r="R450" s="103"/>
      <c r="S450" s="103"/>
      <c r="T450" s="103"/>
      <c r="U450" s="103"/>
      <c r="V450" s="103"/>
      <c r="W450" s="103"/>
      <c r="X450" s="103"/>
      <c r="Y450" s="103"/>
      <c r="Z450" s="103"/>
    </row>
    <row r="451" spans="1:26" ht="15.75" customHeight="1">
      <c r="A451" s="101"/>
      <c r="B451" s="103"/>
      <c r="C451" s="103"/>
      <c r="D451" s="103"/>
      <c r="E451" s="103"/>
      <c r="F451" s="103"/>
      <c r="G451" s="103"/>
      <c r="H451" s="103"/>
      <c r="I451" s="103"/>
      <c r="J451" s="103"/>
      <c r="K451" s="103"/>
      <c r="L451" s="103"/>
      <c r="M451" s="103"/>
      <c r="N451" s="103"/>
      <c r="O451" s="103"/>
      <c r="P451" s="103"/>
      <c r="Q451" s="103"/>
      <c r="R451" s="103"/>
      <c r="S451" s="103"/>
      <c r="T451" s="103"/>
      <c r="U451" s="103"/>
      <c r="V451" s="103"/>
      <c r="W451" s="103"/>
      <c r="X451" s="103"/>
      <c r="Y451" s="103"/>
      <c r="Z451" s="103"/>
    </row>
    <row r="452" spans="1:26" ht="15.75" customHeight="1">
      <c r="A452" s="101"/>
      <c r="B452" s="103"/>
      <c r="C452" s="103"/>
      <c r="D452" s="103"/>
      <c r="E452" s="103"/>
      <c r="F452" s="103"/>
      <c r="G452" s="103"/>
      <c r="H452" s="103"/>
      <c r="I452" s="103"/>
      <c r="J452" s="103"/>
      <c r="K452" s="103"/>
      <c r="L452" s="103"/>
      <c r="M452" s="103"/>
      <c r="N452" s="103"/>
      <c r="O452" s="103"/>
      <c r="P452" s="103"/>
      <c r="Q452" s="103"/>
      <c r="R452" s="103"/>
      <c r="S452" s="103"/>
      <c r="T452" s="103"/>
      <c r="U452" s="103"/>
      <c r="V452" s="103"/>
      <c r="W452" s="103"/>
      <c r="X452" s="103"/>
      <c r="Y452" s="103"/>
      <c r="Z452" s="103"/>
    </row>
    <row r="453" spans="1:26" ht="15.75" customHeight="1">
      <c r="A453" s="101"/>
      <c r="B453" s="103"/>
      <c r="C453" s="103"/>
      <c r="D453" s="103"/>
      <c r="E453" s="103"/>
      <c r="F453" s="103"/>
      <c r="G453" s="103"/>
      <c r="H453" s="103"/>
      <c r="I453" s="103"/>
      <c r="J453" s="103"/>
      <c r="K453" s="103"/>
      <c r="L453" s="103"/>
      <c r="M453" s="103"/>
      <c r="N453" s="103"/>
      <c r="O453" s="103"/>
      <c r="P453" s="103"/>
      <c r="Q453" s="103"/>
      <c r="R453" s="103"/>
      <c r="S453" s="103"/>
      <c r="T453" s="103"/>
      <c r="U453" s="103"/>
      <c r="V453" s="103"/>
      <c r="W453" s="103"/>
      <c r="X453" s="103"/>
      <c r="Y453" s="103"/>
      <c r="Z453" s="103"/>
    </row>
    <row r="454" spans="1:26" ht="15.75" customHeight="1">
      <c r="A454" s="101"/>
      <c r="B454" s="103"/>
      <c r="C454" s="103"/>
      <c r="D454" s="103"/>
      <c r="E454" s="103"/>
      <c r="F454" s="103"/>
      <c r="G454" s="103"/>
      <c r="H454" s="103"/>
      <c r="I454" s="103"/>
      <c r="J454" s="103"/>
      <c r="K454" s="103"/>
      <c r="L454" s="103"/>
      <c r="M454" s="103"/>
      <c r="N454" s="103"/>
      <c r="O454" s="103"/>
      <c r="P454" s="103"/>
      <c r="Q454" s="103"/>
      <c r="R454" s="103"/>
      <c r="S454" s="103"/>
      <c r="T454" s="103"/>
      <c r="U454" s="103"/>
      <c r="V454" s="103"/>
      <c r="W454" s="103"/>
      <c r="X454" s="103"/>
      <c r="Y454" s="103"/>
      <c r="Z454" s="103"/>
    </row>
    <row r="455" spans="1:26" ht="15.75" customHeight="1">
      <c r="A455" s="101"/>
      <c r="B455" s="103"/>
      <c r="C455" s="103"/>
      <c r="D455" s="103"/>
      <c r="E455" s="103"/>
      <c r="F455" s="103"/>
      <c r="G455" s="103"/>
      <c r="H455" s="103"/>
      <c r="I455" s="103"/>
      <c r="J455" s="103"/>
      <c r="K455" s="103"/>
      <c r="L455" s="103"/>
      <c r="M455" s="103"/>
      <c r="N455" s="103"/>
      <c r="O455" s="103"/>
      <c r="P455" s="103"/>
      <c r="Q455" s="103"/>
      <c r="R455" s="103"/>
      <c r="S455" s="103"/>
      <c r="T455" s="103"/>
      <c r="U455" s="103"/>
      <c r="V455" s="103"/>
      <c r="W455" s="103"/>
      <c r="X455" s="103"/>
      <c r="Y455" s="103"/>
      <c r="Z455" s="103"/>
    </row>
    <row r="456" spans="1:26" ht="15.75" customHeight="1">
      <c r="A456" s="101"/>
      <c r="B456" s="103"/>
      <c r="C456" s="103"/>
      <c r="D456" s="103"/>
      <c r="E456" s="103"/>
      <c r="F456" s="103"/>
      <c r="G456" s="103"/>
      <c r="H456" s="103"/>
      <c r="I456" s="103"/>
      <c r="J456" s="103"/>
      <c r="K456" s="103"/>
      <c r="L456" s="103"/>
      <c r="M456" s="103"/>
      <c r="N456" s="103"/>
      <c r="O456" s="103"/>
      <c r="P456" s="103"/>
      <c r="Q456" s="103"/>
      <c r="R456" s="103"/>
      <c r="S456" s="103"/>
      <c r="T456" s="103"/>
      <c r="U456" s="103"/>
      <c r="V456" s="103"/>
      <c r="W456" s="103"/>
      <c r="X456" s="103"/>
      <c r="Y456" s="103"/>
      <c r="Z456" s="103"/>
    </row>
    <row r="457" spans="1:26" ht="15.75" customHeight="1">
      <c r="A457" s="101"/>
      <c r="B457" s="103"/>
      <c r="C457" s="103"/>
      <c r="D457" s="103"/>
      <c r="E457" s="103"/>
      <c r="F457" s="103"/>
      <c r="G457" s="103"/>
      <c r="H457" s="103"/>
      <c r="I457" s="103"/>
      <c r="J457" s="103"/>
      <c r="K457" s="103"/>
      <c r="L457" s="103"/>
      <c r="M457" s="103"/>
      <c r="N457" s="103"/>
      <c r="O457" s="103"/>
      <c r="P457" s="103"/>
      <c r="Q457" s="103"/>
      <c r="R457" s="103"/>
      <c r="S457" s="103"/>
      <c r="T457" s="103"/>
      <c r="U457" s="103"/>
      <c r="V457" s="103"/>
      <c r="W457" s="103"/>
      <c r="X457" s="103"/>
      <c r="Y457" s="103"/>
      <c r="Z457" s="103"/>
    </row>
    <row r="458" spans="1:26" ht="15.75" customHeight="1">
      <c r="A458" s="101"/>
      <c r="B458" s="103"/>
      <c r="C458" s="103"/>
      <c r="D458" s="103"/>
      <c r="E458" s="103"/>
      <c r="F458" s="103"/>
      <c r="G458" s="103"/>
      <c r="H458" s="103"/>
      <c r="I458" s="103"/>
      <c r="J458" s="103"/>
      <c r="K458" s="103"/>
      <c r="L458" s="103"/>
      <c r="M458" s="103"/>
      <c r="N458" s="103"/>
      <c r="O458" s="103"/>
      <c r="P458" s="103"/>
      <c r="Q458" s="103"/>
      <c r="R458" s="103"/>
      <c r="S458" s="103"/>
      <c r="T458" s="103"/>
      <c r="U458" s="103"/>
      <c r="V458" s="103"/>
      <c r="W458" s="103"/>
      <c r="X458" s="103"/>
      <c r="Y458" s="103"/>
      <c r="Z458" s="103"/>
    </row>
    <row r="459" spans="1:26" ht="15.75" customHeight="1">
      <c r="A459" s="101"/>
      <c r="B459" s="103"/>
      <c r="C459" s="103"/>
      <c r="D459" s="103"/>
      <c r="E459" s="103"/>
      <c r="F459" s="103"/>
      <c r="G459" s="103"/>
      <c r="H459" s="103"/>
      <c r="I459" s="103"/>
      <c r="J459" s="103"/>
      <c r="K459" s="103"/>
      <c r="L459" s="103"/>
      <c r="M459" s="103"/>
      <c r="N459" s="103"/>
      <c r="O459" s="103"/>
      <c r="P459" s="103"/>
      <c r="Q459" s="103"/>
      <c r="R459" s="103"/>
      <c r="S459" s="103"/>
      <c r="T459" s="103"/>
      <c r="U459" s="103"/>
      <c r="V459" s="103"/>
      <c r="W459" s="103"/>
      <c r="X459" s="103"/>
      <c r="Y459" s="103"/>
      <c r="Z459" s="103"/>
    </row>
    <row r="460" spans="1:26" ht="15.75" customHeight="1">
      <c r="A460" s="101"/>
      <c r="B460" s="103"/>
      <c r="C460" s="103"/>
      <c r="D460" s="103"/>
      <c r="E460" s="103"/>
      <c r="F460" s="103"/>
      <c r="G460" s="103"/>
      <c r="H460" s="103"/>
      <c r="I460" s="103"/>
      <c r="J460" s="103"/>
      <c r="K460" s="103"/>
      <c r="L460" s="103"/>
      <c r="M460" s="103"/>
      <c r="N460" s="103"/>
      <c r="O460" s="103"/>
      <c r="P460" s="103"/>
      <c r="Q460" s="103"/>
      <c r="R460" s="103"/>
      <c r="S460" s="103"/>
      <c r="T460" s="103"/>
      <c r="U460" s="103"/>
      <c r="V460" s="103"/>
      <c r="W460" s="103"/>
      <c r="X460" s="103"/>
      <c r="Y460" s="103"/>
      <c r="Z460" s="103"/>
    </row>
    <row r="461" spans="1:26" ht="15.75" customHeight="1">
      <c r="A461" s="101"/>
      <c r="B461" s="103"/>
      <c r="C461" s="103"/>
      <c r="D461" s="103"/>
      <c r="E461" s="103"/>
      <c r="F461" s="103"/>
      <c r="G461" s="103"/>
      <c r="H461" s="103"/>
      <c r="I461" s="103"/>
      <c r="J461" s="103"/>
      <c r="K461" s="103"/>
      <c r="L461" s="103"/>
      <c r="M461" s="103"/>
      <c r="N461" s="103"/>
      <c r="O461" s="103"/>
      <c r="P461" s="103"/>
      <c r="Q461" s="103"/>
      <c r="R461" s="103"/>
      <c r="S461" s="103"/>
      <c r="T461" s="103"/>
      <c r="U461" s="103"/>
      <c r="V461" s="103"/>
      <c r="W461" s="103"/>
      <c r="X461" s="103"/>
      <c r="Y461" s="103"/>
      <c r="Z461" s="103"/>
    </row>
    <row r="462" spans="1:26" ht="15.75" customHeight="1">
      <c r="A462" s="101"/>
      <c r="B462" s="103"/>
      <c r="C462" s="103"/>
      <c r="D462" s="103"/>
      <c r="E462" s="103"/>
      <c r="F462" s="103"/>
      <c r="G462" s="103"/>
      <c r="H462" s="103"/>
      <c r="I462" s="103"/>
      <c r="J462" s="103"/>
      <c r="K462" s="103"/>
      <c r="L462" s="103"/>
      <c r="M462" s="103"/>
      <c r="N462" s="103"/>
      <c r="O462" s="103"/>
      <c r="P462" s="103"/>
      <c r="Q462" s="103"/>
      <c r="R462" s="103"/>
      <c r="S462" s="103"/>
      <c r="T462" s="103"/>
      <c r="U462" s="103"/>
      <c r="V462" s="103"/>
      <c r="W462" s="103"/>
      <c r="X462" s="103"/>
      <c r="Y462" s="103"/>
      <c r="Z462" s="103"/>
    </row>
    <row r="463" spans="1:26" ht="15.75" customHeight="1">
      <c r="A463" s="101"/>
      <c r="B463" s="103"/>
      <c r="C463" s="103"/>
      <c r="D463" s="103"/>
      <c r="E463" s="103"/>
      <c r="F463" s="103"/>
      <c r="G463" s="103"/>
      <c r="H463" s="103"/>
      <c r="I463" s="103"/>
      <c r="J463" s="103"/>
      <c r="K463" s="103"/>
      <c r="L463" s="103"/>
      <c r="M463" s="103"/>
      <c r="N463" s="103"/>
      <c r="O463" s="103"/>
      <c r="P463" s="103"/>
      <c r="Q463" s="103"/>
      <c r="R463" s="103"/>
      <c r="S463" s="103"/>
      <c r="T463" s="103"/>
      <c r="U463" s="103"/>
      <c r="V463" s="103"/>
      <c r="W463" s="103"/>
      <c r="X463" s="103"/>
      <c r="Y463" s="103"/>
      <c r="Z463" s="103"/>
    </row>
    <row r="464" spans="1:26" ht="15.75" customHeight="1">
      <c r="A464" s="101"/>
      <c r="B464" s="103"/>
      <c r="C464" s="103"/>
      <c r="D464" s="103"/>
      <c r="E464" s="103"/>
      <c r="F464" s="103"/>
      <c r="G464" s="103"/>
      <c r="H464" s="103"/>
      <c r="I464" s="103"/>
      <c r="J464" s="103"/>
      <c r="K464" s="103"/>
      <c r="L464" s="103"/>
      <c r="M464" s="103"/>
      <c r="N464" s="103"/>
      <c r="O464" s="103"/>
      <c r="P464" s="103"/>
      <c r="Q464" s="103"/>
      <c r="R464" s="103"/>
      <c r="S464" s="103"/>
      <c r="T464" s="103"/>
      <c r="U464" s="103"/>
      <c r="V464" s="103"/>
      <c r="W464" s="103"/>
      <c r="X464" s="103"/>
      <c r="Y464" s="103"/>
      <c r="Z464" s="103"/>
    </row>
    <row r="465" spans="1:26" ht="15.75" customHeight="1">
      <c r="A465" s="101"/>
      <c r="B465" s="103"/>
      <c r="C465" s="103"/>
      <c r="D465" s="103"/>
      <c r="E465" s="103"/>
      <c r="F465" s="103"/>
      <c r="G465" s="103"/>
      <c r="H465" s="103"/>
      <c r="I465" s="103"/>
      <c r="J465" s="103"/>
      <c r="K465" s="103"/>
      <c r="L465" s="103"/>
      <c r="M465" s="103"/>
      <c r="N465" s="103"/>
      <c r="O465" s="103"/>
      <c r="P465" s="103"/>
      <c r="Q465" s="103"/>
      <c r="R465" s="103"/>
      <c r="S465" s="103"/>
      <c r="T465" s="103"/>
      <c r="U465" s="103"/>
      <c r="V465" s="103"/>
      <c r="W465" s="103"/>
      <c r="X465" s="103"/>
      <c r="Y465" s="103"/>
      <c r="Z465" s="103"/>
    </row>
    <row r="466" spans="1:26" ht="15.75" customHeight="1">
      <c r="A466" s="101"/>
      <c r="B466" s="103"/>
      <c r="C466" s="103"/>
      <c r="D466" s="103"/>
      <c r="E466" s="103"/>
      <c r="F466" s="103"/>
      <c r="G466" s="103"/>
      <c r="H466" s="103"/>
      <c r="I466" s="103"/>
      <c r="J466" s="103"/>
      <c r="K466" s="103"/>
      <c r="L466" s="103"/>
      <c r="M466" s="103"/>
      <c r="N466" s="103"/>
      <c r="O466" s="103"/>
      <c r="P466" s="103"/>
      <c r="Q466" s="103"/>
      <c r="R466" s="103"/>
      <c r="S466" s="103"/>
      <c r="T466" s="103"/>
      <c r="U466" s="103"/>
      <c r="V466" s="103"/>
      <c r="W466" s="103"/>
      <c r="X466" s="103"/>
      <c r="Y466" s="103"/>
      <c r="Z466" s="103"/>
    </row>
    <row r="467" spans="1:26" ht="15.75" customHeight="1">
      <c r="A467" s="101"/>
      <c r="B467" s="103"/>
      <c r="C467" s="103"/>
      <c r="D467" s="103"/>
      <c r="E467" s="103"/>
      <c r="F467" s="103"/>
      <c r="G467" s="103"/>
      <c r="H467" s="103"/>
      <c r="I467" s="103"/>
      <c r="J467" s="103"/>
      <c r="K467" s="103"/>
      <c r="L467" s="103"/>
      <c r="M467" s="103"/>
      <c r="N467" s="103"/>
      <c r="O467" s="103"/>
      <c r="P467" s="103"/>
      <c r="Q467" s="103"/>
      <c r="R467" s="103"/>
      <c r="S467" s="103"/>
      <c r="T467" s="103"/>
      <c r="U467" s="103"/>
      <c r="V467" s="103"/>
      <c r="W467" s="103"/>
      <c r="X467" s="103"/>
      <c r="Y467" s="103"/>
      <c r="Z467" s="103"/>
    </row>
    <row r="468" spans="1:26" ht="15.75" customHeight="1">
      <c r="A468" s="101"/>
      <c r="B468" s="103"/>
      <c r="C468" s="103"/>
      <c r="D468" s="103"/>
      <c r="E468" s="103"/>
      <c r="F468" s="103"/>
      <c r="G468" s="103"/>
      <c r="H468" s="103"/>
      <c r="I468" s="103"/>
      <c r="J468" s="103"/>
      <c r="K468" s="103"/>
      <c r="L468" s="103"/>
      <c r="M468" s="103"/>
      <c r="N468" s="103"/>
      <c r="O468" s="103"/>
      <c r="P468" s="103"/>
      <c r="Q468" s="103"/>
      <c r="R468" s="103"/>
      <c r="S468" s="103"/>
      <c r="T468" s="103"/>
      <c r="U468" s="103"/>
      <c r="V468" s="103"/>
      <c r="W468" s="103"/>
      <c r="X468" s="103"/>
      <c r="Y468" s="103"/>
      <c r="Z468" s="103"/>
    </row>
    <row r="469" spans="1:26" ht="15.75" customHeight="1">
      <c r="A469" s="101"/>
      <c r="B469" s="103"/>
      <c r="C469" s="103"/>
      <c r="D469" s="103"/>
      <c r="E469" s="103"/>
      <c r="F469" s="103"/>
      <c r="G469" s="103"/>
      <c r="H469" s="103"/>
      <c r="I469" s="103"/>
      <c r="J469" s="103"/>
      <c r="K469" s="103"/>
      <c r="L469" s="103"/>
      <c r="M469" s="103"/>
      <c r="N469" s="103"/>
      <c r="O469" s="103"/>
      <c r="P469" s="103"/>
      <c r="Q469" s="103"/>
      <c r="R469" s="103"/>
      <c r="S469" s="103"/>
      <c r="T469" s="103"/>
      <c r="U469" s="103"/>
      <c r="V469" s="103"/>
      <c r="W469" s="103"/>
      <c r="X469" s="103"/>
      <c r="Y469" s="103"/>
      <c r="Z469" s="103"/>
    </row>
    <row r="470" spans="1:26" ht="15.75" customHeight="1">
      <c r="A470" s="101"/>
      <c r="B470" s="103"/>
      <c r="C470" s="103"/>
      <c r="D470" s="103"/>
      <c r="E470" s="103"/>
      <c r="F470" s="103"/>
      <c r="G470" s="103"/>
      <c r="H470" s="103"/>
      <c r="I470" s="103"/>
      <c r="J470" s="103"/>
      <c r="K470" s="103"/>
      <c r="L470" s="103"/>
      <c r="M470" s="103"/>
      <c r="N470" s="103"/>
      <c r="O470" s="103"/>
      <c r="P470" s="103"/>
      <c r="Q470" s="103"/>
      <c r="R470" s="103"/>
      <c r="S470" s="103"/>
      <c r="T470" s="103"/>
      <c r="U470" s="103"/>
      <c r="V470" s="103"/>
      <c r="W470" s="103"/>
      <c r="X470" s="103"/>
      <c r="Y470" s="103"/>
      <c r="Z470" s="103"/>
    </row>
    <row r="471" spans="1:26" ht="15.75" customHeight="1">
      <c r="A471" s="101"/>
      <c r="B471" s="103"/>
      <c r="C471" s="103"/>
      <c r="D471" s="103"/>
      <c r="E471" s="103"/>
      <c r="F471" s="103"/>
      <c r="G471" s="103"/>
      <c r="H471" s="103"/>
      <c r="I471" s="103"/>
      <c r="J471" s="103"/>
      <c r="K471" s="103"/>
      <c r="L471" s="103"/>
      <c r="M471" s="103"/>
      <c r="N471" s="103"/>
      <c r="O471" s="103"/>
      <c r="P471" s="103"/>
      <c r="Q471" s="103"/>
      <c r="R471" s="103"/>
      <c r="S471" s="103"/>
      <c r="T471" s="103"/>
      <c r="U471" s="103"/>
      <c r="V471" s="103"/>
      <c r="W471" s="103"/>
      <c r="X471" s="103"/>
      <c r="Y471" s="103"/>
      <c r="Z471" s="103"/>
    </row>
    <row r="472" spans="1:26" ht="15.75" customHeight="1">
      <c r="A472" s="101"/>
      <c r="B472" s="103"/>
      <c r="C472" s="103"/>
      <c r="D472" s="103"/>
      <c r="E472" s="103"/>
      <c r="F472" s="103"/>
      <c r="G472" s="103"/>
      <c r="H472" s="103"/>
      <c r="I472" s="103"/>
      <c r="J472" s="103"/>
      <c r="K472" s="103"/>
      <c r="L472" s="103"/>
      <c r="M472" s="103"/>
      <c r="N472" s="103"/>
      <c r="O472" s="103"/>
      <c r="P472" s="103"/>
      <c r="Q472" s="103"/>
      <c r="R472" s="103"/>
      <c r="S472" s="103"/>
      <c r="T472" s="103"/>
      <c r="U472" s="103"/>
      <c r="V472" s="103"/>
      <c r="W472" s="103"/>
      <c r="X472" s="103"/>
      <c r="Y472" s="103"/>
      <c r="Z472" s="103"/>
    </row>
    <row r="473" spans="1:26" ht="15.75" customHeight="1">
      <c r="A473" s="101"/>
      <c r="B473" s="103"/>
      <c r="C473" s="103"/>
      <c r="D473" s="103"/>
      <c r="E473" s="103"/>
      <c r="F473" s="103"/>
      <c r="G473" s="103"/>
      <c r="H473" s="103"/>
      <c r="I473" s="103"/>
      <c r="J473" s="103"/>
      <c r="K473" s="103"/>
      <c r="L473" s="103"/>
      <c r="M473" s="103"/>
      <c r="N473" s="103"/>
      <c r="O473" s="103"/>
      <c r="P473" s="103"/>
      <c r="Q473" s="103"/>
      <c r="R473" s="103"/>
      <c r="S473" s="103"/>
      <c r="T473" s="103"/>
      <c r="U473" s="103"/>
      <c r="V473" s="103"/>
      <c r="W473" s="103"/>
      <c r="X473" s="103"/>
      <c r="Y473" s="103"/>
      <c r="Z473" s="103"/>
    </row>
    <row r="474" spans="1:26" ht="15.75" customHeight="1">
      <c r="A474" s="101"/>
      <c r="B474" s="103"/>
      <c r="C474" s="103"/>
      <c r="D474" s="103"/>
      <c r="E474" s="103"/>
      <c r="F474" s="103"/>
      <c r="G474" s="103"/>
      <c r="H474" s="103"/>
      <c r="I474" s="103"/>
      <c r="J474" s="103"/>
      <c r="K474" s="103"/>
      <c r="L474" s="103"/>
      <c r="M474" s="103"/>
      <c r="N474" s="103"/>
      <c r="O474" s="103"/>
      <c r="P474" s="103"/>
      <c r="Q474" s="103"/>
      <c r="R474" s="103"/>
      <c r="S474" s="103"/>
      <c r="T474" s="103"/>
      <c r="U474" s="103"/>
      <c r="V474" s="103"/>
      <c r="W474" s="103"/>
      <c r="X474" s="103"/>
      <c r="Y474" s="103"/>
      <c r="Z474" s="103"/>
    </row>
    <row r="475" spans="1:26" ht="15.75" customHeight="1">
      <c r="A475" s="101"/>
      <c r="B475" s="103"/>
      <c r="C475" s="103"/>
      <c r="D475" s="103"/>
      <c r="E475" s="103"/>
      <c r="F475" s="103"/>
      <c r="G475" s="103"/>
      <c r="H475" s="103"/>
      <c r="I475" s="103"/>
      <c r="J475" s="103"/>
      <c r="K475" s="103"/>
      <c r="L475" s="103"/>
      <c r="M475" s="103"/>
      <c r="N475" s="103"/>
      <c r="O475" s="103"/>
      <c r="P475" s="103"/>
      <c r="Q475" s="103"/>
      <c r="R475" s="103"/>
      <c r="S475" s="103"/>
      <c r="T475" s="103"/>
      <c r="U475" s="103"/>
      <c r="V475" s="103"/>
      <c r="W475" s="103"/>
      <c r="X475" s="103"/>
      <c r="Y475" s="103"/>
      <c r="Z475" s="103"/>
    </row>
    <row r="476" spans="1:26" ht="15.75" customHeight="1">
      <c r="A476" s="101"/>
      <c r="B476" s="103"/>
      <c r="C476" s="103"/>
      <c r="D476" s="103"/>
      <c r="E476" s="103"/>
      <c r="F476" s="103"/>
      <c r="G476" s="103"/>
      <c r="H476" s="103"/>
      <c r="I476" s="103"/>
      <c r="J476" s="103"/>
      <c r="K476" s="103"/>
      <c r="L476" s="103"/>
      <c r="M476" s="103"/>
      <c r="N476" s="103"/>
      <c r="O476" s="103"/>
      <c r="P476" s="103"/>
      <c r="Q476" s="103"/>
      <c r="R476" s="103"/>
      <c r="S476" s="103"/>
      <c r="T476" s="103"/>
      <c r="U476" s="103"/>
      <c r="V476" s="103"/>
      <c r="W476" s="103"/>
      <c r="X476" s="103"/>
      <c r="Y476" s="103"/>
      <c r="Z476" s="103"/>
    </row>
    <row r="477" spans="1:26" ht="15.75" customHeight="1">
      <c r="A477" s="101"/>
      <c r="B477" s="103"/>
      <c r="C477" s="103"/>
      <c r="D477" s="103"/>
      <c r="E477" s="103"/>
      <c r="F477" s="103"/>
      <c r="G477" s="103"/>
      <c r="H477" s="103"/>
      <c r="I477" s="103"/>
      <c r="J477" s="103"/>
      <c r="K477" s="103"/>
      <c r="L477" s="103"/>
      <c r="M477" s="103"/>
      <c r="N477" s="103"/>
      <c r="O477" s="103"/>
      <c r="P477" s="103"/>
      <c r="Q477" s="103"/>
      <c r="R477" s="103"/>
      <c r="S477" s="103"/>
      <c r="T477" s="103"/>
      <c r="U477" s="103"/>
      <c r="V477" s="103"/>
      <c r="W477" s="103"/>
      <c r="X477" s="103"/>
      <c r="Y477" s="103"/>
      <c r="Z477" s="103"/>
    </row>
    <row r="478" spans="1:26" ht="15.75" customHeight="1">
      <c r="A478" s="101"/>
      <c r="B478" s="103"/>
      <c r="C478" s="103"/>
      <c r="D478" s="103"/>
      <c r="E478" s="103"/>
      <c r="F478" s="103"/>
      <c r="G478" s="103"/>
      <c r="H478" s="103"/>
      <c r="I478" s="103"/>
      <c r="J478" s="103"/>
      <c r="K478" s="103"/>
      <c r="L478" s="103"/>
      <c r="M478" s="103"/>
      <c r="N478" s="103"/>
      <c r="O478" s="103"/>
      <c r="P478" s="103"/>
      <c r="Q478" s="103"/>
      <c r="R478" s="103"/>
      <c r="S478" s="103"/>
      <c r="T478" s="103"/>
      <c r="U478" s="103"/>
      <c r="V478" s="103"/>
      <c r="W478" s="103"/>
      <c r="X478" s="103"/>
      <c r="Y478" s="103"/>
      <c r="Z478" s="103"/>
    </row>
    <row r="479" spans="1:26" ht="15.75" customHeight="1">
      <c r="A479" s="101"/>
      <c r="B479" s="103"/>
      <c r="C479" s="103"/>
      <c r="D479" s="103"/>
      <c r="E479" s="103"/>
      <c r="F479" s="103"/>
      <c r="G479" s="103"/>
      <c r="H479" s="103"/>
      <c r="I479" s="103"/>
      <c r="J479" s="103"/>
      <c r="K479" s="103"/>
      <c r="L479" s="103"/>
      <c r="M479" s="103"/>
      <c r="N479" s="103"/>
      <c r="O479" s="103"/>
      <c r="P479" s="103"/>
      <c r="Q479" s="103"/>
      <c r="R479" s="103"/>
      <c r="S479" s="103"/>
      <c r="T479" s="103"/>
      <c r="U479" s="103"/>
      <c r="V479" s="103"/>
      <c r="W479" s="103"/>
      <c r="X479" s="103"/>
      <c r="Y479" s="103"/>
      <c r="Z479" s="103"/>
    </row>
    <row r="480" spans="1:26" ht="15.75" customHeight="1">
      <c r="A480" s="101"/>
      <c r="B480" s="103"/>
      <c r="C480" s="103"/>
      <c r="D480" s="103"/>
      <c r="E480" s="103"/>
      <c r="F480" s="103"/>
      <c r="G480" s="103"/>
      <c r="H480" s="103"/>
      <c r="I480" s="103"/>
      <c r="J480" s="103"/>
      <c r="K480" s="103"/>
      <c r="L480" s="103"/>
      <c r="M480" s="103"/>
      <c r="N480" s="103"/>
      <c r="O480" s="103"/>
      <c r="P480" s="103"/>
      <c r="Q480" s="103"/>
      <c r="R480" s="103"/>
      <c r="S480" s="103"/>
      <c r="T480" s="103"/>
      <c r="U480" s="103"/>
      <c r="V480" s="103"/>
      <c r="W480" s="103"/>
      <c r="X480" s="103"/>
      <c r="Y480" s="103"/>
      <c r="Z480" s="103"/>
    </row>
    <row r="481" spans="1:26" ht="15.75" customHeight="1">
      <c r="A481" s="101"/>
      <c r="B481" s="103"/>
      <c r="C481" s="103"/>
      <c r="D481" s="103"/>
      <c r="E481" s="103"/>
      <c r="F481" s="103"/>
      <c r="G481" s="103"/>
      <c r="H481" s="103"/>
      <c r="I481" s="103"/>
      <c r="J481" s="103"/>
      <c r="K481" s="103"/>
      <c r="L481" s="103"/>
      <c r="M481" s="103"/>
      <c r="N481" s="103"/>
      <c r="O481" s="103"/>
      <c r="P481" s="103"/>
      <c r="Q481" s="103"/>
      <c r="R481" s="103"/>
      <c r="S481" s="103"/>
      <c r="T481" s="103"/>
      <c r="U481" s="103"/>
      <c r="V481" s="103"/>
      <c r="W481" s="103"/>
      <c r="X481" s="103"/>
      <c r="Y481" s="103"/>
      <c r="Z481" s="103"/>
    </row>
    <row r="482" spans="1:26" ht="15.75" customHeight="1">
      <c r="A482" s="101"/>
      <c r="B482" s="103"/>
      <c r="C482" s="103"/>
      <c r="D482" s="103"/>
      <c r="E482" s="103"/>
      <c r="F482" s="103"/>
      <c r="G482" s="103"/>
      <c r="H482" s="103"/>
      <c r="I482" s="103"/>
      <c r="J482" s="103"/>
      <c r="K482" s="103"/>
      <c r="L482" s="103"/>
      <c r="M482" s="103"/>
      <c r="N482" s="103"/>
      <c r="O482" s="103"/>
      <c r="P482" s="103"/>
      <c r="Q482" s="103"/>
      <c r="R482" s="103"/>
      <c r="S482" s="103"/>
      <c r="T482" s="103"/>
      <c r="U482" s="103"/>
      <c r="V482" s="103"/>
      <c r="W482" s="103"/>
      <c r="X482" s="103"/>
      <c r="Y482" s="103"/>
      <c r="Z482" s="103"/>
    </row>
    <row r="483" spans="1:26" ht="15.75" customHeight="1">
      <c r="A483" s="101"/>
      <c r="B483" s="103"/>
      <c r="C483" s="103"/>
      <c r="D483" s="103"/>
      <c r="E483" s="103"/>
      <c r="F483" s="103"/>
      <c r="G483" s="103"/>
      <c r="H483" s="103"/>
      <c r="I483" s="103"/>
      <c r="J483" s="103"/>
      <c r="K483" s="103"/>
      <c r="L483" s="103"/>
      <c r="M483" s="103"/>
      <c r="N483" s="103"/>
      <c r="O483" s="103"/>
      <c r="P483" s="103"/>
      <c r="Q483" s="103"/>
      <c r="R483" s="103"/>
      <c r="S483" s="103"/>
      <c r="T483" s="103"/>
      <c r="U483" s="103"/>
      <c r="V483" s="103"/>
      <c r="W483" s="103"/>
      <c r="X483" s="103"/>
      <c r="Y483" s="103"/>
      <c r="Z483" s="103"/>
    </row>
    <row r="484" spans="1:26" ht="15.75" customHeight="1">
      <c r="A484" s="101"/>
      <c r="B484" s="103"/>
      <c r="C484" s="103"/>
      <c r="D484" s="103"/>
      <c r="E484" s="103"/>
      <c r="F484" s="103"/>
      <c r="G484" s="103"/>
      <c r="H484" s="103"/>
      <c r="I484" s="103"/>
      <c r="J484" s="103"/>
      <c r="K484" s="103"/>
      <c r="L484" s="103"/>
      <c r="M484" s="103"/>
      <c r="N484" s="103"/>
      <c r="O484" s="103"/>
      <c r="P484" s="103"/>
      <c r="Q484" s="103"/>
      <c r="R484" s="103"/>
      <c r="S484" s="103"/>
      <c r="T484" s="103"/>
      <c r="U484" s="103"/>
      <c r="V484" s="103"/>
      <c r="W484" s="103"/>
      <c r="X484" s="103"/>
      <c r="Y484" s="103"/>
      <c r="Z484" s="103"/>
    </row>
    <row r="485" spans="1:26" ht="15.75" customHeight="1">
      <c r="A485" s="101"/>
      <c r="B485" s="103"/>
      <c r="C485" s="103"/>
      <c r="D485" s="103"/>
      <c r="E485" s="103"/>
      <c r="F485" s="103"/>
      <c r="G485" s="103"/>
      <c r="H485" s="103"/>
      <c r="I485" s="103"/>
      <c r="J485" s="103"/>
      <c r="K485" s="103"/>
      <c r="L485" s="103"/>
      <c r="M485" s="103"/>
      <c r="N485" s="103"/>
      <c r="O485" s="103"/>
      <c r="P485" s="103"/>
      <c r="Q485" s="103"/>
      <c r="R485" s="103"/>
      <c r="S485" s="103"/>
      <c r="T485" s="103"/>
      <c r="U485" s="103"/>
      <c r="V485" s="103"/>
      <c r="W485" s="103"/>
      <c r="X485" s="103"/>
      <c r="Y485" s="103"/>
      <c r="Z485" s="103"/>
    </row>
    <row r="486" spans="1:26" ht="15.75" customHeight="1">
      <c r="A486" s="101"/>
      <c r="B486" s="103"/>
      <c r="C486" s="103"/>
      <c r="D486" s="103"/>
      <c r="E486" s="103"/>
      <c r="F486" s="103"/>
      <c r="G486" s="103"/>
      <c r="H486" s="103"/>
      <c r="I486" s="103"/>
      <c r="J486" s="103"/>
      <c r="K486" s="103"/>
      <c r="L486" s="103"/>
      <c r="M486" s="103"/>
      <c r="N486" s="103"/>
      <c r="O486" s="103"/>
      <c r="P486" s="103"/>
      <c r="Q486" s="103"/>
      <c r="R486" s="103"/>
      <c r="S486" s="103"/>
      <c r="T486" s="103"/>
      <c r="U486" s="103"/>
      <c r="V486" s="103"/>
      <c r="W486" s="103"/>
      <c r="X486" s="103"/>
      <c r="Y486" s="103"/>
      <c r="Z486" s="103"/>
    </row>
    <row r="487" spans="1:26" ht="15.75" customHeight="1">
      <c r="A487" s="101"/>
      <c r="B487" s="103"/>
      <c r="C487" s="103"/>
      <c r="D487" s="103"/>
      <c r="E487" s="103"/>
      <c r="F487" s="103"/>
      <c r="G487" s="103"/>
      <c r="H487" s="103"/>
      <c r="I487" s="103"/>
      <c r="J487" s="103"/>
      <c r="K487" s="103"/>
      <c r="L487" s="103"/>
      <c r="M487" s="103"/>
      <c r="N487" s="103"/>
      <c r="O487" s="103"/>
      <c r="P487" s="103"/>
      <c r="Q487" s="103"/>
      <c r="R487" s="103"/>
      <c r="S487" s="103"/>
      <c r="T487" s="103"/>
      <c r="U487" s="103"/>
      <c r="V487" s="103"/>
      <c r="W487" s="103"/>
      <c r="X487" s="103"/>
      <c r="Y487" s="103"/>
      <c r="Z487" s="103"/>
    </row>
    <row r="488" spans="1:26" ht="15.75" customHeight="1">
      <c r="A488" s="101"/>
      <c r="B488" s="103"/>
      <c r="C488" s="103"/>
      <c r="D488" s="103"/>
      <c r="E488" s="103"/>
      <c r="F488" s="103"/>
      <c r="G488" s="103"/>
      <c r="H488" s="103"/>
      <c r="I488" s="103"/>
      <c r="J488" s="103"/>
      <c r="K488" s="103"/>
      <c r="L488" s="103"/>
      <c r="M488" s="103"/>
      <c r="N488" s="103"/>
      <c r="O488" s="103"/>
      <c r="P488" s="103"/>
      <c r="Q488" s="103"/>
      <c r="R488" s="103"/>
      <c r="S488" s="103"/>
      <c r="T488" s="103"/>
      <c r="U488" s="103"/>
      <c r="V488" s="103"/>
      <c r="W488" s="103"/>
      <c r="X488" s="103"/>
      <c r="Y488" s="103"/>
      <c r="Z488" s="103"/>
    </row>
    <row r="489" spans="1:26" ht="15.75" customHeight="1">
      <c r="A489" s="101"/>
      <c r="B489" s="103"/>
      <c r="C489" s="103"/>
      <c r="D489" s="103"/>
      <c r="E489" s="103"/>
      <c r="F489" s="103"/>
      <c r="G489" s="103"/>
      <c r="H489" s="103"/>
      <c r="I489" s="103"/>
      <c r="J489" s="103"/>
      <c r="K489" s="103"/>
      <c r="L489" s="103"/>
      <c r="M489" s="103"/>
      <c r="N489" s="103"/>
      <c r="O489" s="103"/>
      <c r="P489" s="103"/>
      <c r="Q489" s="103"/>
      <c r="R489" s="103"/>
      <c r="S489" s="103"/>
      <c r="T489" s="103"/>
      <c r="U489" s="103"/>
      <c r="V489" s="103"/>
      <c r="W489" s="103"/>
      <c r="X489" s="103"/>
      <c r="Y489" s="103"/>
      <c r="Z489" s="103"/>
    </row>
    <row r="490" spans="1:26" ht="15.75" customHeight="1">
      <c r="A490" s="101"/>
      <c r="B490" s="103"/>
      <c r="C490" s="103"/>
      <c r="D490" s="103"/>
      <c r="E490" s="103"/>
      <c r="F490" s="103"/>
      <c r="G490" s="103"/>
      <c r="H490" s="103"/>
      <c r="I490" s="103"/>
      <c r="J490" s="103"/>
      <c r="K490" s="103"/>
      <c r="L490" s="103"/>
      <c r="M490" s="103"/>
      <c r="N490" s="103"/>
      <c r="O490" s="103"/>
      <c r="P490" s="103"/>
      <c r="Q490" s="103"/>
      <c r="R490" s="103"/>
      <c r="S490" s="103"/>
      <c r="T490" s="103"/>
      <c r="U490" s="103"/>
      <c r="V490" s="103"/>
      <c r="W490" s="103"/>
      <c r="X490" s="103"/>
      <c r="Y490" s="103"/>
      <c r="Z490" s="103"/>
    </row>
    <row r="491" spans="1:26" ht="15.75" customHeight="1">
      <c r="A491" s="101"/>
      <c r="B491" s="103"/>
      <c r="C491" s="103"/>
      <c r="D491" s="103"/>
      <c r="E491" s="103"/>
      <c r="F491" s="103"/>
      <c r="G491" s="103"/>
      <c r="H491" s="103"/>
      <c r="I491" s="103"/>
      <c r="J491" s="103"/>
      <c r="K491" s="103"/>
      <c r="L491" s="103"/>
      <c r="M491" s="103"/>
      <c r="N491" s="103"/>
      <c r="O491" s="103"/>
      <c r="P491" s="103"/>
      <c r="Q491" s="103"/>
      <c r="R491" s="103"/>
      <c r="S491" s="103"/>
      <c r="T491" s="103"/>
      <c r="U491" s="103"/>
      <c r="V491" s="103"/>
      <c r="W491" s="103"/>
      <c r="X491" s="103"/>
      <c r="Y491" s="103"/>
      <c r="Z491" s="103"/>
    </row>
    <row r="492" spans="1:26" ht="15.75" customHeight="1">
      <c r="A492" s="101"/>
      <c r="B492" s="103"/>
      <c r="C492" s="103"/>
      <c r="D492" s="103"/>
      <c r="E492" s="103"/>
      <c r="F492" s="103"/>
      <c r="G492" s="103"/>
      <c r="H492" s="103"/>
      <c r="I492" s="103"/>
      <c r="J492" s="103"/>
      <c r="K492" s="103"/>
      <c r="L492" s="103"/>
      <c r="M492" s="103"/>
      <c r="N492" s="103"/>
      <c r="O492" s="103"/>
      <c r="P492" s="103"/>
      <c r="Q492" s="103"/>
      <c r="R492" s="103"/>
      <c r="S492" s="103"/>
      <c r="T492" s="103"/>
      <c r="U492" s="103"/>
      <c r="V492" s="103"/>
      <c r="W492" s="103"/>
      <c r="X492" s="103"/>
      <c r="Y492" s="103"/>
      <c r="Z492" s="103"/>
    </row>
    <row r="493" spans="1:26" ht="15.75" customHeight="1">
      <c r="A493" s="101"/>
      <c r="B493" s="103"/>
      <c r="C493" s="103"/>
      <c r="D493" s="103"/>
      <c r="E493" s="103"/>
      <c r="F493" s="103"/>
      <c r="G493" s="103"/>
      <c r="H493" s="103"/>
      <c r="I493" s="103"/>
      <c r="J493" s="103"/>
      <c r="K493" s="103"/>
      <c r="L493" s="103"/>
      <c r="M493" s="103"/>
      <c r="N493" s="103"/>
      <c r="O493" s="103"/>
      <c r="P493" s="103"/>
      <c r="Q493" s="103"/>
      <c r="R493" s="103"/>
      <c r="S493" s="103"/>
      <c r="T493" s="103"/>
      <c r="U493" s="103"/>
      <c r="V493" s="103"/>
      <c r="W493" s="103"/>
      <c r="X493" s="103"/>
      <c r="Y493" s="103"/>
      <c r="Z493" s="103"/>
    </row>
    <row r="494" spans="1:26" ht="15.75" customHeight="1">
      <c r="A494" s="101"/>
      <c r="B494" s="103"/>
      <c r="C494" s="103"/>
      <c r="D494" s="103"/>
      <c r="E494" s="103"/>
      <c r="F494" s="103"/>
      <c r="G494" s="103"/>
      <c r="H494" s="103"/>
      <c r="I494" s="103"/>
      <c r="J494" s="103"/>
      <c r="K494" s="103"/>
      <c r="L494" s="103"/>
      <c r="M494" s="103"/>
      <c r="N494" s="103"/>
      <c r="O494" s="103"/>
      <c r="P494" s="103"/>
      <c r="Q494" s="103"/>
      <c r="R494" s="103"/>
      <c r="S494" s="103"/>
      <c r="T494" s="103"/>
      <c r="U494" s="103"/>
      <c r="V494" s="103"/>
      <c r="W494" s="103"/>
      <c r="X494" s="103"/>
      <c r="Y494" s="103"/>
      <c r="Z494" s="103"/>
    </row>
    <row r="495" spans="1:26" ht="15.75" customHeight="1">
      <c r="A495" s="101"/>
      <c r="B495" s="103"/>
      <c r="C495" s="103"/>
      <c r="D495" s="103"/>
      <c r="E495" s="103"/>
      <c r="F495" s="103"/>
      <c r="G495" s="103"/>
      <c r="H495" s="103"/>
      <c r="I495" s="103"/>
      <c r="J495" s="103"/>
      <c r="K495" s="103"/>
      <c r="L495" s="103"/>
      <c r="M495" s="103"/>
      <c r="N495" s="103"/>
      <c r="O495" s="103"/>
      <c r="P495" s="103"/>
      <c r="Q495" s="103"/>
      <c r="R495" s="103"/>
      <c r="S495" s="103"/>
      <c r="T495" s="103"/>
      <c r="U495" s="103"/>
      <c r="V495" s="103"/>
      <c r="W495" s="103"/>
      <c r="X495" s="103"/>
      <c r="Y495" s="103"/>
      <c r="Z495" s="103"/>
    </row>
    <row r="496" spans="1:26" ht="15.75" customHeight="1">
      <c r="A496" s="101"/>
      <c r="B496" s="103"/>
      <c r="C496" s="103"/>
      <c r="D496" s="103"/>
      <c r="E496" s="103"/>
      <c r="F496" s="103"/>
      <c r="G496" s="103"/>
      <c r="H496" s="103"/>
      <c r="I496" s="103"/>
      <c r="J496" s="103"/>
      <c r="K496" s="103"/>
      <c r="L496" s="103"/>
      <c r="M496" s="103"/>
      <c r="N496" s="103"/>
      <c r="O496" s="103"/>
      <c r="P496" s="103"/>
      <c r="Q496" s="103"/>
      <c r="R496" s="103"/>
      <c r="S496" s="103"/>
      <c r="T496" s="103"/>
      <c r="U496" s="103"/>
      <c r="V496" s="103"/>
      <c r="W496" s="103"/>
      <c r="X496" s="103"/>
      <c r="Y496" s="103"/>
      <c r="Z496" s="103"/>
    </row>
    <row r="497" spans="1:26" ht="15.75" customHeight="1">
      <c r="A497" s="101"/>
      <c r="B497" s="103"/>
      <c r="C497" s="103"/>
      <c r="D497" s="103"/>
      <c r="E497" s="103"/>
      <c r="F497" s="103"/>
      <c r="G497" s="103"/>
      <c r="H497" s="103"/>
      <c r="I497" s="103"/>
      <c r="J497" s="103"/>
      <c r="K497" s="103"/>
      <c r="L497" s="103"/>
      <c r="M497" s="103"/>
      <c r="N497" s="103"/>
      <c r="O497" s="103"/>
      <c r="P497" s="103"/>
      <c r="Q497" s="103"/>
      <c r="R497" s="103"/>
      <c r="S497" s="103"/>
      <c r="T497" s="103"/>
      <c r="U497" s="103"/>
      <c r="V497" s="103"/>
      <c r="W497" s="103"/>
      <c r="X497" s="103"/>
      <c r="Y497" s="103"/>
      <c r="Z497" s="103"/>
    </row>
    <row r="498" spans="1:26" ht="15.75" customHeight="1">
      <c r="A498" s="101"/>
      <c r="B498" s="103"/>
      <c r="C498" s="103"/>
      <c r="D498" s="103"/>
      <c r="E498" s="103"/>
      <c r="F498" s="103"/>
      <c r="G498" s="103"/>
      <c r="H498" s="103"/>
      <c r="I498" s="103"/>
      <c r="J498" s="103"/>
      <c r="K498" s="103"/>
      <c r="L498" s="103"/>
      <c r="M498" s="103"/>
      <c r="N498" s="103"/>
      <c r="O498" s="103"/>
      <c r="P498" s="103"/>
      <c r="Q498" s="103"/>
      <c r="R498" s="103"/>
      <c r="S498" s="103"/>
      <c r="T498" s="103"/>
      <c r="U498" s="103"/>
      <c r="V498" s="103"/>
      <c r="W498" s="103"/>
      <c r="X498" s="103"/>
      <c r="Y498" s="103"/>
      <c r="Z498" s="103"/>
    </row>
    <row r="499" spans="1:26" ht="15.75" customHeight="1">
      <c r="A499" s="101"/>
      <c r="B499" s="103"/>
      <c r="C499" s="103"/>
      <c r="D499" s="103"/>
      <c r="E499" s="103"/>
      <c r="F499" s="103"/>
      <c r="G499" s="103"/>
      <c r="H499" s="103"/>
      <c r="I499" s="103"/>
      <c r="J499" s="103"/>
      <c r="K499" s="103"/>
      <c r="L499" s="103"/>
      <c r="M499" s="103"/>
      <c r="N499" s="103"/>
      <c r="O499" s="103"/>
      <c r="P499" s="103"/>
      <c r="Q499" s="103"/>
      <c r="R499" s="103"/>
      <c r="S499" s="103"/>
      <c r="T499" s="103"/>
      <c r="U499" s="103"/>
      <c r="V499" s="103"/>
      <c r="W499" s="103"/>
      <c r="X499" s="103"/>
      <c r="Y499" s="103"/>
      <c r="Z499" s="103"/>
    </row>
    <row r="500" spans="1:26" ht="15.75" customHeight="1">
      <c r="A500" s="101"/>
      <c r="B500" s="103"/>
      <c r="C500" s="103"/>
      <c r="D500" s="103"/>
      <c r="E500" s="103"/>
      <c r="F500" s="103"/>
      <c r="G500" s="103"/>
      <c r="H500" s="103"/>
      <c r="I500" s="103"/>
      <c r="J500" s="103"/>
      <c r="K500" s="103"/>
      <c r="L500" s="103"/>
      <c r="M500" s="103"/>
      <c r="N500" s="103"/>
      <c r="O500" s="103"/>
      <c r="P500" s="103"/>
      <c r="Q500" s="103"/>
      <c r="R500" s="103"/>
      <c r="S500" s="103"/>
      <c r="T500" s="103"/>
      <c r="U500" s="103"/>
      <c r="V500" s="103"/>
      <c r="W500" s="103"/>
      <c r="X500" s="103"/>
      <c r="Y500" s="103"/>
      <c r="Z500" s="103"/>
    </row>
    <row r="501" spans="1:26" ht="15.75" customHeight="1">
      <c r="A501" s="101"/>
      <c r="B501" s="103"/>
      <c r="C501" s="103"/>
      <c r="D501" s="103"/>
      <c r="E501" s="103"/>
      <c r="F501" s="103"/>
      <c r="G501" s="103"/>
      <c r="H501" s="103"/>
      <c r="I501" s="103"/>
      <c r="J501" s="103"/>
      <c r="K501" s="103"/>
      <c r="L501" s="103"/>
      <c r="M501" s="103"/>
      <c r="N501" s="103"/>
      <c r="O501" s="103"/>
      <c r="P501" s="103"/>
      <c r="Q501" s="103"/>
      <c r="R501" s="103"/>
      <c r="S501" s="103"/>
      <c r="T501" s="103"/>
      <c r="U501" s="103"/>
      <c r="V501" s="103"/>
      <c r="W501" s="103"/>
      <c r="X501" s="103"/>
      <c r="Y501" s="103"/>
      <c r="Z501" s="103"/>
    </row>
    <row r="502" spans="1:26" ht="15.75" customHeight="1">
      <c r="A502" s="101"/>
      <c r="B502" s="103"/>
      <c r="C502" s="103"/>
      <c r="D502" s="103"/>
      <c r="E502" s="103"/>
      <c r="F502" s="103"/>
      <c r="G502" s="103"/>
      <c r="H502" s="103"/>
      <c r="I502" s="103"/>
      <c r="J502" s="103"/>
      <c r="K502" s="103"/>
      <c r="L502" s="103"/>
      <c r="M502" s="103"/>
      <c r="N502" s="103"/>
      <c r="O502" s="103"/>
      <c r="P502" s="103"/>
      <c r="Q502" s="103"/>
      <c r="R502" s="103"/>
      <c r="S502" s="103"/>
      <c r="T502" s="103"/>
      <c r="U502" s="103"/>
      <c r="V502" s="103"/>
      <c r="W502" s="103"/>
      <c r="X502" s="103"/>
      <c r="Y502" s="103"/>
      <c r="Z502" s="103"/>
    </row>
    <row r="503" spans="1:26" ht="15.75" customHeight="1">
      <c r="A503" s="101"/>
      <c r="B503" s="103"/>
      <c r="C503" s="103"/>
      <c r="D503" s="103"/>
      <c r="E503" s="103"/>
      <c r="F503" s="103"/>
      <c r="G503" s="103"/>
      <c r="H503" s="103"/>
      <c r="I503" s="103"/>
      <c r="J503" s="103"/>
      <c r="K503" s="103"/>
      <c r="L503" s="103"/>
      <c r="M503" s="103"/>
      <c r="N503" s="103"/>
      <c r="O503" s="103"/>
      <c r="P503" s="103"/>
      <c r="Q503" s="103"/>
      <c r="R503" s="103"/>
      <c r="S503" s="103"/>
      <c r="T503" s="103"/>
      <c r="U503" s="103"/>
      <c r="V503" s="103"/>
      <c r="W503" s="103"/>
      <c r="X503" s="103"/>
      <c r="Y503" s="103"/>
      <c r="Z503" s="103"/>
    </row>
    <row r="504" spans="1:26" ht="15.75" customHeight="1">
      <c r="A504" s="101"/>
      <c r="B504" s="103"/>
      <c r="C504" s="103"/>
      <c r="D504" s="103"/>
      <c r="E504" s="103"/>
      <c r="F504" s="103"/>
      <c r="G504" s="103"/>
      <c r="H504" s="103"/>
      <c r="I504" s="103"/>
      <c r="J504" s="103"/>
      <c r="K504" s="103"/>
      <c r="L504" s="103"/>
      <c r="M504" s="103"/>
      <c r="N504" s="103"/>
      <c r="O504" s="103"/>
      <c r="P504" s="103"/>
      <c r="Q504" s="103"/>
      <c r="R504" s="103"/>
      <c r="S504" s="103"/>
      <c r="T504" s="103"/>
      <c r="U504" s="103"/>
      <c r="V504" s="103"/>
      <c r="W504" s="103"/>
      <c r="X504" s="103"/>
      <c r="Y504" s="103"/>
      <c r="Z504" s="103"/>
    </row>
    <row r="505" spans="1:26" ht="15.75" customHeight="1">
      <c r="A505" s="101"/>
      <c r="B505" s="103"/>
      <c r="C505" s="103"/>
      <c r="D505" s="103"/>
      <c r="E505" s="103"/>
      <c r="F505" s="103"/>
      <c r="G505" s="103"/>
      <c r="H505" s="103"/>
      <c r="I505" s="103"/>
      <c r="J505" s="103"/>
      <c r="K505" s="103"/>
      <c r="L505" s="103"/>
      <c r="M505" s="103"/>
      <c r="N505" s="103"/>
      <c r="O505" s="103"/>
      <c r="P505" s="103"/>
      <c r="Q505" s="103"/>
      <c r="R505" s="103"/>
      <c r="S505" s="103"/>
      <c r="T505" s="103"/>
      <c r="U505" s="103"/>
      <c r="V505" s="103"/>
      <c r="W505" s="103"/>
      <c r="X505" s="103"/>
      <c r="Y505" s="103"/>
      <c r="Z505" s="103"/>
    </row>
    <row r="506" spans="1:26" ht="15.75" customHeight="1">
      <c r="A506" s="101"/>
      <c r="B506" s="103"/>
      <c r="C506" s="103"/>
      <c r="D506" s="103"/>
      <c r="E506" s="103"/>
      <c r="F506" s="103"/>
      <c r="G506" s="103"/>
      <c r="H506" s="103"/>
      <c r="I506" s="103"/>
      <c r="J506" s="103"/>
      <c r="K506" s="103"/>
      <c r="L506" s="103"/>
      <c r="M506" s="103"/>
      <c r="N506" s="103"/>
      <c r="O506" s="103"/>
      <c r="P506" s="103"/>
      <c r="Q506" s="103"/>
      <c r="R506" s="103"/>
      <c r="S506" s="103"/>
      <c r="T506" s="103"/>
      <c r="U506" s="103"/>
      <c r="V506" s="103"/>
      <c r="W506" s="103"/>
      <c r="X506" s="103"/>
      <c r="Y506" s="103"/>
      <c r="Z506" s="103"/>
    </row>
    <row r="507" spans="1:26" ht="15.75" customHeight="1">
      <c r="A507" s="101"/>
      <c r="B507" s="103"/>
      <c r="C507" s="103"/>
      <c r="D507" s="103"/>
      <c r="E507" s="103"/>
      <c r="F507" s="103"/>
      <c r="G507" s="103"/>
      <c r="H507" s="103"/>
      <c r="I507" s="103"/>
      <c r="J507" s="103"/>
      <c r="K507" s="103"/>
      <c r="L507" s="103"/>
      <c r="M507" s="103"/>
      <c r="N507" s="103"/>
      <c r="O507" s="103"/>
      <c r="P507" s="103"/>
      <c r="Q507" s="103"/>
      <c r="R507" s="103"/>
      <c r="S507" s="103"/>
      <c r="T507" s="103"/>
      <c r="U507" s="103"/>
      <c r="V507" s="103"/>
      <c r="W507" s="103"/>
      <c r="X507" s="103"/>
      <c r="Y507" s="103"/>
      <c r="Z507" s="103"/>
    </row>
    <row r="508" spans="1:26" ht="15.75" customHeight="1">
      <c r="A508" s="101"/>
      <c r="B508" s="103"/>
      <c r="C508" s="103"/>
      <c r="D508" s="103"/>
      <c r="E508" s="103"/>
      <c r="F508" s="103"/>
      <c r="G508" s="103"/>
      <c r="H508" s="103"/>
      <c r="I508" s="103"/>
      <c r="J508" s="103"/>
      <c r="K508" s="103"/>
      <c r="L508" s="103"/>
      <c r="M508" s="103"/>
      <c r="N508" s="103"/>
      <c r="O508" s="103"/>
      <c r="P508" s="103"/>
      <c r="Q508" s="103"/>
      <c r="R508" s="103"/>
      <c r="S508" s="103"/>
      <c r="T508" s="103"/>
      <c r="U508" s="103"/>
      <c r="V508" s="103"/>
      <c r="W508" s="103"/>
      <c r="X508" s="103"/>
      <c r="Y508" s="103"/>
      <c r="Z508" s="103"/>
    </row>
    <row r="509" spans="1:26" ht="15.75" customHeight="1">
      <c r="A509" s="101"/>
      <c r="B509" s="103"/>
      <c r="C509" s="103"/>
      <c r="D509" s="103"/>
      <c r="E509" s="103"/>
      <c r="F509" s="103"/>
      <c r="G509" s="103"/>
      <c r="H509" s="103"/>
      <c r="I509" s="103"/>
      <c r="J509" s="103"/>
      <c r="K509" s="103"/>
      <c r="L509" s="103"/>
      <c r="M509" s="103"/>
      <c r="N509" s="103"/>
      <c r="O509" s="103"/>
      <c r="P509" s="103"/>
      <c r="Q509" s="103"/>
      <c r="R509" s="103"/>
      <c r="S509" s="103"/>
      <c r="T509" s="103"/>
      <c r="U509" s="103"/>
      <c r="V509" s="103"/>
      <c r="W509" s="103"/>
      <c r="X509" s="103"/>
      <c r="Y509" s="103"/>
      <c r="Z509" s="103"/>
    </row>
    <row r="510" spans="1:26" ht="15.75" customHeight="1">
      <c r="A510" s="101"/>
      <c r="B510" s="103"/>
      <c r="C510" s="103"/>
      <c r="D510" s="103"/>
      <c r="E510" s="103"/>
      <c r="F510" s="103"/>
      <c r="G510" s="103"/>
      <c r="H510" s="103"/>
      <c r="I510" s="103"/>
      <c r="J510" s="103"/>
      <c r="K510" s="103"/>
      <c r="L510" s="103"/>
      <c r="M510" s="103"/>
      <c r="N510" s="103"/>
      <c r="O510" s="103"/>
      <c r="P510" s="103"/>
      <c r="Q510" s="103"/>
      <c r="R510" s="103"/>
      <c r="S510" s="103"/>
      <c r="T510" s="103"/>
      <c r="U510" s="103"/>
      <c r="V510" s="103"/>
      <c r="W510" s="103"/>
      <c r="X510" s="103"/>
      <c r="Y510" s="103"/>
      <c r="Z510" s="103"/>
    </row>
    <row r="511" spans="1:26" ht="15.75" customHeight="1">
      <c r="A511" s="101"/>
      <c r="B511" s="103"/>
      <c r="C511" s="103"/>
      <c r="D511" s="103"/>
      <c r="E511" s="103"/>
      <c r="F511" s="103"/>
      <c r="G511" s="103"/>
      <c r="H511" s="103"/>
      <c r="I511" s="103"/>
      <c r="J511" s="103"/>
      <c r="K511" s="103"/>
      <c r="L511" s="103"/>
      <c r="M511" s="103"/>
      <c r="N511" s="103"/>
      <c r="O511" s="103"/>
      <c r="P511" s="103"/>
      <c r="Q511" s="103"/>
      <c r="R511" s="103"/>
      <c r="S511" s="103"/>
      <c r="T511" s="103"/>
      <c r="U511" s="103"/>
      <c r="V511" s="103"/>
      <c r="W511" s="103"/>
      <c r="X511" s="103"/>
      <c r="Y511" s="103"/>
      <c r="Z511" s="103"/>
    </row>
    <row r="512" spans="1:26" ht="15.75" customHeight="1">
      <c r="A512" s="101"/>
      <c r="B512" s="103"/>
      <c r="C512" s="103"/>
      <c r="D512" s="103"/>
      <c r="E512" s="103"/>
      <c r="F512" s="103"/>
      <c r="G512" s="103"/>
      <c r="H512" s="103"/>
      <c r="I512" s="103"/>
      <c r="J512" s="103"/>
      <c r="K512" s="103"/>
      <c r="L512" s="103"/>
      <c r="M512" s="103"/>
      <c r="N512" s="103"/>
      <c r="O512" s="103"/>
      <c r="P512" s="103"/>
      <c r="Q512" s="103"/>
      <c r="R512" s="103"/>
      <c r="S512" s="103"/>
      <c r="T512" s="103"/>
      <c r="U512" s="103"/>
      <c r="V512" s="103"/>
      <c r="W512" s="103"/>
      <c r="X512" s="103"/>
      <c r="Y512" s="103"/>
      <c r="Z512" s="103"/>
    </row>
    <row r="513" spans="1:26" ht="15.75" customHeight="1">
      <c r="A513" s="101"/>
      <c r="B513" s="103"/>
      <c r="C513" s="103"/>
      <c r="D513" s="103"/>
      <c r="E513" s="103"/>
      <c r="F513" s="103"/>
      <c r="G513" s="103"/>
      <c r="H513" s="103"/>
      <c r="I513" s="103"/>
      <c r="J513" s="103"/>
      <c r="K513" s="103"/>
      <c r="L513" s="103"/>
      <c r="M513" s="103"/>
      <c r="N513" s="103"/>
      <c r="O513" s="103"/>
      <c r="P513" s="103"/>
      <c r="Q513" s="103"/>
      <c r="R513" s="103"/>
      <c r="S513" s="103"/>
      <c r="T513" s="103"/>
      <c r="U513" s="103"/>
      <c r="V513" s="103"/>
      <c r="W513" s="103"/>
      <c r="X513" s="103"/>
      <c r="Y513" s="103"/>
      <c r="Z513" s="103"/>
    </row>
    <row r="514" spans="1:26" ht="15.75" customHeight="1">
      <c r="A514" s="101"/>
      <c r="B514" s="103"/>
      <c r="C514" s="103"/>
      <c r="D514" s="103"/>
      <c r="E514" s="103"/>
      <c r="F514" s="103"/>
      <c r="G514" s="103"/>
      <c r="H514" s="103"/>
      <c r="I514" s="103"/>
      <c r="J514" s="103"/>
      <c r="K514" s="103"/>
      <c r="L514" s="103"/>
      <c r="M514" s="103"/>
      <c r="N514" s="103"/>
      <c r="O514" s="103"/>
      <c r="P514" s="103"/>
      <c r="Q514" s="103"/>
      <c r="R514" s="103"/>
      <c r="S514" s="103"/>
      <c r="T514" s="103"/>
      <c r="U514" s="103"/>
      <c r="V514" s="103"/>
      <c r="W514" s="103"/>
      <c r="X514" s="103"/>
      <c r="Y514" s="103"/>
      <c r="Z514" s="103"/>
    </row>
    <row r="515" spans="1:26" ht="15.75" customHeight="1">
      <c r="A515" s="101"/>
      <c r="B515" s="103"/>
      <c r="C515" s="103"/>
      <c r="D515" s="103"/>
      <c r="E515" s="103"/>
      <c r="F515" s="103"/>
      <c r="G515" s="103"/>
      <c r="H515" s="103"/>
      <c r="I515" s="103"/>
      <c r="J515" s="103"/>
      <c r="K515" s="103"/>
      <c r="L515" s="103"/>
      <c r="M515" s="103"/>
      <c r="N515" s="103"/>
      <c r="O515" s="103"/>
      <c r="P515" s="103"/>
      <c r="Q515" s="103"/>
      <c r="R515" s="103"/>
      <c r="S515" s="103"/>
      <c r="T515" s="103"/>
      <c r="U515" s="103"/>
      <c r="V515" s="103"/>
      <c r="W515" s="103"/>
      <c r="X515" s="103"/>
      <c r="Y515" s="103"/>
      <c r="Z515" s="103"/>
    </row>
    <row r="516" spans="1:26" ht="15.75" customHeight="1">
      <c r="A516" s="101"/>
      <c r="B516" s="103"/>
      <c r="C516" s="103"/>
      <c r="D516" s="103"/>
      <c r="E516" s="103"/>
      <c r="F516" s="103"/>
      <c r="G516" s="103"/>
      <c r="H516" s="103"/>
      <c r="I516" s="103"/>
      <c r="J516" s="103"/>
      <c r="K516" s="103"/>
      <c r="L516" s="103"/>
      <c r="M516" s="103"/>
      <c r="N516" s="103"/>
      <c r="O516" s="103"/>
      <c r="P516" s="103"/>
      <c r="Q516" s="103"/>
      <c r="R516" s="103"/>
      <c r="S516" s="103"/>
      <c r="T516" s="103"/>
      <c r="U516" s="103"/>
      <c r="V516" s="103"/>
      <c r="W516" s="103"/>
      <c r="X516" s="103"/>
      <c r="Y516" s="103"/>
      <c r="Z516" s="103"/>
    </row>
    <row r="517" spans="1:26" ht="15.75" customHeight="1">
      <c r="A517" s="101"/>
      <c r="B517" s="103"/>
      <c r="C517" s="103"/>
      <c r="D517" s="103"/>
      <c r="E517" s="103"/>
      <c r="F517" s="103"/>
      <c r="G517" s="103"/>
      <c r="H517" s="103"/>
      <c r="I517" s="103"/>
      <c r="J517" s="103"/>
      <c r="K517" s="103"/>
      <c r="L517" s="103"/>
      <c r="M517" s="103"/>
      <c r="N517" s="103"/>
      <c r="O517" s="103"/>
      <c r="P517" s="103"/>
      <c r="Q517" s="103"/>
      <c r="R517" s="103"/>
      <c r="S517" s="103"/>
      <c r="T517" s="103"/>
      <c r="U517" s="103"/>
      <c r="V517" s="103"/>
      <c r="W517" s="103"/>
      <c r="X517" s="103"/>
      <c r="Y517" s="103"/>
      <c r="Z517" s="103"/>
    </row>
    <row r="518" spans="1:26" ht="15.75" customHeight="1">
      <c r="A518" s="101"/>
      <c r="B518" s="103"/>
      <c r="C518" s="103"/>
      <c r="D518" s="103"/>
      <c r="E518" s="103"/>
      <c r="F518" s="103"/>
      <c r="G518" s="103"/>
      <c r="H518" s="103"/>
      <c r="I518" s="103"/>
      <c r="J518" s="103"/>
      <c r="K518" s="103"/>
      <c r="L518" s="103"/>
      <c r="M518" s="103"/>
      <c r="N518" s="103"/>
      <c r="O518" s="103"/>
      <c r="P518" s="103"/>
      <c r="Q518" s="103"/>
      <c r="R518" s="103"/>
      <c r="S518" s="103"/>
      <c r="T518" s="103"/>
      <c r="U518" s="103"/>
      <c r="V518" s="103"/>
      <c r="W518" s="103"/>
      <c r="X518" s="103"/>
      <c r="Y518" s="103"/>
      <c r="Z518" s="103"/>
    </row>
    <row r="519" spans="1:26" ht="15.75" customHeight="1">
      <c r="A519" s="101"/>
      <c r="B519" s="103"/>
      <c r="C519" s="103"/>
      <c r="D519" s="103"/>
      <c r="E519" s="103"/>
      <c r="F519" s="103"/>
      <c r="G519" s="103"/>
      <c r="H519" s="103"/>
      <c r="I519" s="103"/>
      <c r="J519" s="103"/>
      <c r="K519" s="103"/>
      <c r="L519" s="103"/>
      <c r="M519" s="103"/>
      <c r="N519" s="103"/>
      <c r="O519" s="103"/>
      <c r="P519" s="103"/>
      <c r="Q519" s="103"/>
      <c r="R519" s="103"/>
      <c r="S519" s="103"/>
      <c r="T519" s="103"/>
      <c r="U519" s="103"/>
      <c r="V519" s="103"/>
      <c r="W519" s="103"/>
      <c r="X519" s="103"/>
      <c r="Y519" s="103"/>
      <c r="Z519" s="103"/>
    </row>
    <row r="520" spans="1:26" ht="15.75" customHeight="1">
      <c r="A520" s="101"/>
      <c r="B520" s="103"/>
      <c r="C520" s="103"/>
      <c r="D520" s="103"/>
      <c r="E520" s="103"/>
      <c r="F520" s="103"/>
      <c r="G520" s="103"/>
      <c r="H520" s="103"/>
      <c r="I520" s="103"/>
      <c r="J520" s="103"/>
      <c r="K520" s="103"/>
      <c r="L520" s="103"/>
      <c r="M520" s="103"/>
      <c r="N520" s="103"/>
      <c r="O520" s="103"/>
      <c r="P520" s="103"/>
      <c r="Q520" s="103"/>
      <c r="R520" s="103"/>
      <c r="S520" s="103"/>
      <c r="T520" s="103"/>
      <c r="U520" s="103"/>
      <c r="V520" s="103"/>
      <c r="W520" s="103"/>
      <c r="X520" s="103"/>
      <c r="Y520" s="103"/>
      <c r="Z520" s="103"/>
    </row>
    <row r="521" spans="1:26" ht="15.75" customHeight="1">
      <c r="A521" s="101"/>
      <c r="B521" s="103"/>
      <c r="C521" s="103"/>
      <c r="D521" s="103"/>
      <c r="E521" s="103"/>
      <c r="F521" s="103"/>
      <c r="G521" s="103"/>
      <c r="H521" s="103"/>
      <c r="I521" s="103"/>
      <c r="J521" s="103"/>
      <c r="K521" s="103"/>
      <c r="L521" s="103"/>
      <c r="M521" s="103"/>
      <c r="N521" s="103"/>
      <c r="O521" s="103"/>
      <c r="P521" s="103"/>
      <c r="Q521" s="103"/>
      <c r="R521" s="103"/>
      <c r="S521" s="103"/>
      <c r="T521" s="103"/>
      <c r="U521" s="103"/>
      <c r="V521" s="103"/>
      <c r="W521" s="103"/>
      <c r="X521" s="103"/>
      <c r="Y521" s="103"/>
      <c r="Z521" s="103"/>
    </row>
    <row r="522" spans="1:26" ht="15.75" customHeight="1">
      <c r="A522" s="101"/>
      <c r="B522" s="103"/>
      <c r="C522" s="103"/>
      <c r="D522" s="103"/>
      <c r="E522" s="103"/>
      <c r="F522" s="103"/>
      <c r="G522" s="103"/>
      <c r="H522" s="103"/>
      <c r="I522" s="103"/>
      <c r="J522" s="103"/>
      <c r="K522" s="103"/>
      <c r="L522" s="103"/>
      <c r="M522" s="103"/>
      <c r="N522" s="103"/>
      <c r="O522" s="103"/>
      <c r="P522" s="103"/>
      <c r="Q522" s="103"/>
      <c r="R522" s="103"/>
      <c r="S522" s="103"/>
      <c r="T522" s="103"/>
      <c r="U522" s="103"/>
      <c r="V522" s="103"/>
      <c r="W522" s="103"/>
      <c r="X522" s="103"/>
      <c r="Y522" s="103"/>
      <c r="Z522" s="103"/>
    </row>
    <row r="523" spans="1:26" ht="15.75" customHeight="1">
      <c r="A523" s="101"/>
      <c r="B523" s="103"/>
      <c r="C523" s="103"/>
      <c r="D523" s="103"/>
      <c r="E523" s="103"/>
      <c r="F523" s="103"/>
      <c r="G523" s="103"/>
      <c r="H523" s="103"/>
      <c r="I523" s="103"/>
      <c r="J523" s="103"/>
      <c r="K523" s="103"/>
      <c r="L523" s="103"/>
      <c r="M523" s="103"/>
      <c r="N523" s="103"/>
      <c r="O523" s="103"/>
      <c r="P523" s="103"/>
      <c r="Q523" s="103"/>
      <c r="R523" s="103"/>
      <c r="S523" s="103"/>
      <c r="T523" s="103"/>
      <c r="U523" s="103"/>
      <c r="V523" s="103"/>
      <c r="W523" s="103"/>
      <c r="X523" s="103"/>
      <c r="Y523" s="103"/>
      <c r="Z523" s="103"/>
    </row>
    <row r="524" spans="1:26" ht="15.75" customHeight="1">
      <c r="A524" s="101"/>
      <c r="B524" s="103"/>
      <c r="C524" s="103"/>
      <c r="D524" s="103"/>
      <c r="E524" s="103"/>
      <c r="F524" s="103"/>
      <c r="G524" s="103"/>
      <c r="H524" s="103"/>
      <c r="I524" s="103"/>
      <c r="J524" s="103"/>
      <c r="K524" s="103"/>
      <c r="L524" s="103"/>
      <c r="M524" s="103"/>
      <c r="N524" s="103"/>
      <c r="O524" s="103"/>
      <c r="P524" s="103"/>
      <c r="Q524" s="103"/>
      <c r="R524" s="103"/>
      <c r="S524" s="103"/>
      <c r="T524" s="103"/>
      <c r="U524" s="103"/>
      <c r="V524" s="103"/>
      <c r="W524" s="103"/>
      <c r="X524" s="103"/>
      <c r="Y524" s="103"/>
      <c r="Z524" s="103"/>
    </row>
    <row r="525" spans="1:26" ht="15.75" customHeight="1">
      <c r="A525" s="101"/>
      <c r="B525" s="103"/>
      <c r="C525" s="103"/>
      <c r="D525" s="103"/>
      <c r="E525" s="103"/>
      <c r="F525" s="103"/>
      <c r="G525" s="103"/>
      <c r="H525" s="103"/>
      <c r="I525" s="103"/>
      <c r="J525" s="103"/>
      <c r="K525" s="103"/>
      <c r="L525" s="103"/>
      <c r="M525" s="103"/>
      <c r="N525" s="103"/>
      <c r="O525" s="103"/>
      <c r="P525" s="103"/>
      <c r="Q525" s="103"/>
      <c r="R525" s="103"/>
      <c r="S525" s="103"/>
      <c r="T525" s="103"/>
      <c r="U525" s="103"/>
      <c r="V525" s="103"/>
      <c r="W525" s="103"/>
      <c r="X525" s="103"/>
      <c r="Y525" s="103"/>
      <c r="Z525" s="103"/>
    </row>
    <row r="526" spans="1:26" ht="15.75" customHeight="1">
      <c r="A526" s="101"/>
      <c r="B526" s="103"/>
      <c r="C526" s="103"/>
      <c r="D526" s="103"/>
      <c r="E526" s="103"/>
      <c r="F526" s="103"/>
      <c r="G526" s="103"/>
      <c r="H526" s="103"/>
      <c r="I526" s="103"/>
      <c r="J526" s="103"/>
      <c r="K526" s="103"/>
      <c r="L526" s="103"/>
      <c r="M526" s="103"/>
      <c r="N526" s="103"/>
      <c r="O526" s="103"/>
      <c r="P526" s="103"/>
      <c r="Q526" s="103"/>
      <c r="R526" s="103"/>
      <c r="S526" s="103"/>
      <c r="T526" s="103"/>
      <c r="U526" s="103"/>
      <c r="V526" s="103"/>
      <c r="W526" s="103"/>
      <c r="X526" s="103"/>
      <c r="Y526" s="103"/>
      <c r="Z526" s="103"/>
    </row>
    <row r="527" spans="1:26" ht="15.75" customHeight="1">
      <c r="A527" s="101"/>
      <c r="B527" s="103"/>
      <c r="C527" s="103"/>
      <c r="D527" s="103"/>
      <c r="E527" s="103"/>
      <c r="F527" s="103"/>
      <c r="G527" s="103"/>
      <c r="H527" s="103"/>
      <c r="I527" s="103"/>
      <c r="J527" s="103"/>
      <c r="K527" s="103"/>
      <c r="L527" s="103"/>
      <c r="M527" s="103"/>
      <c r="N527" s="103"/>
      <c r="O527" s="103"/>
      <c r="P527" s="103"/>
      <c r="Q527" s="103"/>
      <c r="R527" s="103"/>
      <c r="S527" s="103"/>
      <c r="T527" s="103"/>
      <c r="U527" s="103"/>
      <c r="V527" s="103"/>
      <c r="W527" s="103"/>
      <c r="X527" s="103"/>
      <c r="Y527" s="103"/>
      <c r="Z527" s="103"/>
    </row>
    <row r="528" spans="1:26" ht="15.75" customHeight="1">
      <c r="A528" s="101"/>
      <c r="B528" s="103"/>
      <c r="C528" s="103"/>
      <c r="D528" s="103"/>
      <c r="E528" s="103"/>
      <c r="F528" s="103"/>
      <c r="G528" s="103"/>
      <c r="H528" s="103"/>
      <c r="I528" s="103"/>
      <c r="J528" s="103"/>
      <c r="K528" s="103"/>
      <c r="L528" s="103"/>
      <c r="M528" s="103"/>
      <c r="N528" s="103"/>
      <c r="O528" s="103"/>
      <c r="P528" s="103"/>
      <c r="Q528" s="103"/>
      <c r="R528" s="103"/>
      <c r="S528" s="103"/>
      <c r="T528" s="103"/>
      <c r="U528" s="103"/>
      <c r="V528" s="103"/>
      <c r="W528" s="103"/>
      <c r="X528" s="103"/>
      <c r="Y528" s="103"/>
      <c r="Z528" s="103"/>
    </row>
    <row r="529" spans="1:26" ht="15.75" customHeight="1">
      <c r="A529" s="101"/>
      <c r="B529" s="103"/>
      <c r="C529" s="103"/>
      <c r="D529" s="103"/>
      <c r="E529" s="103"/>
      <c r="F529" s="103"/>
      <c r="G529" s="103"/>
      <c r="H529" s="103"/>
      <c r="I529" s="103"/>
      <c r="J529" s="103"/>
      <c r="K529" s="103"/>
      <c r="L529" s="103"/>
      <c r="M529" s="103"/>
      <c r="N529" s="103"/>
      <c r="O529" s="103"/>
      <c r="P529" s="103"/>
      <c r="Q529" s="103"/>
      <c r="R529" s="103"/>
      <c r="S529" s="103"/>
      <c r="T529" s="103"/>
      <c r="U529" s="103"/>
      <c r="V529" s="103"/>
      <c r="W529" s="103"/>
      <c r="X529" s="103"/>
      <c r="Y529" s="103"/>
      <c r="Z529" s="103"/>
    </row>
    <row r="530" spans="1:26" ht="15.75" customHeight="1">
      <c r="A530" s="101"/>
      <c r="B530" s="103"/>
      <c r="C530" s="103"/>
      <c r="D530" s="103"/>
      <c r="E530" s="103"/>
      <c r="F530" s="103"/>
      <c r="G530" s="103"/>
      <c r="H530" s="103"/>
      <c r="I530" s="103"/>
      <c r="J530" s="103"/>
      <c r="K530" s="103"/>
      <c r="L530" s="103"/>
      <c r="M530" s="103"/>
      <c r="N530" s="103"/>
      <c r="O530" s="103"/>
      <c r="P530" s="103"/>
      <c r="Q530" s="103"/>
      <c r="R530" s="103"/>
      <c r="S530" s="103"/>
      <c r="T530" s="103"/>
      <c r="U530" s="103"/>
      <c r="V530" s="103"/>
      <c r="W530" s="103"/>
      <c r="X530" s="103"/>
      <c r="Y530" s="103"/>
      <c r="Z530" s="103"/>
    </row>
    <row r="531" spans="1:26" ht="15.75" customHeight="1">
      <c r="A531" s="101"/>
      <c r="B531" s="103"/>
      <c r="C531" s="103"/>
      <c r="D531" s="103"/>
      <c r="E531" s="103"/>
      <c r="F531" s="103"/>
      <c r="G531" s="103"/>
      <c r="H531" s="103"/>
      <c r="I531" s="103"/>
      <c r="J531" s="103"/>
      <c r="K531" s="103"/>
      <c r="L531" s="103"/>
      <c r="M531" s="103"/>
      <c r="N531" s="103"/>
      <c r="O531" s="103"/>
      <c r="P531" s="103"/>
      <c r="Q531" s="103"/>
      <c r="R531" s="103"/>
      <c r="S531" s="103"/>
      <c r="T531" s="103"/>
      <c r="U531" s="103"/>
      <c r="V531" s="103"/>
      <c r="W531" s="103"/>
      <c r="X531" s="103"/>
      <c r="Y531" s="103"/>
      <c r="Z531" s="103"/>
    </row>
    <row r="532" spans="1:26" ht="15.75" customHeight="1">
      <c r="A532" s="101"/>
      <c r="B532" s="103"/>
      <c r="C532" s="103"/>
      <c r="D532" s="103"/>
      <c r="E532" s="103"/>
      <c r="F532" s="103"/>
      <c r="G532" s="103"/>
      <c r="H532" s="103"/>
      <c r="I532" s="103"/>
      <c r="J532" s="103"/>
      <c r="K532" s="103"/>
      <c r="L532" s="103"/>
      <c r="M532" s="103"/>
      <c r="N532" s="103"/>
      <c r="O532" s="103"/>
      <c r="P532" s="103"/>
      <c r="Q532" s="103"/>
      <c r="R532" s="103"/>
      <c r="S532" s="103"/>
      <c r="T532" s="103"/>
      <c r="U532" s="103"/>
      <c r="V532" s="103"/>
      <c r="W532" s="103"/>
      <c r="X532" s="103"/>
      <c r="Y532" s="103"/>
      <c r="Z532" s="103"/>
    </row>
    <row r="533" spans="1:26" ht="15.75" customHeight="1">
      <c r="A533" s="101"/>
      <c r="B533" s="103"/>
      <c r="C533" s="103"/>
      <c r="D533" s="103"/>
      <c r="E533" s="103"/>
      <c r="F533" s="103"/>
      <c r="G533" s="103"/>
      <c r="H533" s="103"/>
      <c r="I533" s="103"/>
      <c r="J533" s="103"/>
      <c r="K533" s="103"/>
      <c r="L533" s="103"/>
      <c r="M533" s="103"/>
      <c r="N533" s="103"/>
      <c r="O533" s="103"/>
      <c r="P533" s="103"/>
      <c r="Q533" s="103"/>
      <c r="R533" s="103"/>
      <c r="S533" s="103"/>
      <c r="T533" s="103"/>
      <c r="U533" s="103"/>
      <c r="V533" s="103"/>
      <c r="W533" s="103"/>
      <c r="X533" s="103"/>
      <c r="Y533" s="103"/>
      <c r="Z533" s="103"/>
    </row>
    <row r="534" spans="1:26" ht="15.75" customHeight="1">
      <c r="A534" s="101"/>
      <c r="B534" s="103"/>
      <c r="C534" s="103"/>
      <c r="D534" s="103"/>
      <c r="E534" s="103"/>
      <c r="F534" s="103"/>
      <c r="G534" s="103"/>
      <c r="H534" s="103"/>
      <c r="I534" s="103"/>
      <c r="J534" s="103"/>
      <c r="K534" s="103"/>
      <c r="L534" s="103"/>
      <c r="M534" s="103"/>
      <c r="N534" s="103"/>
      <c r="O534" s="103"/>
      <c r="P534" s="103"/>
      <c r="Q534" s="103"/>
      <c r="R534" s="103"/>
      <c r="S534" s="103"/>
      <c r="T534" s="103"/>
      <c r="U534" s="103"/>
      <c r="V534" s="103"/>
      <c r="W534" s="103"/>
      <c r="X534" s="103"/>
      <c r="Y534" s="103"/>
      <c r="Z534" s="103"/>
    </row>
    <row r="535" spans="1:26" ht="15.75" customHeight="1">
      <c r="A535" s="101"/>
      <c r="B535" s="103"/>
      <c r="C535" s="103"/>
      <c r="D535" s="103"/>
      <c r="E535" s="103"/>
      <c r="F535" s="103"/>
      <c r="G535" s="103"/>
      <c r="H535" s="103"/>
      <c r="I535" s="103"/>
      <c r="J535" s="103"/>
      <c r="K535" s="103"/>
      <c r="L535" s="103"/>
      <c r="M535" s="103"/>
      <c r="N535" s="103"/>
      <c r="O535" s="103"/>
      <c r="P535" s="103"/>
      <c r="Q535" s="103"/>
      <c r="R535" s="103"/>
      <c r="S535" s="103"/>
      <c r="T535" s="103"/>
      <c r="U535" s="103"/>
      <c r="V535" s="103"/>
      <c r="W535" s="103"/>
      <c r="X535" s="103"/>
      <c r="Y535" s="103"/>
      <c r="Z535" s="103"/>
    </row>
    <row r="536" spans="1:26" ht="15.75" customHeight="1">
      <c r="A536" s="101"/>
      <c r="B536" s="103"/>
      <c r="C536" s="103"/>
      <c r="D536" s="103"/>
      <c r="E536" s="103"/>
      <c r="F536" s="103"/>
      <c r="G536" s="103"/>
      <c r="H536" s="103"/>
      <c r="I536" s="103"/>
      <c r="J536" s="103"/>
      <c r="K536" s="103"/>
      <c r="L536" s="103"/>
      <c r="M536" s="103"/>
      <c r="N536" s="103"/>
      <c r="O536" s="103"/>
      <c r="P536" s="103"/>
      <c r="Q536" s="103"/>
      <c r="R536" s="103"/>
      <c r="S536" s="103"/>
      <c r="T536" s="103"/>
      <c r="U536" s="103"/>
      <c r="V536" s="103"/>
      <c r="W536" s="103"/>
      <c r="X536" s="103"/>
      <c r="Y536" s="103"/>
      <c r="Z536" s="103"/>
    </row>
    <row r="537" spans="1:26" ht="15.75" customHeight="1">
      <c r="A537" s="101"/>
      <c r="B537" s="103"/>
      <c r="C537" s="103"/>
      <c r="D537" s="103"/>
      <c r="E537" s="103"/>
      <c r="F537" s="103"/>
      <c r="G537" s="103"/>
      <c r="H537" s="103"/>
      <c r="I537" s="103"/>
      <c r="J537" s="103"/>
      <c r="K537" s="103"/>
      <c r="L537" s="103"/>
      <c r="M537" s="103"/>
      <c r="N537" s="103"/>
      <c r="O537" s="103"/>
      <c r="P537" s="103"/>
      <c r="Q537" s="103"/>
      <c r="R537" s="103"/>
      <c r="S537" s="103"/>
      <c r="T537" s="103"/>
      <c r="U537" s="103"/>
      <c r="V537" s="103"/>
      <c r="W537" s="103"/>
      <c r="X537" s="103"/>
      <c r="Y537" s="103"/>
      <c r="Z537" s="103"/>
    </row>
    <row r="538" spans="1:26" ht="15.75" customHeight="1">
      <c r="A538" s="101"/>
      <c r="B538" s="103"/>
      <c r="C538" s="103"/>
      <c r="D538" s="103"/>
      <c r="E538" s="103"/>
      <c r="F538" s="103"/>
      <c r="G538" s="103"/>
      <c r="H538" s="103"/>
      <c r="I538" s="103"/>
      <c r="J538" s="103"/>
      <c r="K538" s="103"/>
      <c r="L538" s="103"/>
      <c r="M538" s="103"/>
      <c r="N538" s="103"/>
      <c r="O538" s="103"/>
      <c r="P538" s="103"/>
      <c r="Q538" s="103"/>
      <c r="R538" s="103"/>
      <c r="S538" s="103"/>
      <c r="T538" s="103"/>
      <c r="U538" s="103"/>
      <c r="V538" s="103"/>
      <c r="W538" s="103"/>
      <c r="X538" s="103"/>
      <c r="Y538" s="103"/>
      <c r="Z538" s="103"/>
    </row>
    <row r="539" spans="1:26" ht="15.75" customHeight="1">
      <c r="A539" s="101"/>
      <c r="B539" s="103"/>
      <c r="C539" s="103"/>
      <c r="D539" s="103"/>
      <c r="E539" s="103"/>
      <c r="F539" s="103"/>
      <c r="G539" s="103"/>
      <c r="H539" s="103"/>
      <c r="I539" s="103"/>
      <c r="J539" s="103"/>
      <c r="K539" s="103"/>
      <c r="L539" s="103"/>
      <c r="M539" s="103"/>
      <c r="N539" s="103"/>
      <c r="O539" s="103"/>
      <c r="P539" s="103"/>
      <c r="Q539" s="103"/>
      <c r="R539" s="103"/>
      <c r="S539" s="103"/>
      <c r="T539" s="103"/>
      <c r="U539" s="103"/>
      <c r="V539" s="103"/>
      <c r="W539" s="103"/>
      <c r="X539" s="103"/>
      <c r="Y539" s="103"/>
      <c r="Z539" s="103"/>
    </row>
    <row r="540" spans="1:26" ht="15.75" customHeight="1">
      <c r="A540" s="101"/>
      <c r="B540" s="103"/>
      <c r="C540" s="103"/>
      <c r="D540" s="103"/>
      <c r="E540" s="103"/>
      <c r="F540" s="103"/>
      <c r="G540" s="103"/>
      <c r="H540" s="103"/>
      <c r="I540" s="103"/>
      <c r="J540" s="103"/>
      <c r="K540" s="103"/>
      <c r="L540" s="103"/>
      <c r="M540" s="103"/>
      <c r="N540" s="103"/>
      <c r="O540" s="103"/>
      <c r="P540" s="103"/>
      <c r="Q540" s="103"/>
      <c r="R540" s="103"/>
      <c r="S540" s="103"/>
      <c r="T540" s="103"/>
      <c r="U540" s="103"/>
      <c r="V540" s="103"/>
      <c r="W540" s="103"/>
      <c r="X540" s="103"/>
      <c r="Y540" s="103"/>
      <c r="Z540" s="103"/>
    </row>
    <row r="541" spans="1:26" ht="15.75" customHeight="1">
      <c r="A541" s="101"/>
      <c r="B541" s="103"/>
      <c r="C541" s="103"/>
      <c r="D541" s="103"/>
      <c r="E541" s="103"/>
      <c r="F541" s="103"/>
      <c r="G541" s="103"/>
      <c r="H541" s="103"/>
      <c r="I541" s="103"/>
      <c r="J541" s="103"/>
      <c r="K541" s="103"/>
      <c r="L541" s="103"/>
      <c r="M541" s="103"/>
      <c r="N541" s="103"/>
      <c r="O541" s="103"/>
      <c r="P541" s="103"/>
      <c r="Q541" s="103"/>
      <c r="R541" s="103"/>
      <c r="S541" s="103"/>
      <c r="T541" s="103"/>
      <c r="U541" s="103"/>
      <c r="V541" s="103"/>
      <c r="W541" s="103"/>
      <c r="X541" s="103"/>
      <c r="Y541" s="103"/>
      <c r="Z541" s="103"/>
    </row>
    <row r="542" spans="1:26" ht="15.75" customHeight="1">
      <c r="A542" s="101"/>
      <c r="B542" s="103"/>
      <c r="C542" s="103"/>
      <c r="D542" s="103"/>
      <c r="E542" s="103"/>
      <c r="F542" s="103"/>
      <c r="G542" s="103"/>
      <c r="H542" s="103"/>
      <c r="I542" s="103"/>
      <c r="J542" s="103"/>
      <c r="K542" s="103"/>
      <c r="L542" s="103"/>
      <c r="M542" s="103"/>
      <c r="N542" s="103"/>
      <c r="O542" s="103"/>
      <c r="P542" s="103"/>
      <c r="Q542" s="103"/>
      <c r="R542" s="103"/>
      <c r="S542" s="103"/>
      <c r="T542" s="103"/>
      <c r="U542" s="103"/>
      <c r="V542" s="103"/>
      <c r="W542" s="103"/>
      <c r="X542" s="103"/>
      <c r="Y542" s="103"/>
      <c r="Z542" s="103"/>
    </row>
    <row r="543" spans="1:26" ht="15.75" customHeight="1">
      <c r="A543" s="101"/>
      <c r="B543" s="103"/>
      <c r="C543" s="103"/>
      <c r="D543" s="103"/>
      <c r="E543" s="103"/>
      <c r="F543" s="103"/>
      <c r="G543" s="103"/>
      <c r="H543" s="103"/>
      <c r="I543" s="103"/>
      <c r="J543" s="103"/>
      <c r="K543" s="103"/>
      <c r="L543" s="103"/>
      <c r="M543" s="103"/>
      <c r="N543" s="103"/>
      <c r="O543" s="103"/>
      <c r="P543" s="103"/>
      <c r="Q543" s="103"/>
      <c r="R543" s="103"/>
      <c r="S543" s="103"/>
      <c r="T543" s="103"/>
      <c r="U543" s="103"/>
      <c r="V543" s="103"/>
      <c r="W543" s="103"/>
      <c r="X543" s="103"/>
      <c r="Y543" s="103"/>
      <c r="Z543" s="103"/>
    </row>
    <row r="544" spans="1:26" ht="15.75" customHeight="1">
      <c r="A544" s="101"/>
      <c r="B544" s="103"/>
      <c r="C544" s="103"/>
      <c r="D544" s="103"/>
      <c r="E544" s="103"/>
      <c r="F544" s="103"/>
      <c r="G544" s="103"/>
      <c r="H544" s="103"/>
      <c r="I544" s="103"/>
      <c r="J544" s="103"/>
      <c r="K544" s="103"/>
      <c r="L544" s="103"/>
      <c r="M544" s="103"/>
      <c r="N544" s="103"/>
      <c r="O544" s="103"/>
      <c r="P544" s="103"/>
      <c r="Q544" s="103"/>
      <c r="R544" s="103"/>
      <c r="S544" s="103"/>
      <c r="T544" s="103"/>
      <c r="U544" s="103"/>
      <c r="V544" s="103"/>
      <c r="W544" s="103"/>
      <c r="X544" s="103"/>
      <c r="Y544" s="103"/>
      <c r="Z544" s="103"/>
    </row>
    <row r="545" spans="1:26" ht="15.75" customHeight="1">
      <c r="A545" s="101"/>
      <c r="B545" s="103"/>
      <c r="C545" s="103"/>
      <c r="D545" s="103"/>
      <c r="E545" s="103"/>
      <c r="F545" s="103"/>
      <c r="G545" s="103"/>
      <c r="H545" s="103"/>
      <c r="I545" s="103"/>
      <c r="J545" s="103"/>
      <c r="K545" s="103"/>
      <c r="L545" s="103"/>
      <c r="M545" s="103"/>
      <c r="N545" s="103"/>
      <c r="O545" s="103"/>
      <c r="P545" s="103"/>
      <c r="Q545" s="103"/>
      <c r="R545" s="103"/>
      <c r="S545" s="103"/>
      <c r="T545" s="103"/>
      <c r="U545" s="103"/>
      <c r="V545" s="103"/>
      <c r="W545" s="103"/>
      <c r="X545" s="103"/>
      <c r="Y545" s="103"/>
      <c r="Z545" s="103"/>
    </row>
    <row r="546" spans="1:26" ht="15.75" customHeight="1">
      <c r="A546" s="101"/>
      <c r="B546" s="103"/>
      <c r="C546" s="103"/>
      <c r="D546" s="103"/>
      <c r="E546" s="103"/>
      <c r="F546" s="103"/>
      <c r="G546" s="103"/>
      <c r="H546" s="103"/>
      <c r="I546" s="103"/>
      <c r="J546" s="103"/>
      <c r="K546" s="103"/>
      <c r="L546" s="103"/>
      <c r="M546" s="103"/>
      <c r="N546" s="103"/>
      <c r="O546" s="103"/>
      <c r="P546" s="103"/>
      <c r="Q546" s="103"/>
      <c r="R546" s="103"/>
      <c r="S546" s="103"/>
      <c r="T546" s="103"/>
      <c r="U546" s="103"/>
      <c r="V546" s="103"/>
      <c r="W546" s="103"/>
      <c r="X546" s="103"/>
      <c r="Y546" s="103"/>
      <c r="Z546" s="103"/>
    </row>
    <row r="547" spans="1:26" ht="15.75" customHeight="1">
      <c r="A547" s="101"/>
      <c r="B547" s="103"/>
      <c r="C547" s="103"/>
      <c r="D547" s="103"/>
      <c r="E547" s="103"/>
      <c r="F547" s="103"/>
      <c r="G547" s="103"/>
      <c r="H547" s="103"/>
      <c r="I547" s="103"/>
      <c r="J547" s="103"/>
      <c r="K547" s="103"/>
      <c r="L547" s="103"/>
      <c r="M547" s="103"/>
      <c r="N547" s="103"/>
      <c r="O547" s="103"/>
      <c r="P547" s="103"/>
      <c r="Q547" s="103"/>
      <c r="R547" s="103"/>
      <c r="S547" s="103"/>
      <c r="T547" s="103"/>
      <c r="U547" s="103"/>
      <c r="V547" s="103"/>
      <c r="W547" s="103"/>
      <c r="X547" s="103"/>
      <c r="Y547" s="103"/>
      <c r="Z547" s="103"/>
    </row>
    <row r="548" spans="1:26" ht="15.75" customHeight="1">
      <c r="A548" s="101"/>
      <c r="B548" s="103"/>
      <c r="C548" s="103"/>
      <c r="D548" s="103"/>
      <c r="E548" s="103"/>
      <c r="F548" s="103"/>
      <c r="G548" s="103"/>
      <c r="H548" s="103"/>
      <c r="I548" s="103"/>
      <c r="J548" s="103"/>
      <c r="K548" s="103"/>
      <c r="L548" s="103"/>
      <c r="M548" s="103"/>
      <c r="N548" s="103"/>
      <c r="O548" s="103"/>
      <c r="P548" s="103"/>
      <c r="Q548" s="103"/>
      <c r="R548" s="103"/>
      <c r="S548" s="103"/>
      <c r="T548" s="103"/>
      <c r="U548" s="103"/>
      <c r="V548" s="103"/>
      <c r="W548" s="103"/>
      <c r="X548" s="103"/>
      <c r="Y548" s="103"/>
      <c r="Z548" s="103"/>
    </row>
    <row r="549" spans="1:26" ht="15.75" customHeight="1">
      <c r="A549" s="101"/>
      <c r="B549" s="103"/>
      <c r="C549" s="103"/>
      <c r="D549" s="103"/>
      <c r="E549" s="103"/>
      <c r="F549" s="103"/>
      <c r="G549" s="103"/>
      <c r="H549" s="103"/>
      <c r="I549" s="103"/>
      <c r="J549" s="103"/>
      <c r="K549" s="103"/>
      <c r="L549" s="103"/>
      <c r="M549" s="103"/>
      <c r="N549" s="103"/>
      <c r="O549" s="103"/>
      <c r="P549" s="103"/>
      <c r="Q549" s="103"/>
      <c r="R549" s="103"/>
      <c r="S549" s="103"/>
      <c r="T549" s="103"/>
      <c r="U549" s="103"/>
      <c r="V549" s="103"/>
      <c r="W549" s="103"/>
      <c r="X549" s="103"/>
      <c r="Y549" s="103"/>
      <c r="Z549" s="103"/>
    </row>
    <row r="550" spans="1:26" ht="15.75" customHeight="1">
      <c r="A550" s="101"/>
      <c r="B550" s="103"/>
      <c r="C550" s="103"/>
      <c r="D550" s="103"/>
      <c r="E550" s="103"/>
      <c r="F550" s="103"/>
      <c r="G550" s="103"/>
      <c r="H550" s="103"/>
      <c r="I550" s="103"/>
      <c r="J550" s="103"/>
      <c r="K550" s="103"/>
      <c r="L550" s="103"/>
      <c r="M550" s="103"/>
      <c r="N550" s="103"/>
      <c r="O550" s="103"/>
      <c r="P550" s="103"/>
      <c r="Q550" s="103"/>
      <c r="R550" s="103"/>
      <c r="S550" s="103"/>
      <c r="T550" s="103"/>
      <c r="U550" s="103"/>
      <c r="V550" s="103"/>
      <c r="W550" s="103"/>
      <c r="X550" s="103"/>
      <c r="Y550" s="103"/>
      <c r="Z550" s="103"/>
    </row>
    <row r="551" spans="1:26" ht="15.75" customHeight="1">
      <c r="A551" s="101"/>
      <c r="B551" s="103"/>
      <c r="C551" s="103"/>
      <c r="D551" s="103"/>
      <c r="E551" s="103"/>
      <c r="F551" s="103"/>
      <c r="G551" s="103"/>
      <c r="H551" s="103"/>
      <c r="I551" s="103"/>
      <c r="J551" s="103"/>
      <c r="K551" s="103"/>
      <c r="L551" s="103"/>
      <c r="M551" s="103"/>
      <c r="N551" s="103"/>
      <c r="O551" s="103"/>
      <c r="P551" s="103"/>
      <c r="Q551" s="103"/>
      <c r="R551" s="103"/>
      <c r="S551" s="103"/>
      <c r="T551" s="103"/>
      <c r="U551" s="103"/>
      <c r="V551" s="103"/>
      <c r="W551" s="103"/>
      <c r="X551" s="103"/>
      <c r="Y551" s="103"/>
      <c r="Z551" s="103"/>
    </row>
    <row r="552" spans="1:26" ht="15.75" customHeight="1">
      <c r="A552" s="101"/>
      <c r="B552" s="103"/>
      <c r="C552" s="103"/>
      <c r="D552" s="103"/>
      <c r="E552" s="103"/>
      <c r="F552" s="103"/>
      <c r="G552" s="103"/>
      <c r="H552" s="103"/>
      <c r="I552" s="103"/>
      <c r="J552" s="103"/>
      <c r="K552" s="103"/>
      <c r="L552" s="103"/>
      <c r="M552" s="103"/>
      <c r="N552" s="103"/>
      <c r="O552" s="103"/>
      <c r="P552" s="103"/>
      <c r="Q552" s="103"/>
      <c r="R552" s="103"/>
      <c r="S552" s="103"/>
      <c r="T552" s="103"/>
      <c r="U552" s="103"/>
      <c r="V552" s="103"/>
      <c r="W552" s="103"/>
      <c r="X552" s="103"/>
      <c r="Y552" s="103"/>
      <c r="Z552" s="103"/>
    </row>
    <row r="553" spans="1:26" ht="15.75" customHeight="1">
      <c r="A553" s="101"/>
      <c r="B553" s="103"/>
      <c r="C553" s="103"/>
      <c r="D553" s="103"/>
      <c r="E553" s="103"/>
      <c r="F553" s="103"/>
      <c r="G553" s="103"/>
      <c r="H553" s="103"/>
      <c r="I553" s="103"/>
      <c r="J553" s="103"/>
      <c r="K553" s="103"/>
      <c r="L553" s="103"/>
      <c r="M553" s="103"/>
      <c r="N553" s="103"/>
      <c r="O553" s="103"/>
      <c r="P553" s="103"/>
      <c r="Q553" s="103"/>
      <c r="R553" s="103"/>
      <c r="S553" s="103"/>
      <c r="T553" s="103"/>
      <c r="U553" s="103"/>
      <c r="V553" s="103"/>
      <c r="W553" s="103"/>
      <c r="X553" s="103"/>
      <c r="Y553" s="103"/>
      <c r="Z553" s="103"/>
    </row>
    <row r="554" spans="1:26" ht="15.75" customHeight="1">
      <c r="A554" s="101"/>
      <c r="B554" s="103"/>
      <c r="C554" s="103"/>
      <c r="D554" s="103"/>
      <c r="E554" s="103"/>
      <c r="F554" s="103"/>
      <c r="G554" s="103"/>
      <c r="H554" s="103"/>
      <c r="I554" s="103"/>
      <c r="J554" s="103"/>
      <c r="K554" s="103"/>
      <c r="L554" s="103"/>
      <c r="M554" s="103"/>
      <c r="N554" s="103"/>
      <c r="O554" s="103"/>
      <c r="P554" s="103"/>
      <c r="Q554" s="103"/>
      <c r="R554" s="103"/>
      <c r="S554" s="103"/>
      <c r="T554" s="103"/>
      <c r="U554" s="103"/>
      <c r="V554" s="103"/>
      <c r="W554" s="103"/>
      <c r="X554" s="103"/>
      <c r="Y554" s="103"/>
      <c r="Z554" s="103"/>
    </row>
    <row r="555" spans="1:26" ht="15.75" customHeight="1">
      <c r="A555" s="101"/>
      <c r="B555" s="103"/>
      <c r="C555" s="103"/>
      <c r="D555" s="103"/>
      <c r="E555" s="103"/>
      <c r="F555" s="103"/>
      <c r="G555" s="103"/>
      <c r="H555" s="103"/>
      <c r="I555" s="103"/>
      <c r="J555" s="103"/>
      <c r="K555" s="103"/>
      <c r="L555" s="103"/>
      <c r="M555" s="103"/>
      <c r="N555" s="103"/>
      <c r="O555" s="103"/>
      <c r="P555" s="103"/>
      <c r="Q555" s="103"/>
      <c r="R555" s="103"/>
      <c r="S555" s="103"/>
      <c r="T555" s="103"/>
      <c r="U555" s="103"/>
      <c r="V555" s="103"/>
      <c r="W555" s="103"/>
      <c r="X555" s="103"/>
      <c r="Y555" s="103"/>
      <c r="Z555" s="103"/>
    </row>
    <row r="556" spans="1:26" ht="15.75" customHeight="1">
      <c r="A556" s="101"/>
      <c r="B556" s="103"/>
      <c r="C556" s="103"/>
      <c r="D556" s="103"/>
      <c r="E556" s="103"/>
      <c r="F556" s="103"/>
      <c r="G556" s="103"/>
      <c r="H556" s="103"/>
      <c r="I556" s="103"/>
      <c r="J556" s="103"/>
      <c r="K556" s="103"/>
      <c r="L556" s="103"/>
      <c r="M556" s="103"/>
      <c r="N556" s="103"/>
      <c r="O556" s="103"/>
      <c r="P556" s="103"/>
      <c r="Q556" s="103"/>
      <c r="R556" s="103"/>
      <c r="S556" s="103"/>
      <c r="T556" s="103"/>
      <c r="U556" s="103"/>
      <c r="V556" s="103"/>
      <c r="W556" s="103"/>
      <c r="X556" s="103"/>
      <c r="Y556" s="103"/>
      <c r="Z556" s="103"/>
    </row>
    <row r="557" spans="1:26" ht="15.75" customHeight="1">
      <c r="A557" s="101"/>
      <c r="B557" s="103"/>
      <c r="C557" s="103"/>
      <c r="D557" s="103"/>
      <c r="E557" s="103"/>
      <c r="F557" s="103"/>
      <c r="G557" s="103"/>
      <c r="H557" s="103"/>
      <c r="I557" s="103"/>
      <c r="J557" s="103"/>
      <c r="K557" s="103"/>
      <c r="L557" s="103"/>
      <c r="M557" s="103"/>
      <c r="N557" s="103"/>
      <c r="O557" s="103"/>
      <c r="P557" s="103"/>
      <c r="Q557" s="103"/>
      <c r="R557" s="103"/>
      <c r="S557" s="103"/>
      <c r="T557" s="103"/>
      <c r="U557" s="103"/>
      <c r="V557" s="103"/>
      <c r="W557" s="103"/>
      <c r="X557" s="103"/>
      <c r="Y557" s="103"/>
      <c r="Z557" s="103"/>
    </row>
    <row r="558" spans="1:26" ht="15.75" customHeight="1">
      <c r="A558" s="101"/>
      <c r="B558" s="103"/>
      <c r="C558" s="103"/>
      <c r="D558" s="103"/>
      <c r="E558" s="103"/>
      <c r="F558" s="103"/>
      <c r="G558" s="103"/>
      <c r="H558" s="103"/>
      <c r="I558" s="103"/>
      <c r="J558" s="103"/>
      <c r="K558" s="103"/>
      <c r="L558" s="103"/>
      <c r="M558" s="103"/>
      <c r="N558" s="103"/>
      <c r="O558" s="103"/>
      <c r="P558" s="103"/>
      <c r="Q558" s="103"/>
      <c r="R558" s="103"/>
      <c r="S558" s="103"/>
      <c r="T558" s="103"/>
      <c r="U558" s="103"/>
      <c r="V558" s="103"/>
      <c r="W558" s="103"/>
      <c r="X558" s="103"/>
      <c r="Y558" s="103"/>
      <c r="Z558" s="103"/>
    </row>
    <row r="559" spans="1:26" ht="15.75" customHeight="1">
      <c r="A559" s="101"/>
      <c r="B559" s="103"/>
      <c r="C559" s="103"/>
      <c r="D559" s="103"/>
      <c r="E559" s="103"/>
      <c r="F559" s="103"/>
      <c r="G559" s="103"/>
      <c r="H559" s="103"/>
      <c r="I559" s="103"/>
      <c r="J559" s="103"/>
      <c r="K559" s="103"/>
      <c r="L559" s="103"/>
      <c r="M559" s="103"/>
      <c r="N559" s="103"/>
      <c r="O559" s="103"/>
      <c r="P559" s="103"/>
      <c r="Q559" s="103"/>
      <c r="R559" s="103"/>
      <c r="S559" s="103"/>
      <c r="T559" s="103"/>
      <c r="U559" s="103"/>
      <c r="V559" s="103"/>
      <c r="W559" s="103"/>
      <c r="X559" s="103"/>
      <c r="Y559" s="103"/>
      <c r="Z559" s="103"/>
    </row>
    <row r="560" spans="1:26" ht="15.75" customHeight="1">
      <c r="A560" s="101"/>
      <c r="B560" s="103"/>
      <c r="C560" s="103"/>
      <c r="D560" s="103"/>
      <c r="E560" s="103"/>
      <c r="F560" s="103"/>
      <c r="G560" s="103"/>
      <c r="H560" s="103"/>
      <c r="I560" s="103"/>
      <c r="J560" s="103"/>
      <c r="K560" s="103"/>
      <c r="L560" s="103"/>
      <c r="M560" s="103"/>
      <c r="N560" s="103"/>
      <c r="O560" s="103"/>
      <c r="P560" s="103"/>
      <c r="Q560" s="103"/>
      <c r="R560" s="103"/>
      <c r="S560" s="103"/>
      <c r="T560" s="103"/>
      <c r="U560" s="103"/>
      <c r="V560" s="103"/>
      <c r="W560" s="103"/>
      <c r="X560" s="103"/>
      <c r="Y560" s="103"/>
      <c r="Z560" s="103"/>
    </row>
    <row r="561" spans="1:26" ht="15.75" customHeight="1">
      <c r="A561" s="101"/>
      <c r="B561" s="103"/>
      <c r="C561" s="103"/>
      <c r="D561" s="103"/>
      <c r="E561" s="103"/>
      <c r="F561" s="103"/>
      <c r="G561" s="103"/>
      <c r="H561" s="103"/>
      <c r="I561" s="103"/>
      <c r="J561" s="103"/>
      <c r="K561" s="103"/>
      <c r="L561" s="103"/>
      <c r="M561" s="103"/>
      <c r="N561" s="103"/>
      <c r="O561" s="103"/>
      <c r="P561" s="103"/>
      <c r="Q561" s="103"/>
      <c r="R561" s="103"/>
      <c r="S561" s="103"/>
      <c r="T561" s="103"/>
      <c r="U561" s="103"/>
      <c r="V561" s="103"/>
      <c r="W561" s="103"/>
      <c r="X561" s="103"/>
      <c r="Y561" s="103"/>
      <c r="Z561" s="103"/>
    </row>
    <row r="562" spans="1:26" ht="15.75" customHeight="1">
      <c r="A562" s="101"/>
      <c r="B562" s="103"/>
      <c r="C562" s="103"/>
      <c r="D562" s="103"/>
      <c r="E562" s="103"/>
      <c r="F562" s="103"/>
      <c r="G562" s="103"/>
      <c r="H562" s="103"/>
      <c r="I562" s="103"/>
      <c r="J562" s="103"/>
      <c r="K562" s="103"/>
      <c r="L562" s="103"/>
      <c r="M562" s="103"/>
      <c r="N562" s="103"/>
      <c r="O562" s="103"/>
      <c r="P562" s="103"/>
      <c r="Q562" s="103"/>
      <c r="R562" s="103"/>
      <c r="S562" s="103"/>
      <c r="T562" s="103"/>
      <c r="U562" s="103"/>
      <c r="V562" s="103"/>
      <c r="W562" s="103"/>
      <c r="X562" s="103"/>
      <c r="Y562" s="103"/>
      <c r="Z562" s="103"/>
    </row>
    <row r="563" spans="1:26" ht="15.75" customHeight="1">
      <c r="A563" s="101"/>
      <c r="B563" s="103"/>
      <c r="C563" s="103"/>
      <c r="D563" s="103"/>
      <c r="E563" s="103"/>
      <c r="F563" s="103"/>
      <c r="G563" s="103"/>
      <c r="H563" s="103"/>
      <c r="I563" s="103"/>
      <c r="J563" s="103"/>
      <c r="K563" s="103"/>
      <c r="L563" s="103"/>
      <c r="M563" s="103"/>
      <c r="N563" s="103"/>
      <c r="O563" s="103"/>
      <c r="P563" s="103"/>
      <c r="Q563" s="103"/>
      <c r="R563" s="103"/>
      <c r="S563" s="103"/>
      <c r="T563" s="103"/>
      <c r="U563" s="103"/>
      <c r="V563" s="103"/>
      <c r="W563" s="103"/>
      <c r="X563" s="103"/>
      <c r="Y563" s="103"/>
      <c r="Z563" s="103"/>
    </row>
    <row r="564" spans="1:26" ht="15.75" customHeight="1">
      <c r="A564" s="101"/>
      <c r="B564" s="103"/>
      <c r="C564" s="103"/>
      <c r="D564" s="103"/>
      <c r="E564" s="103"/>
      <c r="F564" s="103"/>
      <c r="G564" s="103"/>
      <c r="H564" s="103"/>
      <c r="I564" s="103"/>
      <c r="J564" s="103"/>
      <c r="K564" s="103"/>
      <c r="L564" s="103"/>
      <c r="M564" s="103"/>
      <c r="N564" s="103"/>
      <c r="O564" s="103"/>
      <c r="P564" s="103"/>
      <c r="Q564" s="103"/>
      <c r="R564" s="103"/>
      <c r="S564" s="103"/>
      <c r="T564" s="103"/>
      <c r="U564" s="103"/>
      <c r="V564" s="103"/>
      <c r="W564" s="103"/>
      <c r="X564" s="103"/>
      <c r="Y564" s="103"/>
      <c r="Z564" s="103"/>
    </row>
    <row r="565" spans="1:26" ht="15.75" customHeight="1">
      <c r="A565" s="101"/>
      <c r="B565" s="103"/>
      <c r="C565" s="103"/>
      <c r="D565" s="103"/>
      <c r="E565" s="103"/>
      <c r="F565" s="103"/>
      <c r="G565" s="103"/>
      <c r="H565" s="103"/>
      <c r="I565" s="103"/>
      <c r="J565" s="103"/>
      <c r="K565" s="103"/>
      <c r="L565" s="103"/>
      <c r="M565" s="103"/>
      <c r="N565" s="103"/>
      <c r="O565" s="103"/>
      <c r="P565" s="103"/>
      <c r="Q565" s="103"/>
      <c r="R565" s="103"/>
      <c r="S565" s="103"/>
      <c r="T565" s="103"/>
      <c r="U565" s="103"/>
      <c r="V565" s="103"/>
      <c r="W565" s="103"/>
      <c r="X565" s="103"/>
      <c r="Y565" s="103"/>
      <c r="Z565" s="103"/>
    </row>
    <row r="566" spans="1:26" ht="15.75" customHeight="1">
      <c r="A566" s="101"/>
      <c r="B566" s="103"/>
      <c r="C566" s="103"/>
      <c r="D566" s="103"/>
      <c r="E566" s="103"/>
      <c r="F566" s="103"/>
      <c r="G566" s="103"/>
      <c r="H566" s="103"/>
      <c r="I566" s="103"/>
      <c r="J566" s="103"/>
      <c r="K566" s="103"/>
      <c r="L566" s="103"/>
      <c r="M566" s="103"/>
      <c r="N566" s="103"/>
      <c r="O566" s="103"/>
      <c r="P566" s="103"/>
      <c r="Q566" s="103"/>
      <c r="R566" s="103"/>
      <c r="S566" s="103"/>
      <c r="T566" s="103"/>
      <c r="U566" s="103"/>
      <c r="V566" s="103"/>
      <c r="W566" s="103"/>
      <c r="X566" s="103"/>
      <c r="Y566" s="103"/>
      <c r="Z566" s="103"/>
    </row>
    <row r="567" spans="1:26" ht="15.75" customHeight="1">
      <c r="A567" s="101"/>
      <c r="B567" s="103"/>
      <c r="C567" s="103"/>
      <c r="D567" s="103"/>
      <c r="E567" s="103"/>
      <c r="F567" s="103"/>
      <c r="G567" s="103"/>
      <c r="H567" s="103"/>
      <c r="I567" s="103"/>
      <c r="J567" s="103"/>
      <c r="K567" s="103"/>
      <c r="L567" s="103"/>
      <c r="M567" s="103"/>
      <c r="N567" s="103"/>
      <c r="O567" s="103"/>
      <c r="P567" s="103"/>
      <c r="Q567" s="103"/>
      <c r="R567" s="103"/>
      <c r="S567" s="103"/>
      <c r="T567" s="103"/>
      <c r="U567" s="103"/>
      <c r="V567" s="103"/>
      <c r="W567" s="103"/>
      <c r="X567" s="103"/>
      <c r="Y567" s="103"/>
      <c r="Z567" s="103"/>
    </row>
    <row r="568" spans="1:26" ht="15.75" customHeight="1">
      <c r="A568" s="101"/>
      <c r="B568" s="103"/>
      <c r="C568" s="103"/>
      <c r="D568" s="103"/>
      <c r="E568" s="103"/>
      <c r="F568" s="103"/>
      <c r="G568" s="103"/>
      <c r="H568" s="103"/>
      <c r="I568" s="103"/>
      <c r="J568" s="103"/>
      <c r="K568" s="103"/>
      <c r="L568" s="103"/>
      <c r="M568" s="103"/>
      <c r="N568" s="103"/>
      <c r="O568" s="103"/>
      <c r="P568" s="103"/>
      <c r="Q568" s="103"/>
      <c r="R568" s="103"/>
      <c r="S568" s="103"/>
      <c r="T568" s="103"/>
      <c r="U568" s="103"/>
      <c r="V568" s="103"/>
      <c r="W568" s="103"/>
      <c r="X568" s="103"/>
      <c r="Y568" s="103"/>
      <c r="Z568" s="103"/>
    </row>
    <row r="569" spans="1:26" ht="15.75" customHeight="1">
      <c r="A569" s="101"/>
      <c r="B569" s="103"/>
      <c r="C569" s="103"/>
      <c r="D569" s="103"/>
      <c r="E569" s="103"/>
      <c r="F569" s="103"/>
      <c r="G569" s="103"/>
      <c r="H569" s="103"/>
      <c r="I569" s="103"/>
      <c r="J569" s="103"/>
      <c r="K569" s="103"/>
      <c r="L569" s="103"/>
      <c r="M569" s="103"/>
      <c r="N569" s="103"/>
      <c r="O569" s="103"/>
      <c r="P569" s="103"/>
      <c r="Q569" s="103"/>
      <c r="R569" s="103"/>
      <c r="S569" s="103"/>
      <c r="T569" s="103"/>
      <c r="U569" s="103"/>
      <c r="V569" s="103"/>
      <c r="W569" s="103"/>
      <c r="X569" s="103"/>
      <c r="Y569" s="103"/>
      <c r="Z569" s="103"/>
    </row>
    <row r="570" spans="1:26" ht="15.75" customHeight="1">
      <c r="A570" s="101"/>
      <c r="B570" s="103"/>
      <c r="C570" s="103"/>
      <c r="D570" s="103"/>
      <c r="E570" s="103"/>
      <c r="F570" s="103"/>
      <c r="G570" s="103"/>
      <c r="H570" s="103"/>
      <c r="I570" s="103"/>
      <c r="J570" s="103"/>
      <c r="K570" s="103"/>
      <c r="L570" s="103"/>
      <c r="M570" s="103"/>
      <c r="N570" s="103"/>
      <c r="O570" s="103"/>
      <c r="P570" s="103"/>
      <c r="Q570" s="103"/>
      <c r="R570" s="103"/>
      <c r="S570" s="103"/>
      <c r="T570" s="103"/>
      <c r="U570" s="103"/>
      <c r="V570" s="103"/>
      <c r="W570" s="103"/>
      <c r="X570" s="103"/>
      <c r="Y570" s="103"/>
      <c r="Z570" s="103"/>
    </row>
    <row r="571" spans="1:26" ht="15.75" customHeight="1">
      <c r="A571" s="101"/>
      <c r="B571" s="103"/>
      <c r="C571" s="103"/>
      <c r="D571" s="103"/>
      <c r="E571" s="103"/>
      <c r="F571" s="103"/>
      <c r="G571" s="103"/>
      <c r="H571" s="103"/>
      <c r="I571" s="103"/>
      <c r="J571" s="103"/>
      <c r="K571" s="103"/>
      <c r="L571" s="103"/>
      <c r="M571" s="103"/>
      <c r="N571" s="103"/>
      <c r="O571" s="103"/>
      <c r="P571" s="103"/>
      <c r="Q571" s="103"/>
      <c r="R571" s="103"/>
      <c r="S571" s="103"/>
      <c r="T571" s="103"/>
      <c r="U571" s="103"/>
      <c r="V571" s="103"/>
      <c r="W571" s="103"/>
      <c r="X571" s="103"/>
      <c r="Y571" s="103"/>
      <c r="Z571" s="103"/>
    </row>
    <row r="572" spans="1:26" ht="15.75" customHeight="1">
      <c r="A572" s="101"/>
      <c r="B572" s="103"/>
      <c r="C572" s="103"/>
      <c r="D572" s="103"/>
      <c r="E572" s="103"/>
      <c r="F572" s="103"/>
      <c r="G572" s="103"/>
      <c r="H572" s="103"/>
      <c r="I572" s="103"/>
      <c r="J572" s="103"/>
      <c r="K572" s="103"/>
      <c r="L572" s="103"/>
      <c r="M572" s="103"/>
      <c r="N572" s="103"/>
      <c r="O572" s="103"/>
      <c r="P572" s="103"/>
      <c r="Q572" s="103"/>
      <c r="R572" s="103"/>
      <c r="S572" s="103"/>
      <c r="T572" s="103"/>
      <c r="U572" s="103"/>
      <c r="V572" s="103"/>
      <c r="W572" s="103"/>
      <c r="X572" s="103"/>
      <c r="Y572" s="103"/>
      <c r="Z572" s="103"/>
    </row>
    <row r="573" spans="1:26" ht="15.75" customHeight="1">
      <c r="A573" s="101"/>
      <c r="B573" s="103"/>
      <c r="C573" s="103"/>
      <c r="D573" s="103"/>
      <c r="E573" s="103"/>
      <c r="F573" s="103"/>
      <c r="G573" s="103"/>
      <c r="H573" s="103"/>
      <c r="I573" s="103"/>
      <c r="J573" s="103"/>
      <c r="K573" s="103"/>
      <c r="L573" s="103"/>
      <c r="M573" s="103"/>
      <c r="N573" s="103"/>
      <c r="O573" s="103"/>
      <c r="P573" s="103"/>
      <c r="Q573" s="103"/>
      <c r="R573" s="103"/>
      <c r="S573" s="103"/>
      <c r="T573" s="103"/>
      <c r="U573" s="103"/>
      <c r="V573" s="103"/>
      <c r="W573" s="103"/>
      <c r="X573" s="103"/>
      <c r="Y573" s="103"/>
      <c r="Z573" s="103"/>
    </row>
    <row r="574" spans="1:26" ht="15.75" customHeight="1">
      <c r="A574" s="101"/>
      <c r="B574" s="103"/>
      <c r="C574" s="103"/>
      <c r="D574" s="103"/>
      <c r="E574" s="103"/>
      <c r="F574" s="103"/>
      <c r="G574" s="103"/>
      <c r="H574" s="103"/>
      <c r="I574" s="103"/>
      <c r="J574" s="103"/>
      <c r="K574" s="103"/>
      <c r="L574" s="103"/>
      <c r="M574" s="103"/>
      <c r="N574" s="103"/>
      <c r="O574" s="103"/>
      <c r="P574" s="103"/>
      <c r="Q574" s="103"/>
      <c r="R574" s="103"/>
      <c r="S574" s="103"/>
      <c r="T574" s="103"/>
      <c r="U574" s="103"/>
      <c r="V574" s="103"/>
      <c r="W574" s="103"/>
      <c r="X574" s="103"/>
      <c r="Y574" s="103"/>
      <c r="Z574" s="103"/>
    </row>
    <row r="575" spans="1:26" ht="15.75" customHeight="1">
      <c r="A575" s="101"/>
      <c r="B575" s="103"/>
      <c r="C575" s="103"/>
      <c r="D575" s="103"/>
      <c r="E575" s="103"/>
      <c r="F575" s="103"/>
      <c r="G575" s="103"/>
      <c r="H575" s="103"/>
      <c r="I575" s="103"/>
      <c r="J575" s="103"/>
      <c r="K575" s="103"/>
      <c r="L575" s="103"/>
      <c r="M575" s="103"/>
      <c r="N575" s="103"/>
      <c r="O575" s="103"/>
      <c r="P575" s="103"/>
      <c r="Q575" s="103"/>
      <c r="R575" s="103"/>
      <c r="S575" s="103"/>
      <c r="T575" s="103"/>
      <c r="U575" s="103"/>
      <c r="V575" s="103"/>
      <c r="W575" s="103"/>
      <c r="X575" s="103"/>
      <c r="Y575" s="103"/>
      <c r="Z575" s="103"/>
    </row>
    <row r="576" spans="1:26" ht="15.75" customHeight="1">
      <c r="A576" s="101"/>
      <c r="B576" s="103"/>
      <c r="C576" s="103"/>
      <c r="D576" s="103"/>
      <c r="E576" s="103"/>
      <c r="F576" s="103"/>
      <c r="G576" s="103"/>
      <c r="H576" s="103"/>
      <c r="I576" s="103"/>
      <c r="J576" s="103"/>
      <c r="K576" s="103"/>
      <c r="L576" s="103"/>
      <c r="M576" s="103"/>
      <c r="N576" s="103"/>
      <c r="O576" s="103"/>
      <c r="P576" s="103"/>
      <c r="Q576" s="103"/>
      <c r="R576" s="103"/>
      <c r="S576" s="103"/>
      <c r="T576" s="103"/>
      <c r="U576" s="103"/>
      <c r="V576" s="103"/>
      <c r="W576" s="103"/>
      <c r="X576" s="103"/>
      <c r="Y576" s="103"/>
      <c r="Z576" s="103"/>
    </row>
    <row r="577" spans="1:26" ht="15.75" customHeight="1">
      <c r="A577" s="101"/>
      <c r="B577" s="103"/>
      <c r="C577" s="103"/>
      <c r="D577" s="103"/>
      <c r="E577" s="103"/>
      <c r="F577" s="103"/>
      <c r="G577" s="103"/>
      <c r="H577" s="103"/>
      <c r="I577" s="103"/>
      <c r="J577" s="103"/>
      <c r="K577" s="103"/>
      <c r="L577" s="103"/>
      <c r="M577" s="103"/>
      <c r="N577" s="103"/>
      <c r="O577" s="103"/>
      <c r="P577" s="103"/>
      <c r="Q577" s="103"/>
      <c r="R577" s="103"/>
      <c r="S577" s="103"/>
      <c r="T577" s="103"/>
      <c r="U577" s="103"/>
      <c r="V577" s="103"/>
      <c r="W577" s="103"/>
      <c r="X577" s="103"/>
      <c r="Y577" s="103"/>
      <c r="Z577" s="103"/>
    </row>
    <row r="578" spans="1:26" ht="15.75" customHeight="1">
      <c r="A578" s="101"/>
      <c r="B578" s="103"/>
      <c r="C578" s="103"/>
      <c r="D578" s="103"/>
      <c r="E578" s="103"/>
      <c r="F578" s="103"/>
      <c r="G578" s="103"/>
      <c r="H578" s="103"/>
      <c r="I578" s="103"/>
      <c r="J578" s="103"/>
      <c r="K578" s="103"/>
      <c r="L578" s="103"/>
      <c r="M578" s="103"/>
      <c r="N578" s="103"/>
      <c r="O578" s="103"/>
      <c r="P578" s="103"/>
      <c r="Q578" s="103"/>
      <c r="R578" s="103"/>
      <c r="S578" s="103"/>
      <c r="T578" s="103"/>
      <c r="U578" s="103"/>
      <c r="V578" s="103"/>
      <c r="W578" s="103"/>
      <c r="X578" s="103"/>
      <c r="Y578" s="103"/>
      <c r="Z578" s="103"/>
    </row>
    <row r="579" spans="1:26" ht="15.75" customHeight="1">
      <c r="A579" s="101"/>
      <c r="B579" s="103"/>
      <c r="C579" s="103"/>
      <c r="D579" s="103"/>
      <c r="E579" s="103"/>
      <c r="F579" s="103"/>
      <c r="G579" s="103"/>
      <c r="H579" s="103"/>
      <c r="I579" s="103"/>
      <c r="J579" s="103"/>
      <c r="K579" s="103"/>
      <c r="L579" s="103"/>
      <c r="M579" s="103"/>
      <c r="N579" s="103"/>
      <c r="O579" s="103"/>
      <c r="P579" s="103"/>
      <c r="Q579" s="103"/>
      <c r="R579" s="103"/>
      <c r="S579" s="103"/>
      <c r="T579" s="103"/>
      <c r="U579" s="103"/>
      <c r="V579" s="103"/>
      <c r="W579" s="103"/>
      <c r="X579" s="103"/>
      <c r="Y579" s="103"/>
      <c r="Z579" s="103"/>
    </row>
    <row r="580" spans="1:26" ht="15.75" customHeight="1">
      <c r="A580" s="101"/>
      <c r="B580" s="103"/>
      <c r="C580" s="103"/>
      <c r="D580" s="103"/>
      <c r="E580" s="103"/>
      <c r="F580" s="103"/>
      <c r="G580" s="103"/>
      <c r="H580" s="103"/>
      <c r="I580" s="103"/>
      <c r="J580" s="103"/>
      <c r="K580" s="103"/>
      <c r="L580" s="103"/>
      <c r="M580" s="103"/>
      <c r="N580" s="103"/>
      <c r="O580" s="103"/>
      <c r="P580" s="103"/>
      <c r="Q580" s="103"/>
      <c r="R580" s="103"/>
      <c r="S580" s="103"/>
      <c r="T580" s="103"/>
      <c r="U580" s="103"/>
      <c r="V580" s="103"/>
      <c r="W580" s="103"/>
      <c r="X580" s="103"/>
      <c r="Y580" s="103"/>
      <c r="Z580" s="103"/>
    </row>
    <row r="581" spans="1:26" ht="15.75" customHeight="1">
      <c r="A581" s="101"/>
      <c r="B581" s="103"/>
      <c r="C581" s="103"/>
      <c r="D581" s="103"/>
      <c r="E581" s="103"/>
      <c r="F581" s="103"/>
      <c r="G581" s="103"/>
      <c r="H581" s="103"/>
      <c r="I581" s="103"/>
      <c r="J581" s="103"/>
      <c r="K581" s="103"/>
      <c r="L581" s="103"/>
      <c r="M581" s="103"/>
      <c r="N581" s="103"/>
      <c r="O581" s="103"/>
      <c r="P581" s="103"/>
      <c r="Q581" s="103"/>
      <c r="R581" s="103"/>
      <c r="S581" s="103"/>
      <c r="T581" s="103"/>
      <c r="U581" s="103"/>
      <c r="V581" s="103"/>
      <c r="W581" s="103"/>
      <c r="X581" s="103"/>
      <c r="Y581" s="103"/>
      <c r="Z581" s="103"/>
    </row>
    <row r="582" spans="1:26" ht="15.75" customHeight="1">
      <c r="A582" s="101"/>
      <c r="B582" s="103"/>
      <c r="C582" s="103"/>
      <c r="D582" s="103"/>
      <c r="E582" s="103"/>
      <c r="F582" s="103"/>
      <c r="G582" s="103"/>
      <c r="H582" s="103"/>
      <c r="I582" s="103"/>
      <c r="J582" s="103"/>
      <c r="K582" s="103"/>
      <c r="L582" s="103"/>
      <c r="M582" s="103"/>
      <c r="N582" s="103"/>
      <c r="O582" s="103"/>
      <c r="P582" s="103"/>
      <c r="Q582" s="103"/>
      <c r="R582" s="103"/>
      <c r="S582" s="103"/>
      <c r="T582" s="103"/>
      <c r="U582" s="103"/>
      <c r="V582" s="103"/>
      <c r="W582" s="103"/>
      <c r="X582" s="103"/>
      <c r="Y582" s="103"/>
      <c r="Z582" s="103"/>
    </row>
    <row r="583" spans="1:26" ht="15.75" customHeight="1">
      <c r="A583" s="101"/>
      <c r="B583" s="103"/>
      <c r="C583" s="103"/>
      <c r="D583" s="103"/>
      <c r="E583" s="103"/>
      <c r="F583" s="103"/>
      <c r="G583" s="103"/>
      <c r="H583" s="103"/>
      <c r="I583" s="103"/>
      <c r="J583" s="103"/>
      <c r="K583" s="103"/>
      <c r="L583" s="103"/>
      <c r="M583" s="103"/>
      <c r="N583" s="103"/>
      <c r="O583" s="103"/>
      <c r="P583" s="103"/>
      <c r="Q583" s="103"/>
      <c r="R583" s="103"/>
      <c r="S583" s="103"/>
      <c r="T583" s="103"/>
      <c r="U583" s="103"/>
      <c r="V583" s="103"/>
      <c r="W583" s="103"/>
      <c r="X583" s="103"/>
      <c r="Y583" s="103"/>
      <c r="Z583" s="103"/>
    </row>
    <row r="584" spans="1:26" ht="15.75" customHeight="1">
      <c r="A584" s="101"/>
      <c r="B584" s="103"/>
      <c r="C584" s="103"/>
      <c r="D584" s="103"/>
      <c r="E584" s="103"/>
      <c r="F584" s="103"/>
      <c r="G584" s="103"/>
      <c r="H584" s="103"/>
      <c r="I584" s="103"/>
      <c r="J584" s="103"/>
      <c r="K584" s="103"/>
      <c r="L584" s="103"/>
      <c r="M584" s="103"/>
      <c r="N584" s="103"/>
      <c r="O584" s="103"/>
      <c r="P584" s="103"/>
      <c r="Q584" s="103"/>
      <c r="R584" s="103"/>
      <c r="S584" s="103"/>
      <c r="T584" s="103"/>
      <c r="U584" s="103"/>
      <c r="V584" s="103"/>
      <c r="W584" s="103"/>
      <c r="X584" s="103"/>
      <c r="Y584" s="103"/>
      <c r="Z584" s="103"/>
    </row>
    <row r="585" spans="1:26" ht="15.75" customHeight="1">
      <c r="A585" s="101"/>
      <c r="B585" s="103"/>
      <c r="C585" s="103"/>
      <c r="D585" s="103"/>
      <c r="E585" s="103"/>
      <c r="F585" s="103"/>
      <c r="G585" s="103"/>
      <c r="H585" s="103"/>
      <c r="I585" s="103"/>
      <c r="J585" s="103"/>
      <c r="K585" s="103"/>
      <c r="L585" s="103"/>
      <c r="M585" s="103"/>
      <c r="N585" s="103"/>
      <c r="O585" s="103"/>
      <c r="P585" s="103"/>
      <c r="Q585" s="103"/>
      <c r="R585" s="103"/>
      <c r="S585" s="103"/>
      <c r="T585" s="103"/>
      <c r="U585" s="103"/>
      <c r="V585" s="103"/>
      <c r="W585" s="103"/>
      <c r="X585" s="103"/>
      <c r="Y585" s="103"/>
      <c r="Z585" s="103"/>
    </row>
    <row r="586" spans="1:26" ht="15.75" customHeight="1">
      <c r="A586" s="101"/>
      <c r="B586" s="103"/>
      <c r="C586" s="103"/>
      <c r="D586" s="103"/>
      <c r="E586" s="103"/>
      <c r="F586" s="103"/>
      <c r="G586" s="103"/>
      <c r="H586" s="103"/>
      <c r="I586" s="103"/>
      <c r="J586" s="103"/>
      <c r="K586" s="103"/>
      <c r="L586" s="103"/>
      <c r="M586" s="103"/>
      <c r="N586" s="103"/>
      <c r="O586" s="103"/>
      <c r="P586" s="103"/>
      <c r="Q586" s="103"/>
      <c r="R586" s="103"/>
      <c r="S586" s="103"/>
      <c r="T586" s="103"/>
      <c r="U586" s="103"/>
      <c r="V586" s="103"/>
      <c r="W586" s="103"/>
      <c r="X586" s="103"/>
      <c r="Y586" s="103"/>
      <c r="Z586" s="103"/>
    </row>
    <row r="587" spans="1:26" ht="15.75" customHeight="1">
      <c r="A587" s="101"/>
      <c r="B587" s="103"/>
      <c r="C587" s="103"/>
      <c r="D587" s="103"/>
      <c r="E587" s="103"/>
      <c r="F587" s="103"/>
      <c r="G587" s="103"/>
      <c r="H587" s="103"/>
      <c r="I587" s="103"/>
      <c r="J587" s="103"/>
      <c r="K587" s="103"/>
      <c r="L587" s="103"/>
      <c r="M587" s="103"/>
      <c r="N587" s="103"/>
      <c r="O587" s="103"/>
      <c r="P587" s="103"/>
      <c r="Q587" s="103"/>
      <c r="R587" s="103"/>
      <c r="S587" s="103"/>
      <c r="T587" s="103"/>
      <c r="U587" s="103"/>
      <c r="V587" s="103"/>
      <c r="W587" s="103"/>
      <c r="X587" s="103"/>
      <c r="Y587" s="103"/>
      <c r="Z587" s="103"/>
    </row>
    <row r="588" spans="1:26" ht="15.75" customHeight="1">
      <c r="A588" s="101"/>
      <c r="B588" s="103"/>
      <c r="C588" s="103"/>
      <c r="D588" s="103"/>
      <c r="E588" s="103"/>
      <c r="F588" s="103"/>
      <c r="G588" s="103"/>
      <c r="H588" s="103"/>
      <c r="I588" s="103"/>
      <c r="J588" s="103"/>
      <c r="K588" s="103"/>
      <c r="L588" s="103"/>
      <c r="M588" s="103"/>
      <c r="N588" s="103"/>
      <c r="O588" s="103"/>
      <c r="P588" s="103"/>
      <c r="Q588" s="103"/>
      <c r="R588" s="103"/>
      <c r="S588" s="103"/>
      <c r="T588" s="103"/>
      <c r="U588" s="103"/>
      <c r="V588" s="103"/>
      <c r="W588" s="103"/>
      <c r="X588" s="103"/>
      <c r="Y588" s="103"/>
      <c r="Z588" s="103"/>
    </row>
    <row r="589" spans="1:26" ht="15.75" customHeight="1">
      <c r="A589" s="101"/>
      <c r="B589" s="103"/>
      <c r="C589" s="103"/>
      <c r="D589" s="103"/>
      <c r="E589" s="103"/>
      <c r="F589" s="103"/>
      <c r="G589" s="103"/>
      <c r="H589" s="103"/>
      <c r="I589" s="103"/>
      <c r="J589" s="103"/>
      <c r="K589" s="103"/>
      <c r="L589" s="103"/>
      <c r="M589" s="103"/>
      <c r="N589" s="103"/>
      <c r="O589" s="103"/>
      <c r="P589" s="103"/>
      <c r="Q589" s="103"/>
      <c r="R589" s="103"/>
      <c r="S589" s="103"/>
      <c r="T589" s="103"/>
      <c r="U589" s="103"/>
      <c r="V589" s="103"/>
      <c r="W589" s="103"/>
      <c r="X589" s="103"/>
      <c r="Y589" s="103"/>
      <c r="Z589" s="103"/>
    </row>
    <row r="590" spans="1:26" ht="15.75" customHeight="1">
      <c r="A590" s="101"/>
      <c r="B590" s="103"/>
      <c r="C590" s="103"/>
      <c r="D590" s="103"/>
      <c r="E590" s="103"/>
      <c r="F590" s="103"/>
      <c r="G590" s="103"/>
      <c r="H590" s="103"/>
      <c r="I590" s="103"/>
      <c r="J590" s="103"/>
      <c r="K590" s="103"/>
      <c r="L590" s="103"/>
      <c r="M590" s="103"/>
      <c r="N590" s="103"/>
      <c r="O590" s="103"/>
      <c r="P590" s="103"/>
      <c r="Q590" s="103"/>
      <c r="R590" s="103"/>
      <c r="S590" s="103"/>
      <c r="T590" s="103"/>
      <c r="U590" s="103"/>
      <c r="V590" s="103"/>
      <c r="W590" s="103"/>
      <c r="X590" s="103"/>
      <c r="Y590" s="103"/>
      <c r="Z590" s="103"/>
    </row>
    <row r="591" spans="1:26" ht="15.75" customHeight="1">
      <c r="A591" s="101"/>
      <c r="B591" s="103"/>
      <c r="C591" s="103"/>
      <c r="D591" s="103"/>
      <c r="E591" s="103"/>
      <c r="F591" s="103"/>
      <c r="G591" s="103"/>
      <c r="H591" s="103"/>
      <c r="I591" s="103"/>
      <c r="J591" s="103"/>
      <c r="K591" s="103"/>
      <c r="L591" s="103"/>
      <c r="M591" s="103"/>
      <c r="N591" s="103"/>
      <c r="O591" s="103"/>
      <c r="P591" s="103"/>
      <c r="Q591" s="103"/>
      <c r="R591" s="103"/>
      <c r="S591" s="103"/>
      <c r="T591" s="103"/>
      <c r="U591" s="103"/>
      <c r="V591" s="103"/>
      <c r="W591" s="103"/>
      <c r="X591" s="103"/>
      <c r="Y591" s="103"/>
      <c r="Z591" s="103"/>
    </row>
    <row r="592" spans="1:26" ht="15.75" customHeight="1">
      <c r="A592" s="101"/>
      <c r="B592" s="103"/>
      <c r="C592" s="103"/>
      <c r="D592" s="103"/>
      <c r="E592" s="103"/>
      <c r="F592" s="103"/>
      <c r="G592" s="103"/>
      <c r="H592" s="103"/>
      <c r="I592" s="103"/>
      <c r="J592" s="103"/>
      <c r="K592" s="103"/>
      <c r="L592" s="103"/>
      <c r="M592" s="103"/>
      <c r="N592" s="103"/>
      <c r="O592" s="103"/>
      <c r="P592" s="103"/>
      <c r="Q592" s="103"/>
      <c r="R592" s="103"/>
      <c r="S592" s="103"/>
      <c r="T592" s="103"/>
      <c r="U592" s="103"/>
      <c r="V592" s="103"/>
      <c r="W592" s="103"/>
      <c r="X592" s="103"/>
      <c r="Y592" s="103"/>
      <c r="Z592" s="103"/>
    </row>
    <row r="593" spans="1:26" ht="15.75" customHeight="1">
      <c r="A593" s="101"/>
      <c r="B593" s="103"/>
      <c r="C593" s="103"/>
      <c r="D593" s="103"/>
      <c r="E593" s="103"/>
      <c r="F593" s="103"/>
      <c r="G593" s="103"/>
      <c r="H593" s="103"/>
      <c r="I593" s="103"/>
      <c r="J593" s="103"/>
      <c r="K593" s="103"/>
      <c r="L593" s="103"/>
      <c r="M593" s="103"/>
      <c r="N593" s="103"/>
      <c r="O593" s="103"/>
      <c r="P593" s="103"/>
      <c r="Q593" s="103"/>
      <c r="R593" s="103"/>
      <c r="S593" s="103"/>
      <c r="T593" s="103"/>
      <c r="U593" s="103"/>
      <c r="V593" s="103"/>
      <c r="W593" s="103"/>
      <c r="X593" s="103"/>
      <c r="Y593" s="103"/>
      <c r="Z593" s="103"/>
    </row>
    <row r="594" spans="1:26" ht="15.75" customHeight="1">
      <c r="A594" s="101"/>
      <c r="B594" s="103"/>
      <c r="C594" s="103"/>
      <c r="D594" s="103"/>
      <c r="E594" s="103"/>
      <c r="F594" s="103"/>
      <c r="G594" s="103"/>
      <c r="H594" s="103"/>
      <c r="I594" s="103"/>
      <c r="J594" s="103"/>
      <c r="K594" s="103"/>
      <c r="L594" s="103"/>
      <c r="M594" s="103"/>
      <c r="N594" s="103"/>
      <c r="O594" s="103"/>
      <c r="P594" s="103"/>
      <c r="Q594" s="103"/>
      <c r="R594" s="103"/>
      <c r="S594" s="103"/>
      <c r="T594" s="103"/>
      <c r="U594" s="103"/>
      <c r="V594" s="103"/>
      <c r="W594" s="103"/>
      <c r="X594" s="103"/>
      <c r="Y594" s="103"/>
      <c r="Z594" s="103"/>
    </row>
    <row r="595" spans="1:26" ht="15.75" customHeight="1">
      <c r="A595" s="101"/>
      <c r="B595" s="103"/>
      <c r="C595" s="103"/>
      <c r="D595" s="103"/>
      <c r="E595" s="103"/>
      <c r="F595" s="103"/>
      <c r="G595" s="103"/>
      <c r="H595" s="103"/>
      <c r="I595" s="103"/>
      <c r="J595" s="103"/>
      <c r="K595" s="103"/>
      <c r="L595" s="103"/>
      <c r="M595" s="103"/>
      <c r="N595" s="103"/>
      <c r="O595" s="103"/>
      <c r="P595" s="103"/>
      <c r="Q595" s="103"/>
      <c r="R595" s="103"/>
      <c r="S595" s="103"/>
      <c r="T595" s="103"/>
      <c r="U595" s="103"/>
      <c r="V595" s="103"/>
      <c r="W595" s="103"/>
      <c r="X595" s="103"/>
      <c r="Y595" s="103"/>
      <c r="Z595" s="103"/>
    </row>
    <row r="596" spans="1:26" ht="15.75" customHeight="1">
      <c r="A596" s="101"/>
      <c r="B596" s="103"/>
      <c r="C596" s="103"/>
      <c r="D596" s="103"/>
      <c r="E596" s="103"/>
      <c r="F596" s="103"/>
      <c r="G596" s="103"/>
      <c r="H596" s="103"/>
      <c r="I596" s="103"/>
      <c r="J596" s="103"/>
      <c r="K596" s="103"/>
      <c r="L596" s="103"/>
      <c r="M596" s="103"/>
      <c r="N596" s="103"/>
      <c r="O596" s="103"/>
      <c r="P596" s="103"/>
      <c r="Q596" s="103"/>
      <c r="R596" s="103"/>
      <c r="S596" s="103"/>
      <c r="T596" s="103"/>
      <c r="U596" s="103"/>
      <c r="V596" s="103"/>
      <c r="W596" s="103"/>
      <c r="X596" s="103"/>
      <c r="Y596" s="103"/>
      <c r="Z596" s="103"/>
    </row>
    <row r="597" spans="1:26" ht="15.75" customHeight="1">
      <c r="A597" s="101"/>
      <c r="B597" s="103"/>
      <c r="C597" s="103"/>
      <c r="D597" s="103"/>
      <c r="E597" s="103"/>
      <c r="F597" s="103"/>
      <c r="G597" s="103"/>
      <c r="H597" s="103"/>
      <c r="I597" s="103"/>
      <c r="J597" s="103"/>
      <c r="K597" s="103"/>
      <c r="L597" s="103"/>
      <c r="M597" s="103"/>
      <c r="N597" s="103"/>
      <c r="O597" s="103"/>
      <c r="P597" s="103"/>
      <c r="Q597" s="103"/>
      <c r="R597" s="103"/>
      <c r="S597" s="103"/>
      <c r="T597" s="103"/>
      <c r="U597" s="103"/>
      <c r="V597" s="103"/>
      <c r="W597" s="103"/>
      <c r="X597" s="103"/>
      <c r="Y597" s="103"/>
      <c r="Z597" s="103"/>
    </row>
    <row r="598" spans="1:26" ht="15.75" customHeight="1">
      <c r="A598" s="101"/>
      <c r="B598" s="103"/>
      <c r="C598" s="103"/>
      <c r="D598" s="103"/>
      <c r="E598" s="103"/>
      <c r="F598" s="103"/>
      <c r="G598" s="103"/>
      <c r="H598" s="103"/>
      <c r="I598" s="103"/>
      <c r="J598" s="103"/>
      <c r="K598" s="103"/>
      <c r="L598" s="103"/>
      <c r="M598" s="103"/>
      <c r="N598" s="103"/>
      <c r="O598" s="103"/>
      <c r="P598" s="103"/>
      <c r="Q598" s="103"/>
      <c r="R598" s="103"/>
      <c r="S598" s="103"/>
      <c r="T598" s="103"/>
      <c r="U598" s="103"/>
      <c r="V598" s="103"/>
      <c r="W598" s="103"/>
      <c r="X598" s="103"/>
      <c r="Y598" s="103"/>
      <c r="Z598" s="103"/>
    </row>
    <row r="599" spans="1:26" ht="15.75" customHeight="1">
      <c r="A599" s="101"/>
      <c r="B599" s="103"/>
      <c r="C599" s="103"/>
      <c r="D599" s="103"/>
      <c r="E599" s="103"/>
      <c r="F599" s="103"/>
      <c r="G599" s="103"/>
      <c r="H599" s="103"/>
      <c r="I599" s="103"/>
      <c r="J599" s="103"/>
      <c r="K599" s="103"/>
      <c r="L599" s="103"/>
      <c r="M599" s="103"/>
      <c r="N599" s="103"/>
      <c r="O599" s="103"/>
      <c r="P599" s="103"/>
      <c r="Q599" s="103"/>
      <c r="R599" s="103"/>
      <c r="S599" s="103"/>
      <c r="T599" s="103"/>
      <c r="U599" s="103"/>
      <c r="V599" s="103"/>
      <c r="W599" s="103"/>
      <c r="X599" s="103"/>
      <c r="Y599" s="103"/>
      <c r="Z599" s="103"/>
    </row>
    <row r="600" spans="1:26" ht="15.75" customHeight="1">
      <c r="A600" s="101"/>
      <c r="B600" s="103"/>
      <c r="C600" s="103"/>
      <c r="D600" s="103"/>
      <c r="E600" s="103"/>
      <c r="F600" s="103"/>
      <c r="G600" s="103"/>
      <c r="H600" s="103"/>
      <c r="I600" s="103"/>
      <c r="J600" s="103"/>
      <c r="K600" s="103"/>
      <c r="L600" s="103"/>
      <c r="M600" s="103"/>
      <c r="N600" s="103"/>
      <c r="O600" s="103"/>
      <c r="P600" s="103"/>
      <c r="Q600" s="103"/>
      <c r="R600" s="103"/>
      <c r="S600" s="103"/>
      <c r="T600" s="103"/>
      <c r="U600" s="103"/>
      <c r="V600" s="103"/>
      <c r="W600" s="103"/>
      <c r="X600" s="103"/>
      <c r="Y600" s="103"/>
      <c r="Z600" s="103"/>
    </row>
    <row r="601" spans="1:26" ht="15.75" customHeight="1">
      <c r="A601" s="101"/>
      <c r="B601" s="103"/>
      <c r="C601" s="103"/>
      <c r="D601" s="103"/>
      <c r="E601" s="103"/>
      <c r="F601" s="103"/>
      <c r="G601" s="103"/>
      <c r="H601" s="103"/>
      <c r="I601" s="103"/>
      <c r="J601" s="103"/>
      <c r="K601" s="103"/>
      <c r="L601" s="103"/>
      <c r="M601" s="103"/>
      <c r="N601" s="103"/>
      <c r="O601" s="103"/>
      <c r="P601" s="103"/>
      <c r="Q601" s="103"/>
      <c r="R601" s="103"/>
      <c r="S601" s="103"/>
      <c r="T601" s="103"/>
      <c r="U601" s="103"/>
      <c r="V601" s="103"/>
      <c r="W601" s="103"/>
      <c r="X601" s="103"/>
      <c r="Y601" s="103"/>
      <c r="Z601" s="103"/>
    </row>
    <row r="602" spans="1:26" ht="15.75" customHeight="1">
      <c r="A602" s="101"/>
      <c r="B602" s="103"/>
      <c r="C602" s="103"/>
      <c r="D602" s="103"/>
      <c r="E602" s="103"/>
      <c r="F602" s="103"/>
      <c r="G602" s="103"/>
      <c r="H602" s="103"/>
      <c r="I602" s="103"/>
      <c r="J602" s="103"/>
      <c r="K602" s="103"/>
      <c r="L602" s="103"/>
      <c r="M602" s="103"/>
      <c r="N602" s="103"/>
      <c r="O602" s="103"/>
      <c r="P602" s="103"/>
      <c r="Q602" s="103"/>
      <c r="R602" s="103"/>
      <c r="S602" s="103"/>
      <c r="T602" s="103"/>
      <c r="U602" s="103"/>
      <c r="V602" s="103"/>
      <c r="W602" s="103"/>
      <c r="X602" s="103"/>
      <c r="Y602" s="103"/>
      <c r="Z602" s="103"/>
    </row>
    <row r="603" spans="1:26" ht="15.75" customHeight="1">
      <c r="A603" s="101"/>
      <c r="B603" s="103"/>
      <c r="C603" s="103"/>
      <c r="D603" s="103"/>
      <c r="E603" s="103"/>
      <c r="F603" s="103"/>
      <c r="G603" s="103"/>
      <c r="H603" s="103"/>
      <c r="I603" s="103"/>
      <c r="J603" s="103"/>
      <c r="K603" s="103"/>
      <c r="L603" s="103"/>
      <c r="M603" s="103"/>
      <c r="N603" s="103"/>
      <c r="O603" s="103"/>
      <c r="P603" s="103"/>
      <c r="Q603" s="103"/>
      <c r="R603" s="103"/>
      <c r="S603" s="103"/>
      <c r="T603" s="103"/>
      <c r="U603" s="103"/>
      <c r="V603" s="103"/>
      <c r="W603" s="103"/>
      <c r="X603" s="103"/>
      <c r="Y603" s="103"/>
      <c r="Z603" s="103"/>
    </row>
    <row r="604" spans="1:26" ht="15.75" customHeight="1">
      <c r="A604" s="101"/>
      <c r="B604" s="103"/>
      <c r="C604" s="103"/>
      <c r="D604" s="103"/>
      <c r="E604" s="103"/>
      <c r="F604" s="103"/>
      <c r="G604" s="103"/>
      <c r="H604" s="103"/>
      <c r="I604" s="103"/>
      <c r="J604" s="103"/>
      <c r="K604" s="103"/>
      <c r="L604" s="103"/>
      <c r="M604" s="103"/>
      <c r="N604" s="103"/>
      <c r="O604" s="103"/>
      <c r="P604" s="103"/>
      <c r="Q604" s="103"/>
      <c r="R604" s="103"/>
      <c r="S604" s="103"/>
      <c r="T604" s="103"/>
      <c r="U604" s="103"/>
      <c r="V604" s="103"/>
      <c r="W604" s="103"/>
      <c r="X604" s="103"/>
      <c r="Y604" s="103"/>
      <c r="Z604" s="103"/>
    </row>
    <row r="605" spans="1:26" ht="15.75" customHeight="1">
      <c r="A605" s="101"/>
      <c r="B605" s="103"/>
      <c r="C605" s="103"/>
      <c r="D605" s="103"/>
      <c r="E605" s="103"/>
      <c r="F605" s="103"/>
      <c r="G605" s="103"/>
      <c r="H605" s="103"/>
      <c r="I605" s="103"/>
      <c r="J605" s="103"/>
      <c r="K605" s="103"/>
      <c r="L605" s="103"/>
      <c r="M605" s="103"/>
      <c r="N605" s="103"/>
      <c r="O605" s="103"/>
      <c r="P605" s="103"/>
      <c r="Q605" s="103"/>
      <c r="R605" s="103"/>
      <c r="S605" s="103"/>
      <c r="T605" s="103"/>
      <c r="U605" s="103"/>
      <c r="V605" s="103"/>
      <c r="W605" s="103"/>
      <c r="X605" s="103"/>
      <c r="Y605" s="103"/>
      <c r="Z605" s="103"/>
    </row>
    <row r="606" spans="1:26" ht="15.75" customHeight="1">
      <c r="A606" s="101"/>
      <c r="B606" s="103"/>
      <c r="C606" s="103"/>
      <c r="D606" s="103"/>
      <c r="E606" s="103"/>
      <c r="F606" s="103"/>
      <c r="G606" s="103"/>
      <c r="H606" s="103"/>
      <c r="I606" s="103"/>
      <c r="J606" s="103"/>
      <c r="K606" s="103"/>
      <c r="L606" s="103"/>
      <c r="M606" s="103"/>
      <c r="N606" s="103"/>
      <c r="O606" s="103"/>
      <c r="P606" s="103"/>
      <c r="Q606" s="103"/>
      <c r="R606" s="103"/>
      <c r="S606" s="103"/>
      <c r="T606" s="103"/>
      <c r="U606" s="103"/>
      <c r="V606" s="103"/>
      <c r="W606" s="103"/>
      <c r="X606" s="103"/>
      <c r="Y606" s="103"/>
      <c r="Z606" s="103"/>
    </row>
    <row r="607" spans="1:26" ht="15.75" customHeight="1">
      <c r="A607" s="101"/>
      <c r="B607" s="103"/>
      <c r="C607" s="103"/>
      <c r="D607" s="103"/>
      <c r="E607" s="103"/>
      <c r="F607" s="103"/>
      <c r="G607" s="103"/>
      <c r="H607" s="103"/>
      <c r="I607" s="103"/>
      <c r="J607" s="103"/>
      <c r="K607" s="103"/>
      <c r="L607" s="103"/>
      <c r="M607" s="103"/>
      <c r="N607" s="103"/>
      <c r="O607" s="103"/>
      <c r="P607" s="103"/>
      <c r="Q607" s="103"/>
      <c r="R607" s="103"/>
      <c r="S607" s="103"/>
      <c r="T607" s="103"/>
      <c r="U607" s="103"/>
      <c r="V607" s="103"/>
      <c r="W607" s="103"/>
      <c r="X607" s="103"/>
      <c r="Y607" s="103"/>
      <c r="Z607" s="103"/>
    </row>
    <row r="608" spans="1:26" ht="15.75" customHeight="1">
      <c r="A608" s="101"/>
      <c r="B608" s="103"/>
      <c r="C608" s="103"/>
      <c r="D608" s="103"/>
      <c r="E608" s="103"/>
      <c r="F608" s="103"/>
      <c r="G608" s="103"/>
      <c r="H608" s="103"/>
      <c r="I608" s="103"/>
      <c r="J608" s="103"/>
      <c r="K608" s="103"/>
      <c r="L608" s="103"/>
      <c r="M608" s="103"/>
      <c r="N608" s="103"/>
      <c r="O608" s="103"/>
      <c r="P608" s="103"/>
      <c r="Q608" s="103"/>
      <c r="R608" s="103"/>
      <c r="S608" s="103"/>
      <c r="T608" s="103"/>
      <c r="U608" s="103"/>
      <c r="V608" s="103"/>
      <c r="W608" s="103"/>
      <c r="X608" s="103"/>
      <c r="Y608" s="103"/>
      <c r="Z608" s="103"/>
    </row>
    <row r="609" spans="1:26" ht="15.75" customHeight="1">
      <c r="A609" s="101"/>
      <c r="B609" s="103"/>
      <c r="C609" s="103"/>
      <c r="D609" s="103"/>
      <c r="E609" s="103"/>
      <c r="F609" s="103"/>
      <c r="G609" s="103"/>
      <c r="H609" s="103"/>
      <c r="I609" s="103"/>
      <c r="J609" s="103"/>
      <c r="K609" s="103"/>
      <c r="L609" s="103"/>
      <c r="M609" s="103"/>
      <c r="N609" s="103"/>
      <c r="O609" s="103"/>
      <c r="P609" s="103"/>
      <c r="Q609" s="103"/>
      <c r="R609" s="103"/>
      <c r="S609" s="103"/>
      <c r="T609" s="103"/>
      <c r="U609" s="103"/>
      <c r="V609" s="103"/>
      <c r="W609" s="103"/>
      <c r="X609" s="103"/>
      <c r="Y609" s="103"/>
      <c r="Z609" s="103"/>
    </row>
    <row r="610" spans="1:26" ht="15.75" customHeight="1">
      <c r="A610" s="101"/>
      <c r="B610" s="103"/>
      <c r="C610" s="103"/>
      <c r="D610" s="103"/>
      <c r="E610" s="103"/>
      <c r="F610" s="103"/>
      <c r="G610" s="103"/>
      <c r="H610" s="103"/>
      <c r="I610" s="103"/>
      <c r="J610" s="103"/>
      <c r="K610" s="103"/>
      <c r="L610" s="103"/>
      <c r="M610" s="103"/>
      <c r="N610" s="103"/>
      <c r="O610" s="103"/>
      <c r="P610" s="103"/>
      <c r="Q610" s="103"/>
      <c r="R610" s="103"/>
      <c r="S610" s="103"/>
      <c r="T610" s="103"/>
      <c r="U610" s="103"/>
      <c r="V610" s="103"/>
      <c r="W610" s="103"/>
      <c r="X610" s="103"/>
      <c r="Y610" s="103"/>
      <c r="Z610" s="103"/>
    </row>
    <row r="611" spans="1:26" ht="15.75" customHeight="1">
      <c r="A611" s="101"/>
      <c r="B611" s="103"/>
      <c r="C611" s="103"/>
      <c r="D611" s="103"/>
      <c r="E611" s="103"/>
      <c r="F611" s="103"/>
      <c r="G611" s="103"/>
      <c r="H611" s="103"/>
      <c r="I611" s="103"/>
      <c r="J611" s="103"/>
      <c r="K611" s="103"/>
      <c r="L611" s="103"/>
      <c r="M611" s="103"/>
      <c r="N611" s="103"/>
      <c r="O611" s="103"/>
      <c r="P611" s="103"/>
      <c r="Q611" s="103"/>
      <c r="R611" s="103"/>
      <c r="S611" s="103"/>
      <c r="T611" s="103"/>
      <c r="U611" s="103"/>
      <c r="V611" s="103"/>
      <c r="W611" s="103"/>
      <c r="X611" s="103"/>
      <c r="Y611" s="103"/>
      <c r="Z611" s="103"/>
    </row>
    <row r="612" spans="1:26" ht="15.75" customHeight="1">
      <c r="A612" s="101"/>
      <c r="B612" s="103"/>
      <c r="C612" s="103"/>
      <c r="D612" s="103"/>
      <c r="E612" s="103"/>
      <c r="F612" s="103"/>
      <c r="G612" s="103"/>
      <c r="H612" s="103"/>
      <c r="I612" s="103"/>
      <c r="J612" s="103"/>
      <c r="K612" s="103"/>
      <c r="L612" s="103"/>
      <c r="M612" s="103"/>
      <c r="N612" s="103"/>
      <c r="O612" s="103"/>
      <c r="P612" s="103"/>
      <c r="Q612" s="103"/>
      <c r="R612" s="103"/>
      <c r="S612" s="103"/>
      <c r="T612" s="103"/>
      <c r="U612" s="103"/>
      <c r="V612" s="103"/>
      <c r="W612" s="103"/>
      <c r="X612" s="103"/>
      <c r="Y612" s="103"/>
      <c r="Z612" s="103"/>
    </row>
    <row r="613" spans="1:26" ht="15.75" customHeight="1">
      <c r="A613" s="101"/>
      <c r="B613" s="103"/>
      <c r="C613" s="103"/>
      <c r="D613" s="103"/>
      <c r="E613" s="103"/>
      <c r="F613" s="103"/>
      <c r="G613" s="103"/>
      <c r="H613" s="103"/>
      <c r="I613" s="103"/>
      <c r="J613" s="103"/>
      <c r="K613" s="103"/>
      <c r="L613" s="103"/>
      <c r="M613" s="103"/>
      <c r="N613" s="103"/>
      <c r="O613" s="103"/>
      <c r="P613" s="103"/>
      <c r="Q613" s="103"/>
      <c r="R613" s="103"/>
      <c r="S613" s="103"/>
      <c r="T613" s="103"/>
      <c r="U613" s="103"/>
      <c r="V613" s="103"/>
      <c r="W613" s="103"/>
      <c r="X613" s="103"/>
      <c r="Y613" s="103"/>
      <c r="Z613" s="103"/>
    </row>
    <row r="614" spans="1:26" ht="15.75" customHeight="1">
      <c r="A614" s="101"/>
      <c r="B614" s="103"/>
      <c r="C614" s="103"/>
      <c r="D614" s="103"/>
      <c r="E614" s="103"/>
      <c r="F614" s="103"/>
      <c r="G614" s="103"/>
      <c r="H614" s="103"/>
      <c r="I614" s="103"/>
      <c r="J614" s="103"/>
      <c r="K614" s="103"/>
      <c r="L614" s="103"/>
      <c r="M614" s="103"/>
      <c r="N614" s="103"/>
      <c r="O614" s="103"/>
      <c r="P614" s="103"/>
      <c r="Q614" s="103"/>
      <c r="R614" s="103"/>
      <c r="S614" s="103"/>
      <c r="T614" s="103"/>
      <c r="U614" s="103"/>
      <c r="V614" s="103"/>
      <c r="W614" s="103"/>
      <c r="X614" s="103"/>
      <c r="Y614" s="103"/>
      <c r="Z614" s="103"/>
    </row>
    <row r="615" spans="1:26" ht="15.75" customHeight="1">
      <c r="A615" s="101"/>
      <c r="B615" s="103"/>
      <c r="C615" s="103"/>
      <c r="D615" s="103"/>
      <c r="E615" s="103"/>
      <c r="F615" s="103"/>
      <c r="G615" s="103"/>
      <c r="H615" s="103"/>
      <c r="I615" s="103"/>
      <c r="J615" s="103"/>
      <c r="K615" s="103"/>
      <c r="L615" s="103"/>
      <c r="M615" s="103"/>
      <c r="N615" s="103"/>
      <c r="O615" s="103"/>
      <c r="P615" s="103"/>
      <c r="Q615" s="103"/>
      <c r="R615" s="103"/>
      <c r="S615" s="103"/>
      <c r="T615" s="103"/>
      <c r="U615" s="103"/>
      <c r="V615" s="103"/>
      <c r="W615" s="103"/>
      <c r="X615" s="103"/>
      <c r="Y615" s="103"/>
      <c r="Z615" s="103"/>
    </row>
    <row r="616" spans="1:26" ht="15.75" customHeight="1">
      <c r="A616" s="101"/>
      <c r="B616" s="103"/>
      <c r="C616" s="103"/>
      <c r="D616" s="103"/>
      <c r="E616" s="103"/>
      <c r="F616" s="103"/>
      <c r="G616" s="103"/>
      <c r="H616" s="103"/>
      <c r="I616" s="103"/>
      <c r="J616" s="103"/>
      <c r="K616" s="103"/>
      <c r="L616" s="103"/>
      <c r="M616" s="103"/>
      <c r="N616" s="103"/>
      <c r="O616" s="103"/>
      <c r="P616" s="103"/>
      <c r="Q616" s="103"/>
      <c r="R616" s="103"/>
      <c r="S616" s="103"/>
      <c r="T616" s="103"/>
      <c r="U616" s="103"/>
      <c r="V616" s="103"/>
      <c r="W616" s="103"/>
      <c r="X616" s="103"/>
      <c r="Y616" s="103"/>
      <c r="Z616" s="103"/>
    </row>
    <row r="617" spans="1:26" ht="15.75" customHeight="1">
      <c r="A617" s="101"/>
      <c r="B617" s="103"/>
      <c r="C617" s="103"/>
      <c r="D617" s="103"/>
      <c r="E617" s="103"/>
      <c r="F617" s="103"/>
      <c r="G617" s="103"/>
      <c r="H617" s="103"/>
      <c r="I617" s="103"/>
      <c r="J617" s="103"/>
      <c r="K617" s="103"/>
      <c r="L617" s="103"/>
      <c r="M617" s="103"/>
      <c r="N617" s="103"/>
      <c r="O617" s="103"/>
      <c r="P617" s="103"/>
      <c r="Q617" s="103"/>
      <c r="R617" s="103"/>
      <c r="S617" s="103"/>
      <c r="T617" s="103"/>
      <c r="U617" s="103"/>
      <c r="V617" s="103"/>
      <c r="W617" s="103"/>
      <c r="X617" s="103"/>
      <c r="Y617" s="103"/>
      <c r="Z617" s="103"/>
    </row>
    <row r="618" spans="1:26" ht="15.75" customHeight="1">
      <c r="A618" s="101"/>
      <c r="B618" s="103"/>
      <c r="C618" s="103"/>
      <c r="D618" s="103"/>
      <c r="E618" s="103"/>
      <c r="F618" s="103"/>
      <c r="G618" s="103"/>
      <c r="H618" s="103"/>
      <c r="I618" s="103"/>
      <c r="J618" s="103"/>
      <c r="K618" s="103"/>
      <c r="L618" s="103"/>
      <c r="M618" s="103"/>
      <c r="N618" s="103"/>
      <c r="O618" s="103"/>
      <c r="P618" s="103"/>
      <c r="Q618" s="103"/>
      <c r="R618" s="103"/>
      <c r="S618" s="103"/>
      <c r="T618" s="103"/>
      <c r="U618" s="103"/>
      <c r="V618" s="103"/>
      <c r="W618" s="103"/>
      <c r="X618" s="103"/>
      <c r="Y618" s="103"/>
      <c r="Z618" s="103"/>
    </row>
    <row r="619" spans="1:26" ht="15.75" customHeight="1">
      <c r="A619" s="101"/>
      <c r="B619" s="103"/>
      <c r="C619" s="103"/>
      <c r="D619" s="103"/>
      <c r="E619" s="103"/>
      <c r="F619" s="103"/>
      <c r="G619" s="103"/>
      <c r="H619" s="103"/>
      <c r="I619" s="103"/>
      <c r="J619" s="103"/>
      <c r="K619" s="103"/>
      <c r="L619" s="103"/>
      <c r="M619" s="103"/>
      <c r="N619" s="103"/>
      <c r="O619" s="103"/>
      <c r="P619" s="103"/>
      <c r="Q619" s="103"/>
      <c r="R619" s="103"/>
      <c r="S619" s="103"/>
      <c r="T619" s="103"/>
      <c r="U619" s="103"/>
      <c r="V619" s="103"/>
      <c r="W619" s="103"/>
      <c r="X619" s="103"/>
      <c r="Y619" s="103"/>
      <c r="Z619" s="103"/>
    </row>
    <row r="620" spans="1:26" ht="15.75" customHeight="1">
      <c r="A620" s="101"/>
      <c r="B620" s="103"/>
      <c r="C620" s="103"/>
      <c r="D620" s="103"/>
      <c r="E620" s="103"/>
      <c r="F620" s="103"/>
      <c r="G620" s="103"/>
      <c r="H620" s="103"/>
      <c r="I620" s="103"/>
      <c r="J620" s="103"/>
      <c r="K620" s="103"/>
      <c r="L620" s="103"/>
      <c r="M620" s="103"/>
      <c r="N620" s="103"/>
      <c r="O620" s="103"/>
      <c r="P620" s="103"/>
      <c r="Q620" s="103"/>
      <c r="R620" s="103"/>
      <c r="S620" s="103"/>
      <c r="T620" s="103"/>
      <c r="U620" s="103"/>
      <c r="V620" s="103"/>
      <c r="W620" s="103"/>
      <c r="X620" s="103"/>
      <c r="Y620" s="103"/>
      <c r="Z620" s="103"/>
    </row>
    <row r="621" spans="1:26" ht="15.75" customHeight="1">
      <c r="A621" s="101"/>
      <c r="B621" s="103"/>
      <c r="C621" s="103"/>
      <c r="D621" s="103"/>
      <c r="E621" s="103"/>
      <c r="F621" s="103"/>
      <c r="G621" s="103"/>
      <c r="H621" s="103"/>
      <c r="I621" s="103"/>
      <c r="J621" s="103"/>
      <c r="K621" s="103"/>
      <c r="L621" s="103"/>
      <c r="M621" s="103"/>
      <c r="N621" s="103"/>
      <c r="O621" s="103"/>
      <c r="P621" s="103"/>
      <c r="Q621" s="103"/>
      <c r="R621" s="103"/>
      <c r="S621" s="103"/>
      <c r="T621" s="103"/>
      <c r="U621" s="103"/>
      <c r="V621" s="103"/>
      <c r="W621" s="103"/>
      <c r="X621" s="103"/>
      <c r="Y621" s="103"/>
      <c r="Z621" s="103"/>
    </row>
    <row r="622" spans="1:26" ht="15.75" customHeight="1">
      <c r="A622" s="101"/>
      <c r="B622" s="103"/>
      <c r="C622" s="103"/>
      <c r="D622" s="103"/>
      <c r="E622" s="103"/>
      <c r="F622" s="103"/>
      <c r="G622" s="103"/>
      <c r="H622" s="103"/>
      <c r="I622" s="103"/>
      <c r="J622" s="103"/>
      <c r="K622" s="103"/>
      <c r="L622" s="103"/>
      <c r="M622" s="103"/>
      <c r="N622" s="103"/>
      <c r="O622" s="103"/>
      <c r="P622" s="103"/>
      <c r="Q622" s="103"/>
      <c r="R622" s="103"/>
      <c r="S622" s="103"/>
      <c r="T622" s="103"/>
      <c r="U622" s="103"/>
      <c r="V622" s="103"/>
      <c r="W622" s="103"/>
      <c r="X622" s="103"/>
      <c r="Y622" s="103"/>
      <c r="Z622" s="103"/>
    </row>
    <row r="623" spans="1:26" ht="15.75" customHeight="1">
      <c r="A623" s="101"/>
      <c r="B623" s="103"/>
      <c r="C623" s="103"/>
      <c r="D623" s="103"/>
      <c r="E623" s="103"/>
      <c r="F623" s="103"/>
      <c r="G623" s="103"/>
      <c r="H623" s="103"/>
      <c r="I623" s="103"/>
      <c r="J623" s="103"/>
      <c r="K623" s="103"/>
      <c r="L623" s="103"/>
      <c r="M623" s="103"/>
      <c r="N623" s="103"/>
      <c r="O623" s="103"/>
      <c r="P623" s="103"/>
      <c r="Q623" s="103"/>
      <c r="R623" s="103"/>
      <c r="S623" s="103"/>
      <c r="T623" s="103"/>
      <c r="U623" s="103"/>
      <c r="V623" s="103"/>
      <c r="W623" s="103"/>
      <c r="X623" s="103"/>
      <c r="Y623" s="103"/>
      <c r="Z623" s="103"/>
    </row>
    <row r="624" spans="1:26" ht="15.75" customHeight="1">
      <c r="A624" s="101"/>
      <c r="B624" s="103"/>
      <c r="C624" s="103"/>
      <c r="D624" s="103"/>
      <c r="E624" s="103"/>
      <c r="F624" s="103"/>
      <c r="G624" s="103"/>
      <c r="H624" s="103"/>
      <c r="I624" s="103"/>
      <c r="J624" s="103"/>
      <c r="K624" s="103"/>
      <c r="L624" s="103"/>
      <c r="M624" s="103"/>
      <c r="N624" s="103"/>
      <c r="O624" s="103"/>
      <c r="P624" s="103"/>
      <c r="Q624" s="103"/>
      <c r="R624" s="103"/>
      <c r="S624" s="103"/>
      <c r="T624" s="103"/>
      <c r="U624" s="103"/>
      <c r="V624" s="103"/>
      <c r="W624" s="103"/>
      <c r="X624" s="103"/>
      <c r="Y624" s="103"/>
      <c r="Z624" s="103"/>
    </row>
    <row r="625" spans="1:26" ht="15.75" customHeight="1">
      <c r="A625" s="101"/>
      <c r="B625" s="103"/>
      <c r="C625" s="103"/>
      <c r="D625" s="103"/>
      <c r="E625" s="103"/>
      <c r="F625" s="103"/>
      <c r="G625" s="103"/>
      <c r="H625" s="103"/>
      <c r="I625" s="103"/>
      <c r="J625" s="103"/>
      <c r="K625" s="103"/>
      <c r="L625" s="103"/>
      <c r="M625" s="103"/>
      <c r="N625" s="103"/>
      <c r="O625" s="103"/>
      <c r="P625" s="103"/>
      <c r="Q625" s="103"/>
      <c r="R625" s="103"/>
      <c r="S625" s="103"/>
      <c r="T625" s="103"/>
      <c r="U625" s="103"/>
      <c r="V625" s="103"/>
      <c r="W625" s="103"/>
      <c r="X625" s="103"/>
      <c r="Y625" s="103"/>
      <c r="Z625" s="103"/>
    </row>
    <row r="626" spans="1:26" ht="15.75" customHeight="1">
      <c r="A626" s="101"/>
      <c r="B626" s="103"/>
      <c r="C626" s="103"/>
      <c r="D626" s="103"/>
      <c r="E626" s="103"/>
      <c r="F626" s="103"/>
      <c r="G626" s="103"/>
      <c r="H626" s="103"/>
      <c r="I626" s="103"/>
      <c r="J626" s="103"/>
      <c r="K626" s="103"/>
      <c r="L626" s="103"/>
      <c r="M626" s="103"/>
      <c r="N626" s="103"/>
      <c r="O626" s="103"/>
      <c r="P626" s="103"/>
      <c r="Q626" s="103"/>
      <c r="R626" s="103"/>
      <c r="S626" s="103"/>
      <c r="T626" s="103"/>
      <c r="U626" s="103"/>
      <c r="V626" s="103"/>
      <c r="W626" s="103"/>
      <c r="X626" s="103"/>
      <c r="Y626" s="103"/>
      <c r="Z626" s="103"/>
    </row>
    <row r="627" spans="1:26" ht="15.75" customHeight="1">
      <c r="A627" s="101"/>
      <c r="B627" s="103"/>
      <c r="C627" s="103"/>
      <c r="D627" s="103"/>
      <c r="E627" s="103"/>
      <c r="F627" s="103"/>
      <c r="G627" s="103"/>
      <c r="H627" s="103"/>
      <c r="I627" s="103"/>
      <c r="J627" s="103"/>
      <c r="K627" s="103"/>
      <c r="L627" s="103"/>
      <c r="M627" s="103"/>
      <c r="N627" s="103"/>
      <c r="O627" s="103"/>
      <c r="P627" s="103"/>
      <c r="Q627" s="103"/>
      <c r="R627" s="103"/>
      <c r="S627" s="103"/>
      <c r="T627" s="103"/>
      <c r="U627" s="103"/>
      <c r="V627" s="103"/>
      <c r="W627" s="103"/>
      <c r="X627" s="103"/>
      <c r="Y627" s="103"/>
      <c r="Z627" s="103"/>
    </row>
    <row r="628" spans="1:26" ht="15.75" customHeight="1">
      <c r="A628" s="101"/>
      <c r="B628" s="103"/>
      <c r="C628" s="103"/>
      <c r="D628" s="103"/>
      <c r="E628" s="103"/>
      <c r="F628" s="103"/>
      <c r="G628" s="103"/>
      <c r="H628" s="103"/>
      <c r="I628" s="103"/>
      <c r="J628" s="103"/>
      <c r="K628" s="103"/>
      <c r="L628" s="103"/>
      <c r="M628" s="103"/>
      <c r="N628" s="103"/>
      <c r="O628" s="103"/>
      <c r="P628" s="103"/>
      <c r="Q628" s="103"/>
      <c r="R628" s="103"/>
      <c r="S628" s="103"/>
      <c r="T628" s="103"/>
      <c r="U628" s="103"/>
      <c r="V628" s="103"/>
      <c r="W628" s="103"/>
      <c r="X628" s="103"/>
      <c r="Y628" s="103"/>
      <c r="Z628" s="103"/>
    </row>
    <row r="629" spans="1:26" ht="15.75" customHeight="1">
      <c r="A629" s="101"/>
      <c r="B629" s="103"/>
      <c r="C629" s="103"/>
      <c r="D629" s="103"/>
      <c r="E629" s="103"/>
      <c r="F629" s="103"/>
      <c r="G629" s="103"/>
      <c r="H629" s="103"/>
      <c r="I629" s="103"/>
      <c r="J629" s="103"/>
      <c r="K629" s="103"/>
      <c r="L629" s="103"/>
      <c r="M629" s="103"/>
      <c r="N629" s="103"/>
      <c r="O629" s="103"/>
      <c r="P629" s="103"/>
      <c r="Q629" s="103"/>
      <c r="R629" s="103"/>
      <c r="S629" s="103"/>
      <c r="T629" s="103"/>
      <c r="U629" s="103"/>
      <c r="V629" s="103"/>
      <c r="W629" s="103"/>
      <c r="X629" s="103"/>
      <c r="Y629" s="103"/>
      <c r="Z629" s="103"/>
    </row>
    <row r="630" spans="1:26" ht="15.75" customHeight="1">
      <c r="A630" s="101"/>
      <c r="B630" s="103"/>
      <c r="C630" s="103"/>
      <c r="D630" s="103"/>
      <c r="E630" s="103"/>
      <c r="F630" s="103"/>
      <c r="G630" s="103"/>
      <c r="H630" s="103"/>
      <c r="I630" s="103"/>
      <c r="J630" s="103"/>
      <c r="K630" s="103"/>
      <c r="L630" s="103"/>
      <c r="M630" s="103"/>
      <c r="N630" s="103"/>
      <c r="O630" s="103"/>
      <c r="P630" s="103"/>
      <c r="Q630" s="103"/>
      <c r="R630" s="103"/>
      <c r="S630" s="103"/>
      <c r="T630" s="103"/>
      <c r="U630" s="103"/>
      <c r="V630" s="103"/>
      <c r="W630" s="103"/>
      <c r="X630" s="103"/>
      <c r="Y630" s="103"/>
      <c r="Z630" s="103"/>
    </row>
    <row r="631" spans="1:26" ht="15.75" customHeight="1">
      <c r="A631" s="101"/>
      <c r="B631" s="103"/>
      <c r="C631" s="103"/>
      <c r="D631" s="103"/>
      <c r="E631" s="103"/>
      <c r="F631" s="103"/>
      <c r="G631" s="103"/>
      <c r="H631" s="103"/>
      <c r="I631" s="103"/>
      <c r="J631" s="103"/>
      <c r="K631" s="103"/>
      <c r="L631" s="103"/>
      <c r="M631" s="103"/>
      <c r="N631" s="103"/>
      <c r="O631" s="103"/>
      <c r="P631" s="103"/>
      <c r="Q631" s="103"/>
      <c r="R631" s="103"/>
      <c r="S631" s="103"/>
      <c r="T631" s="103"/>
      <c r="U631" s="103"/>
      <c r="V631" s="103"/>
      <c r="W631" s="103"/>
      <c r="X631" s="103"/>
      <c r="Y631" s="103"/>
      <c r="Z631" s="103"/>
    </row>
    <row r="632" spans="1:26" ht="15.75" customHeight="1">
      <c r="A632" s="101"/>
      <c r="B632" s="103"/>
      <c r="C632" s="103"/>
      <c r="D632" s="103"/>
      <c r="E632" s="103"/>
      <c r="F632" s="103"/>
      <c r="G632" s="103"/>
      <c r="H632" s="103"/>
      <c r="I632" s="103"/>
      <c r="J632" s="103"/>
      <c r="K632" s="103"/>
      <c r="L632" s="103"/>
      <c r="M632" s="103"/>
      <c r="N632" s="103"/>
      <c r="O632" s="103"/>
      <c r="P632" s="103"/>
      <c r="Q632" s="103"/>
      <c r="R632" s="103"/>
      <c r="S632" s="103"/>
      <c r="T632" s="103"/>
      <c r="U632" s="103"/>
      <c r="V632" s="103"/>
      <c r="W632" s="103"/>
      <c r="X632" s="103"/>
      <c r="Y632" s="103"/>
      <c r="Z632" s="103"/>
    </row>
    <row r="633" spans="1:26" ht="15.75" customHeight="1">
      <c r="A633" s="101"/>
      <c r="B633" s="103"/>
      <c r="C633" s="103"/>
      <c r="D633" s="103"/>
      <c r="E633" s="103"/>
      <c r="F633" s="103"/>
      <c r="G633" s="103"/>
      <c r="H633" s="103"/>
      <c r="I633" s="103"/>
      <c r="J633" s="103"/>
      <c r="K633" s="103"/>
      <c r="L633" s="103"/>
      <c r="M633" s="103"/>
      <c r="N633" s="103"/>
      <c r="O633" s="103"/>
      <c r="P633" s="103"/>
      <c r="Q633" s="103"/>
      <c r="R633" s="103"/>
      <c r="S633" s="103"/>
      <c r="T633" s="103"/>
      <c r="U633" s="103"/>
      <c r="V633" s="103"/>
      <c r="W633" s="103"/>
      <c r="X633" s="103"/>
      <c r="Y633" s="103"/>
      <c r="Z633" s="103"/>
    </row>
    <row r="634" spans="1:26" ht="15.75" customHeight="1">
      <c r="A634" s="101"/>
      <c r="B634" s="103"/>
      <c r="C634" s="103"/>
      <c r="D634" s="103"/>
      <c r="E634" s="103"/>
      <c r="F634" s="103"/>
      <c r="G634" s="103"/>
      <c r="H634" s="103"/>
      <c r="I634" s="103"/>
      <c r="J634" s="103"/>
      <c r="K634" s="103"/>
      <c r="L634" s="103"/>
      <c r="M634" s="103"/>
      <c r="N634" s="103"/>
      <c r="O634" s="103"/>
      <c r="P634" s="103"/>
      <c r="Q634" s="103"/>
      <c r="R634" s="103"/>
      <c r="S634" s="103"/>
      <c r="T634" s="103"/>
      <c r="U634" s="103"/>
      <c r="V634" s="103"/>
      <c r="W634" s="103"/>
      <c r="X634" s="103"/>
      <c r="Y634" s="103"/>
      <c r="Z634" s="103"/>
    </row>
    <row r="635" spans="1:26" ht="15.75" customHeight="1">
      <c r="A635" s="101"/>
      <c r="B635" s="103"/>
      <c r="C635" s="103"/>
      <c r="D635" s="103"/>
      <c r="E635" s="103"/>
      <c r="F635" s="103"/>
      <c r="G635" s="103"/>
      <c r="H635" s="103"/>
      <c r="I635" s="103"/>
      <c r="J635" s="103"/>
      <c r="K635" s="103"/>
      <c r="L635" s="103"/>
      <c r="M635" s="103"/>
      <c r="N635" s="103"/>
      <c r="O635" s="103"/>
      <c r="P635" s="103"/>
      <c r="Q635" s="103"/>
      <c r="R635" s="103"/>
      <c r="S635" s="103"/>
      <c r="T635" s="103"/>
      <c r="U635" s="103"/>
      <c r="V635" s="103"/>
      <c r="W635" s="103"/>
      <c r="X635" s="103"/>
      <c r="Y635" s="103"/>
      <c r="Z635" s="103"/>
    </row>
    <row r="636" spans="1:26" ht="15.75" customHeight="1">
      <c r="A636" s="101"/>
      <c r="B636" s="103"/>
      <c r="C636" s="103"/>
      <c r="D636" s="103"/>
      <c r="E636" s="103"/>
      <c r="F636" s="103"/>
      <c r="G636" s="103"/>
      <c r="H636" s="103"/>
      <c r="I636" s="103"/>
      <c r="J636" s="103"/>
      <c r="K636" s="103"/>
      <c r="L636" s="103"/>
      <c r="M636" s="103"/>
      <c r="N636" s="103"/>
      <c r="O636" s="103"/>
      <c r="P636" s="103"/>
      <c r="Q636" s="103"/>
      <c r="R636" s="103"/>
      <c r="S636" s="103"/>
      <c r="T636" s="103"/>
      <c r="U636" s="103"/>
      <c r="V636" s="103"/>
      <c r="W636" s="103"/>
      <c r="X636" s="103"/>
      <c r="Y636" s="103"/>
      <c r="Z636" s="103"/>
    </row>
    <row r="637" spans="1:26" ht="15.75" customHeight="1">
      <c r="A637" s="101"/>
      <c r="B637" s="103"/>
      <c r="C637" s="103"/>
      <c r="D637" s="103"/>
      <c r="E637" s="103"/>
      <c r="F637" s="103"/>
      <c r="G637" s="103"/>
      <c r="H637" s="103"/>
      <c r="I637" s="103"/>
      <c r="J637" s="103"/>
      <c r="K637" s="103"/>
      <c r="L637" s="103"/>
      <c r="M637" s="103"/>
      <c r="N637" s="103"/>
      <c r="O637" s="103"/>
      <c r="P637" s="103"/>
      <c r="Q637" s="103"/>
      <c r="R637" s="103"/>
      <c r="S637" s="103"/>
      <c r="T637" s="103"/>
      <c r="U637" s="103"/>
      <c r="V637" s="103"/>
      <c r="W637" s="103"/>
      <c r="X637" s="103"/>
      <c r="Y637" s="103"/>
      <c r="Z637" s="103"/>
    </row>
    <row r="638" spans="1:26" ht="15.75" customHeight="1">
      <c r="A638" s="101"/>
      <c r="B638" s="103"/>
      <c r="C638" s="103"/>
      <c r="D638" s="103"/>
      <c r="E638" s="103"/>
      <c r="F638" s="103"/>
      <c r="G638" s="103"/>
      <c r="H638" s="103"/>
      <c r="I638" s="103"/>
      <c r="J638" s="103"/>
      <c r="K638" s="103"/>
      <c r="L638" s="103"/>
      <c r="M638" s="103"/>
      <c r="N638" s="103"/>
      <c r="O638" s="103"/>
      <c r="P638" s="103"/>
      <c r="Q638" s="103"/>
      <c r="R638" s="103"/>
      <c r="S638" s="103"/>
      <c r="T638" s="103"/>
      <c r="U638" s="103"/>
      <c r="V638" s="103"/>
      <c r="W638" s="103"/>
      <c r="X638" s="103"/>
      <c r="Y638" s="103"/>
      <c r="Z638" s="103"/>
    </row>
    <row r="639" spans="1:26" ht="15.75" customHeight="1">
      <c r="A639" s="101"/>
      <c r="B639" s="103"/>
      <c r="C639" s="103"/>
      <c r="D639" s="103"/>
      <c r="E639" s="103"/>
      <c r="F639" s="103"/>
      <c r="G639" s="103"/>
      <c r="H639" s="103"/>
      <c r="I639" s="103"/>
      <c r="J639" s="103"/>
      <c r="K639" s="103"/>
      <c r="L639" s="103"/>
      <c r="M639" s="103"/>
      <c r="N639" s="103"/>
      <c r="O639" s="103"/>
      <c r="P639" s="103"/>
      <c r="Q639" s="103"/>
      <c r="R639" s="103"/>
      <c r="S639" s="103"/>
      <c r="T639" s="103"/>
      <c r="U639" s="103"/>
      <c r="V639" s="103"/>
      <c r="W639" s="103"/>
      <c r="X639" s="103"/>
      <c r="Y639" s="103"/>
      <c r="Z639" s="103"/>
    </row>
    <row r="640" spans="1:26" ht="15.75" customHeight="1">
      <c r="A640" s="101"/>
      <c r="B640" s="103"/>
      <c r="C640" s="103"/>
      <c r="D640" s="103"/>
      <c r="E640" s="103"/>
      <c r="F640" s="103"/>
      <c r="G640" s="103"/>
      <c r="H640" s="103"/>
      <c r="I640" s="103"/>
      <c r="J640" s="103"/>
      <c r="K640" s="103"/>
      <c r="L640" s="103"/>
      <c r="M640" s="103"/>
      <c r="N640" s="103"/>
      <c r="O640" s="103"/>
      <c r="P640" s="103"/>
      <c r="Q640" s="103"/>
      <c r="R640" s="103"/>
      <c r="S640" s="103"/>
      <c r="T640" s="103"/>
      <c r="U640" s="103"/>
      <c r="V640" s="103"/>
      <c r="W640" s="103"/>
      <c r="X640" s="103"/>
      <c r="Y640" s="103"/>
      <c r="Z640" s="103"/>
    </row>
    <row r="641" spans="1:26" ht="15.75" customHeight="1">
      <c r="A641" s="101"/>
      <c r="B641" s="103"/>
      <c r="C641" s="103"/>
      <c r="D641" s="103"/>
      <c r="E641" s="103"/>
      <c r="F641" s="103"/>
      <c r="G641" s="103"/>
      <c r="H641" s="103"/>
      <c r="I641" s="103"/>
      <c r="J641" s="103"/>
      <c r="K641" s="103"/>
      <c r="L641" s="103"/>
      <c r="M641" s="103"/>
      <c r="N641" s="103"/>
      <c r="O641" s="103"/>
      <c r="P641" s="103"/>
      <c r="Q641" s="103"/>
      <c r="R641" s="103"/>
      <c r="S641" s="103"/>
      <c r="T641" s="103"/>
      <c r="U641" s="103"/>
      <c r="V641" s="103"/>
      <c r="W641" s="103"/>
      <c r="X641" s="103"/>
      <c r="Y641" s="103"/>
      <c r="Z641" s="103"/>
    </row>
    <row r="642" spans="1:26" ht="15.75" customHeight="1">
      <c r="A642" s="101"/>
      <c r="B642" s="103"/>
      <c r="C642" s="103"/>
      <c r="D642" s="103"/>
      <c r="E642" s="103"/>
      <c r="F642" s="103"/>
      <c r="G642" s="103"/>
      <c r="H642" s="103"/>
      <c r="I642" s="103"/>
      <c r="J642" s="103"/>
      <c r="K642" s="103"/>
      <c r="L642" s="103"/>
      <c r="M642" s="103"/>
      <c r="N642" s="103"/>
      <c r="O642" s="103"/>
      <c r="P642" s="103"/>
      <c r="Q642" s="103"/>
      <c r="R642" s="103"/>
      <c r="S642" s="103"/>
      <c r="T642" s="103"/>
      <c r="U642" s="103"/>
      <c r="V642" s="103"/>
      <c r="W642" s="103"/>
      <c r="X642" s="103"/>
      <c r="Y642" s="103"/>
      <c r="Z642" s="103"/>
    </row>
    <row r="643" spans="1:26" ht="15.75" customHeight="1">
      <c r="A643" s="101"/>
      <c r="B643" s="103"/>
      <c r="C643" s="103"/>
      <c r="D643" s="103"/>
      <c r="E643" s="103"/>
      <c r="F643" s="103"/>
      <c r="G643" s="103"/>
      <c r="H643" s="103"/>
      <c r="I643" s="103"/>
      <c r="J643" s="103"/>
      <c r="K643" s="103"/>
      <c r="L643" s="103"/>
      <c r="M643" s="103"/>
      <c r="N643" s="103"/>
      <c r="O643" s="103"/>
      <c r="P643" s="103"/>
      <c r="Q643" s="103"/>
      <c r="R643" s="103"/>
      <c r="S643" s="103"/>
      <c r="T643" s="103"/>
      <c r="U643" s="103"/>
      <c r="V643" s="103"/>
      <c r="W643" s="103"/>
      <c r="X643" s="103"/>
      <c r="Y643" s="103"/>
      <c r="Z643" s="103"/>
    </row>
    <row r="644" spans="1:26" ht="15.75" customHeight="1">
      <c r="A644" s="101"/>
      <c r="B644" s="103"/>
      <c r="C644" s="103"/>
      <c r="D644" s="103"/>
      <c r="E644" s="103"/>
      <c r="F644" s="103"/>
      <c r="G644" s="103"/>
      <c r="H644" s="103"/>
      <c r="I644" s="103"/>
      <c r="J644" s="103"/>
      <c r="K644" s="103"/>
      <c r="L644" s="103"/>
      <c r="M644" s="103"/>
      <c r="N644" s="103"/>
      <c r="O644" s="103"/>
      <c r="P644" s="103"/>
      <c r="Q644" s="103"/>
      <c r="R644" s="103"/>
      <c r="S644" s="103"/>
      <c r="T644" s="103"/>
      <c r="U644" s="103"/>
      <c r="V644" s="103"/>
      <c r="W644" s="103"/>
      <c r="X644" s="103"/>
      <c r="Y644" s="103"/>
      <c r="Z644" s="103"/>
    </row>
    <row r="645" spans="1:26" ht="15.75" customHeight="1">
      <c r="A645" s="101"/>
      <c r="B645" s="103"/>
      <c r="C645" s="103"/>
      <c r="D645" s="103"/>
      <c r="E645" s="103"/>
      <c r="F645" s="103"/>
      <c r="G645" s="103"/>
      <c r="H645" s="103"/>
      <c r="I645" s="103"/>
      <c r="J645" s="103"/>
      <c r="K645" s="103"/>
      <c r="L645" s="103"/>
      <c r="M645" s="103"/>
      <c r="N645" s="103"/>
      <c r="O645" s="103"/>
      <c r="P645" s="103"/>
      <c r="Q645" s="103"/>
      <c r="R645" s="103"/>
      <c r="S645" s="103"/>
      <c r="T645" s="103"/>
      <c r="U645" s="103"/>
      <c r="V645" s="103"/>
      <c r="W645" s="103"/>
      <c r="X645" s="103"/>
      <c r="Y645" s="103"/>
      <c r="Z645" s="103"/>
    </row>
    <row r="646" spans="1:26" ht="15.75" customHeight="1">
      <c r="A646" s="101"/>
      <c r="B646" s="103"/>
      <c r="C646" s="103"/>
      <c r="D646" s="103"/>
      <c r="E646" s="103"/>
      <c r="F646" s="103"/>
      <c r="G646" s="103"/>
      <c r="H646" s="103"/>
      <c r="I646" s="103"/>
      <c r="J646" s="103"/>
      <c r="K646" s="103"/>
      <c r="L646" s="103"/>
      <c r="M646" s="103"/>
      <c r="N646" s="103"/>
      <c r="O646" s="103"/>
      <c r="P646" s="103"/>
      <c r="Q646" s="103"/>
      <c r="R646" s="103"/>
      <c r="S646" s="103"/>
      <c r="T646" s="103"/>
      <c r="U646" s="103"/>
      <c r="V646" s="103"/>
      <c r="W646" s="103"/>
      <c r="X646" s="103"/>
      <c r="Y646" s="103"/>
      <c r="Z646" s="103"/>
    </row>
    <row r="647" spans="1:26" ht="15.75" customHeight="1">
      <c r="A647" s="101"/>
      <c r="B647" s="103"/>
      <c r="C647" s="103"/>
      <c r="D647" s="103"/>
      <c r="E647" s="103"/>
      <c r="F647" s="103"/>
      <c r="G647" s="103"/>
      <c r="H647" s="103"/>
      <c r="I647" s="103"/>
      <c r="J647" s="103"/>
      <c r="K647" s="103"/>
      <c r="L647" s="103"/>
      <c r="M647" s="103"/>
      <c r="N647" s="103"/>
      <c r="O647" s="103"/>
      <c r="P647" s="103"/>
      <c r="Q647" s="103"/>
      <c r="R647" s="103"/>
      <c r="S647" s="103"/>
      <c r="T647" s="103"/>
      <c r="U647" s="103"/>
      <c r="V647" s="103"/>
      <c r="W647" s="103"/>
      <c r="X647" s="103"/>
      <c r="Y647" s="103"/>
      <c r="Z647" s="103"/>
    </row>
    <row r="648" spans="1:26" ht="15.75" customHeight="1">
      <c r="A648" s="101"/>
      <c r="B648" s="103"/>
      <c r="C648" s="103"/>
      <c r="D648" s="103"/>
      <c r="E648" s="103"/>
      <c r="F648" s="103"/>
      <c r="G648" s="103"/>
      <c r="H648" s="103"/>
      <c r="I648" s="103"/>
      <c r="J648" s="103"/>
      <c r="K648" s="103"/>
      <c r="L648" s="103"/>
      <c r="M648" s="103"/>
      <c r="N648" s="103"/>
      <c r="O648" s="103"/>
      <c r="P648" s="103"/>
      <c r="Q648" s="103"/>
      <c r="R648" s="103"/>
      <c r="S648" s="103"/>
      <c r="T648" s="103"/>
      <c r="U648" s="103"/>
      <c r="V648" s="103"/>
      <c r="W648" s="103"/>
      <c r="X648" s="103"/>
      <c r="Y648" s="103"/>
      <c r="Z648" s="103"/>
    </row>
    <row r="649" spans="1:26" ht="15.75" customHeight="1">
      <c r="A649" s="101"/>
      <c r="B649" s="103"/>
      <c r="C649" s="103"/>
      <c r="D649" s="103"/>
      <c r="E649" s="103"/>
      <c r="F649" s="103"/>
      <c r="G649" s="103"/>
      <c r="H649" s="103"/>
      <c r="I649" s="103"/>
      <c r="J649" s="103"/>
      <c r="K649" s="103"/>
      <c r="L649" s="103"/>
      <c r="M649" s="103"/>
      <c r="N649" s="103"/>
      <c r="O649" s="103"/>
      <c r="P649" s="103"/>
      <c r="Q649" s="103"/>
      <c r="R649" s="103"/>
      <c r="S649" s="103"/>
      <c r="T649" s="103"/>
      <c r="U649" s="103"/>
      <c r="V649" s="103"/>
      <c r="W649" s="103"/>
      <c r="X649" s="103"/>
      <c r="Y649" s="103"/>
      <c r="Z649" s="103"/>
    </row>
    <row r="650" spans="1:26" ht="15.75" customHeight="1">
      <c r="A650" s="101"/>
      <c r="B650" s="103"/>
      <c r="C650" s="103"/>
      <c r="D650" s="103"/>
      <c r="E650" s="103"/>
      <c r="F650" s="103"/>
      <c r="G650" s="103"/>
      <c r="H650" s="103"/>
      <c r="I650" s="103"/>
      <c r="J650" s="103"/>
      <c r="K650" s="103"/>
      <c r="L650" s="103"/>
      <c r="M650" s="103"/>
      <c r="N650" s="103"/>
      <c r="O650" s="103"/>
      <c r="P650" s="103"/>
      <c r="Q650" s="103"/>
      <c r="R650" s="103"/>
      <c r="S650" s="103"/>
      <c r="T650" s="103"/>
      <c r="U650" s="103"/>
      <c r="V650" s="103"/>
      <c r="W650" s="103"/>
      <c r="X650" s="103"/>
      <c r="Y650" s="103"/>
      <c r="Z650" s="103"/>
    </row>
    <row r="651" spans="1:26" ht="15.75" customHeight="1">
      <c r="A651" s="101"/>
      <c r="B651" s="103"/>
      <c r="C651" s="103"/>
      <c r="D651" s="103"/>
      <c r="E651" s="103"/>
      <c r="F651" s="103"/>
      <c r="G651" s="103"/>
      <c r="H651" s="103"/>
      <c r="I651" s="103"/>
      <c r="J651" s="103"/>
      <c r="K651" s="103"/>
      <c r="L651" s="103"/>
      <c r="M651" s="103"/>
      <c r="N651" s="103"/>
      <c r="O651" s="103"/>
      <c r="P651" s="103"/>
      <c r="Q651" s="103"/>
      <c r="R651" s="103"/>
      <c r="S651" s="103"/>
      <c r="T651" s="103"/>
      <c r="U651" s="103"/>
      <c r="V651" s="103"/>
      <c r="W651" s="103"/>
      <c r="X651" s="103"/>
      <c r="Y651" s="103"/>
      <c r="Z651" s="103"/>
    </row>
    <row r="652" spans="1:26" ht="15.75" customHeight="1">
      <c r="A652" s="101"/>
      <c r="B652" s="103"/>
      <c r="C652" s="103"/>
      <c r="D652" s="103"/>
      <c r="E652" s="103"/>
      <c r="F652" s="103"/>
      <c r="G652" s="103"/>
      <c r="H652" s="103"/>
      <c r="I652" s="103"/>
      <c r="J652" s="103"/>
      <c r="K652" s="103"/>
      <c r="L652" s="103"/>
      <c r="M652" s="103"/>
      <c r="N652" s="103"/>
      <c r="O652" s="103"/>
      <c r="P652" s="103"/>
      <c r="Q652" s="103"/>
      <c r="R652" s="103"/>
      <c r="S652" s="103"/>
      <c r="T652" s="103"/>
      <c r="U652" s="103"/>
      <c r="V652" s="103"/>
      <c r="W652" s="103"/>
      <c r="X652" s="103"/>
      <c r="Y652" s="103"/>
      <c r="Z652" s="103"/>
    </row>
    <row r="653" spans="1:26" ht="15.75" customHeight="1">
      <c r="A653" s="101"/>
      <c r="B653" s="103"/>
      <c r="C653" s="103"/>
      <c r="D653" s="103"/>
      <c r="E653" s="103"/>
      <c r="F653" s="103"/>
      <c r="G653" s="103"/>
      <c r="H653" s="103"/>
      <c r="I653" s="103"/>
      <c r="J653" s="103"/>
      <c r="K653" s="103"/>
      <c r="L653" s="103"/>
      <c r="M653" s="103"/>
      <c r="N653" s="103"/>
      <c r="O653" s="103"/>
      <c r="P653" s="103"/>
      <c r="Q653" s="103"/>
      <c r="R653" s="103"/>
      <c r="S653" s="103"/>
      <c r="T653" s="103"/>
      <c r="U653" s="103"/>
      <c r="V653" s="103"/>
      <c r="W653" s="103"/>
      <c r="X653" s="103"/>
      <c r="Y653" s="103"/>
      <c r="Z653" s="103"/>
    </row>
    <row r="654" spans="1:26" ht="15.75" customHeight="1">
      <c r="A654" s="101"/>
      <c r="B654" s="103"/>
      <c r="C654" s="103"/>
      <c r="D654" s="103"/>
      <c r="E654" s="103"/>
      <c r="F654" s="103"/>
      <c r="G654" s="103"/>
      <c r="H654" s="103"/>
      <c r="I654" s="103"/>
      <c r="J654" s="103"/>
      <c r="K654" s="103"/>
      <c r="L654" s="103"/>
      <c r="M654" s="103"/>
      <c r="N654" s="103"/>
      <c r="O654" s="103"/>
      <c r="P654" s="103"/>
      <c r="Q654" s="103"/>
      <c r="R654" s="103"/>
      <c r="S654" s="103"/>
      <c r="T654" s="103"/>
      <c r="U654" s="103"/>
      <c r="V654" s="103"/>
      <c r="W654" s="103"/>
      <c r="X654" s="103"/>
      <c r="Y654" s="103"/>
      <c r="Z654" s="103"/>
    </row>
    <row r="655" spans="1:26" ht="15.75" customHeight="1">
      <c r="A655" s="101"/>
      <c r="B655" s="103"/>
      <c r="C655" s="103"/>
      <c r="D655" s="103"/>
      <c r="E655" s="103"/>
      <c r="F655" s="103"/>
      <c r="G655" s="103"/>
      <c r="H655" s="103"/>
      <c r="I655" s="103"/>
      <c r="J655" s="103"/>
      <c r="K655" s="103"/>
      <c r="L655" s="103"/>
      <c r="M655" s="103"/>
      <c r="N655" s="103"/>
      <c r="O655" s="103"/>
      <c r="P655" s="103"/>
      <c r="Q655" s="103"/>
      <c r="R655" s="103"/>
      <c r="S655" s="103"/>
      <c r="T655" s="103"/>
      <c r="U655" s="103"/>
      <c r="V655" s="103"/>
      <c r="W655" s="103"/>
      <c r="X655" s="103"/>
      <c r="Y655" s="103"/>
      <c r="Z655" s="103"/>
    </row>
    <row r="656" spans="1:26" ht="15.75" customHeight="1">
      <c r="A656" s="101"/>
      <c r="B656" s="103"/>
      <c r="C656" s="103"/>
      <c r="D656" s="103"/>
      <c r="E656" s="103"/>
      <c r="F656" s="103"/>
      <c r="G656" s="103"/>
      <c r="H656" s="103"/>
      <c r="I656" s="103"/>
      <c r="J656" s="103"/>
      <c r="K656" s="103"/>
      <c r="L656" s="103"/>
      <c r="M656" s="103"/>
      <c r="N656" s="103"/>
      <c r="O656" s="103"/>
      <c r="P656" s="103"/>
      <c r="Q656" s="103"/>
      <c r="R656" s="103"/>
      <c r="S656" s="103"/>
      <c r="T656" s="103"/>
      <c r="U656" s="103"/>
      <c r="V656" s="103"/>
      <c r="W656" s="103"/>
      <c r="X656" s="103"/>
      <c r="Y656" s="103"/>
      <c r="Z656" s="103"/>
    </row>
    <row r="657" spans="1:26" ht="15.75" customHeight="1">
      <c r="A657" s="101"/>
      <c r="B657" s="103"/>
      <c r="C657" s="103"/>
      <c r="D657" s="103"/>
      <c r="E657" s="103"/>
      <c r="F657" s="103"/>
      <c r="G657" s="103"/>
      <c r="H657" s="103"/>
      <c r="I657" s="103"/>
      <c r="J657" s="103"/>
      <c r="K657" s="103"/>
      <c r="L657" s="103"/>
      <c r="M657" s="103"/>
      <c r="N657" s="103"/>
      <c r="O657" s="103"/>
      <c r="P657" s="103"/>
      <c r="Q657" s="103"/>
      <c r="R657" s="103"/>
      <c r="S657" s="103"/>
      <c r="T657" s="103"/>
      <c r="U657" s="103"/>
      <c r="V657" s="103"/>
      <c r="W657" s="103"/>
      <c r="X657" s="103"/>
      <c r="Y657" s="103"/>
      <c r="Z657" s="103"/>
    </row>
    <row r="658" spans="1:26" ht="15.75" customHeight="1">
      <c r="A658" s="101"/>
      <c r="B658" s="103"/>
      <c r="C658" s="103"/>
      <c r="D658" s="103"/>
      <c r="E658" s="103"/>
      <c r="F658" s="103"/>
      <c r="G658" s="103"/>
      <c r="H658" s="103"/>
      <c r="I658" s="103"/>
      <c r="J658" s="103"/>
      <c r="K658" s="103"/>
      <c r="L658" s="103"/>
      <c r="M658" s="103"/>
      <c r="N658" s="103"/>
      <c r="O658" s="103"/>
      <c r="P658" s="103"/>
      <c r="Q658" s="103"/>
      <c r="R658" s="103"/>
      <c r="S658" s="103"/>
      <c r="T658" s="103"/>
      <c r="U658" s="103"/>
      <c r="V658" s="103"/>
      <c r="W658" s="103"/>
      <c r="X658" s="103"/>
      <c r="Y658" s="103"/>
      <c r="Z658" s="103"/>
    </row>
    <row r="659" spans="1:26" ht="15.75" customHeight="1">
      <c r="A659" s="101"/>
      <c r="B659" s="103"/>
      <c r="C659" s="103"/>
      <c r="D659" s="103"/>
      <c r="E659" s="103"/>
      <c r="F659" s="103"/>
      <c r="G659" s="103"/>
      <c r="H659" s="103"/>
      <c r="I659" s="103"/>
      <c r="J659" s="103"/>
      <c r="K659" s="103"/>
      <c r="L659" s="103"/>
      <c r="M659" s="103"/>
      <c r="N659" s="103"/>
      <c r="O659" s="103"/>
      <c r="P659" s="103"/>
      <c r="Q659" s="103"/>
      <c r="R659" s="103"/>
      <c r="S659" s="103"/>
      <c r="T659" s="103"/>
      <c r="U659" s="103"/>
      <c r="V659" s="103"/>
      <c r="W659" s="103"/>
      <c r="X659" s="103"/>
      <c r="Y659" s="103"/>
      <c r="Z659" s="103"/>
    </row>
    <row r="660" spans="1:26" ht="15.75" customHeight="1">
      <c r="A660" s="101"/>
      <c r="B660" s="103"/>
      <c r="C660" s="103"/>
      <c r="D660" s="103"/>
      <c r="E660" s="103"/>
      <c r="F660" s="103"/>
      <c r="G660" s="103"/>
      <c r="H660" s="103"/>
      <c r="I660" s="103"/>
      <c r="J660" s="103"/>
      <c r="K660" s="103"/>
      <c r="L660" s="103"/>
      <c r="M660" s="103"/>
      <c r="N660" s="103"/>
      <c r="O660" s="103"/>
      <c r="P660" s="103"/>
      <c r="Q660" s="103"/>
      <c r="R660" s="103"/>
      <c r="S660" s="103"/>
      <c r="T660" s="103"/>
      <c r="U660" s="103"/>
      <c r="V660" s="103"/>
      <c r="W660" s="103"/>
      <c r="X660" s="103"/>
      <c r="Y660" s="103"/>
      <c r="Z660" s="103"/>
    </row>
    <row r="661" spans="1:26" ht="15.75" customHeight="1">
      <c r="A661" s="101"/>
      <c r="B661" s="103"/>
      <c r="C661" s="103"/>
      <c r="D661" s="103"/>
      <c r="E661" s="103"/>
      <c r="F661" s="103"/>
      <c r="G661" s="103"/>
      <c r="H661" s="103"/>
      <c r="I661" s="103"/>
      <c r="J661" s="103"/>
      <c r="K661" s="103"/>
      <c r="L661" s="103"/>
      <c r="M661" s="103"/>
      <c r="N661" s="103"/>
      <c r="O661" s="103"/>
      <c r="P661" s="103"/>
      <c r="Q661" s="103"/>
      <c r="R661" s="103"/>
      <c r="S661" s="103"/>
      <c r="T661" s="103"/>
      <c r="U661" s="103"/>
      <c r="V661" s="103"/>
      <c r="W661" s="103"/>
      <c r="X661" s="103"/>
      <c r="Y661" s="103"/>
      <c r="Z661" s="103"/>
    </row>
    <row r="662" spans="1:26" ht="15.75" customHeight="1">
      <c r="A662" s="101"/>
      <c r="B662" s="103"/>
      <c r="C662" s="103"/>
      <c r="D662" s="103"/>
      <c r="E662" s="103"/>
      <c r="F662" s="103"/>
      <c r="G662" s="103"/>
      <c r="H662" s="103"/>
      <c r="I662" s="103"/>
      <c r="J662" s="103"/>
      <c r="K662" s="103"/>
      <c r="L662" s="103"/>
      <c r="M662" s="103"/>
      <c r="N662" s="103"/>
      <c r="O662" s="103"/>
      <c r="P662" s="103"/>
      <c r="Q662" s="103"/>
      <c r="R662" s="103"/>
      <c r="S662" s="103"/>
      <c r="T662" s="103"/>
      <c r="U662" s="103"/>
      <c r="V662" s="103"/>
      <c r="W662" s="103"/>
      <c r="X662" s="103"/>
      <c r="Y662" s="103"/>
      <c r="Z662" s="103"/>
    </row>
    <row r="663" spans="1:26" ht="15.75" customHeight="1">
      <c r="A663" s="101"/>
      <c r="B663" s="103"/>
      <c r="C663" s="103"/>
      <c r="D663" s="103"/>
      <c r="E663" s="103"/>
      <c r="F663" s="103"/>
      <c r="G663" s="103"/>
      <c r="H663" s="103"/>
      <c r="I663" s="103"/>
      <c r="J663" s="103"/>
      <c r="K663" s="103"/>
      <c r="L663" s="103"/>
      <c r="M663" s="103"/>
      <c r="N663" s="103"/>
      <c r="O663" s="103"/>
      <c r="P663" s="103"/>
      <c r="Q663" s="103"/>
      <c r="R663" s="103"/>
      <c r="S663" s="103"/>
      <c r="T663" s="103"/>
      <c r="U663" s="103"/>
      <c r="V663" s="103"/>
      <c r="W663" s="103"/>
      <c r="X663" s="103"/>
      <c r="Y663" s="103"/>
      <c r="Z663" s="103"/>
    </row>
    <row r="664" spans="1:26" ht="15.75" customHeight="1">
      <c r="A664" s="101"/>
      <c r="B664" s="103"/>
      <c r="C664" s="103"/>
      <c r="D664" s="103"/>
      <c r="E664" s="103"/>
      <c r="F664" s="103"/>
      <c r="G664" s="103"/>
      <c r="H664" s="103"/>
      <c r="I664" s="103"/>
      <c r="J664" s="103"/>
      <c r="K664" s="103"/>
      <c r="L664" s="103"/>
      <c r="M664" s="103"/>
      <c r="N664" s="103"/>
      <c r="O664" s="103"/>
      <c r="P664" s="103"/>
      <c r="Q664" s="103"/>
      <c r="R664" s="103"/>
      <c r="S664" s="103"/>
      <c r="T664" s="103"/>
      <c r="U664" s="103"/>
      <c r="V664" s="103"/>
      <c r="W664" s="103"/>
      <c r="X664" s="103"/>
      <c r="Y664" s="103"/>
      <c r="Z664" s="103"/>
    </row>
    <row r="665" spans="1:26" ht="15.75" customHeight="1">
      <c r="A665" s="101"/>
      <c r="B665" s="103"/>
      <c r="C665" s="103"/>
      <c r="D665" s="103"/>
      <c r="E665" s="103"/>
      <c r="F665" s="103"/>
      <c r="G665" s="103"/>
      <c r="H665" s="103"/>
      <c r="I665" s="103"/>
      <c r="J665" s="103"/>
      <c r="K665" s="103"/>
      <c r="L665" s="103"/>
      <c r="M665" s="103"/>
      <c r="N665" s="103"/>
      <c r="O665" s="103"/>
      <c r="P665" s="103"/>
      <c r="Q665" s="103"/>
      <c r="R665" s="103"/>
      <c r="S665" s="103"/>
      <c r="T665" s="103"/>
      <c r="U665" s="103"/>
      <c r="V665" s="103"/>
      <c r="W665" s="103"/>
      <c r="X665" s="103"/>
      <c r="Y665" s="103"/>
      <c r="Z665" s="103"/>
    </row>
    <row r="666" spans="1:26" ht="15.75" customHeight="1">
      <c r="A666" s="101"/>
      <c r="B666" s="103"/>
      <c r="C666" s="103"/>
      <c r="D666" s="103"/>
      <c r="E666" s="103"/>
      <c r="F666" s="103"/>
      <c r="G666" s="103"/>
      <c r="H666" s="103"/>
      <c r="I666" s="103"/>
      <c r="J666" s="103"/>
      <c r="K666" s="103"/>
      <c r="L666" s="103"/>
      <c r="M666" s="103"/>
      <c r="N666" s="103"/>
      <c r="O666" s="103"/>
      <c r="P666" s="103"/>
      <c r="Q666" s="103"/>
      <c r="R666" s="103"/>
      <c r="S666" s="103"/>
      <c r="T666" s="103"/>
      <c r="U666" s="103"/>
      <c r="V666" s="103"/>
      <c r="W666" s="103"/>
      <c r="X666" s="103"/>
      <c r="Y666" s="103"/>
      <c r="Z666" s="103"/>
    </row>
    <row r="667" spans="1:26" ht="15.75" customHeight="1">
      <c r="A667" s="101"/>
      <c r="B667" s="103"/>
      <c r="C667" s="103"/>
      <c r="D667" s="103"/>
      <c r="E667" s="103"/>
      <c r="F667" s="103"/>
      <c r="G667" s="103"/>
      <c r="H667" s="103"/>
      <c r="I667" s="103"/>
      <c r="J667" s="103"/>
      <c r="K667" s="103"/>
      <c r="L667" s="103"/>
      <c r="M667" s="103"/>
      <c r="N667" s="103"/>
      <c r="O667" s="103"/>
      <c r="P667" s="103"/>
      <c r="Q667" s="103"/>
      <c r="R667" s="103"/>
      <c r="S667" s="103"/>
      <c r="T667" s="103"/>
      <c r="U667" s="103"/>
      <c r="V667" s="103"/>
      <c r="W667" s="103"/>
      <c r="X667" s="103"/>
      <c r="Y667" s="103"/>
      <c r="Z667" s="103"/>
    </row>
    <row r="668" spans="1:26" ht="15.75" customHeight="1">
      <c r="A668" s="101"/>
      <c r="B668" s="103"/>
      <c r="C668" s="103"/>
      <c r="D668" s="103"/>
      <c r="E668" s="103"/>
      <c r="F668" s="103"/>
      <c r="G668" s="103"/>
      <c r="H668" s="103"/>
      <c r="I668" s="103"/>
      <c r="J668" s="103"/>
      <c r="K668" s="103"/>
      <c r="L668" s="103"/>
      <c r="M668" s="103"/>
      <c r="N668" s="103"/>
      <c r="O668" s="103"/>
      <c r="P668" s="103"/>
      <c r="Q668" s="103"/>
      <c r="R668" s="103"/>
      <c r="S668" s="103"/>
      <c r="T668" s="103"/>
      <c r="U668" s="103"/>
      <c r="V668" s="103"/>
      <c r="W668" s="103"/>
      <c r="X668" s="103"/>
      <c r="Y668" s="103"/>
      <c r="Z668" s="103"/>
    </row>
    <row r="669" spans="1:26" ht="15.75" customHeight="1">
      <c r="A669" s="101"/>
      <c r="B669" s="103"/>
      <c r="C669" s="103"/>
      <c r="D669" s="103"/>
      <c r="E669" s="103"/>
      <c r="F669" s="103"/>
      <c r="G669" s="103"/>
      <c r="H669" s="103"/>
      <c r="I669" s="103"/>
      <c r="J669" s="103"/>
      <c r="K669" s="103"/>
      <c r="L669" s="103"/>
      <c r="M669" s="103"/>
      <c r="N669" s="103"/>
      <c r="O669" s="103"/>
      <c r="P669" s="103"/>
      <c r="Q669" s="103"/>
      <c r="R669" s="103"/>
      <c r="S669" s="103"/>
      <c r="T669" s="103"/>
      <c r="U669" s="103"/>
      <c r="V669" s="103"/>
      <c r="W669" s="103"/>
      <c r="X669" s="103"/>
      <c r="Y669" s="103"/>
      <c r="Z669" s="103"/>
    </row>
    <row r="670" spans="1:26" ht="15.75" customHeight="1">
      <c r="A670" s="101"/>
      <c r="B670" s="103"/>
      <c r="C670" s="103"/>
      <c r="D670" s="103"/>
      <c r="E670" s="103"/>
      <c r="F670" s="103"/>
      <c r="G670" s="103"/>
      <c r="H670" s="103"/>
      <c r="I670" s="103"/>
      <c r="J670" s="103"/>
      <c r="K670" s="103"/>
      <c r="L670" s="103"/>
      <c r="M670" s="103"/>
      <c r="N670" s="103"/>
      <c r="O670" s="103"/>
      <c r="P670" s="103"/>
      <c r="Q670" s="103"/>
      <c r="R670" s="103"/>
      <c r="S670" s="103"/>
      <c r="T670" s="103"/>
      <c r="U670" s="103"/>
      <c r="V670" s="103"/>
      <c r="W670" s="103"/>
      <c r="X670" s="103"/>
      <c r="Y670" s="103"/>
      <c r="Z670" s="103"/>
    </row>
    <row r="671" spans="1:26" ht="15.75" customHeight="1">
      <c r="A671" s="101"/>
      <c r="B671" s="103"/>
      <c r="C671" s="103"/>
      <c r="D671" s="103"/>
      <c r="E671" s="103"/>
      <c r="F671" s="103"/>
      <c r="G671" s="103"/>
      <c r="H671" s="103"/>
      <c r="I671" s="103"/>
      <c r="J671" s="103"/>
      <c r="K671" s="103"/>
      <c r="L671" s="103"/>
      <c r="M671" s="103"/>
      <c r="N671" s="103"/>
      <c r="O671" s="103"/>
      <c r="P671" s="103"/>
      <c r="Q671" s="103"/>
      <c r="R671" s="103"/>
      <c r="S671" s="103"/>
      <c r="T671" s="103"/>
      <c r="U671" s="103"/>
      <c r="V671" s="103"/>
      <c r="W671" s="103"/>
      <c r="X671" s="103"/>
      <c r="Y671" s="103"/>
      <c r="Z671" s="103"/>
    </row>
    <row r="672" spans="1:26" ht="15.75" customHeight="1">
      <c r="A672" s="101"/>
      <c r="B672" s="103"/>
      <c r="C672" s="103"/>
      <c r="D672" s="103"/>
      <c r="E672" s="103"/>
      <c r="F672" s="103"/>
      <c r="G672" s="103"/>
      <c r="H672" s="103"/>
      <c r="I672" s="103"/>
      <c r="J672" s="103"/>
      <c r="K672" s="103"/>
      <c r="L672" s="103"/>
      <c r="M672" s="103"/>
      <c r="N672" s="103"/>
      <c r="O672" s="103"/>
      <c r="P672" s="103"/>
      <c r="Q672" s="103"/>
      <c r="R672" s="103"/>
      <c r="S672" s="103"/>
      <c r="T672" s="103"/>
      <c r="U672" s="103"/>
      <c r="V672" s="103"/>
      <c r="W672" s="103"/>
      <c r="X672" s="103"/>
      <c r="Y672" s="103"/>
      <c r="Z672" s="103"/>
    </row>
    <row r="673" spans="1:26" ht="15.75" customHeight="1">
      <c r="A673" s="101"/>
      <c r="B673" s="103"/>
      <c r="C673" s="103"/>
      <c r="D673" s="103"/>
      <c r="E673" s="103"/>
      <c r="F673" s="103"/>
      <c r="G673" s="103"/>
      <c r="H673" s="103"/>
      <c r="I673" s="103"/>
      <c r="J673" s="103"/>
      <c r="K673" s="103"/>
      <c r="L673" s="103"/>
      <c r="M673" s="103"/>
      <c r="N673" s="103"/>
      <c r="O673" s="103"/>
      <c r="P673" s="103"/>
      <c r="Q673" s="103"/>
      <c r="R673" s="103"/>
      <c r="S673" s="103"/>
      <c r="T673" s="103"/>
      <c r="U673" s="103"/>
      <c r="V673" s="103"/>
      <c r="W673" s="103"/>
      <c r="X673" s="103"/>
      <c r="Y673" s="103"/>
      <c r="Z673" s="103"/>
    </row>
    <row r="674" spans="1:26" ht="15.75" customHeight="1">
      <c r="A674" s="101"/>
      <c r="B674" s="103"/>
      <c r="C674" s="103"/>
      <c r="D674" s="103"/>
      <c r="E674" s="103"/>
      <c r="F674" s="103"/>
      <c r="G674" s="103"/>
      <c r="H674" s="103"/>
      <c r="I674" s="103"/>
      <c r="J674" s="103"/>
      <c r="K674" s="103"/>
      <c r="L674" s="103"/>
      <c r="M674" s="103"/>
      <c r="N674" s="103"/>
      <c r="O674" s="103"/>
      <c r="P674" s="103"/>
      <c r="Q674" s="103"/>
      <c r="R674" s="103"/>
      <c r="S674" s="103"/>
      <c r="T674" s="103"/>
      <c r="U674" s="103"/>
      <c r="V674" s="103"/>
      <c r="W674" s="103"/>
      <c r="X674" s="103"/>
      <c r="Y674" s="103"/>
      <c r="Z674" s="103"/>
    </row>
    <row r="675" spans="1:26" ht="15.75" customHeight="1">
      <c r="A675" s="101"/>
      <c r="B675" s="103"/>
      <c r="C675" s="103"/>
      <c r="D675" s="103"/>
      <c r="E675" s="103"/>
      <c r="F675" s="103"/>
      <c r="G675" s="103"/>
      <c r="H675" s="103"/>
      <c r="I675" s="103"/>
      <c r="J675" s="103"/>
      <c r="K675" s="103"/>
      <c r="L675" s="103"/>
      <c r="M675" s="103"/>
      <c r="N675" s="103"/>
      <c r="O675" s="103"/>
      <c r="P675" s="103"/>
      <c r="Q675" s="103"/>
      <c r="R675" s="103"/>
      <c r="S675" s="103"/>
      <c r="T675" s="103"/>
      <c r="U675" s="103"/>
      <c r="V675" s="103"/>
      <c r="W675" s="103"/>
      <c r="X675" s="103"/>
      <c r="Y675" s="103"/>
      <c r="Z675" s="103"/>
    </row>
    <row r="676" spans="1:26" ht="15.75" customHeight="1">
      <c r="A676" s="101"/>
      <c r="B676" s="103"/>
      <c r="C676" s="103"/>
      <c r="D676" s="103"/>
      <c r="E676" s="103"/>
      <c r="F676" s="103"/>
      <c r="G676" s="103"/>
      <c r="H676" s="103"/>
      <c r="I676" s="103"/>
      <c r="J676" s="103"/>
      <c r="K676" s="103"/>
      <c r="L676" s="103"/>
      <c r="M676" s="103"/>
      <c r="N676" s="103"/>
      <c r="O676" s="103"/>
      <c r="P676" s="103"/>
      <c r="Q676" s="103"/>
      <c r="R676" s="103"/>
      <c r="S676" s="103"/>
      <c r="T676" s="103"/>
      <c r="U676" s="103"/>
      <c r="V676" s="103"/>
      <c r="W676" s="103"/>
      <c r="X676" s="103"/>
      <c r="Y676" s="103"/>
      <c r="Z676" s="103"/>
    </row>
    <row r="677" spans="1:26" ht="15.75" customHeight="1">
      <c r="A677" s="101"/>
      <c r="B677" s="103"/>
      <c r="C677" s="103"/>
      <c r="D677" s="103"/>
      <c r="E677" s="103"/>
      <c r="F677" s="103"/>
      <c r="G677" s="103"/>
      <c r="H677" s="103"/>
      <c r="I677" s="103"/>
      <c r="J677" s="103"/>
      <c r="K677" s="103"/>
      <c r="L677" s="103"/>
      <c r="M677" s="103"/>
      <c r="N677" s="103"/>
      <c r="O677" s="103"/>
      <c r="P677" s="103"/>
      <c r="Q677" s="103"/>
      <c r="R677" s="103"/>
      <c r="S677" s="103"/>
      <c r="T677" s="103"/>
      <c r="U677" s="103"/>
      <c r="V677" s="103"/>
      <c r="W677" s="103"/>
      <c r="X677" s="103"/>
      <c r="Y677" s="103"/>
      <c r="Z677" s="103"/>
    </row>
    <row r="678" spans="1:26" ht="15.75" customHeight="1">
      <c r="A678" s="101"/>
      <c r="B678" s="103"/>
      <c r="C678" s="103"/>
      <c r="D678" s="103"/>
      <c r="E678" s="103"/>
      <c r="F678" s="103"/>
      <c r="G678" s="103"/>
      <c r="H678" s="103"/>
      <c r="I678" s="103"/>
      <c r="J678" s="103"/>
      <c r="K678" s="103"/>
      <c r="L678" s="103"/>
      <c r="M678" s="103"/>
      <c r="N678" s="103"/>
      <c r="O678" s="103"/>
      <c r="P678" s="103"/>
      <c r="Q678" s="103"/>
      <c r="R678" s="103"/>
      <c r="S678" s="103"/>
      <c r="T678" s="103"/>
      <c r="U678" s="103"/>
      <c r="V678" s="103"/>
      <c r="W678" s="103"/>
      <c r="X678" s="103"/>
      <c r="Y678" s="103"/>
      <c r="Z678" s="103"/>
    </row>
    <row r="679" spans="1:26" ht="15.75" customHeight="1">
      <c r="A679" s="101"/>
      <c r="B679" s="103"/>
      <c r="C679" s="103"/>
      <c r="D679" s="103"/>
      <c r="E679" s="103"/>
      <c r="F679" s="103"/>
      <c r="G679" s="103"/>
      <c r="H679" s="103"/>
      <c r="I679" s="103"/>
      <c r="J679" s="103"/>
      <c r="K679" s="103"/>
      <c r="L679" s="103"/>
      <c r="M679" s="103"/>
      <c r="N679" s="103"/>
      <c r="O679" s="103"/>
      <c r="P679" s="103"/>
      <c r="Q679" s="103"/>
      <c r="R679" s="103"/>
      <c r="S679" s="103"/>
      <c r="T679" s="103"/>
      <c r="U679" s="103"/>
      <c r="V679" s="103"/>
      <c r="W679" s="103"/>
      <c r="X679" s="103"/>
      <c r="Y679" s="103"/>
      <c r="Z679" s="103"/>
    </row>
    <row r="680" spans="1:26" ht="15.75" customHeight="1">
      <c r="A680" s="101"/>
      <c r="B680" s="103"/>
      <c r="C680" s="103"/>
      <c r="D680" s="103"/>
      <c r="E680" s="103"/>
      <c r="F680" s="103"/>
      <c r="G680" s="103"/>
      <c r="H680" s="103"/>
      <c r="I680" s="103"/>
      <c r="J680" s="103"/>
      <c r="K680" s="103"/>
      <c r="L680" s="103"/>
      <c r="M680" s="103"/>
      <c r="N680" s="103"/>
      <c r="O680" s="103"/>
      <c r="P680" s="103"/>
      <c r="Q680" s="103"/>
      <c r="R680" s="103"/>
      <c r="S680" s="103"/>
      <c r="T680" s="103"/>
      <c r="U680" s="103"/>
      <c r="V680" s="103"/>
      <c r="W680" s="103"/>
      <c r="X680" s="103"/>
      <c r="Y680" s="103"/>
      <c r="Z680" s="103"/>
    </row>
    <row r="681" spans="1:26" ht="15.75" customHeight="1">
      <c r="A681" s="101"/>
      <c r="B681" s="103"/>
      <c r="C681" s="103"/>
      <c r="D681" s="103"/>
      <c r="E681" s="103"/>
      <c r="F681" s="103"/>
      <c r="G681" s="103"/>
      <c r="H681" s="103"/>
      <c r="I681" s="103"/>
      <c r="J681" s="103"/>
      <c r="K681" s="103"/>
      <c r="L681" s="103"/>
      <c r="M681" s="103"/>
      <c r="N681" s="103"/>
      <c r="O681" s="103"/>
      <c r="P681" s="103"/>
      <c r="Q681" s="103"/>
      <c r="R681" s="103"/>
      <c r="S681" s="103"/>
      <c r="T681" s="103"/>
      <c r="U681" s="103"/>
      <c r="V681" s="103"/>
      <c r="W681" s="103"/>
      <c r="X681" s="103"/>
      <c r="Y681" s="103"/>
      <c r="Z681" s="103"/>
    </row>
    <row r="682" spans="1:26" ht="15.75" customHeight="1">
      <c r="A682" s="101"/>
      <c r="B682" s="103"/>
      <c r="C682" s="103"/>
      <c r="D682" s="103"/>
      <c r="E682" s="103"/>
      <c r="F682" s="103"/>
      <c r="G682" s="103"/>
      <c r="H682" s="103"/>
      <c r="I682" s="103"/>
      <c r="J682" s="103"/>
      <c r="K682" s="103"/>
      <c r="L682" s="103"/>
      <c r="M682" s="103"/>
      <c r="N682" s="103"/>
      <c r="O682" s="103"/>
      <c r="P682" s="103"/>
      <c r="Q682" s="103"/>
      <c r="R682" s="103"/>
      <c r="S682" s="103"/>
      <c r="T682" s="103"/>
      <c r="U682" s="103"/>
      <c r="V682" s="103"/>
      <c r="W682" s="103"/>
      <c r="X682" s="103"/>
      <c r="Y682" s="103"/>
      <c r="Z682" s="103"/>
    </row>
    <row r="683" spans="1:26" ht="15.75" customHeight="1">
      <c r="A683" s="101"/>
      <c r="B683" s="103"/>
      <c r="C683" s="103"/>
      <c r="D683" s="103"/>
      <c r="E683" s="103"/>
      <c r="F683" s="103"/>
      <c r="G683" s="103"/>
      <c r="H683" s="103"/>
      <c r="I683" s="103"/>
      <c r="J683" s="103"/>
      <c r="K683" s="103"/>
      <c r="L683" s="103"/>
      <c r="M683" s="103"/>
      <c r="N683" s="103"/>
      <c r="O683" s="103"/>
      <c r="P683" s="103"/>
      <c r="Q683" s="103"/>
      <c r="R683" s="103"/>
      <c r="S683" s="103"/>
      <c r="T683" s="103"/>
      <c r="U683" s="103"/>
      <c r="V683" s="103"/>
      <c r="W683" s="103"/>
      <c r="X683" s="103"/>
      <c r="Y683" s="103"/>
      <c r="Z683" s="103"/>
    </row>
    <row r="684" spans="1:26" ht="15.75" customHeight="1">
      <c r="A684" s="101"/>
      <c r="B684" s="103"/>
      <c r="C684" s="103"/>
      <c r="D684" s="103"/>
      <c r="E684" s="103"/>
      <c r="F684" s="103"/>
      <c r="G684" s="103"/>
      <c r="H684" s="103"/>
      <c r="I684" s="103"/>
      <c r="J684" s="103"/>
      <c r="K684" s="103"/>
      <c r="L684" s="103"/>
      <c r="M684" s="103"/>
      <c r="N684" s="103"/>
      <c r="O684" s="103"/>
      <c r="P684" s="103"/>
      <c r="Q684" s="103"/>
      <c r="R684" s="103"/>
      <c r="S684" s="103"/>
      <c r="T684" s="103"/>
      <c r="U684" s="103"/>
      <c r="V684" s="103"/>
      <c r="W684" s="103"/>
      <c r="X684" s="103"/>
      <c r="Y684" s="103"/>
      <c r="Z684" s="103"/>
    </row>
    <row r="685" spans="1:26" ht="15.75" customHeight="1">
      <c r="A685" s="101"/>
      <c r="B685" s="103"/>
      <c r="C685" s="103"/>
      <c r="D685" s="103"/>
      <c r="E685" s="103"/>
      <c r="F685" s="103"/>
      <c r="G685" s="103"/>
      <c r="H685" s="103"/>
      <c r="I685" s="103"/>
      <c r="J685" s="103"/>
      <c r="K685" s="103"/>
      <c r="L685" s="103"/>
      <c r="M685" s="103"/>
      <c r="N685" s="103"/>
      <c r="O685" s="103"/>
      <c r="P685" s="103"/>
      <c r="Q685" s="103"/>
      <c r="R685" s="103"/>
      <c r="S685" s="103"/>
      <c r="T685" s="103"/>
      <c r="U685" s="103"/>
      <c r="V685" s="103"/>
      <c r="W685" s="103"/>
      <c r="X685" s="103"/>
      <c r="Y685" s="103"/>
      <c r="Z685" s="103"/>
    </row>
    <row r="686" spans="1:26" ht="15.75" customHeight="1">
      <c r="A686" s="101"/>
      <c r="B686" s="103"/>
      <c r="C686" s="103"/>
      <c r="D686" s="103"/>
      <c r="E686" s="103"/>
      <c r="F686" s="103"/>
      <c r="G686" s="103"/>
      <c r="H686" s="103"/>
      <c r="I686" s="103"/>
      <c r="J686" s="103"/>
      <c r="K686" s="103"/>
      <c r="L686" s="103"/>
      <c r="M686" s="103"/>
      <c r="N686" s="103"/>
      <c r="O686" s="103"/>
      <c r="P686" s="103"/>
      <c r="Q686" s="103"/>
      <c r="R686" s="103"/>
      <c r="S686" s="103"/>
      <c r="T686" s="103"/>
      <c r="U686" s="103"/>
      <c r="V686" s="103"/>
      <c r="W686" s="103"/>
      <c r="X686" s="103"/>
      <c r="Y686" s="103"/>
      <c r="Z686" s="103"/>
    </row>
    <row r="687" spans="1:26" ht="15.75" customHeight="1">
      <c r="A687" s="101"/>
      <c r="B687" s="103"/>
      <c r="C687" s="103"/>
      <c r="D687" s="103"/>
      <c r="E687" s="103"/>
      <c r="F687" s="103"/>
      <c r="G687" s="103"/>
      <c r="H687" s="103"/>
      <c r="I687" s="103"/>
      <c r="J687" s="103"/>
      <c r="K687" s="103"/>
      <c r="L687" s="103"/>
      <c r="M687" s="103"/>
      <c r="N687" s="103"/>
      <c r="O687" s="103"/>
      <c r="P687" s="103"/>
      <c r="Q687" s="103"/>
      <c r="R687" s="103"/>
      <c r="S687" s="103"/>
      <c r="T687" s="103"/>
      <c r="U687" s="103"/>
      <c r="V687" s="103"/>
      <c r="W687" s="103"/>
      <c r="X687" s="103"/>
      <c r="Y687" s="103"/>
      <c r="Z687" s="103"/>
    </row>
    <row r="688" spans="1:26" ht="15.75" customHeight="1">
      <c r="A688" s="101"/>
      <c r="B688" s="103"/>
      <c r="C688" s="103"/>
      <c r="D688" s="103"/>
      <c r="E688" s="103"/>
      <c r="F688" s="103"/>
      <c r="G688" s="103"/>
      <c r="H688" s="103"/>
      <c r="I688" s="103"/>
      <c r="J688" s="103"/>
      <c r="K688" s="103"/>
      <c r="L688" s="103"/>
      <c r="M688" s="103"/>
      <c r="N688" s="103"/>
      <c r="O688" s="103"/>
      <c r="P688" s="103"/>
      <c r="Q688" s="103"/>
      <c r="R688" s="103"/>
      <c r="S688" s="103"/>
      <c r="T688" s="103"/>
      <c r="U688" s="103"/>
      <c r="V688" s="103"/>
      <c r="W688" s="103"/>
      <c r="X688" s="103"/>
      <c r="Y688" s="103"/>
      <c r="Z688" s="103"/>
    </row>
    <row r="689" spans="1:26" ht="15.75" customHeight="1">
      <c r="A689" s="101"/>
      <c r="B689" s="103"/>
      <c r="C689" s="103"/>
      <c r="D689" s="103"/>
      <c r="E689" s="103"/>
      <c r="F689" s="103"/>
      <c r="G689" s="103"/>
      <c r="H689" s="103"/>
      <c r="I689" s="103"/>
      <c r="J689" s="103"/>
      <c r="K689" s="103"/>
      <c r="L689" s="103"/>
      <c r="M689" s="103"/>
      <c r="N689" s="103"/>
      <c r="O689" s="103"/>
      <c r="P689" s="103"/>
      <c r="Q689" s="103"/>
      <c r="R689" s="103"/>
      <c r="S689" s="103"/>
      <c r="T689" s="103"/>
      <c r="U689" s="103"/>
      <c r="V689" s="103"/>
      <c r="W689" s="103"/>
      <c r="X689" s="103"/>
      <c r="Y689" s="103"/>
      <c r="Z689" s="103"/>
    </row>
    <row r="690" spans="1:26" ht="15.75" customHeight="1">
      <c r="A690" s="101"/>
      <c r="B690" s="103"/>
      <c r="C690" s="103"/>
      <c r="D690" s="103"/>
      <c r="E690" s="103"/>
      <c r="F690" s="103"/>
      <c r="G690" s="103"/>
      <c r="H690" s="103"/>
      <c r="I690" s="103"/>
      <c r="J690" s="103"/>
      <c r="K690" s="103"/>
      <c r="L690" s="103"/>
      <c r="M690" s="103"/>
      <c r="N690" s="103"/>
      <c r="O690" s="103"/>
      <c r="P690" s="103"/>
      <c r="Q690" s="103"/>
      <c r="R690" s="103"/>
      <c r="S690" s="103"/>
      <c r="T690" s="103"/>
      <c r="U690" s="103"/>
      <c r="V690" s="103"/>
      <c r="W690" s="103"/>
      <c r="X690" s="103"/>
      <c r="Y690" s="103"/>
      <c r="Z690" s="103"/>
    </row>
    <row r="691" spans="1:26" ht="15.75" customHeight="1">
      <c r="A691" s="101"/>
      <c r="B691" s="103"/>
      <c r="C691" s="103"/>
      <c r="D691" s="103"/>
      <c r="E691" s="103"/>
      <c r="F691" s="103"/>
      <c r="G691" s="103"/>
      <c r="H691" s="103"/>
      <c r="I691" s="103"/>
      <c r="J691" s="103"/>
      <c r="K691" s="103"/>
      <c r="L691" s="103"/>
      <c r="M691" s="103"/>
      <c r="N691" s="103"/>
      <c r="O691" s="103"/>
      <c r="P691" s="103"/>
      <c r="Q691" s="103"/>
      <c r="R691" s="103"/>
      <c r="S691" s="103"/>
      <c r="T691" s="103"/>
      <c r="U691" s="103"/>
      <c r="V691" s="103"/>
      <c r="W691" s="103"/>
      <c r="X691" s="103"/>
      <c r="Y691" s="103"/>
      <c r="Z691" s="103"/>
    </row>
    <row r="692" spans="1:26" ht="15.75" customHeight="1">
      <c r="A692" s="101"/>
      <c r="B692" s="103"/>
      <c r="C692" s="103"/>
      <c r="D692" s="103"/>
      <c r="E692" s="103"/>
      <c r="F692" s="103"/>
      <c r="G692" s="103"/>
      <c r="H692" s="103"/>
      <c r="I692" s="103"/>
      <c r="J692" s="103"/>
      <c r="K692" s="103"/>
      <c r="L692" s="103"/>
      <c r="M692" s="103"/>
      <c r="N692" s="103"/>
      <c r="O692" s="103"/>
      <c r="P692" s="103"/>
      <c r="Q692" s="103"/>
      <c r="R692" s="103"/>
      <c r="S692" s="103"/>
      <c r="T692" s="103"/>
      <c r="U692" s="103"/>
      <c r="V692" s="103"/>
      <c r="W692" s="103"/>
      <c r="X692" s="103"/>
      <c r="Y692" s="103"/>
      <c r="Z692" s="103"/>
    </row>
    <row r="693" spans="1:26" ht="15.75" customHeight="1">
      <c r="A693" s="101"/>
      <c r="B693" s="103"/>
      <c r="C693" s="103"/>
      <c r="D693" s="103"/>
      <c r="E693" s="103"/>
      <c r="F693" s="103"/>
      <c r="G693" s="103"/>
      <c r="H693" s="103"/>
      <c r="I693" s="103"/>
      <c r="J693" s="103"/>
      <c r="K693" s="103"/>
      <c r="L693" s="103"/>
      <c r="M693" s="103"/>
      <c r="N693" s="103"/>
      <c r="O693" s="103"/>
      <c r="P693" s="103"/>
      <c r="Q693" s="103"/>
      <c r="R693" s="103"/>
      <c r="S693" s="103"/>
      <c r="T693" s="103"/>
      <c r="U693" s="103"/>
      <c r="V693" s="103"/>
      <c r="W693" s="103"/>
      <c r="X693" s="103"/>
      <c r="Y693" s="103"/>
      <c r="Z693" s="103"/>
    </row>
    <row r="694" spans="1:26" ht="15.75" customHeight="1">
      <c r="A694" s="101"/>
      <c r="B694" s="103"/>
      <c r="C694" s="103"/>
      <c r="D694" s="103"/>
      <c r="E694" s="103"/>
      <c r="F694" s="103"/>
      <c r="G694" s="103"/>
      <c r="H694" s="103"/>
      <c r="I694" s="103"/>
      <c r="J694" s="103"/>
      <c r="K694" s="103"/>
      <c r="L694" s="103"/>
      <c r="M694" s="103"/>
      <c r="N694" s="103"/>
      <c r="O694" s="103"/>
      <c r="P694" s="103"/>
      <c r="Q694" s="103"/>
      <c r="R694" s="103"/>
      <c r="S694" s="103"/>
      <c r="T694" s="103"/>
      <c r="U694" s="103"/>
      <c r="V694" s="103"/>
      <c r="W694" s="103"/>
      <c r="X694" s="103"/>
      <c r="Y694" s="103"/>
      <c r="Z694" s="103"/>
    </row>
    <row r="695" spans="1:26" ht="15.75" customHeight="1">
      <c r="A695" s="101"/>
      <c r="B695" s="103"/>
      <c r="C695" s="103"/>
      <c r="D695" s="103"/>
      <c r="E695" s="103"/>
      <c r="F695" s="103"/>
      <c r="G695" s="103"/>
      <c r="H695" s="103"/>
      <c r="I695" s="103"/>
      <c r="J695" s="103"/>
      <c r="K695" s="103"/>
      <c r="L695" s="103"/>
      <c r="M695" s="103"/>
      <c r="N695" s="103"/>
      <c r="O695" s="103"/>
      <c r="P695" s="103"/>
      <c r="Q695" s="103"/>
      <c r="R695" s="103"/>
      <c r="S695" s="103"/>
      <c r="T695" s="103"/>
      <c r="U695" s="103"/>
      <c r="V695" s="103"/>
      <c r="W695" s="103"/>
      <c r="X695" s="103"/>
      <c r="Y695" s="103"/>
      <c r="Z695" s="103"/>
    </row>
    <row r="696" spans="1:26" ht="15.75" customHeight="1">
      <c r="A696" s="101"/>
      <c r="B696" s="103"/>
      <c r="C696" s="103"/>
      <c r="D696" s="103"/>
      <c r="E696" s="103"/>
      <c r="F696" s="103"/>
      <c r="G696" s="103"/>
      <c r="H696" s="103"/>
      <c r="I696" s="103"/>
      <c r="J696" s="103"/>
      <c r="K696" s="103"/>
      <c r="L696" s="103"/>
      <c r="M696" s="103"/>
      <c r="N696" s="103"/>
      <c r="O696" s="103"/>
      <c r="P696" s="103"/>
      <c r="Q696" s="103"/>
      <c r="R696" s="103"/>
      <c r="S696" s="103"/>
      <c r="T696" s="103"/>
      <c r="U696" s="103"/>
      <c r="V696" s="103"/>
      <c r="W696" s="103"/>
      <c r="X696" s="103"/>
      <c r="Y696" s="103"/>
      <c r="Z696" s="103"/>
    </row>
    <row r="697" spans="1:26" ht="15.75" customHeight="1">
      <c r="A697" s="101"/>
      <c r="B697" s="103"/>
      <c r="C697" s="103"/>
      <c r="D697" s="103"/>
      <c r="E697" s="103"/>
      <c r="F697" s="103"/>
      <c r="G697" s="103"/>
      <c r="H697" s="103"/>
      <c r="I697" s="103"/>
      <c r="J697" s="103"/>
      <c r="K697" s="103"/>
      <c r="L697" s="103"/>
      <c r="M697" s="103"/>
      <c r="N697" s="103"/>
      <c r="O697" s="103"/>
      <c r="P697" s="103"/>
      <c r="Q697" s="103"/>
      <c r="R697" s="103"/>
      <c r="S697" s="103"/>
      <c r="T697" s="103"/>
      <c r="U697" s="103"/>
      <c r="V697" s="103"/>
      <c r="W697" s="103"/>
      <c r="X697" s="103"/>
      <c r="Y697" s="103"/>
      <c r="Z697" s="103"/>
    </row>
    <row r="698" spans="1:26" ht="15.75" customHeight="1">
      <c r="A698" s="101"/>
      <c r="B698" s="103"/>
      <c r="C698" s="103"/>
      <c r="D698" s="103"/>
      <c r="E698" s="103"/>
      <c r="F698" s="103"/>
      <c r="G698" s="103"/>
      <c r="H698" s="103"/>
      <c r="I698" s="103"/>
      <c r="J698" s="103"/>
      <c r="K698" s="103"/>
      <c r="L698" s="103"/>
      <c r="M698" s="103"/>
      <c r="N698" s="103"/>
      <c r="O698" s="103"/>
      <c r="P698" s="103"/>
      <c r="Q698" s="103"/>
      <c r="R698" s="103"/>
      <c r="S698" s="103"/>
      <c r="T698" s="103"/>
      <c r="U698" s="103"/>
      <c r="V698" s="103"/>
      <c r="W698" s="103"/>
      <c r="X698" s="103"/>
      <c r="Y698" s="103"/>
      <c r="Z698" s="103"/>
    </row>
    <row r="699" spans="1:26" ht="15.75" customHeight="1">
      <c r="A699" s="101"/>
      <c r="B699" s="103"/>
      <c r="C699" s="103"/>
      <c r="D699" s="103"/>
      <c r="E699" s="103"/>
      <c r="F699" s="103"/>
      <c r="G699" s="103"/>
      <c r="H699" s="103"/>
      <c r="I699" s="103"/>
      <c r="J699" s="103"/>
      <c r="K699" s="103"/>
      <c r="L699" s="103"/>
      <c r="M699" s="103"/>
      <c r="N699" s="103"/>
      <c r="O699" s="103"/>
      <c r="P699" s="103"/>
      <c r="Q699" s="103"/>
      <c r="R699" s="103"/>
      <c r="S699" s="103"/>
      <c r="T699" s="103"/>
      <c r="U699" s="103"/>
      <c r="V699" s="103"/>
      <c r="W699" s="103"/>
      <c r="X699" s="103"/>
      <c r="Y699" s="103"/>
      <c r="Z699" s="103"/>
    </row>
    <row r="700" spans="1:26" ht="15.75" customHeight="1">
      <c r="A700" s="101"/>
      <c r="B700" s="103"/>
      <c r="C700" s="103"/>
      <c r="D700" s="103"/>
      <c r="E700" s="103"/>
      <c r="F700" s="103"/>
      <c r="G700" s="103"/>
      <c r="H700" s="103"/>
      <c r="I700" s="103"/>
      <c r="J700" s="103"/>
      <c r="K700" s="103"/>
      <c r="L700" s="103"/>
      <c r="M700" s="103"/>
      <c r="N700" s="103"/>
      <c r="O700" s="103"/>
      <c r="P700" s="103"/>
      <c r="Q700" s="103"/>
      <c r="R700" s="103"/>
      <c r="S700" s="103"/>
      <c r="T700" s="103"/>
      <c r="U700" s="103"/>
      <c r="V700" s="103"/>
      <c r="W700" s="103"/>
      <c r="X700" s="103"/>
      <c r="Y700" s="103"/>
      <c r="Z700" s="103"/>
    </row>
    <row r="701" spans="1:26" ht="15.75" customHeight="1">
      <c r="A701" s="101"/>
      <c r="B701" s="103"/>
      <c r="C701" s="103"/>
      <c r="D701" s="103"/>
      <c r="E701" s="103"/>
      <c r="F701" s="103"/>
      <c r="G701" s="103"/>
      <c r="H701" s="103"/>
      <c r="I701" s="103"/>
      <c r="J701" s="103"/>
      <c r="K701" s="103"/>
      <c r="L701" s="103"/>
      <c r="M701" s="103"/>
      <c r="N701" s="103"/>
      <c r="O701" s="103"/>
      <c r="P701" s="103"/>
      <c r="Q701" s="103"/>
      <c r="R701" s="103"/>
      <c r="S701" s="103"/>
      <c r="T701" s="103"/>
      <c r="U701" s="103"/>
      <c r="V701" s="103"/>
      <c r="W701" s="103"/>
      <c r="X701" s="103"/>
      <c r="Y701" s="103"/>
      <c r="Z701" s="103"/>
    </row>
    <row r="702" spans="1:26" ht="15.75" customHeight="1">
      <c r="A702" s="101"/>
      <c r="B702" s="103"/>
      <c r="C702" s="103"/>
      <c r="D702" s="103"/>
      <c r="E702" s="103"/>
      <c r="F702" s="103"/>
      <c r="G702" s="103"/>
      <c r="H702" s="103"/>
      <c r="I702" s="103"/>
      <c r="J702" s="103"/>
      <c r="K702" s="103"/>
      <c r="L702" s="103"/>
      <c r="M702" s="103"/>
      <c r="N702" s="103"/>
      <c r="O702" s="103"/>
      <c r="P702" s="103"/>
      <c r="Q702" s="103"/>
      <c r="R702" s="103"/>
      <c r="S702" s="103"/>
      <c r="T702" s="103"/>
      <c r="U702" s="103"/>
      <c r="V702" s="103"/>
      <c r="W702" s="103"/>
      <c r="X702" s="103"/>
      <c r="Y702" s="103"/>
      <c r="Z702" s="103"/>
    </row>
    <row r="703" spans="1:26" ht="15.75" customHeight="1">
      <c r="A703" s="101"/>
      <c r="B703" s="103"/>
      <c r="C703" s="103"/>
      <c r="D703" s="103"/>
      <c r="E703" s="103"/>
      <c r="F703" s="103"/>
      <c r="G703" s="103"/>
      <c r="H703" s="103"/>
      <c r="I703" s="103"/>
      <c r="J703" s="103"/>
      <c r="K703" s="103"/>
      <c r="L703" s="103"/>
      <c r="M703" s="103"/>
      <c r="N703" s="103"/>
      <c r="O703" s="103"/>
      <c r="P703" s="103"/>
      <c r="Q703" s="103"/>
      <c r="R703" s="103"/>
      <c r="S703" s="103"/>
      <c r="T703" s="103"/>
      <c r="U703" s="103"/>
      <c r="V703" s="103"/>
      <c r="W703" s="103"/>
      <c r="X703" s="103"/>
      <c r="Y703" s="103"/>
      <c r="Z703" s="103"/>
    </row>
    <row r="704" spans="1:26" ht="15.75" customHeight="1">
      <c r="A704" s="101"/>
      <c r="B704" s="103"/>
      <c r="C704" s="103"/>
      <c r="D704" s="103"/>
      <c r="E704" s="103"/>
      <c r="F704" s="103"/>
      <c r="G704" s="103"/>
      <c r="H704" s="103"/>
      <c r="I704" s="103"/>
      <c r="J704" s="103"/>
      <c r="K704" s="103"/>
      <c r="L704" s="103"/>
      <c r="M704" s="103"/>
      <c r="N704" s="103"/>
      <c r="O704" s="103"/>
      <c r="P704" s="103"/>
      <c r="Q704" s="103"/>
      <c r="R704" s="103"/>
      <c r="S704" s="103"/>
      <c r="T704" s="103"/>
      <c r="U704" s="103"/>
      <c r="V704" s="103"/>
      <c r="W704" s="103"/>
      <c r="X704" s="103"/>
      <c r="Y704" s="103"/>
      <c r="Z704" s="103"/>
    </row>
    <row r="705" spans="1:26" ht="15.75" customHeight="1">
      <c r="A705" s="101"/>
      <c r="B705" s="103"/>
      <c r="C705" s="103"/>
      <c r="D705" s="103"/>
      <c r="E705" s="103"/>
      <c r="F705" s="103"/>
      <c r="G705" s="103"/>
      <c r="H705" s="103"/>
      <c r="I705" s="103"/>
      <c r="J705" s="103"/>
      <c r="K705" s="103"/>
      <c r="L705" s="103"/>
      <c r="M705" s="103"/>
      <c r="N705" s="103"/>
      <c r="O705" s="103"/>
      <c r="P705" s="103"/>
      <c r="Q705" s="103"/>
      <c r="R705" s="103"/>
      <c r="S705" s="103"/>
      <c r="T705" s="103"/>
      <c r="U705" s="103"/>
      <c r="V705" s="103"/>
      <c r="W705" s="103"/>
      <c r="X705" s="103"/>
      <c r="Y705" s="103"/>
      <c r="Z705" s="103"/>
    </row>
    <row r="706" spans="1:26" ht="15.75" customHeight="1">
      <c r="A706" s="101"/>
      <c r="B706" s="103"/>
      <c r="C706" s="103"/>
      <c r="D706" s="103"/>
      <c r="E706" s="103"/>
      <c r="F706" s="103"/>
      <c r="G706" s="103"/>
      <c r="H706" s="103"/>
      <c r="I706" s="103"/>
      <c r="J706" s="103"/>
      <c r="K706" s="103"/>
      <c r="L706" s="103"/>
      <c r="M706" s="103"/>
      <c r="N706" s="103"/>
      <c r="O706" s="103"/>
      <c r="P706" s="103"/>
      <c r="Q706" s="103"/>
      <c r="R706" s="103"/>
      <c r="S706" s="103"/>
      <c r="T706" s="103"/>
      <c r="U706" s="103"/>
      <c r="V706" s="103"/>
      <c r="W706" s="103"/>
      <c r="X706" s="103"/>
      <c r="Y706" s="103"/>
      <c r="Z706" s="103"/>
    </row>
    <row r="707" spans="1:26" ht="15.75" customHeight="1">
      <c r="A707" s="101"/>
      <c r="B707" s="103"/>
      <c r="C707" s="103"/>
      <c r="D707" s="103"/>
      <c r="E707" s="103"/>
      <c r="F707" s="103"/>
      <c r="G707" s="103"/>
      <c r="H707" s="103"/>
      <c r="I707" s="103"/>
      <c r="J707" s="103"/>
      <c r="K707" s="103"/>
      <c r="L707" s="103"/>
      <c r="M707" s="103"/>
      <c r="N707" s="103"/>
      <c r="O707" s="103"/>
      <c r="P707" s="103"/>
      <c r="Q707" s="103"/>
      <c r="R707" s="103"/>
      <c r="S707" s="103"/>
      <c r="T707" s="103"/>
      <c r="U707" s="103"/>
      <c r="V707" s="103"/>
      <c r="W707" s="103"/>
      <c r="X707" s="103"/>
      <c r="Y707" s="103"/>
      <c r="Z707" s="103"/>
    </row>
    <row r="708" spans="1:26" ht="15.75" customHeight="1">
      <c r="A708" s="101"/>
      <c r="B708" s="103"/>
      <c r="C708" s="103"/>
      <c r="D708" s="103"/>
      <c r="E708" s="103"/>
      <c r="F708" s="103"/>
      <c r="G708" s="103"/>
      <c r="H708" s="103"/>
      <c r="I708" s="103"/>
      <c r="J708" s="103"/>
      <c r="K708" s="103"/>
      <c r="L708" s="103"/>
      <c r="M708" s="103"/>
      <c r="N708" s="103"/>
      <c r="O708" s="103"/>
      <c r="P708" s="103"/>
      <c r="Q708" s="103"/>
      <c r="R708" s="103"/>
      <c r="S708" s="103"/>
      <c r="T708" s="103"/>
      <c r="U708" s="103"/>
      <c r="V708" s="103"/>
      <c r="W708" s="103"/>
      <c r="X708" s="103"/>
      <c r="Y708" s="103"/>
      <c r="Z708" s="103"/>
    </row>
    <row r="709" spans="1:26" ht="15.75" customHeight="1">
      <c r="A709" s="101"/>
      <c r="B709" s="103"/>
      <c r="C709" s="103"/>
      <c r="D709" s="103"/>
      <c r="E709" s="103"/>
      <c r="F709" s="103"/>
      <c r="G709" s="103"/>
      <c r="H709" s="103"/>
      <c r="I709" s="103"/>
      <c r="J709" s="103"/>
      <c r="K709" s="103"/>
      <c r="L709" s="103"/>
      <c r="M709" s="103"/>
      <c r="N709" s="103"/>
      <c r="O709" s="103"/>
      <c r="P709" s="103"/>
      <c r="Q709" s="103"/>
      <c r="R709" s="103"/>
      <c r="S709" s="103"/>
      <c r="T709" s="103"/>
      <c r="U709" s="103"/>
      <c r="V709" s="103"/>
      <c r="W709" s="103"/>
      <c r="X709" s="103"/>
      <c r="Y709" s="103"/>
      <c r="Z709" s="103"/>
    </row>
    <row r="710" spans="1:26" ht="15.75" customHeight="1">
      <c r="A710" s="101"/>
      <c r="B710" s="103"/>
      <c r="C710" s="103"/>
      <c r="D710" s="103"/>
      <c r="E710" s="103"/>
      <c r="F710" s="103"/>
      <c r="G710" s="103"/>
      <c r="H710" s="103"/>
      <c r="I710" s="103"/>
      <c r="J710" s="103"/>
      <c r="K710" s="103"/>
      <c r="L710" s="103"/>
      <c r="M710" s="103"/>
      <c r="N710" s="103"/>
      <c r="O710" s="103"/>
      <c r="P710" s="103"/>
      <c r="Q710" s="103"/>
      <c r="R710" s="103"/>
      <c r="S710" s="103"/>
      <c r="T710" s="103"/>
      <c r="U710" s="103"/>
      <c r="V710" s="103"/>
      <c r="W710" s="103"/>
      <c r="X710" s="103"/>
      <c r="Y710" s="103"/>
      <c r="Z710" s="103"/>
    </row>
    <row r="711" spans="1:26" ht="15.75" customHeight="1">
      <c r="A711" s="101"/>
      <c r="B711" s="103"/>
      <c r="C711" s="103"/>
      <c r="D711" s="103"/>
      <c r="E711" s="103"/>
      <c r="F711" s="103"/>
      <c r="G711" s="103"/>
      <c r="H711" s="103"/>
      <c r="I711" s="103"/>
      <c r="J711" s="103"/>
      <c r="K711" s="103"/>
      <c r="L711" s="103"/>
      <c r="M711" s="103"/>
      <c r="N711" s="103"/>
      <c r="O711" s="103"/>
      <c r="P711" s="103"/>
      <c r="Q711" s="103"/>
      <c r="R711" s="103"/>
      <c r="S711" s="103"/>
      <c r="T711" s="103"/>
      <c r="U711" s="103"/>
      <c r="V711" s="103"/>
      <c r="W711" s="103"/>
      <c r="X711" s="103"/>
      <c r="Y711" s="103"/>
      <c r="Z711" s="103"/>
    </row>
    <row r="712" spans="1:26" ht="15.75" customHeight="1">
      <c r="A712" s="101"/>
      <c r="B712" s="103"/>
      <c r="C712" s="103"/>
      <c r="D712" s="103"/>
      <c r="E712" s="103"/>
      <c r="F712" s="103"/>
      <c r="G712" s="103"/>
      <c r="H712" s="103"/>
      <c r="I712" s="103"/>
      <c r="J712" s="103"/>
      <c r="K712" s="103"/>
      <c r="L712" s="103"/>
      <c r="M712" s="103"/>
      <c r="N712" s="103"/>
      <c r="O712" s="103"/>
      <c r="P712" s="103"/>
      <c r="Q712" s="103"/>
      <c r="R712" s="103"/>
      <c r="S712" s="103"/>
      <c r="T712" s="103"/>
      <c r="U712" s="103"/>
      <c r="V712" s="103"/>
      <c r="W712" s="103"/>
      <c r="X712" s="103"/>
      <c r="Y712" s="103"/>
      <c r="Z712" s="103"/>
    </row>
    <row r="713" spans="1:26" ht="15.75" customHeight="1">
      <c r="A713" s="101"/>
      <c r="B713" s="103"/>
      <c r="C713" s="103"/>
      <c r="D713" s="103"/>
      <c r="E713" s="103"/>
      <c r="F713" s="103"/>
      <c r="G713" s="103"/>
      <c r="H713" s="103"/>
      <c r="I713" s="103"/>
      <c r="J713" s="103"/>
      <c r="K713" s="103"/>
      <c r="L713" s="103"/>
      <c r="M713" s="103"/>
      <c r="N713" s="103"/>
      <c r="O713" s="103"/>
      <c r="P713" s="103"/>
      <c r="Q713" s="103"/>
      <c r="R713" s="103"/>
      <c r="S713" s="103"/>
      <c r="T713" s="103"/>
      <c r="U713" s="103"/>
      <c r="V713" s="103"/>
      <c r="W713" s="103"/>
      <c r="X713" s="103"/>
      <c r="Y713" s="103"/>
      <c r="Z713" s="103"/>
    </row>
    <row r="714" spans="1:26" ht="15.75" customHeight="1">
      <c r="A714" s="101"/>
      <c r="B714" s="103"/>
      <c r="C714" s="103"/>
      <c r="D714" s="103"/>
      <c r="E714" s="103"/>
      <c r="F714" s="103"/>
      <c r="G714" s="103"/>
      <c r="H714" s="103"/>
      <c r="I714" s="103"/>
      <c r="J714" s="103"/>
      <c r="K714" s="103"/>
      <c r="L714" s="103"/>
      <c r="M714" s="103"/>
      <c r="N714" s="103"/>
      <c r="O714" s="103"/>
      <c r="P714" s="103"/>
      <c r="Q714" s="103"/>
      <c r="R714" s="103"/>
      <c r="S714" s="103"/>
      <c r="T714" s="103"/>
      <c r="U714" s="103"/>
      <c r="V714" s="103"/>
      <c r="W714" s="103"/>
      <c r="X714" s="103"/>
      <c r="Y714" s="103"/>
      <c r="Z714" s="103"/>
    </row>
    <row r="715" spans="1:26" ht="15.75" customHeight="1">
      <c r="A715" s="101"/>
      <c r="B715" s="103"/>
      <c r="C715" s="103"/>
      <c r="D715" s="103"/>
      <c r="E715" s="103"/>
      <c r="F715" s="103"/>
      <c r="G715" s="103"/>
      <c r="H715" s="103"/>
      <c r="I715" s="103"/>
      <c r="J715" s="103"/>
      <c r="K715" s="103"/>
      <c r="L715" s="103"/>
      <c r="M715" s="103"/>
      <c r="N715" s="103"/>
      <c r="O715" s="103"/>
      <c r="P715" s="103"/>
      <c r="Q715" s="103"/>
      <c r="R715" s="103"/>
      <c r="S715" s="103"/>
      <c r="T715" s="103"/>
      <c r="U715" s="103"/>
      <c r="V715" s="103"/>
      <c r="W715" s="103"/>
      <c r="X715" s="103"/>
      <c r="Y715" s="103"/>
      <c r="Z715" s="103"/>
    </row>
    <row r="716" spans="1:26" ht="15.75" customHeight="1">
      <c r="A716" s="101"/>
      <c r="B716" s="103"/>
      <c r="C716" s="103"/>
      <c r="D716" s="103"/>
      <c r="E716" s="103"/>
      <c r="F716" s="103"/>
      <c r="G716" s="103"/>
      <c r="H716" s="103"/>
      <c r="I716" s="103"/>
      <c r="J716" s="103"/>
      <c r="K716" s="103"/>
      <c r="L716" s="103"/>
      <c r="M716" s="103"/>
      <c r="N716" s="103"/>
      <c r="O716" s="103"/>
      <c r="P716" s="103"/>
      <c r="Q716" s="103"/>
      <c r="R716" s="103"/>
      <c r="S716" s="103"/>
      <c r="T716" s="103"/>
      <c r="U716" s="103"/>
      <c r="V716" s="103"/>
      <c r="W716" s="103"/>
      <c r="X716" s="103"/>
      <c r="Y716" s="103"/>
      <c r="Z716" s="103"/>
    </row>
    <row r="717" spans="1:26" ht="15.75" customHeight="1">
      <c r="A717" s="101"/>
      <c r="B717" s="103"/>
      <c r="C717" s="103"/>
      <c r="D717" s="103"/>
      <c r="E717" s="103"/>
      <c r="F717" s="103"/>
      <c r="G717" s="103"/>
      <c r="H717" s="103"/>
      <c r="I717" s="103"/>
      <c r="J717" s="103"/>
      <c r="K717" s="103"/>
      <c r="L717" s="103"/>
      <c r="M717" s="103"/>
      <c r="N717" s="103"/>
      <c r="O717" s="103"/>
      <c r="P717" s="103"/>
      <c r="Q717" s="103"/>
      <c r="R717" s="103"/>
      <c r="S717" s="103"/>
      <c r="T717" s="103"/>
      <c r="U717" s="103"/>
      <c r="V717" s="103"/>
      <c r="W717" s="103"/>
      <c r="X717" s="103"/>
      <c r="Y717" s="103"/>
      <c r="Z717" s="103"/>
    </row>
    <row r="718" spans="1:26" ht="15.75" customHeight="1">
      <c r="A718" s="101"/>
      <c r="B718" s="103"/>
      <c r="C718" s="103"/>
      <c r="D718" s="103"/>
      <c r="E718" s="103"/>
      <c r="F718" s="103"/>
      <c r="G718" s="103"/>
      <c r="H718" s="103"/>
      <c r="I718" s="103"/>
      <c r="J718" s="103"/>
      <c r="K718" s="103"/>
      <c r="L718" s="103"/>
      <c r="M718" s="103"/>
      <c r="N718" s="103"/>
      <c r="O718" s="103"/>
      <c r="P718" s="103"/>
      <c r="Q718" s="103"/>
      <c r="R718" s="103"/>
      <c r="S718" s="103"/>
      <c r="T718" s="103"/>
      <c r="U718" s="103"/>
      <c r="V718" s="103"/>
      <c r="W718" s="103"/>
      <c r="X718" s="103"/>
      <c r="Y718" s="103"/>
      <c r="Z718" s="103"/>
    </row>
    <row r="719" spans="1:26" ht="15.75" customHeight="1">
      <c r="A719" s="101"/>
      <c r="B719" s="103"/>
      <c r="C719" s="103"/>
      <c r="D719" s="103"/>
      <c r="E719" s="103"/>
      <c r="F719" s="103"/>
      <c r="G719" s="103"/>
      <c r="H719" s="103"/>
      <c r="I719" s="103"/>
      <c r="J719" s="103"/>
      <c r="K719" s="103"/>
      <c r="L719" s="103"/>
      <c r="M719" s="103"/>
      <c r="N719" s="103"/>
      <c r="O719" s="103"/>
      <c r="P719" s="103"/>
      <c r="Q719" s="103"/>
      <c r="R719" s="103"/>
      <c r="S719" s="103"/>
      <c r="T719" s="103"/>
      <c r="U719" s="103"/>
      <c r="V719" s="103"/>
      <c r="W719" s="103"/>
      <c r="X719" s="103"/>
      <c r="Y719" s="103"/>
      <c r="Z719" s="103"/>
    </row>
    <row r="720" spans="1:26" ht="15.75" customHeight="1">
      <c r="A720" s="101"/>
      <c r="B720" s="103"/>
      <c r="C720" s="103"/>
      <c r="D720" s="103"/>
      <c r="E720" s="103"/>
      <c r="F720" s="103"/>
      <c r="G720" s="103"/>
      <c r="H720" s="103"/>
      <c r="I720" s="103"/>
      <c r="J720" s="103"/>
      <c r="K720" s="103"/>
      <c r="L720" s="103"/>
      <c r="M720" s="103"/>
      <c r="N720" s="103"/>
      <c r="O720" s="103"/>
      <c r="P720" s="103"/>
      <c r="Q720" s="103"/>
      <c r="R720" s="103"/>
      <c r="S720" s="103"/>
      <c r="T720" s="103"/>
      <c r="U720" s="103"/>
      <c r="V720" s="103"/>
      <c r="W720" s="103"/>
      <c r="X720" s="103"/>
      <c r="Y720" s="103"/>
      <c r="Z720" s="103"/>
    </row>
    <row r="721" spans="1:26" ht="15.75" customHeight="1">
      <c r="A721" s="101"/>
      <c r="B721" s="103"/>
      <c r="C721" s="103"/>
      <c r="D721" s="103"/>
      <c r="E721" s="103"/>
      <c r="F721" s="103"/>
      <c r="G721" s="103"/>
      <c r="H721" s="103"/>
      <c r="I721" s="103"/>
      <c r="J721" s="103"/>
      <c r="K721" s="103"/>
      <c r="L721" s="103"/>
      <c r="M721" s="103"/>
      <c r="N721" s="103"/>
      <c r="O721" s="103"/>
      <c r="P721" s="103"/>
      <c r="Q721" s="103"/>
      <c r="R721" s="103"/>
      <c r="S721" s="103"/>
      <c r="T721" s="103"/>
      <c r="U721" s="103"/>
      <c r="V721" s="103"/>
      <c r="W721" s="103"/>
      <c r="X721" s="103"/>
      <c r="Y721" s="103"/>
      <c r="Z721" s="103"/>
    </row>
    <row r="722" spans="1:26" ht="15.75" customHeight="1">
      <c r="A722" s="101"/>
      <c r="B722" s="103"/>
      <c r="C722" s="103"/>
      <c r="D722" s="103"/>
      <c r="E722" s="103"/>
      <c r="F722" s="103"/>
      <c r="G722" s="103"/>
      <c r="H722" s="103"/>
      <c r="I722" s="103"/>
      <c r="J722" s="103"/>
      <c r="K722" s="103"/>
      <c r="L722" s="103"/>
      <c r="M722" s="103"/>
      <c r="N722" s="103"/>
      <c r="O722" s="103"/>
      <c r="P722" s="103"/>
      <c r="Q722" s="103"/>
      <c r="R722" s="103"/>
      <c r="S722" s="103"/>
      <c r="T722" s="103"/>
      <c r="U722" s="103"/>
      <c r="V722" s="103"/>
      <c r="W722" s="103"/>
      <c r="X722" s="103"/>
      <c r="Y722" s="103"/>
      <c r="Z722" s="103"/>
    </row>
    <row r="723" spans="1:26" ht="15.75" customHeight="1">
      <c r="A723" s="101"/>
      <c r="B723" s="103"/>
      <c r="C723" s="103"/>
      <c r="D723" s="103"/>
      <c r="E723" s="103"/>
      <c r="F723" s="103"/>
      <c r="G723" s="103"/>
      <c r="H723" s="103"/>
      <c r="I723" s="103"/>
      <c r="J723" s="103"/>
      <c r="K723" s="103"/>
      <c r="L723" s="103"/>
      <c r="M723" s="103"/>
      <c r="N723" s="103"/>
      <c r="O723" s="103"/>
      <c r="P723" s="103"/>
      <c r="Q723" s="103"/>
      <c r="R723" s="103"/>
      <c r="S723" s="103"/>
      <c r="T723" s="103"/>
      <c r="U723" s="103"/>
      <c r="V723" s="103"/>
      <c r="W723" s="103"/>
      <c r="X723" s="103"/>
      <c r="Y723" s="103"/>
      <c r="Z723" s="103"/>
    </row>
    <row r="724" spans="1:26" ht="15.75" customHeight="1">
      <c r="A724" s="101"/>
      <c r="B724" s="103"/>
      <c r="C724" s="103"/>
      <c r="D724" s="103"/>
      <c r="E724" s="103"/>
      <c r="F724" s="103"/>
      <c r="G724" s="103"/>
      <c r="H724" s="103"/>
      <c r="I724" s="103"/>
      <c r="J724" s="103"/>
      <c r="K724" s="103"/>
      <c r="L724" s="103"/>
      <c r="M724" s="103"/>
      <c r="N724" s="103"/>
      <c r="O724" s="103"/>
      <c r="P724" s="103"/>
      <c r="Q724" s="103"/>
      <c r="R724" s="103"/>
      <c r="S724" s="103"/>
      <c r="T724" s="103"/>
      <c r="U724" s="103"/>
      <c r="V724" s="103"/>
      <c r="W724" s="103"/>
      <c r="X724" s="103"/>
      <c r="Y724" s="103"/>
      <c r="Z724" s="103"/>
    </row>
    <row r="725" spans="1:26" ht="15.75" customHeight="1">
      <c r="A725" s="101"/>
      <c r="B725" s="103"/>
      <c r="C725" s="103"/>
      <c r="D725" s="103"/>
      <c r="E725" s="103"/>
      <c r="F725" s="103"/>
      <c r="G725" s="103"/>
      <c r="H725" s="103"/>
      <c r="I725" s="103"/>
      <c r="J725" s="103"/>
      <c r="K725" s="103"/>
      <c r="L725" s="103"/>
      <c r="M725" s="103"/>
      <c r="N725" s="103"/>
      <c r="O725" s="103"/>
      <c r="P725" s="103"/>
      <c r="Q725" s="103"/>
      <c r="R725" s="103"/>
      <c r="S725" s="103"/>
      <c r="T725" s="103"/>
      <c r="U725" s="103"/>
      <c r="V725" s="103"/>
      <c r="W725" s="103"/>
      <c r="X725" s="103"/>
      <c r="Y725" s="103"/>
      <c r="Z725" s="103"/>
    </row>
    <row r="726" spans="1:26" ht="15.75" customHeight="1">
      <c r="A726" s="101"/>
      <c r="B726" s="103"/>
      <c r="C726" s="103"/>
      <c r="D726" s="103"/>
      <c r="E726" s="103"/>
      <c r="F726" s="103"/>
      <c r="G726" s="103"/>
      <c r="H726" s="103"/>
      <c r="I726" s="103"/>
      <c r="J726" s="103"/>
      <c r="K726" s="103"/>
      <c r="L726" s="103"/>
      <c r="M726" s="103"/>
      <c r="N726" s="103"/>
      <c r="O726" s="103"/>
      <c r="P726" s="103"/>
      <c r="Q726" s="103"/>
      <c r="R726" s="103"/>
      <c r="S726" s="103"/>
      <c r="T726" s="103"/>
      <c r="U726" s="103"/>
      <c r="V726" s="103"/>
      <c r="W726" s="103"/>
      <c r="X726" s="103"/>
      <c r="Y726" s="103"/>
      <c r="Z726" s="103"/>
    </row>
    <row r="727" spans="1:26" ht="15.75" customHeight="1">
      <c r="A727" s="101"/>
      <c r="B727" s="103"/>
      <c r="C727" s="103"/>
      <c r="D727" s="103"/>
      <c r="E727" s="103"/>
      <c r="F727" s="103"/>
      <c r="G727" s="103"/>
      <c r="H727" s="103"/>
      <c r="I727" s="103"/>
      <c r="J727" s="103"/>
      <c r="K727" s="103"/>
      <c r="L727" s="103"/>
      <c r="M727" s="103"/>
      <c r="N727" s="103"/>
      <c r="O727" s="103"/>
      <c r="P727" s="103"/>
      <c r="Q727" s="103"/>
      <c r="R727" s="103"/>
      <c r="S727" s="103"/>
      <c r="T727" s="103"/>
      <c r="U727" s="103"/>
      <c r="V727" s="103"/>
      <c r="W727" s="103"/>
      <c r="X727" s="103"/>
      <c r="Y727" s="103"/>
      <c r="Z727" s="103"/>
    </row>
    <row r="728" spans="1:26" ht="15.75" customHeight="1">
      <c r="A728" s="101"/>
      <c r="B728" s="103"/>
      <c r="C728" s="103"/>
      <c r="D728" s="103"/>
      <c r="E728" s="103"/>
      <c r="F728" s="103"/>
      <c r="G728" s="103"/>
      <c r="H728" s="103"/>
      <c r="I728" s="103"/>
      <c r="J728" s="103"/>
      <c r="K728" s="103"/>
      <c r="L728" s="103"/>
      <c r="M728" s="103"/>
      <c r="N728" s="103"/>
      <c r="O728" s="103"/>
      <c r="P728" s="103"/>
      <c r="Q728" s="103"/>
      <c r="R728" s="103"/>
      <c r="S728" s="103"/>
      <c r="T728" s="103"/>
      <c r="U728" s="103"/>
      <c r="V728" s="103"/>
      <c r="W728" s="103"/>
      <c r="X728" s="103"/>
      <c r="Y728" s="103"/>
      <c r="Z728" s="103"/>
    </row>
    <row r="729" spans="1:26" ht="15.75" customHeight="1">
      <c r="A729" s="101"/>
      <c r="B729" s="103"/>
      <c r="C729" s="103"/>
      <c r="D729" s="103"/>
      <c r="E729" s="103"/>
      <c r="F729" s="103"/>
      <c r="G729" s="103"/>
      <c r="H729" s="103"/>
      <c r="I729" s="103"/>
      <c r="J729" s="103"/>
      <c r="K729" s="103"/>
      <c r="L729" s="103"/>
      <c r="M729" s="103"/>
      <c r="N729" s="103"/>
      <c r="O729" s="103"/>
      <c r="P729" s="103"/>
      <c r="Q729" s="103"/>
      <c r="R729" s="103"/>
      <c r="S729" s="103"/>
      <c r="T729" s="103"/>
      <c r="U729" s="103"/>
      <c r="V729" s="103"/>
      <c r="W729" s="103"/>
      <c r="X729" s="103"/>
      <c r="Y729" s="103"/>
      <c r="Z729" s="103"/>
    </row>
    <row r="730" spans="1:26" ht="15.75" customHeight="1">
      <c r="A730" s="101"/>
      <c r="B730" s="103"/>
      <c r="C730" s="103"/>
      <c r="D730" s="103"/>
      <c r="E730" s="103"/>
      <c r="F730" s="103"/>
      <c r="G730" s="103"/>
      <c r="H730" s="103"/>
      <c r="I730" s="103"/>
      <c r="J730" s="103"/>
      <c r="K730" s="103"/>
      <c r="L730" s="103"/>
      <c r="M730" s="103"/>
      <c r="N730" s="103"/>
      <c r="O730" s="103"/>
      <c r="P730" s="103"/>
      <c r="Q730" s="103"/>
      <c r="R730" s="103"/>
      <c r="S730" s="103"/>
      <c r="T730" s="103"/>
      <c r="U730" s="103"/>
      <c r="V730" s="103"/>
      <c r="W730" s="103"/>
      <c r="X730" s="103"/>
      <c r="Y730" s="103"/>
      <c r="Z730" s="103"/>
    </row>
    <row r="731" spans="1:26" ht="15.75" customHeight="1">
      <c r="A731" s="101"/>
      <c r="B731" s="103"/>
      <c r="C731" s="103"/>
      <c r="D731" s="103"/>
      <c r="E731" s="103"/>
      <c r="F731" s="103"/>
      <c r="G731" s="103"/>
      <c r="H731" s="103"/>
      <c r="I731" s="103"/>
      <c r="J731" s="103"/>
      <c r="K731" s="103"/>
      <c r="L731" s="103"/>
      <c r="M731" s="103"/>
      <c r="N731" s="103"/>
      <c r="O731" s="103"/>
      <c r="P731" s="103"/>
      <c r="Q731" s="103"/>
      <c r="R731" s="103"/>
      <c r="S731" s="103"/>
      <c r="T731" s="103"/>
      <c r="U731" s="103"/>
      <c r="V731" s="103"/>
      <c r="W731" s="103"/>
      <c r="X731" s="103"/>
      <c r="Y731" s="103"/>
      <c r="Z731" s="103"/>
    </row>
    <row r="732" spans="1:26" ht="15.75" customHeight="1">
      <c r="A732" s="101"/>
      <c r="B732" s="103"/>
      <c r="C732" s="103"/>
      <c r="D732" s="103"/>
      <c r="E732" s="103"/>
      <c r="F732" s="103"/>
      <c r="G732" s="103"/>
      <c r="H732" s="103"/>
      <c r="I732" s="103"/>
      <c r="J732" s="103"/>
      <c r="K732" s="103"/>
      <c r="L732" s="103"/>
      <c r="M732" s="103"/>
      <c r="N732" s="103"/>
      <c r="O732" s="103"/>
      <c r="P732" s="103"/>
      <c r="Q732" s="103"/>
      <c r="R732" s="103"/>
      <c r="S732" s="103"/>
      <c r="T732" s="103"/>
      <c r="U732" s="103"/>
      <c r="V732" s="103"/>
      <c r="W732" s="103"/>
      <c r="X732" s="103"/>
      <c r="Y732" s="103"/>
      <c r="Z732" s="103"/>
    </row>
    <row r="733" spans="1:26" ht="15.75" customHeight="1">
      <c r="A733" s="101"/>
      <c r="B733" s="103"/>
      <c r="C733" s="103"/>
      <c r="D733" s="103"/>
      <c r="E733" s="103"/>
      <c r="F733" s="103"/>
      <c r="G733" s="103"/>
      <c r="H733" s="103"/>
      <c r="I733" s="103"/>
      <c r="J733" s="103"/>
      <c r="K733" s="103"/>
      <c r="L733" s="103"/>
      <c r="M733" s="103"/>
      <c r="N733" s="103"/>
      <c r="O733" s="103"/>
      <c r="P733" s="103"/>
      <c r="Q733" s="103"/>
      <c r="R733" s="103"/>
      <c r="S733" s="103"/>
      <c r="T733" s="103"/>
      <c r="U733" s="103"/>
      <c r="V733" s="103"/>
      <c r="W733" s="103"/>
      <c r="X733" s="103"/>
      <c r="Y733" s="103"/>
      <c r="Z733" s="103"/>
    </row>
    <row r="734" spans="1:26" ht="15.75" customHeight="1">
      <c r="A734" s="101"/>
      <c r="B734" s="103"/>
      <c r="C734" s="103"/>
      <c r="D734" s="103"/>
      <c r="E734" s="103"/>
      <c r="F734" s="103"/>
      <c r="G734" s="103"/>
      <c r="H734" s="103"/>
      <c r="I734" s="103"/>
      <c r="J734" s="103"/>
      <c r="K734" s="103"/>
      <c r="L734" s="103"/>
      <c r="M734" s="103"/>
      <c r="N734" s="103"/>
      <c r="O734" s="103"/>
      <c r="P734" s="103"/>
      <c r="Q734" s="103"/>
      <c r="R734" s="103"/>
      <c r="S734" s="103"/>
      <c r="T734" s="103"/>
      <c r="U734" s="103"/>
      <c r="V734" s="103"/>
      <c r="W734" s="103"/>
      <c r="X734" s="103"/>
      <c r="Y734" s="103"/>
      <c r="Z734" s="103"/>
    </row>
    <row r="735" spans="1:26" ht="15.75" customHeight="1">
      <c r="A735" s="101"/>
      <c r="B735" s="103"/>
      <c r="C735" s="103"/>
      <c r="D735" s="103"/>
      <c r="E735" s="103"/>
      <c r="F735" s="103"/>
      <c r="G735" s="103"/>
      <c r="H735" s="103"/>
      <c r="I735" s="103"/>
      <c r="J735" s="103"/>
      <c r="K735" s="103"/>
      <c r="L735" s="103"/>
      <c r="M735" s="103"/>
      <c r="N735" s="103"/>
      <c r="O735" s="103"/>
      <c r="P735" s="103"/>
      <c r="Q735" s="103"/>
      <c r="R735" s="103"/>
      <c r="S735" s="103"/>
      <c r="T735" s="103"/>
      <c r="U735" s="103"/>
      <c r="V735" s="103"/>
      <c r="W735" s="103"/>
      <c r="X735" s="103"/>
      <c r="Y735" s="103"/>
      <c r="Z735" s="103"/>
    </row>
    <row r="736" spans="1:26" ht="15.75" customHeight="1">
      <c r="A736" s="101"/>
      <c r="B736" s="103"/>
      <c r="C736" s="103"/>
      <c r="D736" s="103"/>
      <c r="E736" s="103"/>
      <c r="F736" s="103"/>
      <c r="G736" s="103"/>
      <c r="H736" s="103"/>
      <c r="I736" s="103"/>
      <c r="J736" s="103"/>
      <c r="K736" s="103"/>
      <c r="L736" s="103"/>
      <c r="M736" s="103"/>
      <c r="N736" s="103"/>
      <c r="O736" s="103"/>
      <c r="P736" s="103"/>
      <c r="Q736" s="103"/>
      <c r="R736" s="103"/>
      <c r="S736" s="103"/>
      <c r="T736" s="103"/>
      <c r="U736" s="103"/>
      <c r="V736" s="103"/>
      <c r="W736" s="103"/>
      <c r="X736" s="103"/>
      <c r="Y736" s="103"/>
      <c r="Z736" s="103"/>
    </row>
    <row r="737" spans="1:26" ht="15.75" customHeight="1">
      <c r="A737" s="101"/>
      <c r="B737" s="103"/>
      <c r="C737" s="103"/>
      <c r="D737" s="103"/>
      <c r="E737" s="103"/>
      <c r="F737" s="103"/>
      <c r="G737" s="103"/>
      <c r="H737" s="103"/>
      <c r="I737" s="103"/>
      <c r="J737" s="103"/>
      <c r="K737" s="103"/>
      <c r="L737" s="103"/>
      <c r="M737" s="103"/>
      <c r="N737" s="103"/>
      <c r="O737" s="103"/>
      <c r="P737" s="103"/>
      <c r="Q737" s="103"/>
      <c r="R737" s="103"/>
      <c r="S737" s="103"/>
      <c r="T737" s="103"/>
      <c r="U737" s="103"/>
      <c r="V737" s="103"/>
      <c r="W737" s="103"/>
      <c r="X737" s="103"/>
      <c r="Y737" s="103"/>
      <c r="Z737" s="103"/>
    </row>
    <row r="738" spans="1:26" ht="15.75" customHeight="1">
      <c r="A738" s="101"/>
      <c r="B738" s="103"/>
      <c r="C738" s="103"/>
      <c r="D738" s="103"/>
      <c r="E738" s="103"/>
      <c r="F738" s="103"/>
      <c r="G738" s="103"/>
      <c r="H738" s="103"/>
      <c r="I738" s="103"/>
      <c r="J738" s="103"/>
      <c r="K738" s="103"/>
      <c r="L738" s="103"/>
      <c r="M738" s="103"/>
      <c r="N738" s="103"/>
      <c r="O738" s="103"/>
      <c r="P738" s="103"/>
      <c r="Q738" s="103"/>
      <c r="R738" s="103"/>
      <c r="S738" s="103"/>
      <c r="T738" s="103"/>
      <c r="U738" s="103"/>
      <c r="V738" s="103"/>
      <c r="W738" s="103"/>
      <c r="X738" s="103"/>
      <c r="Y738" s="103"/>
      <c r="Z738" s="103"/>
    </row>
    <row r="739" spans="1:26" ht="15.75" customHeight="1">
      <c r="A739" s="101"/>
      <c r="B739" s="103"/>
      <c r="C739" s="103"/>
      <c r="D739" s="103"/>
      <c r="E739" s="103"/>
      <c r="F739" s="103"/>
      <c r="G739" s="103"/>
      <c r="H739" s="103"/>
      <c r="I739" s="103"/>
      <c r="J739" s="103"/>
      <c r="K739" s="103"/>
      <c r="L739" s="103"/>
      <c r="M739" s="103"/>
      <c r="N739" s="103"/>
      <c r="O739" s="103"/>
      <c r="P739" s="103"/>
      <c r="Q739" s="103"/>
      <c r="R739" s="103"/>
      <c r="S739" s="103"/>
      <c r="T739" s="103"/>
      <c r="U739" s="103"/>
      <c r="V739" s="103"/>
      <c r="W739" s="103"/>
      <c r="X739" s="103"/>
      <c r="Y739" s="103"/>
      <c r="Z739" s="103"/>
    </row>
    <row r="740" spans="1:26" ht="15.75" customHeight="1">
      <c r="A740" s="101"/>
      <c r="B740" s="103"/>
      <c r="C740" s="103"/>
      <c r="D740" s="103"/>
      <c r="E740" s="103"/>
      <c r="F740" s="103"/>
      <c r="G740" s="103"/>
      <c r="H740" s="103"/>
      <c r="I740" s="103"/>
      <c r="J740" s="103"/>
      <c r="K740" s="103"/>
      <c r="L740" s="103"/>
      <c r="M740" s="103"/>
      <c r="N740" s="103"/>
      <c r="O740" s="103"/>
      <c r="P740" s="103"/>
      <c r="Q740" s="103"/>
      <c r="R740" s="103"/>
      <c r="S740" s="103"/>
      <c r="T740" s="103"/>
      <c r="U740" s="103"/>
      <c r="V740" s="103"/>
      <c r="W740" s="103"/>
      <c r="X740" s="103"/>
      <c r="Y740" s="103"/>
      <c r="Z740" s="103"/>
    </row>
    <row r="741" spans="1:26" ht="15.75" customHeight="1">
      <c r="A741" s="101"/>
      <c r="B741" s="103"/>
      <c r="C741" s="103"/>
      <c r="D741" s="103"/>
      <c r="E741" s="103"/>
      <c r="F741" s="103"/>
      <c r="G741" s="103"/>
      <c r="H741" s="103"/>
      <c r="I741" s="103"/>
      <c r="J741" s="103"/>
      <c r="K741" s="103"/>
      <c r="L741" s="103"/>
      <c r="M741" s="103"/>
      <c r="N741" s="103"/>
      <c r="O741" s="103"/>
      <c r="P741" s="103"/>
      <c r="Q741" s="103"/>
      <c r="R741" s="103"/>
      <c r="S741" s="103"/>
      <c r="T741" s="103"/>
      <c r="U741" s="103"/>
      <c r="V741" s="103"/>
      <c r="W741" s="103"/>
      <c r="X741" s="103"/>
      <c r="Y741" s="103"/>
      <c r="Z741" s="103"/>
    </row>
    <row r="742" spans="1:26" ht="15.75" customHeight="1">
      <c r="A742" s="101"/>
      <c r="B742" s="103"/>
      <c r="C742" s="103"/>
      <c r="D742" s="103"/>
      <c r="E742" s="103"/>
      <c r="F742" s="103"/>
      <c r="G742" s="103"/>
      <c r="H742" s="103"/>
      <c r="I742" s="103"/>
      <c r="J742" s="103"/>
      <c r="K742" s="103"/>
      <c r="L742" s="103"/>
      <c r="M742" s="103"/>
      <c r="N742" s="103"/>
      <c r="O742" s="103"/>
      <c r="P742" s="103"/>
      <c r="Q742" s="103"/>
      <c r="R742" s="103"/>
      <c r="S742" s="103"/>
      <c r="T742" s="103"/>
      <c r="U742" s="103"/>
      <c r="V742" s="103"/>
      <c r="W742" s="103"/>
      <c r="X742" s="103"/>
      <c r="Y742" s="103"/>
      <c r="Z742" s="103"/>
    </row>
    <row r="743" spans="1:26" ht="15.75" customHeight="1">
      <c r="A743" s="101"/>
      <c r="B743" s="103"/>
      <c r="C743" s="103"/>
      <c r="D743" s="103"/>
      <c r="E743" s="103"/>
      <c r="F743" s="103"/>
      <c r="G743" s="103"/>
      <c r="H743" s="103"/>
      <c r="I743" s="103"/>
      <c r="J743" s="103"/>
      <c r="K743" s="103"/>
      <c r="L743" s="103"/>
      <c r="M743" s="103"/>
      <c r="N743" s="103"/>
      <c r="O743" s="103"/>
      <c r="P743" s="103"/>
      <c r="Q743" s="103"/>
      <c r="R743" s="103"/>
      <c r="S743" s="103"/>
      <c r="T743" s="103"/>
      <c r="U743" s="103"/>
      <c r="V743" s="103"/>
      <c r="W743" s="103"/>
      <c r="X743" s="103"/>
      <c r="Y743" s="103"/>
      <c r="Z743" s="103"/>
    </row>
    <row r="744" spans="1:26" ht="15.75" customHeight="1">
      <c r="A744" s="101"/>
      <c r="B744" s="103"/>
      <c r="C744" s="103"/>
      <c r="D744" s="103"/>
      <c r="E744" s="103"/>
      <c r="F744" s="103"/>
      <c r="G744" s="103"/>
      <c r="H744" s="103"/>
      <c r="I744" s="103"/>
      <c r="J744" s="103"/>
      <c r="K744" s="103"/>
      <c r="L744" s="103"/>
      <c r="M744" s="103"/>
      <c r="N744" s="103"/>
      <c r="O744" s="103"/>
      <c r="P744" s="103"/>
      <c r="Q744" s="103"/>
      <c r="R744" s="103"/>
      <c r="S744" s="103"/>
      <c r="T744" s="103"/>
      <c r="U744" s="103"/>
      <c r="V744" s="103"/>
      <c r="W744" s="103"/>
      <c r="X744" s="103"/>
      <c r="Y744" s="103"/>
      <c r="Z744" s="103"/>
    </row>
    <row r="745" spans="1:26" ht="15.75" customHeight="1">
      <c r="A745" s="101"/>
      <c r="B745" s="103"/>
      <c r="C745" s="103"/>
      <c r="D745" s="103"/>
      <c r="E745" s="103"/>
      <c r="F745" s="103"/>
      <c r="G745" s="103"/>
      <c r="H745" s="103"/>
      <c r="I745" s="103"/>
      <c r="J745" s="103"/>
      <c r="K745" s="103"/>
      <c r="L745" s="103"/>
      <c r="M745" s="103"/>
      <c r="N745" s="103"/>
      <c r="O745" s="103"/>
      <c r="P745" s="103"/>
      <c r="Q745" s="103"/>
      <c r="R745" s="103"/>
      <c r="S745" s="103"/>
      <c r="T745" s="103"/>
      <c r="U745" s="103"/>
      <c r="V745" s="103"/>
      <c r="W745" s="103"/>
      <c r="X745" s="103"/>
      <c r="Y745" s="103"/>
      <c r="Z745" s="103"/>
    </row>
    <row r="746" spans="1:26" ht="15.75" customHeight="1">
      <c r="A746" s="101"/>
      <c r="B746" s="103"/>
      <c r="C746" s="103"/>
      <c r="D746" s="103"/>
      <c r="E746" s="103"/>
      <c r="F746" s="103"/>
      <c r="G746" s="103"/>
      <c r="H746" s="103"/>
      <c r="I746" s="103"/>
      <c r="J746" s="103"/>
      <c r="K746" s="103"/>
      <c r="L746" s="103"/>
      <c r="M746" s="103"/>
      <c r="N746" s="103"/>
      <c r="O746" s="103"/>
      <c r="P746" s="103"/>
      <c r="Q746" s="103"/>
      <c r="R746" s="103"/>
      <c r="S746" s="103"/>
      <c r="T746" s="103"/>
      <c r="U746" s="103"/>
      <c r="V746" s="103"/>
      <c r="W746" s="103"/>
      <c r="X746" s="103"/>
      <c r="Y746" s="103"/>
      <c r="Z746" s="103"/>
    </row>
    <row r="747" spans="1:26" ht="15.75" customHeight="1">
      <c r="A747" s="101"/>
      <c r="B747" s="103"/>
      <c r="C747" s="103"/>
      <c r="D747" s="103"/>
      <c r="E747" s="103"/>
      <c r="F747" s="103"/>
      <c r="G747" s="103"/>
      <c r="H747" s="103"/>
      <c r="I747" s="103"/>
      <c r="J747" s="103"/>
      <c r="K747" s="103"/>
      <c r="L747" s="103"/>
      <c r="M747" s="103"/>
      <c r="N747" s="103"/>
      <c r="O747" s="103"/>
      <c r="P747" s="103"/>
      <c r="Q747" s="103"/>
      <c r="R747" s="103"/>
      <c r="S747" s="103"/>
      <c r="T747" s="103"/>
      <c r="U747" s="103"/>
      <c r="V747" s="103"/>
      <c r="W747" s="103"/>
      <c r="X747" s="103"/>
      <c r="Y747" s="103"/>
      <c r="Z747" s="103"/>
    </row>
    <row r="748" spans="1:26" ht="15.75" customHeight="1">
      <c r="A748" s="101"/>
      <c r="B748" s="103"/>
      <c r="C748" s="103"/>
      <c r="D748" s="103"/>
      <c r="E748" s="103"/>
      <c r="F748" s="103"/>
      <c r="G748" s="103"/>
      <c r="H748" s="103"/>
      <c r="I748" s="103"/>
      <c r="J748" s="103"/>
      <c r="K748" s="103"/>
      <c r="L748" s="103"/>
      <c r="M748" s="103"/>
      <c r="N748" s="103"/>
      <c r="O748" s="103"/>
      <c r="P748" s="103"/>
      <c r="Q748" s="103"/>
      <c r="R748" s="103"/>
      <c r="S748" s="103"/>
      <c r="T748" s="103"/>
      <c r="U748" s="103"/>
      <c r="V748" s="103"/>
      <c r="W748" s="103"/>
      <c r="X748" s="103"/>
      <c r="Y748" s="103"/>
      <c r="Z748" s="103"/>
    </row>
    <row r="749" spans="1:26" ht="15.75" customHeight="1">
      <c r="A749" s="101"/>
      <c r="B749" s="103"/>
      <c r="C749" s="103"/>
      <c r="D749" s="103"/>
      <c r="E749" s="103"/>
      <c r="F749" s="103"/>
      <c r="G749" s="103"/>
      <c r="H749" s="103"/>
      <c r="I749" s="103"/>
      <c r="J749" s="103"/>
      <c r="K749" s="103"/>
      <c r="L749" s="103"/>
      <c r="M749" s="103"/>
      <c r="N749" s="103"/>
      <c r="O749" s="103"/>
      <c r="P749" s="103"/>
      <c r="Q749" s="103"/>
      <c r="R749" s="103"/>
      <c r="S749" s="103"/>
      <c r="T749" s="103"/>
      <c r="U749" s="103"/>
      <c r="V749" s="103"/>
      <c r="W749" s="103"/>
      <c r="X749" s="103"/>
      <c r="Y749" s="103"/>
      <c r="Z749" s="103"/>
    </row>
    <row r="750" spans="1:26" ht="15.75" customHeight="1">
      <c r="A750" s="101"/>
      <c r="B750" s="103"/>
      <c r="C750" s="103"/>
      <c r="D750" s="103"/>
      <c r="E750" s="103"/>
      <c r="F750" s="103"/>
      <c r="G750" s="103"/>
      <c r="H750" s="103"/>
      <c r="I750" s="103"/>
      <c r="J750" s="103"/>
      <c r="K750" s="103"/>
      <c r="L750" s="103"/>
      <c r="M750" s="103"/>
      <c r="N750" s="103"/>
      <c r="O750" s="103"/>
      <c r="P750" s="103"/>
      <c r="Q750" s="103"/>
      <c r="R750" s="103"/>
      <c r="S750" s="103"/>
      <c r="T750" s="103"/>
      <c r="U750" s="103"/>
      <c r="V750" s="103"/>
      <c r="W750" s="103"/>
      <c r="X750" s="103"/>
      <c r="Y750" s="103"/>
      <c r="Z750" s="103"/>
    </row>
    <row r="751" spans="1:26" ht="15.75" customHeight="1">
      <c r="A751" s="101"/>
      <c r="B751" s="103"/>
      <c r="C751" s="103"/>
      <c r="D751" s="103"/>
      <c r="E751" s="103"/>
      <c r="F751" s="103"/>
      <c r="G751" s="103"/>
      <c r="H751" s="103"/>
      <c r="I751" s="103"/>
      <c r="J751" s="103"/>
      <c r="K751" s="103"/>
      <c r="L751" s="103"/>
      <c r="M751" s="103"/>
      <c r="N751" s="103"/>
      <c r="O751" s="103"/>
      <c r="P751" s="103"/>
      <c r="Q751" s="103"/>
      <c r="R751" s="103"/>
      <c r="S751" s="103"/>
      <c r="T751" s="103"/>
      <c r="U751" s="103"/>
      <c r="V751" s="103"/>
      <c r="W751" s="103"/>
      <c r="X751" s="103"/>
      <c r="Y751" s="103"/>
      <c r="Z751" s="103"/>
    </row>
    <row r="752" spans="1:26" ht="15.75" customHeight="1">
      <c r="A752" s="101"/>
      <c r="B752" s="103"/>
      <c r="C752" s="103"/>
      <c r="D752" s="103"/>
      <c r="E752" s="103"/>
      <c r="F752" s="103"/>
      <c r="G752" s="103"/>
      <c r="H752" s="103"/>
      <c r="I752" s="103"/>
      <c r="J752" s="103"/>
      <c r="K752" s="103"/>
      <c r="L752" s="103"/>
      <c r="M752" s="103"/>
      <c r="N752" s="103"/>
      <c r="O752" s="103"/>
      <c r="P752" s="103"/>
      <c r="Q752" s="103"/>
      <c r="R752" s="103"/>
      <c r="S752" s="103"/>
      <c r="T752" s="103"/>
      <c r="U752" s="103"/>
      <c r="V752" s="103"/>
      <c r="W752" s="103"/>
      <c r="X752" s="103"/>
      <c r="Y752" s="103"/>
      <c r="Z752" s="103"/>
    </row>
    <row r="753" spans="1:26" ht="15.75" customHeight="1">
      <c r="A753" s="101"/>
      <c r="B753" s="103"/>
      <c r="C753" s="103"/>
      <c r="D753" s="103"/>
      <c r="E753" s="103"/>
      <c r="F753" s="103"/>
      <c r="G753" s="103"/>
      <c r="H753" s="103"/>
      <c r="I753" s="103"/>
      <c r="J753" s="103"/>
      <c r="K753" s="103"/>
      <c r="L753" s="103"/>
      <c r="M753" s="103"/>
      <c r="N753" s="103"/>
      <c r="O753" s="103"/>
      <c r="P753" s="103"/>
      <c r="Q753" s="103"/>
      <c r="R753" s="103"/>
      <c r="S753" s="103"/>
      <c r="T753" s="103"/>
      <c r="U753" s="103"/>
      <c r="V753" s="103"/>
      <c r="W753" s="103"/>
      <c r="X753" s="103"/>
      <c r="Y753" s="103"/>
      <c r="Z753" s="103"/>
    </row>
    <row r="754" spans="1:26" ht="15.75" customHeight="1">
      <c r="A754" s="101"/>
      <c r="B754" s="103"/>
      <c r="C754" s="103"/>
      <c r="D754" s="103"/>
      <c r="E754" s="103"/>
      <c r="F754" s="103"/>
      <c r="G754" s="103"/>
      <c r="H754" s="103"/>
      <c r="I754" s="103"/>
      <c r="J754" s="103"/>
      <c r="K754" s="103"/>
      <c r="L754" s="103"/>
      <c r="M754" s="103"/>
      <c r="N754" s="103"/>
      <c r="O754" s="103"/>
      <c r="P754" s="103"/>
      <c r="Q754" s="103"/>
      <c r="R754" s="103"/>
      <c r="S754" s="103"/>
      <c r="T754" s="103"/>
      <c r="U754" s="103"/>
      <c r="V754" s="103"/>
      <c r="W754" s="103"/>
      <c r="X754" s="103"/>
      <c r="Y754" s="103"/>
      <c r="Z754" s="103"/>
    </row>
    <row r="755" spans="1:26" ht="15.75" customHeight="1">
      <c r="A755" s="101"/>
      <c r="B755" s="103"/>
      <c r="C755" s="103"/>
      <c r="D755" s="103"/>
      <c r="E755" s="103"/>
      <c r="F755" s="103"/>
      <c r="G755" s="103"/>
      <c r="H755" s="103"/>
      <c r="I755" s="103"/>
      <c r="J755" s="103"/>
      <c r="K755" s="103"/>
      <c r="L755" s="103"/>
      <c r="M755" s="103"/>
      <c r="N755" s="103"/>
      <c r="O755" s="103"/>
      <c r="P755" s="103"/>
      <c r="Q755" s="103"/>
      <c r="R755" s="103"/>
      <c r="S755" s="103"/>
      <c r="T755" s="103"/>
      <c r="U755" s="103"/>
      <c r="V755" s="103"/>
      <c r="W755" s="103"/>
      <c r="X755" s="103"/>
      <c r="Y755" s="103"/>
      <c r="Z755" s="103"/>
    </row>
    <row r="756" spans="1:26" ht="15.75" customHeight="1">
      <c r="A756" s="101"/>
      <c r="B756" s="103"/>
      <c r="C756" s="103"/>
      <c r="D756" s="103"/>
      <c r="E756" s="103"/>
      <c r="F756" s="103"/>
      <c r="G756" s="103"/>
      <c r="H756" s="103"/>
      <c r="I756" s="103"/>
      <c r="J756" s="103"/>
      <c r="K756" s="103"/>
      <c r="L756" s="103"/>
      <c r="M756" s="103"/>
      <c r="N756" s="103"/>
      <c r="O756" s="103"/>
      <c r="P756" s="103"/>
      <c r="Q756" s="103"/>
      <c r="R756" s="103"/>
      <c r="S756" s="103"/>
      <c r="T756" s="103"/>
      <c r="U756" s="103"/>
      <c r="V756" s="103"/>
      <c r="W756" s="103"/>
      <c r="X756" s="103"/>
      <c r="Y756" s="103"/>
      <c r="Z756" s="103"/>
    </row>
    <row r="757" spans="1:26" ht="15.75" customHeight="1">
      <c r="A757" s="101"/>
      <c r="B757" s="103"/>
      <c r="C757" s="103"/>
      <c r="D757" s="103"/>
      <c r="E757" s="103"/>
      <c r="F757" s="103"/>
      <c r="G757" s="103"/>
      <c r="H757" s="103"/>
      <c r="I757" s="103"/>
      <c r="J757" s="103"/>
      <c r="K757" s="103"/>
      <c r="L757" s="103"/>
      <c r="M757" s="103"/>
      <c r="N757" s="103"/>
      <c r="O757" s="103"/>
      <c r="P757" s="103"/>
      <c r="Q757" s="103"/>
      <c r="R757" s="103"/>
      <c r="S757" s="103"/>
      <c r="T757" s="103"/>
      <c r="U757" s="103"/>
      <c r="V757" s="103"/>
      <c r="W757" s="103"/>
      <c r="X757" s="103"/>
      <c r="Y757" s="103"/>
      <c r="Z757" s="103"/>
    </row>
    <row r="758" spans="1:26" ht="15.75" customHeight="1">
      <c r="A758" s="101"/>
      <c r="B758" s="103"/>
      <c r="C758" s="103"/>
      <c r="D758" s="103"/>
      <c r="E758" s="103"/>
      <c r="F758" s="103"/>
      <c r="G758" s="103"/>
      <c r="H758" s="103"/>
      <c r="I758" s="103"/>
      <c r="J758" s="103"/>
      <c r="K758" s="103"/>
      <c r="L758" s="103"/>
      <c r="M758" s="103"/>
      <c r="N758" s="103"/>
      <c r="O758" s="103"/>
      <c r="P758" s="103"/>
      <c r="Q758" s="103"/>
      <c r="R758" s="103"/>
      <c r="S758" s="103"/>
      <c r="T758" s="103"/>
      <c r="U758" s="103"/>
      <c r="V758" s="103"/>
      <c r="W758" s="103"/>
      <c r="X758" s="103"/>
      <c r="Y758" s="103"/>
      <c r="Z758" s="103"/>
    </row>
    <row r="759" spans="1:26" ht="15.75" customHeight="1">
      <c r="A759" s="101"/>
      <c r="B759" s="103"/>
      <c r="C759" s="103"/>
      <c r="D759" s="103"/>
      <c r="E759" s="103"/>
      <c r="F759" s="103"/>
      <c r="G759" s="103"/>
      <c r="H759" s="103"/>
      <c r="I759" s="103"/>
      <c r="J759" s="103"/>
      <c r="K759" s="103"/>
      <c r="L759" s="103"/>
      <c r="M759" s="103"/>
      <c r="N759" s="103"/>
      <c r="O759" s="103"/>
      <c r="P759" s="103"/>
      <c r="Q759" s="103"/>
      <c r="R759" s="103"/>
      <c r="S759" s="103"/>
      <c r="T759" s="103"/>
      <c r="U759" s="103"/>
      <c r="V759" s="103"/>
      <c r="W759" s="103"/>
      <c r="X759" s="103"/>
      <c r="Y759" s="103"/>
      <c r="Z759" s="103"/>
    </row>
    <row r="760" spans="1:26" ht="15.75" customHeight="1">
      <c r="A760" s="101"/>
      <c r="B760" s="103"/>
      <c r="C760" s="103"/>
      <c r="D760" s="103"/>
      <c r="E760" s="103"/>
      <c r="F760" s="103"/>
      <c r="G760" s="103"/>
      <c r="H760" s="103"/>
      <c r="I760" s="103"/>
      <c r="J760" s="103"/>
      <c r="K760" s="103"/>
      <c r="L760" s="103"/>
      <c r="M760" s="103"/>
      <c r="N760" s="103"/>
      <c r="O760" s="103"/>
      <c r="P760" s="103"/>
      <c r="Q760" s="103"/>
      <c r="R760" s="103"/>
      <c r="S760" s="103"/>
      <c r="T760" s="103"/>
      <c r="U760" s="103"/>
      <c r="V760" s="103"/>
      <c r="W760" s="103"/>
      <c r="X760" s="103"/>
      <c r="Y760" s="103"/>
      <c r="Z760" s="103"/>
    </row>
    <row r="761" spans="1:26" ht="15.75" customHeight="1">
      <c r="A761" s="101"/>
      <c r="B761" s="103"/>
      <c r="C761" s="103"/>
      <c r="D761" s="103"/>
      <c r="E761" s="103"/>
      <c r="F761" s="103"/>
      <c r="G761" s="103"/>
      <c r="H761" s="103"/>
      <c r="I761" s="103"/>
      <c r="J761" s="103"/>
      <c r="K761" s="103"/>
      <c r="L761" s="103"/>
      <c r="M761" s="103"/>
      <c r="N761" s="103"/>
      <c r="O761" s="103"/>
      <c r="P761" s="103"/>
      <c r="Q761" s="103"/>
      <c r="R761" s="103"/>
      <c r="S761" s="103"/>
      <c r="T761" s="103"/>
      <c r="U761" s="103"/>
      <c r="V761" s="103"/>
      <c r="W761" s="103"/>
      <c r="X761" s="103"/>
      <c r="Y761" s="103"/>
      <c r="Z761" s="103"/>
    </row>
    <row r="762" spans="1:26" ht="15.75" customHeight="1">
      <c r="A762" s="101"/>
      <c r="B762" s="103"/>
      <c r="C762" s="103"/>
      <c r="D762" s="103"/>
      <c r="E762" s="103"/>
      <c r="F762" s="103"/>
      <c r="G762" s="103"/>
      <c r="H762" s="103"/>
      <c r="I762" s="103"/>
      <c r="J762" s="103"/>
      <c r="K762" s="103"/>
      <c r="L762" s="103"/>
      <c r="M762" s="103"/>
      <c r="N762" s="103"/>
      <c r="O762" s="103"/>
      <c r="P762" s="103"/>
      <c r="Q762" s="103"/>
      <c r="R762" s="103"/>
      <c r="S762" s="103"/>
      <c r="T762" s="103"/>
      <c r="U762" s="103"/>
      <c r="V762" s="103"/>
      <c r="W762" s="103"/>
      <c r="X762" s="103"/>
      <c r="Y762" s="103"/>
      <c r="Z762" s="103"/>
    </row>
    <row r="763" spans="1:26" ht="15.75" customHeight="1">
      <c r="A763" s="101"/>
      <c r="B763" s="103"/>
      <c r="C763" s="103"/>
      <c r="D763" s="103"/>
      <c r="E763" s="103"/>
      <c r="F763" s="103"/>
      <c r="G763" s="103"/>
      <c r="H763" s="103"/>
      <c r="I763" s="103"/>
      <c r="J763" s="103"/>
      <c r="K763" s="103"/>
      <c r="L763" s="103"/>
      <c r="M763" s="103"/>
      <c r="N763" s="103"/>
      <c r="O763" s="103"/>
      <c r="P763" s="103"/>
      <c r="Q763" s="103"/>
      <c r="R763" s="103"/>
      <c r="S763" s="103"/>
      <c r="T763" s="103"/>
      <c r="U763" s="103"/>
      <c r="V763" s="103"/>
      <c r="W763" s="103"/>
      <c r="X763" s="103"/>
      <c r="Y763" s="103"/>
      <c r="Z763" s="103"/>
    </row>
    <row r="764" spans="1:26" ht="15.75" customHeight="1">
      <c r="A764" s="101"/>
      <c r="B764" s="103"/>
      <c r="C764" s="103"/>
      <c r="D764" s="103"/>
      <c r="E764" s="103"/>
      <c r="F764" s="103"/>
      <c r="G764" s="103"/>
      <c r="H764" s="103"/>
      <c r="I764" s="103"/>
      <c r="J764" s="103"/>
      <c r="K764" s="103"/>
      <c r="L764" s="103"/>
      <c r="M764" s="103"/>
      <c r="N764" s="103"/>
      <c r="O764" s="103"/>
      <c r="P764" s="103"/>
      <c r="Q764" s="103"/>
      <c r="R764" s="103"/>
      <c r="S764" s="103"/>
      <c r="T764" s="103"/>
      <c r="U764" s="103"/>
      <c r="V764" s="103"/>
      <c r="W764" s="103"/>
      <c r="X764" s="103"/>
      <c r="Y764" s="103"/>
      <c r="Z764" s="103"/>
    </row>
    <row r="765" spans="1:26" ht="15.75" customHeight="1">
      <c r="A765" s="101"/>
      <c r="B765" s="103"/>
      <c r="C765" s="103"/>
      <c r="D765" s="103"/>
      <c r="E765" s="103"/>
      <c r="F765" s="103"/>
      <c r="G765" s="103"/>
      <c r="H765" s="103"/>
      <c r="I765" s="103"/>
      <c r="J765" s="103"/>
      <c r="K765" s="103"/>
      <c r="L765" s="103"/>
      <c r="M765" s="103"/>
      <c r="N765" s="103"/>
      <c r="O765" s="103"/>
      <c r="P765" s="103"/>
      <c r="Q765" s="103"/>
      <c r="R765" s="103"/>
      <c r="S765" s="103"/>
      <c r="T765" s="103"/>
      <c r="U765" s="103"/>
      <c r="V765" s="103"/>
      <c r="W765" s="103"/>
      <c r="X765" s="103"/>
      <c r="Y765" s="103"/>
      <c r="Z765" s="103"/>
    </row>
    <row r="766" spans="1:26" ht="15.75" customHeight="1">
      <c r="A766" s="101"/>
      <c r="B766" s="103"/>
      <c r="C766" s="103"/>
      <c r="D766" s="103"/>
      <c r="E766" s="103"/>
      <c r="F766" s="103"/>
      <c r="G766" s="103"/>
      <c r="H766" s="103"/>
      <c r="I766" s="103"/>
      <c r="J766" s="103"/>
      <c r="K766" s="103"/>
      <c r="L766" s="103"/>
      <c r="M766" s="103"/>
      <c r="N766" s="103"/>
      <c r="O766" s="103"/>
      <c r="P766" s="103"/>
      <c r="Q766" s="103"/>
      <c r="R766" s="103"/>
      <c r="S766" s="103"/>
      <c r="T766" s="103"/>
      <c r="U766" s="103"/>
      <c r="V766" s="103"/>
      <c r="W766" s="103"/>
      <c r="X766" s="103"/>
      <c r="Y766" s="103"/>
      <c r="Z766" s="103"/>
    </row>
    <row r="767" spans="1:26" ht="15.75" customHeight="1">
      <c r="A767" s="101"/>
      <c r="B767" s="103"/>
      <c r="C767" s="103"/>
      <c r="D767" s="103"/>
      <c r="E767" s="103"/>
      <c r="F767" s="103"/>
      <c r="G767" s="103"/>
      <c r="H767" s="103"/>
      <c r="I767" s="103"/>
      <c r="J767" s="103"/>
      <c r="K767" s="103"/>
      <c r="L767" s="103"/>
      <c r="M767" s="103"/>
      <c r="N767" s="103"/>
      <c r="O767" s="103"/>
      <c r="P767" s="103"/>
      <c r="Q767" s="103"/>
      <c r="R767" s="103"/>
      <c r="S767" s="103"/>
      <c r="T767" s="103"/>
      <c r="U767" s="103"/>
      <c r="V767" s="103"/>
      <c r="W767" s="103"/>
      <c r="X767" s="103"/>
      <c r="Y767" s="103"/>
      <c r="Z767" s="103"/>
    </row>
    <row r="768" spans="1:26" ht="15.75" customHeight="1">
      <c r="A768" s="101"/>
      <c r="B768" s="103"/>
      <c r="C768" s="103"/>
      <c r="D768" s="103"/>
      <c r="E768" s="103"/>
      <c r="F768" s="103"/>
      <c r="G768" s="103"/>
      <c r="H768" s="103"/>
      <c r="I768" s="103"/>
      <c r="J768" s="103"/>
      <c r="K768" s="103"/>
      <c r="L768" s="103"/>
      <c r="M768" s="103"/>
      <c r="N768" s="103"/>
      <c r="O768" s="103"/>
      <c r="P768" s="103"/>
      <c r="Q768" s="103"/>
      <c r="R768" s="103"/>
      <c r="S768" s="103"/>
      <c r="T768" s="103"/>
      <c r="U768" s="103"/>
      <c r="V768" s="103"/>
      <c r="W768" s="103"/>
      <c r="X768" s="103"/>
      <c r="Y768" s="103"/>
      <c r="Z768" s="103"/>
    </row>
    <row r="769" spans="1:26" ht="15.75" customHeight="1">
      <c r="A769" s="101"/>
      <c r="B769" s="103"/>
      <c r="C769" s="103"/>
      <c r="D769" s="103"/>
      <c r="E769" s="103"/>
      <c r="F769" s="103"/>
      <c r="G769" s="103"/>
      <c r="H769" s="103"/>
      <c r="I769" s="103"/>
      <c r="J769" s="103"/>
      <c r="K769" s="103"/>
      <c r="L769" s="103"/>
      <c r="M769" s="103"/>
      <c r="N769" s="103"/>
      <c r="O769" s="103"/>
      <c r="P769" s="103"/>
      <c r="Q769" s="103"/>
      <c r="R769" s="103"/>
      <c r="S769" s="103"/>
      <c r="T769" s="103"/>
      <c r="U769" s="103"/>
      <c r="V769" s="103"/>
      <c r="W769" s="103"/>
      <c r="X769" s="103"/>
      <c r="Y769" s="103"/>
      <c r="Z769" s="103"/>
    </row>
    <row r="770" spans="1:26" ht="15.75" customHeight="1">
      <c r="A770" s="101"/>
      <c r="B770" s="103"/>
      <c r="C770" s="103"/>
      <c r="D770" s="103"/>
      <c r="E770" s="103"/>
      <c r="F770" s="103"/>
      <c r="G770" s="103"/>
      <c r="H770" s="103"/>
      <c r="I770" s="103"/>
      <c r="J770" s="103"/>
      <c r="K770" s="103"/>
      <c r="L770" s="103"/>
      <c r="M770" s="103"/>
      <c r="N770" s="103"/>
      <c r="O770" s="103"/>
      <c r="P770" s="103"/>
      <c r="Q770" s="103"/>
      <c r="R770" s="103"/>
      <c r="S770" s="103"/>
      <c r="T770" s="103"/>
      <c r="U770" s="103"/>
      <c r="V770" s="103"/>
      <c r="W770" s="103"/>
      <c r="X770" s="103"/>
      <c r="Y770" s="103"/>
      <c r="Z770" s="103"/>
    </row>
    <row r="771" spans="1:26" ht="15.75" customHeight="1">
      <c r="A771" s="101"/>
      <c r="B771" s="103"/>
      <c r="C771" s="103"/>
      <c r="D771" s="103"/>
      <c r="E771" s="103"/>
      <c r="F771" s="103"/>
      <c r="G771" s="103"/>
      <c r="H771" s="103"/>
      <c r="I771" s="103"/>
      <c r="J771" s="103"/>
      <c r="K771" s="103"/>
      <c r="L771" s="103"/>
      <c r="M771" s="103"/>
      <c r="N771" s="103"/>
      <c r="O771" s="103"/>
      <c r="P771" s="103"/>
      <c r="Q771" s="103"/>
      <c r="R771" s="103"/>
      <c r="S771" s="103"/>
      <c r="T771" s="103"/>
      <c r="U771" s="103"/>
      <c r="V771" s="103"/>
      <c r="W771" s="103"/>
      <c r="X771" s="103"/>
      <c r="Y771" s="103"/>
      <c r="Z771" s="103"/>
    </row>
    <row r="772" spans="1:26" ht="15.75" customHeight="1">
      <c r="A772" s="101"/>
      <c r="B772" s="103"/>
      <c r="C772" s="103"/>
      <c r="D772" s="103"/>
      <c r="E772" s="103"/>
      <c r="F772" s="103"/>
      <c r="G772" s="103"/>
      <c r="H772" s="103"/>
      <c r="I772" s="103"/>
      <c r="J772" s="103"/>
      <c r="K772" s="103"/>
      <c r="L772" s="103"/>
      <c r="M772" s="103"/>
      <c r="N772" s="103"/>
      <c r="O772" s="103"/>
      <c r="P772" s="103"/>
      <c r="Q772" s="103"/>
      <c r="R772" s="103"/>
      <c r="S772" s="103"/>
      <c r="T772" s="103"/>
      <c r="U772" s="103"/>
      <c r="V772" s="103"/>
      <c r="W772" s="103"/>
      <c r="X772" s="103"/>
      <c r="Y772" s="103"/>
      <c r="Z772" s="103"/>
    </row>
    <row r="773" spans="1:26" ht="15.75" customHeight="1">
      <c r="A773" s="101"/>
      <c r="B773" s="103"/>
      <c r="C773" s="103"/>
      <c r="D773" s="103"/>
      <c r="E773" s="103"/>
      <c r="F773" s="103"/>
      <c r="G773" s="103"/>
      <c r="H773" s="103"/>
      <c r="I773" s="103"/>
      <c r="J773" s="103"/>
      <c r="K773" s="103"/>
      <c r="L773" s="103"/>
      <c r="M773" s="103"/>
      <c r="N773" s="103"/>
      <c r="O773" s="103"/>
      <c r="P773" s="103"/>
      <c r="Q773" s="103"/>
      <c r="R773" s="103"/>
      <c r="S773" s="103"/>
      <c r="T773" s="103"/>
      <c r="U773" s="103"/>
      <c r="V773" s="103"/>
      <c r="W773" s="103"/>
      <c r="X773" s="103"/>
      <c r="Y773" s="103"/>
      <c r="Z773" s="103"/>
    </row>
    <row r="774" spans="1:26" ht="15.75" customHeight="1">
      <c r="A774" s="101"/>
      <c r="B774" s="103"/>
      <c r="C774" s="103"/>
      <c r="D774" s="103"/>
      <c r="E774" s="103"/>
      <c r="F774" s="103"/>
      <c r="G774" s="103"/>
      <c r="H774" s="103"/>
      <c r="I774" s="103"/>
      <c r="J774" s="103"/>
      <c r="K774" s="103"/>
      <c r="L774" s="103"/>
      <c r="M774" s="103"/>
      <c r="N774" s="103"/>
      <c r="O774" s="103"/>
      <c r="P774" s="103"/>
      <c r="Q774" s="103"/>
      <c r="R774" s="103"/>
      <c r="S774" s="103"/>
      <c r="T774" s="103"/>
      <c r="U774" s="103"/>
      <c r="V774" s="103"/>
      <c r="W774" s="103"/>
      <c r="X774" s="103"/>
      <c r="Y774" s="103"/>
      <c r="Z774" s="103"/>
    </row>
    <row r="775" spans="1:26" ht="15.75" customHeight="1">
      <c r="A775" s="101"/>
      <c r="B775" s="103"/>
      <c r="C775" s="103"/>
      <c r="D775" s="103"/>
      <c r="E775" s="103"/>
      <c r="F775" s="103"/>
      <c r="G775" s="103"/>
      <c r="H775" s="103"/>
      <c r="I775" s="103"/>
      <c r="J775" s="103"/>
      <c r="K775" s="103"/>
      <c r="L775" s="103"/>
      <c r="M775" s="103"/>
      <c r="N775" s="103"/>
      <c r="O775" s="103"/>
      <c r="P775" s="103"/>
      <c r="Q775" s="103"/>
      <c r="R775" s="103"/>
      <c r="S775" s="103"/>
      <c r="T775" s="103"/>
      <c r="U775" s="103"/>
      <c r="V775" s="103"/>
      <c r="W775" s="103"/>
      <c r="X775" s="103"/>
      <c r="Y775" s="103"/>
      <c r="Z775" s="103"/>
    </row>
    <row r="776" spans="1:26" ht="15.75" customHeight="1">
      <c r="A776" s="101"/>
      <c r="B776" s="103"/>
      <c r="C776" s="103"/>
      <c r="D776" s="103"/>
      <c r="E776" s="103"/>
      <c r="F776" s="103"/>
      <c r="G776" s="103"/>
      <c r="H776" s="103"/>
      <c r="I776" s="103"/>
      <c r="J776" s="103"/>
      <c r="K776" s="103"/>
      <c r="L776" s="103"/>
      <c r="M776" s="103"/>
      <c r="N776" s="103"/>
      <c r="O776" s="103"/>
      <c r="P776" s="103"/>
      <c r="Q776" s="103"/>
      <c r="R776" s="103"/>
      <c r="S776" s="103"/>
      <c r="T776" s="103"/>
      <c r="U776" s="103"/>
      <c r="V776" s="103"/>
      <c r="W776" s="103"/>
      <c r="X776" s="103"/>
      <c r="Y776" s="103"/>
      <c r="Z776" s="103"/>
    </row>
    <row r="777" spans="1:26" ht="15.75" customHeight="1">
      <c r="A777" s="101"/>
      <c r="B777" s="103"/>
      <c r="C777" s="103"/>
      <c r="D777" s="103"/>
      <c r="E777" s="103"/>
      <c r="F777" s="103"/>
      <c r="G777" s="103"/>
      <c r="H777" s="103"/>
      <c r="I777" s="103"/>
      <c r="J777" s="103"/>
      <c r="K777" s="103"/>
      <c r="L777" s="103"/>
      <c r="M777" s="103"/>
      <c r="N777" s="103"/>
      <c r="O777" s="103"/>
      <c r="P777" s="103"/>
      <c r="Q777" s="103"/>
      <c r="R777" s="103"/>
      <c r="S777" s="103"/>
      <c r="T777" s="103"/>
      <c r="U777" s="103"/>
      <c r="V777" s="103"/>
      <c r="W777" s="103"/>
      <c r="X777" s="103"/>
      <c r="Y777" s="103"/>
      <c r="Z777" s="103"/>
    </row>
    <row r="778" spans="1:26" ht="15.75" customHeight="1">
      <c r="A778" s="101"/>
      <c r="B778" s="103"/>
      <c r="C778" s="103"/>
      <c r="D778" s="103"/>
      <c r="E778" s="103"/>
      <c r="F778" s="103"/>
      <c r="G778" s="103"/>
      <c r="H778" s="103"/>
      <c r="I778" s="103"/>
      <c r="J778" s="103"/>
      <c r="K778" s="103"/>
      <c r="L778" s="103"/>
      <c r="M778" s="103"/>
      <c r="N778" s="103"/>
      <c r="O778" s="103"/>
      <c r="P778" s="103"/>
      <c r="Q778" s="103"/>
      <c r="R778" s="103"/>
      <c r="S778" s="103"/>
      <c r="T778" s="103"/>
      <c r="U778" s="103"/>
      <c r="V778" s="103"/>
      <c r="W778" s="103"/>
      <c r="X778" s="103"/>
      <c r="Y778" s="103"/>
      <c r="Z778" s="103"/>
    </row>
    <row r="779" spans="1:26" ht="15.75" customHeight="1">
      <c r="A779" s="101"/>
      <c r="B779" s="103"/>
      <c r="C779" s="103"/>
      <c r="D779" s="103"/>
      <c r="E779" s="103"/>
      <c r="F779" s="103"/>
      <c r="G779" s="103"/>
      <c r="H779" s="103"/>
      <c r="I779" s="103"/>
      <c r="J779" s="103"/>
      <c r="K779" s="103"/>
      <c r="L779" s="103"/>
      <c r="M779" s="103"/>
      <c r="N779" s="103"/>
      <c r="O779" s="103"/>
      <c r="P779" s="103"/>
      <c r="Q779" s="103"/>
      <c r="R779" s="103"/>
      <c r="S779" s="103"/>
      <c r="T779" s="103"/>
      <c r="U779" s="103"/>
      <c r="V779" s="103"/>
      <c r="W779" s="103"/>
      <c r="X779" s="103"/>
      <c r="Y779" s="103"/>
      <c r="Z779" s="103"/>
    </row>
    <row r="780" spans="1:26" ht="15.75" customHeight="1">
      <c r="A780" s="101"/>
      <c r="B780" s="103"/>
      <c r="C780" s="103"/>
      <c r="D780" s="103"/>
      <c r="E780" s="103"/>
      <c r="F780" s="103"/>
      <c r="G780" s="103"/>
      <c r="H780" s="103"/>
      <c r="I780" s="103"/>
      <c r="J780" s="103"/>
      <c r="K780" s="103"/>
      <c r="L780" s="103"/>
      <c r="M780" s="103"/>
      <c r="N780" s="103"/>
      <c r="O780" s="103"/>
      <c r="P780" s="103"/>
      <c r="Q780" s="103"/>
      <c r="R780" s="103"/>
      <c r="S780" s="103"/>
      <c r="T780" s="103"/>
      <c r="U780" s="103"/>
      <c r="V780" s="103"/>
      <c r="W780" s="103"/>
      <c r="X780" s="103"/>
      <c r="Y780" s="103"/>
      <c r="Z780" s="103"/>
    </row>
    <row r="781" spans="1:26" ht="15.75" customHeight="1">
      <c r="A781" s="101"/>
      <c r="B781" s="103"/>
      <c r="C781" s="103"/>
      <c r="D781" s="103"/>
      <c r="E781" s="103"/>
      <c r="F781" s="103"/>
      <c r="G781" s="103"/>
      <c r="H781" s="103"/>
      <c r="I781" s="103"/>
      <c r="J781" s="103"/>
      <c r="K781" s="103"/>
      <c r="L781" s="103"/>
      <c r="M781" s="103"/>
      <c r="N781" s="103"/>
      <c r="O781" s="103"/>
      <c r="P781" s="103"/>
      <c r="Q781" s="103"/>
      <c r="R781" s="103"/>
      <c r="S781" s="103"/>
      <c r="T781" s="103"/>
      <c r="U781" s="103"/>
      <c r="V781" s="103"/>
      <c r="W781" s="103"/>
      <c r="X781" s="103"/>
      <c r="Y781" s="103"/>
      <c r="Z781" s="103"/>
    </row>
    <row r="782" spans="1:26" ht="15.75" customHeight="1">
      <c r="A782" s="101"/>
      <c r="B782" s="103"/>
      <c r="C782" s="103"/>
      <c r="D782" s="103"/>
      <c r="E782" s="103"/>
      <c r="F782" s="103"/>
      <c r="G782" s="103"/>
      <c r="H782" s="103"/>
      <c r="I782" s="103"/>
      <c r="J782" s="103"/>
      <c r="K782" s="103"/>
      <c r="L782" s="103"/>
      <c r="M782" s="103"/>
      <c r="N782" s="103"/>
      <c r="O782" s="103"/>
      <c r="P782" s="103"/>
      <c r="Q782" s="103"/>
      <c r="R782" s="103"/>
      <c r="S782" s="103"/>
      <c r="T782" s="103"/>
      <c r="U782" s="103"/>
      <c r="V782" s="103"/>
      <c r="W782" s="103"/>
      <c r="X782" s="103"/>
      <c r="Y782" s="103"/>
      <c r="Z782" s="103"/>
    </row>
    <row r="783" spans="1:26" ht="15.75" customHeight="1">
      <c r="A783" s="101"/>
      <c r="B783" s="103"/>
      <c r="C783" s="103"/>
      <c r="D783" s="103"/>
      <c r="E783" s="103"/>
      <c r="F783" s="103"/>
      <c r="G783" s="103"/>
      <c r="H783" s="103"/>
      <c r="I783" s="103"/>
      <c r="J783" s="103"/>
      <c r="K783" s="103"/>
      <c r="L783" s="103"/>
      <c r="M783" s="103"/>
      <c r="N783" s="103"/>
      <c r="O783" s="103"/>
      <c r="P783" s="103"/>
      <c r="Q783" s="103"/>
      <c r="R783" s="103"/>
      <c r="S783" s="103"/>
      <c r="T783" s="103"/>
      <c r="U783" s="103"/>
      <c r="V783" s="103"/>
      <c r="W783" s="103"/>
      <c r="X783" s="103"/>
      <c r="Y783" s="103"/>
      <c r="Z783" s="103"/>
    </row>
    <row r="784" spans="1:26" ht="15.75" customHeight="1">
      <c r="A784" s="101"/>
      <c r="B784" s="103"/>
      <c r="C784" s="103"/>
      <c r="D784" s="103"/>
      <c r="E784" s="103"/>
      <c r="F784" s="103"/>
      <c r="G784" s="103"/>
      <c r="H784" s="103"/>
      <c r="I784" s="103"/>
      <c r="J784" s="103"/>
      <c r="K784" s="103"/>
      <c r="L784" s="103"/>
      <c r="M784" s="103"/>
      <c r="N784" s="103"/>
      <c r="O784" s="103"/>
      <c r="P784" s="103"/>
      <c r="Q784" s="103"/>
      <c r="R784" s="103"/>
      <c r="S784" s="103"/>
      <c r="T784" s="103"/>
      <c r="U784" s="103"/>
      <c r="V784" s="103"/>
      <c r="W784" s="103"/>
      <c r="X784" s="103"/>
      <c r="Y784" s="103"/>
      <c r="Z784" s="103"/>
    </row>
    <row r="785" spans="1:26" ht="15.75" customHeight="1">
      <c r="A785" s="101"/>
      <c r="B785" s="103"/>
      <c r="C785" s="103"/>
      <c r="D785" s="103"/>
      <c r="E785" s="103"/>
      <c r="F785" s="103"/>
      <c r="G785" s="103"/>
      <c r="H785" s="103"/>
      <c r="I785" s="103"/>
      <c r="J785" s="103"/>
      <c r="K785" s="103"/>
      <c r="L785" s="103"/>
      <c r="M785" s="103"/>
      <c r="N785" s="103"/>
      <c r="O785" s="103"/>
      <c r="P785" s="103"/>
      <c r="Q785" s="103"/>
      <c r="R785" s="103"/>
      <c r="S785" s="103"/>
      <c r="T785" s="103"/>
      <c r="U785" s="103"/>
      <c r="V785" s="103"/>
      <c r="W785" s="103"/>
      <c r="X785" s="103"/>
      <c r="Y785" s="103"/>
      <c r="Z785" s="103"/>
    </row>
    <row r="786" spans="1:26" ht="15.75" customHeight="1">
      <c r="A786" s="101"/>
      <c r="B786" s="103"/>
      <c r="C786" s="103"/>
      <c r="D786" s="103"/>
      <c r="E786" s="103"/>
      <c r="F786" s="103"/>
      <c r="G786" s="103"/>
      <c r="H786" s="103"/>
      <c r="I786" s="103"/>
      <c r="J786" s="103"/>
      <c r="K786" s="103"/>
      <c r="L786" s="103"/>
      <c r="M786" s="103"/>
      <c r="N786" s="103"/>
      <c r="O786" s="103"/>
      <c r="P786" s="103"/>
      <c r="Q786" s="103"/>
      <c r="R786" s="103"/>
      <c r="S786" s="103"/>
      <c r="T786" s="103"/>
      <c r="U786" s="103"/>
      <c r="V786" s="103"/>
      <c r="W786" s="103"/>
      <c r="X786" s="103"/>
      <c r="Y786" s="103"/>
      <c r="Z786" s="103"/>
    </row>
    <row r="787" spans="1:26" ht="15.75" customHeight="1">
      <c r="A787" s="101"/>
      <c r="B787" s="103"/>
      <c r="C787" s="103"/>
      <c r="D787" s="103"/>
      <c r="E787" s="103"/>
      <c r="F787" s="103"/>
      <c r="G787" s="103"/>
      <c r="H787" s="103"/>
      <c r="I787" s="103"/>
      <c r="J787" s="103"/>
      <c r="K787" s="103"/>
      <c r="L787" s="103"/>
      <c r="M787" s="103"/>
      <c r="N787" s="103"/>
      <c r="O787" s="103"/>
      <c r="P787" s="103"/>
      <c r="Q787" s="103"/>
      <c r="R787" s="103"/>
      <c r="S787" s="103"/>
      <c r="T787" s="103"/>
      <c r="U787" s="103"/>
      <c r="V787" s="103"/>
      <c r="W787" s="103"/>
      <c r="X787" s="103"/>
      <c r="Y787" s="103"/>
      <c r="Z787" s="103"/>
    </row>
    <row r="788" spans="1:26" ht="15.75" customHeight="1">
      <c r="A788" s="101"/>
      <c r="B788" s="103"/>
      <c r="C788" s="103"/>
      <c r="D788" s="103"/>
      <c r="E788" s="103"/>
      <c r="F788" s="103"/>
      <c r="G788" s="103"/>
      <c r="H788" s="103"/>
      <c r="I788" s="103"/>
      <c r="J788" s="103"/>
      <c r="K788" s="103"/>
      <c r="L788" s="103"/>
      <c r="M788" s="103"/>
      <c r="N788" s="103"/>
      <c r="O788" s="103"/>
      <c r="P788" s="103"/>
      <c r="Q788" s="103"/>
      <c r="R788" s="103"/>
      <c r="S788" s="103"/>
      <c r="T788" s="103"/>
      <c r="U788" s="103"/>
      <c r="V788" s="103"/>
      <c r="W788" s="103"/>
      <c r="X788" s="103"/>
      <c r="Y788" s="103"/>
      <c r="Z788" s="103"/>
    </row>
    <row r="789" spans="1:26" ht="15.75" customHeight="1">
      <c r="A789" s="101"/>
      <c r="B789" s="103"/>
      <c r="C789" s="103"/>
      <c r="D789" s="103"/>
      <c r="E789" s="103"/>
      <c r="F789" s="103"/>
      <c r="G789" s="103"/>
      <c r="H789" s="103"/>
      <c r="I789" s="103"/>
      <c r="J789" s="103"/>
      <c r="K789" s="103"/>
      <c r="L789" s="103"/>
      <c r="M789" s="103"/>
      <c r="N789" s="103"/>
      <c r="O789" s="103"/>
      <c r="P789" s="103"/>
      <c r="Q789" s="103"/>
      <c r="R789" s="103"/>
      <c r="S789" s="103"/>
      <c r="T789" s="103"/>
      <c r="U789" s="103"/>
      <c r="V789" s="103"/>
      <c r="W789" s="103"/>
      <c r="X789" s="103"/>
      <c r="Y789" s="103"/>
      <c r="Z789" s="103"/>
    </row>
    <row r="790" spans="1:26" ht="15.75" customHeight="1">
      <c r="A790" s="101"/>
      <c r="B790" s="103"/>
      <c r="C790" s="103"/>
      <c r="D790" s="103"/>
      <c r="E790" s="103"/>
      <c r="F790" s="103"/>
      <c r="G790" s="103"/>
      <c r="H790" s="103"/>
      <c r="I790" s="103"/>
      <c r="J790" s="103"/>
      <c r="K790" s="103"/>
      <c r="L790" s="103"/>
      <c r="M790" s="103"/>
      <c r="N790" s="103"/>
      <c r="O790" s="103"/>
      <c r="P790" s="103"/>
      <c r="Q790" s="103"/>
      <c r="R790" s="103"/>
      <c r="S790" s="103"/>
      <c r="T790" s="103"/>
      <c r="U790" s="103"/>
      <c r="V790" s="103"/>
      <c r="W790" s="103"/>
      <c r="X790" s="103"/>
      <c r="Y790" s="103"/>
      <c r="Z790" s="103"/>
    </row>
    <row r="791" spans="1:26" ht="15.75" customHeight="1">
      <c r="A791" s="101"/>
      <c r="B791" s="103"/>
      <c r="C791" s="103"/>
      <c r="D791" s="103"/>
      <c r="E791" s="103"/>
      <c r="F791" s="103"/>
      <c r="G791" s="103"/>
      <c r="H791" s="103"/>
      <c r="I791" s="103"/>
      <c r="J791" s="103"/>
      <c r="K791" s="103"/>
      <c r="L791" s="103"/>
      <c r="M791" s="103"/>
      <c r="N791" s="103"/>
      <c r="O791" s="103"/>
      <c r="P791" s="103"/>
      <c r="Q791" s="103"/>
      <c r="R791" s="103"/>
      <c r="S791" s="103"/>
      <c r="T791" s="103"/>
      <c r="U791" s="103"/>
      <c r="V791" s="103"/>
      <c r="W791" s="103"/>
      <c r="X791" s="103"/>
      <c r="Y791" s="103"/>
      <c r="Z791" s="103"/>
    </row>
    <row r="792" spans="1:26" ht="15.75" customHeight="1">
      <c r="A792" s="101"/>
      <c r="B792" s="103"/>
      <c r="C792" s="103"/>
      <c r="D792" s="103"/>
      <c r="E792" s="103"/>
      <c r="F792" s="103"/>
      <c r="G792" s="103"/>
      <c r="H792" s="103"/>
      <c r="I792" s="103"/>
      <c r="J792" s="103"/>
      <c r="K792" s="103"/>
      <c r="L792" s="103"/>
      <c r="M792" s="103"/>
      <c r="N792" s="103"/>
      <c r="O792" s="103"/>
      <c r="P792" s="103"/>
      <c r="Q792" s="103"/>
      <c r="R792" s="103"/>
      <c r="S792" s="103"/>
      <c r="T792" s="103"/>
      <c r="U792" s="103"/>
      <c r="V792" s="103"/>
      <c r="W792" s="103"/>
      <c r="X792" s="103"/>
      <c r="Y792" s="103"/>
      <c r="Z792" s="103"/>
    </row>
    <row r="793" spans="1:26" ht="15.75" customHeight="1">
      <c r="A793" s="101"/>
      <c r="B793" s="103"/>
      <c r="C793" s="103"/>
      <c r="D793" s="103"/>
      <c r="E793" s="103"/>
      <c r="F793" s="103"/>
      <c r="G793" s="103"/>
      <c r="H793" s="103"/>
      <c r="I793" s="103"/>
      <c r="J793" s="103"/>
      <c r="K793" s="103"/>
      <c r="L793" s="103"/>
      <c r="M793" s="103"/>
      <c r="N793" s="103"/>
      <c r="O793" s="103"/>
      <c r="P793" s="103"/>
      <c r="Q793" s="103"/>
      <c r="R793" s="103"/>
      <c r="S793" s="103"/>
      <c r="T793" s="103"/>
      <c r="U793" s="103"/>
      <c r="V793" s="103"/>
      <c r="W793" s="103"/>
      <c r="X793" s="103"/>
      <c r="Y793" s="103"/>
      <c r="Z793" s="103"/>
    </row>
    <row r="794" spans="1:26" ht="15.75" customHeight="1">
      <c r="A794" s="101"/>
      <c r="B794" s="103"/>
      <c r="C794" s="103"/>
      <c r="D794" s="103"/>
      <c r="E794" s="103"/>
      <c r="F794" s="103"/>
      <c r="G794" s="103"/>
      <c r="H794" s="103"/>
      <c r="I794" s="103"/>
      <c r="J794" s="103"/>
      <c r="K794" s="103"/>
      <c r="L794" s="103"/>
      <c r="M794" s="103"/>
      <c r="N794" s="103"/>
      <c r="O794" s="103"/>
      <c r="P794" s="103"/>
      <c r="Q794" s="103"/>
      <c r="R794" s="103"/>
      <c r="S794" s="103"/>
      <c r="T794" s="103"/>
      <c r="U794" s="103"/>
      <c r="V794" s="103"/>
      <c r="W794" s="103"/>
      <c r="X794" s="103"/>
      <c r="Y794" s="103"/>
      <c r="Z794" s="103"/>
    </row>
    <row r="795" spans="1:26" ht="15.75" customHeight="1">
      <c r="A795" s="101"/>
      <c r="B795" s="103"/>
      <c r="C795" s="103"/>
      <c r="D795" s="103"/>
      <c r="E795" s="103"/>
      <c r="F795" s="103"/>
      <c r="G795" s="103"/>
      <c r="H795" s="103"/>
      <c r="I795" s="103"/>
      <c r="J795" s="103"/>
      <c r="K795" s="103"/>
      <c r="L795" s="103"/>
      <c r="M795" s="103"/>
      <c r="N795" s="103"/>
      <c r="O795" s="103"/>
      <c r="P795" s="103"/>
      <c r="Q795" s="103"/>
      <c r="R795" s="103"/>
      <c r="S795" s="103"/>
      <c r="T795" s="103"/>
      <c r="U795" s="103"/>
      <c r="V795" s="103"/>
      <c r="W795" s="103"/>
      <c r="X795" s="103"/>
      <c r="Y795" s="103"/>
      <c r="Z795" s="103"/>
    </row>
    <row r="796" spans="1:26" ht="15.75" customHeight="1">
      <c r="A796" s="101"/>
      <c r="B796" s="103"/>
      <c r="C796" s="103"/>
      <c r="D796" s="103"/>
      <c r="E796" s="103"/>
      <c r="F796" s="103"/>
      <c r="G796" s="103"/>
      <c r="H796" s="103"/>
      <c r="I796" s="103"/>
      <c r="J796" s="103"/>
      <c r="K796" s="103"/>
      <c r="L796" s="103"/>
      <c r="M796" s="103"/>
      <c r="N796" s="103"/>
      <c r="O796" s="103"/>
      <c r="P796" s="103"/>
      <c r="Q796" s="103"/>
      <c r="R796" s="103"/>
      <c r="S796" s="103"/>
      <c r="T796" s="103"/>
      <c r="U796" s="103"/>
      <c r="V796" s="103"/>
      <c r="W796" s="103"/>
      <c r="X796" s="103"/>
      <c r="Y796" s="103"/>
      <c r="Z796" s="103"/>
    </row>
    <row r="797" spans="1:26" ht="15.75" customHeight="1">
      <c r="A797" s="101"/>
      <c r="B797" s="103"/>
      <c r="C797" s="103"/>
      <c r="D797" s="103"/>
      <c r="E797" s="103"/>
      <c r="F797" s="103"/>
      <c r="G797" s="103"/>
      <c r="H797" s="103"/>
      <c r="I797" s="103"/>
      <c r="J797" s="103"/>
      <c r="K797" s="103"/>
      <c r="L797" s="103"/>
      <c r="M797" s="103"/>
      <c r="N797" s="103"/>
      <c r="O797" s="103"/>
      <c r="P797" s="103"/>
      <c r="Q797" s="103"/>
      <c r="R797" s="103"/>
      <c r="S797" s="103"/>
      <c r="T797" s="103"/>
      <c r="U797" s="103"/>
      <c r="V797" s="103"/>
      <c r="W797" s="103"/>
      <c r="X797" s="103"/>
      <c r="Y797" s="103"/>
      <c r="Z797" s="103"/>
    </row>
    <row r="798" spans="1:26" ht="15.75" customHeight="1">
      <c r="A798" s="101"/>
      <c r="B798" s="103"/>
      <c r="C798" s="103"/>
      <c r="D798" s="103"/>
      <c r="E798" s="103"/>
      <c r="F798" s="103"/>
      <c r="G798" s="103"/>
      <c r="H798" s="103"/>
      <c r="I798" s="103"/>
      <c r="J798" s="103"/>
      <c r="K798" s="103"/>
      <c r="L798" s="103"/>
      <c r="M798" s="103"/>
      <c r="N798" s="103"/>
      <c r="O798" s="103"/>
      <c r="P798" s="103"/>
      <c r="Q798" s="103"/>
      <c r="R798" s="103"/>
      <c r="S798" s="103"/>
      <c r="T798" s="103"/>
      <c r="U798" s="103"/>
      <c r="V798" s="103"/>
      <c r="W798" s="103"/>
      <c r="X798" s="103"/>
      <c r="Y798" s="103"/>
      <c r="Z798" s="103"/>
    </row>
    <row r="799" spans="1:26" ht="15.75" customHeight="1">
      <c r="A799" s="101"/>
      <c r="B799" s="103"/>
      <c r="C799" s="103"/>
      <c r="D799" s="103"/>
      <c r="E799" s="103"/>
      <c r="F799" s="103"/>
      <c r="G799" s="103"/>
      <c r="H799" s="103"/>
      <c r="I799" s="103"/>
      <c r="J799" s="103"/>
      <c r="K799" s="103"/>
      <c r="L799" s="103"/>
      <c r="M799" s="103"/>
      <c r="N799" s="103"/>
      <c r="O799" s="103"/>
      <c r="P799" s="103"/>
      <c r="Q799" s="103"/>
      <c r="R799" s="103"/>
      <c r="S799" s="103"/>
      <c r="T799" s="103"/>
      <c r="U799" s="103"/>
      <c r="V799" s="103"/>
      <c r="W799" s="103"/>
      <c r="X799" s="103"/>
      <c r="Y799" s="103"/>
      <c r="Z799" s="103"/>
    </row>
    <row r="800" spans="1:26" ht="15.75" customHeight="1">
      <c r="A800" s="101"/>
      <c r="B800" s="103"/>
      <c r="C800" s="103"/>
      <c r="D800" s="103"/>
      <c r="E800" s="103"/>
      <c r="F800" s="103"/>
      <c r="G800" s="103"/>
      <c r="H800" s="103"/>
      <c r="I800" s="103"/>
      <c r="J800" s="103"/>
      <c r="K800" s="103"/>
      <c r="L800" s="103"/>
      <c r="M800" s="103"/>
      <c r="N800" s="103"/>
      <c r="O800" s="103"/>
      <c r="P800" s="103"/>
      <c r="Q800" s="103"/>
      <c r="R800" s="103"/>
      <c r="S800" s="103"/>
      <c r="T800" s="103"/>
      <c r="U800" s="103"/>
      <c r="V800" s="103"/>
      <c r="W800" s="103"/>
      <c r="X800" s="103"/>
      <c r="Y800" s="103"/>
      <c r="Z800" s="103"/>
    </row>
    <row r="801" spans="1:26" ht="15.75" customHeight="1">
      <c r="A801" s="101"/>
      <c r="B801" s="103"/>
      <c r="C801" s="103"/>
      <c r="D801" s="103"/>
      <c r="E801" s="103"/>
      <c r="F801" s="103"/>
      <c r="G801" s="103"/>
      <c r="H801" s="103"/>
      <c r="I801" s="103"/>
      <c r="J801" s="103"/>
      <c r="K801" s="103"/>
      <c r="L801" s="103"/>
      <c r="M801" s="103"/>
      <c r="N801" s="103"/>
      <c r="O801" s="103"/>
      <c r="P801" s="103"/>
      <c r="Q801" s="103"/>
      <c r="R801" s="103"/>
      <c r="S801" s="103"/>
      <c r="T801" s="103"/>
      <c r="U801" s="103"/>
      <c r="V801" s="103"/>
      <c r="W801" s="103"/>
      <c r="X801" s="103"/>
      <c r="Y801" s="103"/>
      <c r="Z801" s="103"/>
    </row>
    <row r="802" spans="1:26" ht="15.75" customHeight="1">
      <c r="A802" s="101"/>
      <c r="B802" s="103"/>
      <c r="C802" s="103"/>
      <c r="D802" s="103"/>
      <c r="E802" s="103"/>
      <c r="F802" s="103"/>
      <c r="G802" s="103"/>
      <c r="H802" s="103"/>
      <c r="I802" s="103"/>
      <c r="J802" s="103"/>
      <c r="K802" s="103"/>
      <c r="L802" s="103"/>
      <c r="M802" s="103"/>
      <c r="N802" s="103"/>
      <c r="O802" s="103"/>
      <c r="P802" s="103"/>
      <c r="Q802" s="103"/>
      <c r="R802" s="103"/>
      <c r="S802" s="103"/>
      <c r="T802" s="103"/>
      <c r="U802" s="103"/>
      <c r="V802" s="103"/>
      <c r="W802" s="103"/>
      <c r="X802" s="103"/>
      <c r="Y802" s="103"/>
      <c r="Z802" s="103"/>
    </row>
    <row r="803" spans="1:26" ht="15.75" customHeight="1">
      <c r="A803" s="101"/>
      <c r="B803" s="103"/>
      <c r="C803" s="103"/>
      <c r="D803" s="103"/>
      <c r="E803" s="103"/>
      <c r="F803" s="103"/>
      <c r="G803" s="103"/>
      <c r="H803" s="103"/>
      <c r="I803" s="103"/>
      <c r="J803" s="103"/>
      <c r="K803" s="103"/>
      <c r="L803" s="103"/>
      <c r="M803" s="103"/>
      <c r="N803" s="103"/>
      <c r="O803" s="103"/>
      <c r="P803" s="103"/>
      <c r="Q803" s="103"/>
      <c r="R803" s="103"/>
      <c r="S803" s="103"/>
      <c r="T803" s="103"/>
      <c r="U803" s="103"/>
      <c r="V803" s="103"/>
      <c r="W803" s="103"/>
      <c r="X803" s="103"/>
      <c r="Y803" s="103"/>
      <c r="Z803" s="103"/>
    </row>
    <row r="804" spans="1:26" ht="15.75" customHeight="1">
      <c r="A804" s="101"/>
      <c r="B804" s="103"/>
      <c r="C804" s="103"/>
      <c r="D804" s="103"/>
      <c r="E804" s="103"/>
      <c r="F804" s="103"/>
      <c r="G804" s="103"/>
      <c r="H804" s="103"/>
      <c r="I804" s="103"/>
      <c r="J804" s="103"/>
      <c r="K804" s="103"/>
      <c r="L804" s="103"/>
      <c r="M804" s="103"/>
      <c r="N804" s="103"/>
      <c r="O804" s="103"/>
      <c r="P804" s="103"/>
      <c r="Q804" s="103"/>
      <c r="R804" s="103"/>
      <c r="S804" s="103"/>
      <c r="T804" s="103"/>
      <c r="U804" s="103"/>
      <c r="V804" s="103"/>
      <c r="W804" s="103"/>
      <c r="X804" s="103"/>
      <c r="Y804" s="103"/>
      <c r="Z804" s="103"/>
    </row>
    <row r="805" spans="1:26" ht="15.75" customHeight="1">
      <c r="A805" s="101"/>
      <c r="B805" s="103"/>
      <c r="C805" s="103"/>
      <c r="D805" s="103"/>
      <c r="E805" s="103"/>
      <c r="F805" s="103"/>
      <c r="G805" s="103"/>
      <c r="H805" s="103"/>
      <c r="I805" s="103"/>
      <c r="J805" s="103"/>
      <c r="K805" s="103"/>
      <c r="L805" s="103"/>
      <c r="M805" s="103"/>
      <c r="N805" s="103"/>
      <c r="O805" s="103"/>
      <c r="P805" s="103"/>
      <c r="Q805" s="103"/>
      <c r="R805" s="103"/>
      <c r="S805" s="103"/>
      <c r="T805" s="103"/>
      <c r="U805" s="103"/>
      <c r="V805" s="103"/>
      <c r="W805" s="103"/>
      <c r="X805" s="103"/>
      <c r="Y805" s="103"/>
      <c r="Z805" s="103"/>
    </row>
    <row r="806" spans="1:26" ht="15.75" customHeight="1">
      <c r="A806" s="101"/>
      <c r="B806" s="103"/>
      <c r="C806" s="103"/>
      <c r="D806" s="103"/>
      <c r="E806" s="103"/>
      <c r="F806" s="103"/>
      <c r="G806" s="103"/>
      <c r="H806" s="103"/>
      <c r="I806" s="103"/>
      <c r="J806" s="103"/>
      <c r="K806" s="103"/>
      <c r="L806" s="103"/>
      <c r="M806" s="103"/>
      <c r="N806" s="103"/>
      <c r="O806" s="103"/>
      <c r="P806" s="103"/>
      <c r="Q806" s="103"/>
      <c r="R806" s="103"/>
      <c r="S806" s="103"/>
      <c r="T806" s="103"/>
      <c r="U806" s="103"/>
      <c r="V806" s="103"/>
      <c r="W806" s="103"/>
      <c r="X806" s="103"/>
      <c r="Y806" s="103"/>
      <c r="Z806" s="103"/>
    </row>
    <row r="807" spans="1:26" ht="15.75" customHeight="1">
      <c r="A807" s="101"/>
      <c r="B807" s="103"/>
      <c r="C807" s="103"/>
      <c r="D807" s="103"/>
      <c r="E807" s="103"/>
      <c r="F807" s="103"/>
      <c r="G807" s="103"/>
      <c r="H807" s="103"/>
      <c r="I807" s="103"/>
      <c r="J807" s="103"/>
      <c r="K807" s="103"/>
      <c r="L807" s="103"/>
      <c r="M807" s="103"/>
      <c r="N807" s="103"/>
      <c r="O807" s="103"/>
      <c r="P807" s="103"/>
      <c r="Q807" s="103"/>
      <c r="R807" s="103"/>
      <c r="S807" s="103"/>
      <c r="T807" s="103"/>
      <c r="U807" s="103"/>
      <c r="V807" s="103"/>
      <c r="W807" s="103"/>
      <c r="X807" s="103"/>
      <c r="Y807" s="103"/>
      <c r="Z807" s="103"/>
    </row>
    <row r="808" spans="1:26" ht="15.75" customHeight="1">
      <c r="A808" s="101"/>
      <c r="B808" s="103"/>
      <c r="C808" s="103"/>
      <c r="D808" s="103"/>
      <c r="E808" s="103"/>
      <c r="F808" s="103"/>
      <c r="G808" s="103"/>
      <c r="H808" s="103"/>
      <c r="I808" s="103"/>
      <c r="J808" s="103"/>
      <c r="K808" s="103"/>
      <c r="L808" s="103"/>
      <c r="M808" s="103"/>
      <c r="N808" s="103"/>
      <c r="O808" s="103"/>
      <c r="P808" s="103"/>
      <c r="Q808" s="103"/>
      <c r="R808" s="103"/>
      <c r="S808" s="103"/>
      <c r="T808" s="103"/>
      <c r="U808" s="103"/>
      <c r="V808" s="103"/>
      <c r="W808" s="103"/>
      <c r="X808" s="103"/>
      <c r="Y808" s="103"/>
      <c r="Z808" s="103"/>
    </row>
    <row r="809" spans="1:26" ht="15.75" customHeight="1">
      <c r="A809" s="101"/>
      <c r="B809" s="103"/>
      <c r="C809" s="103"/>
      <c r="D809" s="103"/>
      <c r="E809" s="103"/>
      <c r="F809" s="103"/>
      <c r="G809" s="103"/>
      <c r="H809" s="103"/>
      <c r="I809" s="103"/>
      <c r="J809" s="103"/>
      <c r="K809" s="103"/>
      <c r="L809" s="103"/>
      <c r="M809" s="103"/>
      <c r="N809" s="103"/>
      <c r="O809" s="103"/>
      <c r="P809" s="103"/>
      <c r="Q809" s="103"/>
      <c r="R809" s="103"/>
      <c r="S809" s="103"/>
      <c r="T809" s="103"/>
      <c r="U809" s="103"/>
      <c r="V809" s="103"/>
      <c r="W809" s="103"/>
      <c r="X809" s="103"/>
      <c r="Y809" s="103"/>
      <c r="Z809" s="103"/>
    </row>
    <row r="810" spans="1:26" ht="15.75" customHeight="1">
      <c r="A810" s="101"/>
      <c r="B810" s="103"/>
      <c r="C810" s="103"/>
      <c r="D810" s="103"/>
      <c r="E810" s="103"/>
      <c r="F810" s="103"/>
      <c r="G810" s="103"/>
      <c r="H810" s="103"/>
      <c r="I810" s="103"/>
      <c r="J810" s="103"/>
      <c r="K810" s="103"/>
      <c r="L810" s="103"/>
      <c r="M810" s="103"/>
      <c r="N810" s="103"/>
      <c r="O810" s="103"/>
      <c r="P810" s="103"/>
      <c r="Q810" s="103"/>
      <c r="R810" s="103"/>
      <c r="S810" s="103"/>
      <c r="T810" s="103"/>
      <c r="U810" s="103"/>
      <c r="V810" s="103"/>
      <c r="W810" s="103"/>
      <c r="X810" s="103"/>
      <c r="Y810" s="103"/>
      <c r="Z810" s="103"/>
    </row>
    <row r="811" spans="1:26" ht="15.75" customHeight="1">
      <c r="A811" s="101"/>
      <c r="B811" s="103"/>
      <c r="C811" s="103"/>
      <c r="D811" s="103"/>
      <c r="E811" s="103"/>
      <c r="F811" s="103"/>
      <c r="G811" s="103"/>
      <c r="H811" s="103"/>
      <c r="I811" s="103"/>
      <c r="J811" s="103"/>
      <c r="K811" s="103"/>
      <c r="L811" s="103"/>
      <c r="M811" s="103"/>
      <c r="N811" s="103"/>
      <c r="O811" s="103"/>
      <c r="P811" s="103"/>
      <c r="Q811" s="103"/>
      <c r="R811" s="103"/>
      <c r="S811" s="103"/>
      <c r="T811" s="103"/>
      <c r="U811" s="103"/>
      <c r="V811" s="103"/>
      <c r="W811" s="103"/>
      <c r="X811" s="103"/>
      <c r="Y811" s="103"/>
      <c r="Z811" s="103"/>
    </row>
    <row r="812" spans="1:26" ht="15.75" customHeight="1">
      <c r="A812" s="101"/>
      <c r="B812" s="103"/>
      <c r="C812" s="103"/>
      <c r="D812" s="103"/>
      <c r="E812" s="103"/>
      <c r="F812" s="103"/>
      <c r="G812" s="103"/>
      <c r="H812" s="103"/>
      <c r="I812" s="103"/>
      <c r="J812" s="103"/>
      <c r="K812" s="103"/>
      <c r="L812" s="103"/>
      <c r="M812" s="103"/>
      <c r="N812" s="103"/>
      <c r="O812" s="103"/>
      <c r="P812" s="103"/>
      <c r="Q812" s="103"/>
      <c r="R812" s="103"/>
      <c r="S812" s="103"/>
      <c r="T812" s="103"/>
      <c r="U812" s="103"/>
      <c r="V812" s="103"/>
      <c r="W812" s="103"/>
      <c r="X812" s="103"/>
      <c r="Y812" s="103"/>
      <c r="Z812" s="103"/>
    </row>
    <row r="813" spans="1:26" ht="15.75" customHeight="1">
      <c r="A813" s="101"/>
      <c r="B813" s="103"/>
      <c r="C813" s="103"/>
      <c r="D813" s="103"/>
      <c r="E813" s="103"/>
      <c r="F813" s="103"/>
      <c r="G813" s="103"/>
      <c r="H813" s="103"/>
      <c r="I813" s="103"/>
      <c r="J813" s="103"/>
      <c r="K813" s="103"/>
      <c r="L813" s="103"/>
      <c r="M813" s="103"/>
      <c r="N813" s="103"/>
      <c r="O813" s="103"/>
      <c r="P813" s="103"/>
      <c r="Q813" s="103"/>
      <c r="R813" s="103"/>
      <c r="S813" s="103"/>
      <c r="T813" s="103"/>
      <c r="U813" s="103"/>
      <c r="V813" s="103"/>
      <c r="W813" s="103"/>
      <c r="X813" s="103"/>
      <c r="Y813" s="103"/>
      <c r="Z813" s="103"/>
    </row>
    <row r="814" spans="1:26" ht="15.75" customHeight="1">
      <c r="A814" s="101"/>
      <c r="B814" s="103"/>
      <c r="C814" s="103"/>
      <c r="D814" s="103"/>
      <c r="E814" s="103"/>
      <c r="F814" s="103"/>
      <c r="G814" s="103"/>
      <c r="H814" s="103"/>
      <c r="I814" s="103"/>
      <c r="J814" s="103"/>
      <c r="K814" s="103"/>
      <c r="L814" s="103"/>
      <c r="M814" s="103"/>
      <c r="N814" s="103"/>
      <c r="O814" s="103"/>
      <c r="P814" s="103"/>
      <c r="Q814" s="103"/>
      <c r="R814" s="103"/>
      <c r="S814" s="103"/>
      <c r="T814" s="103"/>
      <c r="U814" s="103"/>
      <c r="V814" s="103"/>
      <c r="W814" s="103"/>
      <c r="X814" s="103"/>
      <c r="Y814" s="103"/>
      <c r="Z814" s="103"/>
    </row>
    <row r="815" spans="1:26" ht="15.75" customHeight="1">
      <c r="A815" s="101"/>
      <c r="B815" s="103"/>
      <c r="C815" s="103"/>
      <c r="D815" s="103"/>
      <c r="E815" s="103"/>
      <c r="F815" s="103"/>
      <c r="G815" s="103"/>
      <c r="H815" s="103"/>
      <c r="I815" s="103"/>
      <c r="J815" s="103"/>
      <c r="K815" s="103"/>
      <c r="L815" s="103"/>
      <c r="M815" s="103"/>
      <c r="N815" s="103"/>
      <c r="O815" s="103"/>
      <c r="P815" s="103"/>
      <c r="Q815" s="103"/>
      <c r="R815" s="103"/>
      <c r="S815" s="103"/>
      <c r="T815" s="103"/>
      <c r="U815" s="103"/>
      <c r="V815" s="103"/>
      <c r="W815" s="103"/>
      <c r="X815" s="103"/>
      <c r="Y815" s="103"/>
      <c r="Z815" s="103"/>
    </row>
    <row r="816" spans="1:26" ht="15.75" customHeight="1">
      <c r="A816" s="101"/>
      <c r="B816" s="103"/>
      <c r="C816" s="103"/>
      <c r="D816" s="103"/>
      <c r="E816" s="103"/>
      <c r="F816" s="103"/>
      <c r="G816" s="103"/>
      <c r="H816" s="103"/>
      <c r="I816" s="103"/>
      <c r="J816" s="103"/>
      <c r="K816" s="103"/>
      <c r="L816" s="103"/>
      <c r="M816" s="103"/>
      <c r="N816" s="103"/>
      <c r="O816" s="103"/>
      <c r="P816" s="103"/>
      <c r="Q816" s="103"/>
      <c r="R816" s="103"/>
      <c r="S816" s="103"/>
      <c r="T816" s="103"/>
      <c r="U816" s="103"/>
      <c r="V816" s="103"/>
      <c r="W816" s="103"/>
      <c r="X816" s="103"/>
      <c r="Y816" s="103"/>
      <c r="Z816" s="103"/>
    </row>
    <row r="817" spans="1:26" ht="15.75" customHeight="1">
      <c r="A817" s="101"/>
      <c r="B817" s="103"/>
      <c r="C817" s="103"/>
      <c r="D817" s="103"/>
      <c r="E817" s="103"/>
      <c r="F817" s="103"/>
      <c r="G817" s="103"/>
      <c r="H817" s="103"/>
      <c r="I817" s="103"/>
      <c r="J817" s="103"/>
      <c r="K817" s="103"/>
      <c r="L817" s="103"/>
      <c r="M817" s="103"/>
      <c r="N817" s="103"/>
      <c r="O817" s="103"/>
      <c r="P817" s="103"/>
      <c r="Q817" s="103"/>
      <c r="R817" s="103"/>
      <c r="S817" s="103"/>
      <c r="T817" s="103"/>
      <c r="U817" s="103"/>
      <c r="V817" s="103"/>
      <c r="W817" s="103"/>
      <c r="X817" s="103"/>
      <c r="Y817" s="103"/>
      <c r="Z817" s="103"/>
    </row>
    <row r="818" spans="1:26" ht="15.75" customHeight="1">
      <c r="A818" s="101"/>
      <c r="B818" s="103"/>
      <c r="C818" s="103"/>
      <c r="D818" s="103"/>
      <c r="E818" s="103"/>
      <c r="F818" s="103"/>
      <c r="G818" s="103"/>
      <c r="H818" s="103"/>
      <c r="I818" s="103"/>
      <c r="J818" s="103"/>
      <c r="K818" s="103"/>
      <c r="L818" s="103"/>
      <c r="M818" s="103"/>
      <c r="N818" s="103"/>
      <c r="O818" s="103"/>
      <c r="P818" s="103"/>
      <c r="Q818" s="103"/>
      <c r="R818" s="103"/>
      <c r="S818" s="103"/>
      <c r="T818" s="103"/>
      <c r="U818" s="103"/>
      <c r="V818" s="103"/>
      <c r="W818" s="103"/>
      <c r="X818" s="103"/>
      <c r="Y818" s="103"/>
      <c r="Z818" s="103"/>
    </row>
    <row r="819" spans="1:26" ht="15.75" customHeight="1">
      <c r="A819" s="101"/>
      <c r="B819" s="103"/>
      <c r="C819" s="103"/>
      <c r="D819" s="103"/>
      <c r="E819" s="103"/>
      <c r="F819" s="103"/>
      <c r="G819" s="103"/>
      <c r="H819" s="103"/>
      <c r="I819" s="103"/>
      <c r="J819" s="103"/>
      <c r="K819" s="103"/>
      <c r="L819" s="103"/>
      <c r="M819" s="103"/>
      <c r="N819" s="103"/>
      <c r="O819" s="103"/>
      <c r="P819" s="103"/>
      <c r="Q819" s="103"/>
      <c r="R819" s="103"/>
      <c r="S819" s="103"/>
      <c r="T819" s="103"/>
      <c r="U819" s="103"/>
      <c r="V819" s="103"/>
      <c r="W819" s="103"/>
      <c r="X819" s="103"/>
      <c r="Y819" s="103"/>
      <c r="Z819" s="103"/>
    </row>
    <row r="820" spans="1:26" ht="15.75" customHeight="1">
      <c r="A820" s="101"/>
      <c r="B820" s="103"/>
      <c r="C820" s="103"/>
      <c r="D820" s="103"/>
      <c r="E820" s="103"/>
      <c r="F820" s="103"/>
      <c r="G820" s="103"/>
      <c r="H820" s="103"/>
      <c r="I820" s="103"/>
      <c r="J820" s="103"/>
      <c r="K820" s="103"/>
      <c r="L820" s="103"/>
      <c r="M820" s="103"/>
      <c r="N820" s="103"/>
      <c r="O820" s="103"/>
      <c r="P820" s="103"/>
      <c r="Q820" s="103"/>
      <c r="R820" s="103"/>
      <c r="S820" s="103"/>
      <c r="T820" s="103"/>
      <c r="U820" s="103"/>
      <c r="V820" s="103"/>
      <c r="W820" s="103"/>
      <c r="X820" s="103"/>
      <c r="Y820" s="103"/>
      <c r="Z820" s="103"/>
    </row>
    <row r="821" spans="1:26" ht="15.75" customHeight="1">
      <c r="A821" s="101"/>
      <c r="B821" s="103"/>
      <c r="C821" s="103"/>
      <c r="D821" s="103"/>
      <c r="E821" s="103"/>
      <c r="F821" s="103"/>
      <c r="G821" s="103"/>
      <c r="H821" s="103"/>
      <c r="I821" s="103"/>
      <c r="J821" s="103"/>
      <c r="K821" s="103"/>
      <c r="L821" s="103"/>
      <c r="M821" s="103"/>
      <c r="N821" s="103"/>
      <c r="O821" s="103"/>
      <c r="P821" s="103"/>
      <c r="Q821" s="103"/>
      <c r="R821" s="103"/>
      <c r="S821" s="103"/>
      <c r="T821" s="103"/>
      <c r="U821" s="103"/>
      <c r="V821" s="103"/>
      <c r="W821" s="103"/>
      <c r="X821" s="103"/>
      <c r="Y821" s="103"/>
      <c r="Z821" s="103"/>
    </row>
    <row r="822" spans="1:26" ht="15.75" customHeight="1">
      <c r="A822" s="101"/>
      <c r="B822" s="103"/>
      <c r="C822" s="103"/>
      <c r="D822" s="103"/>
      <c r="E822" s="103"/>
      <c r="F822" s="103"/>
      <c r="G822" s="103"/>
      <c r="H822" s="103"/>
      <c r="I822" s="103"/>
      <c r="J822" s="103"/>
      <c r="K822" s="103"/>
      <c r="L822" s="103"/>
      <c r="M822" s="103"/>
      <c r="N822" s="103"/>
      <c r="O822" s="103"/>
      <c r="P822" s="103"/>
      <c r="Q822" s="103"/>
      <c r="R822" s="103"/>
      <c r="S822" s="103"/>
      <c r="T822" s="103"/>
      <c r="U822" s="103"/>
      <c r="V822" s="103"/>
      <c r="W822" s="103"/>
      <c r="X822" s="103"/>
      <c r="Y822" s="103"/>
      <c r="Z822" s="103"/>
    </row>
    <row r="823" spans="1:26" ht="15.75" customHeight="1">
      <c r="A823" s="101"/>
      <c r="B823" s="103"/>
      <c r="C823" s="103"/>
      <c r="D823" s="103"/>
      <c r="E823" s="103"/>
      <c r="F823" s="103"/>
      <c r="G823" s="103"/>
      <c r="H823" s="103"/>
      <c r="I823" s="103"/>
      <c r="J823" s="103"/>
      <c r="K823" s="103"/>
      <c r="L823" s="103"/>
      <c r="M823" s="103"/>
      <c r="N823" s="103"/>
      <c r="O823" s="103"/>
      <c r="P823" s="103"/>
      <c r="Q823" s="103"/>
      <c r="R823" s="103"/>
      <c r="S823" s="103"/>
      <c r="T823" s="103"/>
      <c r="U823" s="103"/>
      <c r="V823" s="103"/>
      <c r="W823" s="103"/>
      <c r="X823" s="103"/>
      <c r="Y823" s="103"/>
      <c r="Z823" s="103"/>
    </row>
    <row r="824" spans="1:26" ht="15.75" customHeight="1">
      <c r="A824" s="101"/>
      <c r="B824" s="103"/>
      <c r="C824" s="103"/>
      <c r="D824" s="103"/>
      <c r="E824" s="103"/>
      <c r="F824" s="103"/>
      <c r="G824" s="103"/>
      <c r="H824" s="103"/>
      <c r="I824" s="103"/>
      <c r="J824" s="103"/>
      <c r="K824" s="103"/>
      <c r="L824" s="103"/>
      <c r="M824" s="103"/>
      <c r="N824" s="103"/>
      <c r="O824" s="103"/>
      <c r="P824" s="103"/>
      <c r="Q824" s="103"/>
      <c r="R824" s="103"/>
      <c r="S824" s="103"/>
      <c r="T824" s="103"/>
      <c r="U824" s="103"/>
      <c r="V824" s="103"/>
      <c r="W824" s="103"/>
      <c r="X824" s="103"/>
      <c r="Y824" s="103"/>
      <c r="Z824" s="103"/>
    </row>
    <row r="825" spans="1:26" ht="15.75" customHeight="1">
      <c r="A825" s="101"/>
      <c r="B825" s="103"/>
      <c r="C825" s="103"/>
      <c r="D825" s="103"/>
      <c r="E825" s="103"/>
      <c r="F825" s="103"/>
      <c r="G825" s="103"/>
      <c r="H825" s="103"/>
      <c r="I825" s="103"/>
      <c r="J825" s="103"/>
      <c r="K825" s="103"/>
      <c r="L825" s="103"/>
      <c r="M825" s="103"/>
      <c r="N825" s="103"/>
      <c r="O825" s="103"/>
      <c r="P825" s="103"/>
      <c r="Q825" s="103"/>
      <c r="R825" s="103"/>
      <c r="S825" s="103"/>
      <c r="T825" s="103"/>
      <c r="U825" s="103"/>
      <c r="V825" s="103"/>
      <c r="W825" s="103"/>
      <c r="X825" s="103"/>
      <c r="Y825" s="103"/>
      <c r="Z825" s="103"/>
    </row>
    <row r="826" spans="1:26" ht="15.75" customHeight="1">
      <c r="A826" s="101"/>
      <c r="B826" s="103"/>
      <c r="C826" s="103"/>
      <c r="D826" s="103"/>
      <c r="E826" s="103"/>
      <c r="F826" s="103"/>
      <c r="G826" s="103"/>
      <c r="H826" s="103"/>
      <c r="I826" s="103"/>
      <c r="J826" s="103"/>
      <c r="K826" s="103"/>
      <c r="L826" s="103"/>
      <c r="M826" s="103"/>
      <c r="N826" s="103"/>
      <c r="O826" s="103"/>
      <c r="P826" s="103"/>
      <c r="Q826" s="103"/>
      <c r="R826" s="103"/>
      <c r="S826" s="103"/>
      <c r="T826" s="103"/>
      <c r="U826" s="103"/>
      <c r="V826" s="103"/>
      <c r="W826" s="103"/>
      <c r="X826" s="103"/>
      <c r="Y826" s="103"/>
      <c r="Z826" s="103"/>
    </row>
    <row r="827" spans="1:26" ht="15.75" customHeight="1">
      <c r="A827" s="101"/>
      <c r="B827" s="103"/>
      <c r="C827" s="103"/>
      <c r="D827" s="103"/>
      <c r="E827" s="103"/>
      <c r="F827" s="103"/>
      <c r="G827" s="103"/>
      <c r="H827" s="103"/>
      <c r="I827" s="103"/>
      <c r="J827" s="103"/>
      <c r="K827" s="103"/>
      <c r="L827" s="103"/>
      <c r="M827" s="103"/>
      <c r="N827" s="103"/>
      <c r="O827" s="103"/>
      <c r="P827" s="103"/>
      <c r="Q827" s="103"/>
      <c r="R827" s="103"/>
      <c r="S827" s="103"/>
      <c r="T827" s="103"/>
      <c r="U827" s="103"/>
      <c r="V827" s="103"/>
      <c r="W827" s="103"/>
      <c r="X827" s="103"/>
      <c r="Y827" s="103"/>
      <c r="Z827" s="103"/>
    </row>
    <row r="828" spans="1:26" ht="15.75" customHeight="1">
      <c r="A828" s="101"/>
      <c r="B828" s="103"/>
      <c r="C828" s="103"/>
      <c r="D828" s="103"/>
      <c r="E828" s="103"/>
      <c r="F828" s="103"/>
      <c r="G828" s="103"/>
      <c r="H828" s="103"/>
      <c r="I828" s="103"/>
      <c r="J828" s="103"/>
      <c r="K828" s="103"/>
      <c r="L828" s="103"/>
      <c r="M828" s="103"/>
      <c r="N828" s="103"/>
      <c r="O828" s="103"/>
      <c r="P828" s="103"/>
      <c r="Q828" s="103"/>
      <c r="R828" s="103"/>
      <c r="S828" s="103"/>
      <c r="T828" s="103"/>
      <c r="U828" s="103"/>
      <c r="V828" s="103"/>
      <c r="W828" s="103"/>
      <c r="X828" s="103"/>
      <c r="Y828" s="103"/>
      <c r="Z828" s="103"/>
    </row>
    <row r="829" spans="1:26" ht="15.75" customHeight="1">
      <c r="A829" s="101"/>
      <c r="B829" s="103"/>
      <c r="C829" s="103"/>
      <c r="D829" s="103"/>
      <c r="E829" s="103"/>
      <c r="F829" s="103"/>
      <c r="G829" s="103"/>
      <c r="H829" s="103"/>
      <c r="I829" s="103"/>
      <c r="J829" s="103"/>
      <c r="K829" s="103"/>
      <c r="L829" s="103"/>
      <c r="M829" s="103"/>
      <c r="N829" s="103"/>
      <c r="O829" s="103"/>
      <c r="P829" s="103"/>
      <c r="Q829" s="103"/>
      <c r="R829" s="103"/>
      <c r="S829" s="103"/>
      <c r="T829" s="103"/>
      <c r="U829" s="103"/>
      <c r="V829" s="103"/>
      <c r="W829" s="103"/>
      <c r="X829" s="103"/>
      <c r="Y829" s="103"/>
      <c r="Z829" s="103"/>
    </row>
    <row r="830" spans="1:26" ht="15.75" customHeight="1">
      <c r="A830" s="101"/>
      <c r="B830" s="103"/>
      <c r="C830" s="103"/>
      <c r="D830" s="103"/>
      <c r="E830" s="103"/>
      <c r="F830" s="103"/>
      <c r="G830" s="103"/>
      <c r="H830" s="103"/>
      <c r="I830" s="103"/>
      <c r="J830" s="103"/>
      <c r="K830" s="103"/>
      <c r="L830" s="103"/>
      <c r="M830" s="103"/>
      <c r="N830" s="103"/>
      <c r="O830" s="103"/>
      <c r="P830" s="103"/>
      <c r="Q830" s="103"/>
      <c r="R830" s="103"/>
      <c r="S830" s="103"/>
      <c r="T830" s="103"/>
      <c r="U830" s="103"/>
      <c r="V830" s="103"/>
      <c r="W830" s="103"/>
      <c r="X830" s="103"/>
      <c r="Y830" s="103"/>
      <c r="Z830" s="103"/>
    </row>
    <row r="831" spans="1:26" ht="15.75" customHeight="1">
      <c r="A831" s="101"/>
      <c r="B831" s="103"/>
      <c r="C831" s="103"/>
      <c r="D831" s="103"/>
      <c r="E831" s="103"/>
      <c r="F831" s="103"/>
      <c r="G831" s="103"/>
      <c r="H831" s="103"/>
      <c r="I831" s="103"/>
      <c r="J831" s="103"/>
      <c r="K831" s="103"/>
      <c r="L831" s="103"/>
      <c r="M831" s="103"/>
      <c r="N831" s="103"/>
      <c r="O831" s="103"/>
      <c r="P831" s="103"/>
      <c r="Q831" s="103"/>
      <c r="R831" s="103"/>
      <c r="S831" s="103"/>
      <c r="T831" s="103"/>
      <c r="U831" s="103"/>
      <c r="V831" s="103"/>
      <c r="W831" s="103"/>
      <c r="X831" s="103"/>
      <c r="Y831" s="103"/>
      <c r="Z831" s="103"/>
    </row>
    <row r="832" spans="1:26" ht="15.75" customHeight="1">
      <c r="A832" s="101"/>
      <c r="B832" s="103"/>
      <c r="C832" s="103"/>
      <c r="D832" s="103"/>
      <c r="E832" s="103"/>
      <c r="F832" s="103"/>
      <c r="G832" s="103"/>
      <c r="H832" s="103"/>
      <c r="I832" s="103"/>
      <c r="J832" s="103"/>
      <c r="K832" s="103"/>
      <c r="L832" s="103"/>
      <c r="M832" s="103"/>
      <c r="N832" s="103"/>
      <c r="O832" s="103"/>
      <c r="P832" s="103"/>
      <c r="Q832" s="103"/>
      <c r="R832" s="103"/>
      <c r="S832" s="103"/>
      <c r="T832" s="103"/>
      <c r="U832" s="103"/>
      <c r="V832" s="103"/>
      <c r="W832" s="103"/>
      <c r="X832" s="103"/>
      <c r="Y832" s="103"/>
      <c r="Z832" s="103"/>
    </row>
    <row r="833" spans="1:26" ht="15.75" customHeight="1">
      <c r="A833" s="101"/>
      <c r="B833" s="103"/>
      <c r="C833" s="103"/>
      <c r="D833" s="103"/>
      <c r="E833" s="103"/>
      <c r="F833" s="103"/>
      <c r="G833" s="103"/>
      <c r="H833" s="103"/>
      <c r="I833" s="103"/>
      <c r="J833" s="103"/>
      <c r="K833" s="103"/>
      <c r="L833" s="103"/>
      <c r="M833" s="103"/>
      <c r="N833" s="103"/>
      <c r="O833" s="103"/>
      <c r="P833" s="103"/>
      <c r="Q833" s="103"/>
      <c r="R833" s="103"/>
      <c r="S833" s="103"/>
      <c r="T833" s="103"/>
      <c r="U833" s="103"/>
      <c r="V833" s="103"/>
      <c r="W833" s="103"/>
      <c r="X833" s="103"/>
      <c r="Y833" s="103"/>
      <c r="Z833" s="103"/>
    </row>
    <row r="834" spans="1:26" ht="15.75" customHeight="1">
      <c r="A834" s="101"/>
      <c r="B834" s="103"/>
      <c r="C834" s="103"/>
      <c r="D834" s="103"/>
      <c r="E834" s="103"/>
      <c r="F834" s="103"/>
      <c r="G834" s="103"/>
      <c r="H834" s="103"/>
      <c r="I834" s="103"/>
      <c r="J834" s="103"/>
      <c r="K834" s="103"/>
      <c r="L834" s="103"/>
      <c r="M834" s="103"/>
      <c r="N834" s="103"/>
      <c r="O834" s="103"/>
      <c r="P834" s="103"/>
      <c r="Q834" s="103"/>
      <c r="R834" s="103"/>
      <c r="S834" s="103"/>
      <c r="T834" s="103"/>
      <c r="U834" s="103"/>
      <c r="V834" s="103"/>
      <c r="W834" s="103"/>
      <c r="X834" s="103"/>
      <c r="Y834" s="103"/>
      <c r="Z834" s="103"/>
    </row>
    <row r="835" spans="1:26" ht="15.75" customHeight="1">
      <c r="A835" s="101"/>
      <c r="B835" s="103"/>
      <c r="C835" s="103"/>
      <c r="D835" s="103"/>
      <c r="E835" s="103"/>
      <c r="F835" s="103"/>
      <c r="G835" s="103"/>
      <c r="H835" s="103"/>
      <c r="I835" s="103"/>
      <c r="J835" s="103"/>
      <c r="K835" s="103"/>
      <c r="L835" s="103"/>
      <c r="M835" s="103"/>
      <c r="N835" s="103"/>
      <c r="O835" s="103"/>
      <c r="P835" s="103"/>
      <c r="Q835" s="103"/>
      <c r="R835" s="103"/>
      <c r="S835" s="103"/>
      <c r="T835" s="103"/>
      <c r="U835" s="103"/>
      <c r="V835" s="103"/>
      <c r="W835" s="103"/>
      <c r="X835" s="103"/>
      <c r="Y835" s="103"/>
      <c r="Z835" s="103"/>
    </row>
    <row r="836" spans="1:26" ht="15.75" customHeight="1">
      <c r="A836" s="101"/>
      <c r="B836" s="103"/>
      <c r="C836" s="103"/>
      <c r="D836" s="103"/>
      <c r="E836" s="103"/>
      <c r="F836" s="103"/>
      <c r="G836" s="103"/>
      <c r="H836" s="103"/>
      <c r="I836" s="103"/>
      <c r="J836" s="103"/>
      <c r="K836" s="103"/>
      <c r="L836" s="103"/>
      <c r="M836" s="103"/>
      <c r="N836" s="103"/>
      <c r="O836" s="103"/>
      <c r="P836" s="103"/>
      <c r="Q836" s="103"/>
      <c r="R836" s="103"/>
      <c r="S836" s="103"/>
      <c r="T836" s="103"/>
      <c r="U836" s="103"/>
      <c r="V836" s="103"/>
      <c r="W836" s="103"/>
      <c r="X836" s="103"/>
      <c r="Y836" s="103"/>
      <c r="Z836" s="103"/>
    </row>
    <row r="837" spans="1:26" ht="15.75" customHeight="1">
      <c r="A837" s="101"/>
      <c r="B837" s="103"/>
      <c r="C837" s="103"/>
      <c r="D837" s="103"/>
      <c r="E837" s="103"/>
      <c r="F837" s="103"/>
      <c r="G837" s="103"/>
      <c r="H837" s="103"/>
      <c r="I837" s="103"/>
      <c r="J837" s="103"/>
      <c r="K837" s="103"/>
      <c r="L837" s="103"/>
      <c r="M837" s="103"/>
      <c r="N837" s="103"/>
      <c r="O837" s="103"/>
      <c r="P837" s="103"/>
      <c r="Q837" s="103"/>
      <c r="R837" s="103"/>
      <c r="S837" s="103"/>
      <c r="T837" s="103"/>
      <c r="U837" s="103"/>
      <c r="V837" s="103"/>
      <c r="W837" s="103"/>
      <c r="X837" s="103"/>
      <c r="Y837" s="103"/>
      <c r="Z837" s="103"/>
    </row>
    <row r="838" spans="1:26" ht="15.75" customHeight="1">
      <c r="A838" s="101"/>
      <c r="B838" s="103"/>
      <c r="C838" s="103"/>
      <c r="D838" s="103"/>
      <c r="E838" s="103"/>
      <c r="F838" s="103"/>
      <c r="G838" s="103"/>
      <c r="H838" s="103"/>
      <c r="I838" s="103"/>
      <c r="J838" s="103"/>
      <c r="K838" s="103"/>
      <c r="L838" s="103"/>
      <c r="M838" s="103"/>
      <c r="N838" s="103"/>
      <c r="O838" s="103"/>
      <c r="P838" s="103"/>
      <c r="Q838" s="103"/>
      <c r="R838" s="103"/>
      <c r="S838" s="103"/>
      <c r="T838" s="103"/>
      <c r="U838" s="103"/>
      <c r="V838" s="103"/>
      <c r="W838" s="103"/>
      <c r="X838" s="103"/>
      <c r="Y838" s="103"/>
      <c r="Z838" s="103"/>
    </row>
    <row r="839" spans="1:26" ht="15.75" customHeight="1">
      <c r="A839" s="101"/>
      <c r="B839" s="103"/>
      <c r="C839" s="103"/>
      <c r="D839" s="103"/>
      <c r="E839" s="103"/>
      <c r="F839" s="103"/>
      <c r="G839" s="103"/>
      <c r="H839" s="103"/>
      <c r="I839" s="103"/>
      <c r="J839" s="103"/>
      <c r="K839" s="103"/>
      <c r="L839" s="103"/>
      <c r="M839" s="103"/>
      <c r="N839" s="103"/>
      <c r="O839" s="103"/>
      <c r="P839" s="103"/>
      <c r="Q839" s="103"/>
      <c r="R839" s="103"/>
      <c r="S839" s="103"/>
      <c r="T839" s="103"/>
      <c r="U839" s="103"/>
      <c r="V839" s="103"/>
      <c r="W839" s="103"/>
      <c r="X839" s="103"/>
      <c r="Y839" s="103"/>
      <c r="Z839" s="103"/>
    </row>
    <row r="840" spans="1:26" ht="15.75" customHeight="1">
      <c r="A840" s="101"/>
      <c r="B840" s="103"/>
      <c r="C840" s="103"/>
      <c r="D840" s="103"/>
      <c r="E840" s="103"/>
      <c r="F840" s="103"/>
      <c r="G840" s="103"/>
      <c r="H840" s="103"/>
      <c r="I840" s="103"/>
      <c r="J840" s="103"/>
      <c r="K840" s="103"/>
      <c r="L840" s="103"/>
      <c r="M840" s="103"/>
      <c r="N840" s="103"/>
      <c r="O840" s="103"/>
      <c r="P840" s="103"/>
      <c r="Q840" s="103"/>
      <c r="R840" s="103"/>
      <c r="S840" s="103"/>
      <c r="T840" s="103"/>
      <c r="U840" s="103"/>
      <c r="V840" s="103"/>
      <c r="W840" s="103"/>
      <c r="X840" s="103"/>
      <c r="Y840" s="103"/>
      <c r="Z840" s="103"/>
    </row>
    <row r="841" spans="1:26" ht="15.75" customHeight="1">
      <c r="A841" s="101"/>
      <c r="B841" s="103"/>
      <c r="C841" s="103"/>
      <c r="D841" s="103"/>
      <c r="E841" s="103"/>
      <c r="F841" s="103"/>
      <c r="G841" s="103"/>
      <c r="H841" s="103"/>
      <c r="I841" s="103"/>
      <c r="J841" s="103"/>
      <c r="K841" s="103"/>
      <c r="L841" s="103"/>
      <c r="M841" s="103"/>
      <c r="N841" s="103"/>
      <c r="O841" s="103"/>
      <c r="P841" s="103"/>
      <c r="Q841" s="103"/>
      <c r="R841" s="103"/>
      <c r="S841" s="103"/>
      <c r="T841" s="103"/>
      <c r="U841" s="103"/>
      <c r="V841" s="103"/>
      <c r="W841" s="103"/>
      <c r="X841" s="103"/>
      <c r="Y841" s="103"/>
      <c r="Z841" s="103"/>
    </row>
    <row r="842" spans="1:26" ht="15.75" customHeight="1">
      <c r="A842" s="101"/>
      <c r="B842" s="103"/>
      <c r="C842" s="103"/>
      <c r="D842" s="103"/>
      <c r="E842" s="103"/>
      <c r="F842" s="103"/>
      <c r="G842" s="103"/>
      <c r="H842" s="103"/>
      <c r="I842" s="103"/>
      <c r="J842" s="103"/>
      <c r="K842" s="103"/>
      <c r="L842" s="103"/>
      <c r="M842" s="103"/>
      <c r="N842" s="103"/>
      <c r="O842" s="103"/>
      <c r="P842" s="103"/>
      <c r="Q842" s="103"/>
      <c r="R842" s="103"/>
      <c r="S842" s="103"/>
      <c r="T842" s="103"/>
      <c r="U842" s="103"/>
      <c r="V842" s="103"/>
      <c r="W842" s="103"/>
      <c r="X842" s="103"/>
      <c r="Y842" s="103"/>
      <c r="Z842" s="103"/>
    </row>
    <row r="843" spans="1:26" ht="15.75" customHeight="1">
      <c r="A843" s="101"/>
      <c r="B843" s="103"/>
      <c r="C843" s="103"/>
      <c r="D843" s="103"/>
      <c r="E843" s="103"/>
      <c r="F843" s="103"/>
      <c r="G843" s="103"/>
      <c r="H843" s="103"/>
      <c r="I843" s="103"/>
      <c r="J843" s="103"/>
      <c r="K843" s="103"/>
      <c r="L843" s="103"/>
      <c r="M843" s="103"/>
      <c r="N843" s="103"/>
      <c r="O843" s="103"/>
      <c r="P843" s="103"/>
      <c r="Q843" s="103"/>
      <c r="R843" s="103"/>
      <c r="S843" s="103"/>
      <c r="T843" s="103"/>
      <c r="U843" s="103"/>
      <c r="V843" s="103"/>
      <c r="W843" s="103"/>
      <c r="X843" s="103"/>
      <c r="Y843" s="103"/>
      <c r="Z843" s="103"/>
    </row>
    <row r="844" spans="1:26" ht="15.75" customHeight="1">
      <c r="A844" s="101"/>
      <c r="B844" s="103"/>
      <c r="C844" s="103"/>
      <c r="D844" s="103"/>
      <c r="E844" s="103"/>
      <c r="F844" s="103"/>
      <c r="G844" s="103"/>
      <c r="H844" s="103"/>
      <c r="I844" s="103"/>
      <c r="J844" s="103"/>
      <c r="K844" s="103"/>
      <c r="L844" s="103"/>
      <c r="M844" s="103"/>
      <c r="N844" s="103"/>
      <c r="O844" s="103"/>
      <c r="P844" s="103"/>
      <c r="Q844" s="103"/>
      <c r="R844" s="103"/>
      <c r="S844" s="103"/>
      <c r="T844" s="103"/>
      <c r="U844" s="103"/>
      <c r="V844" s="103"/>
      <c r="W844" s="103"/>
      <c r="X844" s="103"/>
      <c r="Y844" s="103"/>
      <c r="Z844" s="103"/>
    </row>
    <row r="845" spans="1:26" ht="15.75" customHeight="1">
      <c r="A845" s="101"/>
      <c r="B845" s="103"/>
      <c r="C845" s="103"/>
      <c r="D845" s="103"/>
      <c r="E845" s="103"/>
      <c r="F845" s="103"/>
      <c r="G845" s="103"/>
      <c r="H845" s="103"/>
      <c r="I845" s="103"/>
      <c r="J845" s="103"/>
      <c r="K845" s="103"/>
      <c r="L845" s="103"/>
      <c r="M845" s="103"/>
      <c r="N845" s="103"/>
      <c r="O845" s="103"/>
      <c r="P845" s="103"/>
      <c r="Q845" s="103"/>
      <c r="R845" s="103"/>
      <c r="S845" s="103"/>
      <c r="T845" s="103"/>
      <c r="U845" s="103"/>
      <c r="V845" s="103"/>
      <c r="W845" s="103"/>
      <c r="X845" s="103"/>
      <c r="Y845" s="103"/>
      <c r="Z845" s="103"/>
    </row>
    <row r="846" spans="1:26" ht="15.75" customHeight="1">
      <c r="A846" s="101"/>
      <c r="B846" s="103"/>
      <c r="C846" s="103"/>
      <c r="D846" s="103"/>
      <c r="E846" s="103"/>
      <c r="F846" s="103"/>
      <c r="G846" s="103"/>
      <c r="H846" s="103"/>
      <c r="I846" s="103"/>
      <c r="J846" s="103"/>
      <c r="K846" s="103"/>
      <c r="L846" s="103"/>
      <c r="M846" s="103"/>
      <c r="N846" s="103"/>
      <c r="O846" s="103"/>
      <c r="P846" s="103"/>
      <c r="Q846" s="103"/>
      <c r="R846" s="103"/>
      <c r="S846" s="103"/>
      <c r="T846" s="103"/>
      <c r="U846" s="103"/>
      <c r="V846" s="103"/>
      <c r="W846" s="103"/>
      <c r="X846" s="103"/>
      <c r="Y846" s="103"/>
      <c r="Z846" s="103"/>
    </row>
    <row r="847" spans="1:26" ht="15.75" customHeight="1">
      <c r="A847" s="101"/>
      <c r="B847" s="103"/>
      <c r="C847" s="103"/>
      <c r="D847" s="103"/>
      <c r="E847" s="103"/>
      <c r="F847" s="103"/>
      <c r="G847" s="103"/>
      <c r="H847" s="103"/>
      <c r="I847" s="103"/>
      <c r="J847" s="103"/>
      <c r="K847" s="103"/>
      <c r="L847" s="103"/>
      <c r="M847" s="103"/>
      <c r="N847" s="103"/>
      <c r="O847" s="103"/>
      <c r="P847" s="103"/>
      <c r="Q847" s="103"/>
      <c r="R847" s="103"/>
      <c r="S847" s="103"/>
      <c r="T847" s="103"/>
      <c r="U847" s="103"/>
      <c r="V847" s="103"/>
      <c r="W847" s="103"/>
      <c r="X847" s="103"/>
      <c r="Y847" s="103"/>
      <c r="Z847" s="103"/>
    </row>
    <row r="848" spans="1:26" ht="15.75" customHeight="1">
      <c r="A848" s="101"/>
      <c r="B848" s="103"/>
      <c r="C848" s="103"/>
      <c r="D848" s="103"/>
      <c r="E848" s="103"/>
      <c r="F848" s="103"/>
      <c r="G848" s="103"/>
      <c r="H848" s="103"/>
      <c r="I848" s="103"/>
      <c r="J848" s="103"/>
      <c r="K848" s="103"/>
      <c r="L848" s="103"/>
      <c r="M848" s="103"/>
      <c r="N848" s="103"/>
      <c r="O848" s="103"/>
      <c r="P848" s="103"/>
      <c r="Q848" s="103"/>
      <c r="R848" s="103"/>
      <c r="S848" s="103"/>
      <c r="T848" s="103"/>
      <c r="U848" s="103"/>
      <c r="V848" s="103"/>
      <c r="W848" s="103"/>
      <c r="X848" s="103"/>
      <c r="Y848" s="103"/>
      <c r="Z848" s="103"/>
    </row>
    <row r="849" spans="1:26" ht="15.75" customHeight="1">
      <c r="A849" s="101"/>
      <c r="B849" s="103"/>
      <c r="C849" s="103"/>
      <c r="D849" s="103"/>
      <c r="E849" s="103"/>
      <c r="F849" s="103"/>
      <c r="G849" s="103"/>
      <c r="H849" s="103"/>
      <c r="I849" s="103"/>
      <c r="J849" s="103"/>
      <c r="K849" s="103"/>
      <c r="L849" s="103"/>
      <c r="M849" s="103"/>
      <c r="N849" s="103"/>
      <c r="O849" s="103"/>
      <c r="P849" s="103"/>
      <c r="Q849" s="103"/>
      <c r="R849" s="103"/>
      <c r="S849" s="103"/>
      <c r="T849" s="103"/>
      <c r="U849" s="103"/>
      <c r="V849" s="103"/>
      <c r="W849" s="103"/>
      <c r="X849" s="103"/>
      <c r="Y849" s="103"/>
      <c r="Z849" s="103"/>
    </row>
    <row r="850" spans="1:26" ht="15.75" customHeight="1">
      <c r="A850" s="101"/>
      <c r="B850" s="103"/>
      <c r="C850" s="103"/>
      <c r="D850" s="103"/>
      <c r="E850" s="103"/>
      <c r="F850" s="103"/>
      <c r="G850" s="103"/>
      <c r="H850" s="103"/>
      <c r="I850" s="103"/>
      <c r="J850" s="103"/>
      <c r="K850" s="103"/>
      <c r="L850" s="103"/>
      <c r="M850" s="103"/>
      <c r="N850" s="103"/>
      <c r="O850" s="103"/>
      <c r="P850" s="103"/>
      <c r="Q850" s="103"/>
      <c r="R850" s="103"/>
      <c r="S850" s="103"/>
      <c r="T850" s="103"/>
      <c r="U850" s="103"/>
      <c r="V850" s="103"/>
      <c r="W850" s="103"/>
      <c r="X850" s="103"/>
      <c r="Y850" s="103"/>
      <c r="Z850" s="103"/>
    </row>
    <row r="851" spans="1:26" ht="15.75" customHeight="1">
      <c r="A851" s="101"/>
      <c r="B851" s="103"/>
      <c r="C851" s="103"/>
      <c r="D851" s="103"/>
      <c r="E851" s="103"/>
      <c r="F851" s="103"/>
      <c r="G851" s="103"/>
      <c r="H851" s="103"/>
      <c r="I851" s="103"/>
      <c r="J851" s="103"/>
      <c r="K851" s="103"/>
      <c r="L851" s="103"/>
      <c r="M851" s="103"/>
      <c r="N851" s="103"/>
      <c r="O851" s="103"/>
      <c r="P851" s="103"/>
      <c r="Q851" s="103"/>
      <c r="R851" s="103"/>
      <c r="S851" s="103"/>
      <c r="T851" s="103"/>
      <c r="U851" s="103"/>
      <c r="V851" s="103"/>
      <c r="W851" s="103"/>
      <c r="X851" s="103"/>
      <c r="Y851" s="103"/>
      <c r="Z851" s="103"/>
    </row>
    <row r="852" spans="1:26" ht="15.75" customHeight="1">
      <c r="A852" s="101"/>
      <c r="B852" s="103"/>
      <c r="C852" s="103"/>
      <c r="D852" s="103"/>
      <c r="E852" s="103"/>
      <c r="F852" s="103"/>
      <c r="G852" s="103"/>
      <c r="H852" s="103"/>
      <c r="I852" s="103"/>
      <c r="J852" s="103"/>
      <c r="K852" s="103"/>
      <c r="L852" s="103"/>
      <c r="M852" s="103"/>
      <c r="N852" s="103"/>
      <c r="O852" s="103"/>
      <c r="P852" s="103"/>
      <c r="Q852" s="103"/>
      <c r="R852" s="103"/>
      <c r="S852" s="103"/>
      <c r="T852" s="103"/>
      <c r="U852" s="103"/>
      <c r="V852" s="103"/>
      <c r="W852" s="103"/>
      <c r="X852" s="103"/>
      <c r="Y852" s="103"/>
      <c r="Z852" s="103"/>
    </row>
    <row r="853" spans="1:26" ht="15.75" customHeight="1">
      <c r="A853" s="101"/>
      <c r="B853" s="103"/>
      <c r="C853" s="103"/>
      <c r="D853" s="103"/>
      <c r="E853" s="103"/>
      <c r="F853" s="103"/>
      <c r="G853" s="103"/>
      <c r="H853" s="103"/>
      <c r="I853" s="103"/>
      <c r="J853" s="103"/>
      <c r="K853" s="103"/>
      <c r="L853" s="103"/>
      <c r="M853" s="103"/>
      <c r="N853" s="103"/>
      <c r="O853" s="103"/>
      <c r="P853" s="103"/>
      <c r="Q853" s="103"/>
      <c r="R853" s="103"/>
      <c r="S853" s="103"/>
      <c r="T853" s="103"/>
      <c r="U853" s="103"/>
      <c r="V853" s="103"/>
      <c r="W853" s="103"/>
      <c r="X853" s="103"/>
      <c r="Y853" s="103"/>
      <c r="Z853" s="103"/>
    </row>
    <row r="854" spans="1:26" ht="15.75" customHeight="1">
      <c r="A854" s="101"/>
      <c r="B854" s="103"/>
      <c r="C854" s="103"/>
      <c r="D854" s="103"/>
      <c r="E854" s="103"/>
      <c r="F854" s="103"/>
      <c r="G854" s="103"/>
      <c r="H854" s="103"/>
      <c r="I854" s="103"/>
      <c r="J854" s="103"/>
      <c r="K854" s="103"/>
      <c r="L854" s="103"/>
      <c r="M854" s="103"/>
      <c r="N854" s="103"/>
      <c r="O854" s="103"/>
      <c r="P854" s="103"/>
      <c r="Q854" s="103"/>
      <c r="R854" s="103"/>
      <c r="S854" s="103"/>
      <c r="T854" s="103"/>
      <c r="U854" s="103"/>
      <c r="V854" s="103"/>
      <c r="W854" s="103"/>
      <c r="X854" s="103"/>
      <c r="Y854" s="103"/>
      <c r="Z854" s="103"/>
    </row>
    <row r="855" spans="1:26" ht="15.75" customHeight="1">
      <c r="A855" s="101"/>
      <c r="B855" s="103"/>
      <c r="C855" s="103"/>
      <c r="D855" s="103"/>
      <c r="E855" s="103"/>
      <c r="F855" s="103"/>
      <c r="G855" s="103"/>
      <c r="H855" s="103"/>
      <c r="I855" s="103"/>
      <c r="J855" s="103"/>
      <c r="K855" s="103"/>
      <c r="L855" s="103"/>
      <c r="M855" s="103"/>
      <c r="N855" s="103"/>
      <c r="O855" s="103"/>
      <c r="P855" s="103"/>
      <c r="Q855" s="103"/>
      <c r="R855" s="103"/>
      <c r="S855" s="103"/>
      <c r="T855" s="103"/>
      <c r="U855" s="103"/>
      <c r="V855" s="103"/>
      <c r="W855" s="103"/>
      <c r="X855" s="103"/>
      <c r="Y855" s="103"/>
      <c r="Z855" s="103"/>
    </row>
    <row r="856" spans="1:26" ht="15.75" customHeight="1">
      <c r="A856" s="101"/>
      <c r="B856" s="103"/>
      <c r="C856" s="103"/>
      <c r="D856" s="103"/>
      <c r="E856" s="103"/>
      <c r="F856" s="103"/>
      <c r="G856" s="103"/>
      <c r="H856" s="103"/>
      <c r="I856" s="103"/>
      <c r="J856" s="103"/>
      <c r="K856" s="103"/>
      <c r="L856" s="103"/>
      <c r="M856" s="103"/>
      <c r="N856" s="103"/>
      <c r="O856" s="103"/>
      <c r="P856" s="103"/>
      <c r="Q856" s="103"/>
      <c r="R856" s="103"/>
      <c r="S856" s="103"/>
      <c r="T856" s="103"/>
      <c r="U856" s="103"/>
      <c r="V856" s="103"/>
      <c r="W856" s="103"/>
      <c r="X856" s="103"/>
      <c r="Y856" s="103"/>
      <c r="Z856" s="103"/>
    </row>
    <row r="857" spans="1:26" ht="15.75" customHeight="1">
      <c r="A857" s="101"/>
      <c r="B857" s="103"/>
      <c r="C857" s="103"/>
      <c r="D857" s="103"/>
      <c r="E857" s="103"/>
      <c r="F857" s="103"/>
      <c r="G857" s="103"/>
      <c r="H857" s="103"/>
      <c r="I857" s="103"/>
      <c r="J857" s="103"/>
      <c r="K857" s="103"/>
      <c r="L857" s="103"/>
      <c r="M857" s="103"/>
      <c r="N857" s="103"/>
      <c r="O857" s="103"/>
      <c r="P857" s="103"/>
      <c r="Q857" s="103"/>
      <c r="R857" s="103"/>
      <c r="S857" s="103"/>
      <c r="T857" s="103"/>
      <c r="U857" s="103"/>
      <c r="V857" s="103"/>
      <c r="W857" s="103"/>
      <c r="X857" s="103"/>
      <c r="Y857" s="103"/>
      <c r="Z857" s="103"/>
    </row>
    <row r="858" spans="1:26" ht="15.75" customHeight="1">
      <c r="A858" s="101"/>
      <c r="B858" s="103"/>
      <c r="C858" s="103"/>
      <c r="D858" s="103"/>
      <c r="E858" s="103"/>
      <c r="F858" s="103"/>
      <c r="G858" s="103"/>
      <c r="H858" s="103"/>
      <c r="I858" s="103"/>
      <c r="J858" s="103"/>
      <c r="K858" s="103"/>
      <c r="L858" s="103"/>
      <c r="M858" s="103"/>
      <c r="N858" s="103"/>
      <c r="O858" s="103"/>
      <c r="P858" s="103"/>
      <c r="Q858" s="103"/>
      <c r="R858" s="103"/>
      <c r="S858" s="103"/>
      <c r="T858" s="103"/>
      <c r="U858" s="103"/>
      <c r="V858" s="103"/>
      <c r="W858" s="103"/>
      <c r="X858" s="103"/>
      <c r="Y858" s="103"/>
      <c r="Z858" s="103"/>
    </row>
    <row r="859" spans="1:26" ht="15.75" customHeight="1">
      <c r="A859" s="101"/>
      <c r="B859" s="103"/>
      <c r="C859" s="103"/>
      <c r="D859" s="103"/>
      <c r="E859" s="103"/>
      <c r="F859" s="103"/>
      <c r="G859" s="103"/>
      <c r="H859" s="103"/>
      <c r="I859" s="103"/>
      <c r="J859" s="103"/>
      <c r="K859" s="103"/>
      <c r="L859" s="103"/>
      <c r="M859" s="103"/>
      <c r="N859" s="103"/>
      <c r="O859" s="103"/>
      <c r="P859" s="103"/>
      <c r="Q859" s="103"/>
      <c r="R859" s="103"/>
      <c r="S859" s="103"/>
      <c r="T859" s="103"/>
      <c r="U859" s="103"/>
      <c r="V859" s="103"/>
      <c r="W859" s="103"/>
      <c r="X859" s="103"/>
      <c r="Y859" s="103"/>
      <c r="Z859" s="103"/>
    </row>
    <row r="860" spans="1:26" ht="15.75" customHeight="1">
      <c r="A860" s="101"/>
      <c r="B860" s="103"/>
      <c r="C860" s="103"/>
      <c r="D860" s="103"/>
      <c r="E860" s="103"/>
      <c r="F860" s="103"/>
      <c r="G860" s="103"/>
      <c r="H860" s="103"/>
      <c r="I860" s="103"/>
      <c r="J860" s="103"/>
      <c r="K860" s="103"/>
      <c r="L860" s="103"/>
      <c r="M860" s="103"/>
      <c r="N860" s="103"/>
      <c r="O860" s="103"/>
      <c r="P860" s="103"/>
      <c r="Q860" s="103"/>
      <c r="R860" s="103"/>
      <c r="S860" s="103"/>
      <c r="T860" s="103"/>
      <c r="U860" s="103"/>
      <c r="V860" s="103"/>
      <c r="W860" s="103"/>
      <c r="X860" s="103"/>
      <c r="Y860" s="103"/>
      <c r="Z860" s="103"/>
    </row>
    <row r="861" spans="1:26" ht="15.75" customHeight="1">
      <c r="A861" s="101"/>
      <c r="B861" s="103"/>
      <c r="C861" s="103"/>
      <c r="D861" s="103"/>
      <c r="E861" s="103"/>
      <c r="F861" s="103"/>
      <c r="G861" s="103"/>
      <c r="H861" s="103"/>
      <c r="I861" s="103"/>
      <c r="J861" s="103"/>
      <c r="K861" s="103"/>
      <c r="L861" s="103"/>
      <c r="M861" s="103"/>
      <c r="N861" s="103"/>
      <c r="O861" s="103"/>
      <c r="P861" s="103"/>
      <c r="Q861" s="103"/>
      <c r="R861" s="103"/>
      <c r="S861" s="103"/>
      <c r="T861" s="103"/>
      <c r="U861" s="103"/>
      <c r="V861" s="103"/>
      <c r="W861" s="103"/>
      <c r="X861" s="103"/>
      <c r="Y861" s="103"/>
      <c r="Z861" s="103"/>
    </row>
    <row r="862" spans="1:26" ht="15.75" customHeight="1">
      <c r="A862" s="101"/>
      <c r="B862" s="103"/>
      <c r="C862" s="103"/>
      <c r="D862" s="103"/>
      <c r="E862" s="103"/>
      <c r="F862" s="103"/>
      <c r="G862" s="103"/>
      <c r="H862" s="103"/>
      <c r="I862" s="103"/>
      <c r="J862" s="103"/>
      <c r="K862" s="103"/>
      <c r="L862" s="103"/>
      <c r="M862" s="103"/>
      <c r="N862" s="103"/>
      <c r="O862" s="103"/>
      <c r="P862" s="103"/>
      <c r="Q862" s="103"/>
      <c r="R862" s="103"/>
      <c r="S862" s="103"/>
      <c r="T862" s="103"/>
      <c r="U862" s="103"/>
      <c r="V862" s="103"/>
      <c r="W862" s="103"/>
      <c r="X862" s="103"/>
      <c r="Y862" s="103"/>
      <c r="Z862" s="103"/>
    </row>
    <row r="863" spans="1:26" ht="15.75" customHeight="1">
      <c r="A863" s="101"/>
      <c r="B863" s="103"/>
      <c r="C863" s="103"/>
      <c r="D863" s="103"/>
      <c r="E863" s="103"/>
      <c r="F863" s="103"/>
      <c r="G863" s="103"/>
      <c r="H863" s="103"/>
      <c r="I863" s="103"/>
      <c r="J863" s="103"/>
      <c r="K863" s="103"/>
      <c r="L863" s="103"/>
      <c r="M863" s="103"/>
      <c r="N863" s="103"/>
      <c r="O863" s="103"/>
      <c r="P863" s="103"/>
      <c r="Q863" s="103"/>
      <c r="R863" s="103"/>
      <c r="S863" s="103"/>
      <c r="T863" s="103"/>
      <c r="U863" s="103"/>
      <c r="V863" s="103"/>
      <c r="W863" s="103"/>
      <c r="X863" s="103"/>
      <c r="Y863" s="103"/>
      <c r="Z863" s="103"/>
    </row>
    <row r="864" spans="1:26" ht="15.75" customHeight="1">
      <c r="A864" s="101"/>
      <c r="B864" s="103"/>
      <c r="C864" s="103"/>
      <c r="D864" s="103"/>
      <c r="E864" s="103"/>
      <c r="F864" s="103"/>
      <c r="G864" s="103"/>
      <c r="H864" s="103"/>
      <c r="I864" s="103"/>
      <c r="J864" s="103"/>
      <c r="K864" s="103"/>
      <c r="L864" s="103"/>
      <c r="M864" s="103"/>
      <c r="N864" s="103"/>
      <c r="O864" s="103"/>
      <c r="P864" s="103"/>
      <c r="Q864" s="103"/>
      <c r="R864" s="103"/>
      <c r="S864" s="103"/>
      <c r="T864" s="103"/>
      <c r="U864" s="103"/>
      <c r="V864" s="103"/>
      <c r="W864" s="103"/>
      <c r="X864" s="103"/>
      <c r="Y864" s="103"/>
      <c r="Z864" s="103"/>
    </row>
    <row r="865" spans="1:26" ht="15.75" customHeight="1">
      <c r="A865" s="101"/>
      <c r="B865" s="103"/>
      <c r="C865" s="103"/>
      <c r="D865" s="103"/>
      <c r="E865" s="103"/>
      <c r="F865" s="103"/>
      <c r="G865" s="103"/>
      <c r="H865" s="103"/>
      <c r="I865" s="103"/>
      <c r="J865" s="103"/>
      <c r="K865" s="103"/>
      <c r="L865" s="103"/>
      <c r="M865" s="103"/>
      <c r="N865" s="103"/>
      <c r="O865" s="103"/>
      <c r="P865" s="103"/>
      <c r="Q865" s="103"/>
      <c r="R865" s="103"/>
      <c r="S865" s="103"/>
      <c r="T865" s="103"/>
      <c r="U865" s="103"/>
      <c r="V865" s="103"/>
      <c r="W865" s="103"/>
      <c r="X865" s="103"/>
      <c r="Y865" s="103"/>
      <c r="Z865" s="103"/>
    </row>
    <row r="866" spans="1:26" ht="15.75" customHeight="1">
      <c r="A866" s="101"/>
      <c r="B866" s="103"/>
      <c r="C866" s="103"/>
      <c r="D866" s="103"/>
      <c r="E866" s="103"/>
      <c r="F866" s="103"/>
      <c r="G866" s="103"/>
      <c r="H866" s="103"/>
      <c r="I866" s="103"/>
      <c r="J866" s="103"/>
      <c r="K866" s="103"/>
      <c r="L866" s="103"/>
      <c r="M866" s="103"/>
      <c r="N866" s="103"/>
      <c r="O866" s="103"/>
      <c r="P866" s="103"/>
      <c r="Q866" s="103"/>
      <c r="R866" s="103"/>
      <c r="S866" s="103"/>
      <c r="T866" s="103"/>
      <c r="U866" s="103"/>
      <c r="V866" s="103"/>
      <c r="W866" s="103"/>
      <c r="X866" s="103"/>
      <c r="Y866" s="103"/>
      <c r="Z866" s="103"/>
    </row>
    <row r="867" spans="1:26" ht="15.75" customHeight="1">
      <c r="A867" s="101"/>
      <c r="B867" s="103"/>
      <c r="C867" s="103"/>
      <c r="D867" s="103"/>
      <c r="E867" s="103"/>
      <c r="F867" s="103"/>
      <c r="G867" s="103"/>
      <c r="H867" s="103"/>
      <c r="I867" s="103"/>
      <c r="J867" s="103"/>
      <c r="K867" s="103"/>
      <c r="L867" s="103"/>
      <c r="M867" s="103"/>
      <c r="N867" s="103"/>
      <c r="O867" s="103"/>
      <c r="P867" s="103"/>
      <c r="Q867" s="103"/>
      <c r="R867" s="103"/>
      <c r="S867" s="103"/>
      <c r="T867" s="103"/>
      <c r="U867" s="103"/>
      <c r="V867" s="103"/>
      <c r="W867" s="103"/>
      <c r="X867" s="103"/>
      <c r="Y867" s="103"/>
      <c r="Z867" s="103"/>
    </row>
    <row r="868" spans="1:26" ht="15.75" customHeight="1">
      <c r="A868" s="101"/>
      <c r="B868" s="103"/>
      <c r="C868" s="103"/>
      <c r="D868" s="103"/>
      <c r="E868" s="103"/>
      <c r="F868" s="103"/>
      <c r="G868" s="103"/>
      <c r="H868" s="103"/>
      <c r="I868" s="103"/>
      <c r="J868" s="103"/>
      <c r="K868" s="103"/>
      <c r="L868" s="103"/>
      <c r="M868" s="103"/>
      <c r="N868" s="103"/>
      <c r="O868" s="103"/>
      <c r="P868" s="103"/>
      <c r="Q868" s="103"/>
      <c r="R868" s="103"/>
      <c r="S868" s="103"/>
      <c r="T868" s="103"/>
      <c r="U868" s="103"/>
      <c r="V868" s="103"/>
      <c r="W868" s="103"/>
      <c r="X868" s="103"/>
      <c r="Y868" s="103"/>
      <c r="Z868" s="103"/>
    </row>
    <row r="869" spans="1:26" ht="15.75" customHeight="1">
      <c r="A869" s="101"/>
      <c r="B869" s="103"/>
      <c r="C869" s="103"/>
      <c r="D869" s="103"/>
      <c r="E869" s="103"/>
      <c r="F869" s="103"/>
      <c r="G869" s="103"/>
      <c r="H869" s="103"/>
      <c r="I869" s="103"/>
      <c r="J869" s="103"/>
      <c r="K869" s="103"/>
      <c r="L869" s="103"/>
      <c r="M869" s="103"/>
      <c r="N869" s="103"/>
      <c r="O869" s="103"/>
      <c r="P869" s="103"/>
      <c r="Q869" s="103"/>
      <c r="R869" s="103"/>
      <c r="S869" s="103"/>
      <c r="T869" s="103"/>
      <c r="U869" s="103"/>
      <c r="V869" s="103"/>
      <c r="W869" s="103"/>
      <c r="X869" s="103"/>
      <c r="Y869" s="103"/>
      <c r="Z869" s="103"/>
    </row>
    <row r="870" spans="1:26" ht="15.75" customHeight="1">
      <c r="A870" s="101"/>
      <c r="B870" s="103"/>
      <c r="C870" s="103"/>
      <c r="D870" s="103"/>
      <c r="E870" s="103"/>
      <c r="F870" s="103"/>
      <c r="G870" s="103"/>
      <c r="H870" s="103"/>
      <c r="I870" s="103"/>
      <c r="J870" s="103"/>
      <c r="K870" s="103"/>
      <c r="L870" s="103"/>
      <c r="M870" s="103"/>
      <c r="N870" s="103"/>
      <c r="O870" s="103"/>
      <c r="P870" s="103"/>
      <c r="Q870" s="103"/>
      <c r="R870" s="103"/>
      <c r="S870" s="103"/>
      <c r="T870" s="103"/>
      <c r="U870" s="103"/>
      <c r="V870" s="103"/>
      <c r="W870" s="103"/>
      <c r="X870" s="103"/>
      <c r="Y870" s="103"/>
      <c r="Z870" s="103"/>
    </row>
    <row r="871" spans="1:26" ht="15.75" customHeight="1">
      <c r="A871" s="101"/>
      <c r="B871" s="103"/>
      <c r="C871" s="103"/>
      <c r="D871" s="103"/>
      <c r="E871" s="103"/>
      <c r="F871" s="103"/>
      <c r="G871" s="103"/>
      <c r="H871" s="103"/>
      <c r="I871" s="103"/>
      <c r="J871" s="103"/>
      <c r="K871" s="103"/>
      <c r="L871" s="103"/>
      <c r="M871" s="103"/>
      <c r="N871" s="103"/>
      <c r="O871" s="103"/>
      <c r="P871" s="103"/>
      <c r="Q871" s="103"/>
      <c r="R871" s="103"/>
      <c r="S871" s="103"/>
      <c r="T871" s="103"/>
      <c r="U871" s="103"/>
      <c r="V871" s="103"/>
      <c r="W871" s="103"/>
      <c r="X871" s="103"/>
      <c r="Y871" s="103"/>
      <c r="Z871" s="103"/>
    </row>
    <row r="872" spans="1:26" ht="15.75" customHeight="1">
      <c r="A872" s="101"/>
      <c r="B872" s="103"/>
      <c r="C872" s="103"/>
      <c r="D872" s="103"/>
      <c r="E872" s="103"/>
      <c r="F872" s="103"/>
      <c r="G872" s="103"/>
      <c r="H872" s="103"/>
      <c r="I872" s="103"/>
      <c r="J872" s="103"/>
      <c r="K872" s="103"/>
      <c r="L872" s="103"/>
      <c r="M872" s="103"/>
      <c r="N872" s="103"/>
      <c r="O872" s="103"/>
      <c r="P872" s="103"/>
      <c r="Q872" s="103"/>
      <c r="R872" s="103"/>
      <c r="S872" s="103"/>
      <c r="T872" s="103"/>
      <c r="U872" s="103"/>
      <c r="V872" s="103"/>
      <c r="W872" s="103"/>
      <c r="X872" s="103"/>
      <c r="Y872" s="103"/>
      <c r="Z872" s="103"/>
    </row>
    <row r="873" spans="1:26" ht="15.75" customHeight="1">
      <c r="A873" s="101"/>
      <c r="B873" s="103"/>
      <c r="C873" s="103"/>
      <c r="D873" s="103"/>
      <c r="E873" s="103"/>
      <c r="F873" s="103"/>
      <c r="G873" s="103"/>
      <c r="H873" s="103"/>
      <c r="I873" s="103"/>
      <c r="J873" s="103"/>
      <c r="K873" s="103"/>
      <c r="L873" s="103"/>
      <c r="M873" s="103"/>
      <c r="N873" s="103"/>
      <c r="O873" s="103"/>
      <c r="P873" s="103"/>
      <c r="Q873" s="103"/>
      <c r="R873" s="103"/>
      <c r="S873" s="103"/>
      <c r="T873" s="103"/>
      <c r="U873" s="103"/>
      <c r="V873" s="103"/>
      <c r="W873" s="103"/>
      <c r="X873" s="103"/>
      <c r="Y873" s="103"/>
      <c r="Z873" s="103"/>
    </row>
    <row r="874" spans="1:26" ht="15.75" customHeight="1">
      <c r="A874" s="101"/>
      <c r="B874" s="103"/>
      <c r="C874" s="103"/>
      <c r="D874" s="103"/>
      <c r="E874" s="103"/>
      <c r="F874" s="103"/>
      <c r="G874" s="103"/>
      <c r="H874" s="103"/>
      <c r="I874" s="103"/>
      <c r="J874" s="103"/>
      <c r="K874" s="103"/>
      <c r="L874" s="103"/>
      <c r="M874" s="103"/>
      <c r="N874" s="103"/>
      <c r="O874" s="103"/>
      <c r="P874" s="103"/>
      <c r="Q874" s="103"/>
      <c r="R874" s="103"/>
      <c r="S874" s="103"/>
      <c r="T874" s="103"/>
      <c r="U874" s="103"/>
      <c r="V874" s="103"/>
      <c r="W874" s="103"/>
      <c r="X874" s="103"/>
      <c r="Y874" s="103"/>
      <c r="Z874" s="103"/>
    </row>
    <row r="875" spans="1:26" ht="15.75" customHeight="1">
      <c r="A875" s="101"/>
      <c r="B875" s="103"/>
      <c r="C875" s="103"/>
      <c r="D875" s="103"/>
      <c r="E875" s="103"/>
      <c r="F875" s="103"/>
      <c r="G875" s="103"/>
      <c r="H875" s="103"/>
      <c r="I875" s="103"/>
      <c r="J875" s="103"/>
      <c r="K875" s="103"/>
      <c r="L875" s="103"/>
      <c r="M875" s="103"/>
      <c r="N875" s="103"/>
      <c r="O875" s="103"/>
      <c r="P875" s="103"/>
      <c r="Q875" s="103"/>
      <c r="R875" s="103"/>
      <c r="S875" s="103"/>
      <c r="T875" s="103"/>
      <c r="U875" s="103"/>
      <c r="V875" s="103"/>
      <c r="W875" s="103"/>
      <c r="X875" s="103"/>
      <c r="Y875" s="103"/>
      <c r="Z875" s="103"/>
    </row>
    <row r="876" spans="1:26" ht="15.75" customHeight="1">
      <c r="A876" s="101"/>
      <c r="B876" s="103"/>
      <c r="C876" s="103"/>
      <c r="D876" s="103"/>
      <c r="E876" s="103"/>
      <c r="F876" s="103"/>
      <c r="G876" s="103"/>
      <c r="H876" s="103"/>
      <c r="I876" s="103"/>
      <c r="J876" s="103"/>
      <c r="K876" s="103"/>
      <c r="L876" s="103"/>
      <c r="M876" s="103"/>
      <c r="N876" s="103"/>
      <c r="O876" s="103"/>
      <c r="P876" s="103"/>
      <c r="Q876" s="103"/>
      <c r="R876" s="103"/>
      <c r="S876" s="103"/>
      <c r="T876" s="103"/>
      <c r="U876" s="103"/>
      <c r="V876" s="103"/>
      <c r="W876" s="103"/>
      <c r="X876" s="103"/>
      <c r="Y876" s="103"/>
      <c r="Z876" s="103"/>
    </row>
    <row r="877" spans="1:26" ht="15.75" customHeight="1">
      <c r="A877" s="101"/>
      <c r="B877" s="103"/>
      <c r="C877" s="103"/>
      <c r="D877" s="103"/>
      <c r="E877" s="103"/>
      <c r="F877" s="103"/>
      <c r="G877" s="103"/>
      <c r="H877" s="103"/>
      <c r="I877" s="103"/>
      <c r="J877" s="103"/>
      <c r="K877" s="103"/>
      <c r="L877" s="103"/>
      <c r="M877" s="103"/>
      <c r="N877" s="103"/>
      <c r="O877" s="103"/>
      <c r="P877" s="103"/>
      <c r="Q877" s="103"/>
      <c r="R877" s="103"/>
      <c r="S877" s="103"/>
      <c r="T877" s="103"/>
      <c r="U877" s="103"/>
      <c r="V877" s="103"/>
      <c r="W877" s="103"/>
      <c r="X877" s="103"/>
      <c r="Y877" s="103"/>
      <c r="Z877" s="103"/>
    </row>
    <row r="878" spans="1:26" ht="15.75" customHeight="1">
      <c r="A878" s="101"/>
      <c r="B878" s="103"/>
      <c r="C878" s="103"/>
      <c r="D878" s="103"/>
      <c r="E878" s="103"/>
      <c r="F878" s="103"/>
      <c r="G878" s="103"/>
      <c r="H878" s="103"/>
      <c r="I878" s="103"/>
      <c r="J878" s="103"/>
      <c r="K878" s="103"/>
      <c r="L878" s="103"/>
      <c r="M878" s="103"/>
      <c r="N878" s="103"/>
      <c r="O878" s="103"/>
      <c r="P878" s="103"/>
      <c r="Q878" s="103"/>
      <c r="R878" s="103"/>
      <c r="S878" s="103"/>
      <c r="T878" s="103"/>
      <c r="U878" s="103"/>
      <c r="V878" s="103"/>
      <c r="W878" s="103"/>
      <c r="X878" s="103"/>
      <c r="Y878" s="103"/>
      <c r="Z878" s="103"/>
    </row>
    <row r="879" spans="1:26" ht="15.75" customHeight="1">
      <c r="A879" s="101"/>
      <c r="B879" s="103"/>
      <c r="C879" s="103"/>
      <c r="D879" s="103"/>
      <c r="E879" s="103"/>
      <c r="F879" s="103"/>
      <c r="G879" s="103"/>
      <c r="H879" s="103"/>
      <c r="I879" s="103"/>
      <c r="J879" s="103"/>
      <c r="K879" s="103"/>
      <c r="L879" s="103"/>
      <c r="M879" s="103"/>
      <c r="N879" s="103"/>
      <c r="O879" s="103"/>
      <c r="P879" s="103"/>
      <c r="Q879" s="103"/>
      <c r="R879" s="103"/>
      <c r="S879" s="103"/>
      <c r="T879" s="103"/>
      <c r="U879" s="103"/>
      <c r="V879" s="103"/>
      <c r="W879" s="103"/>
      <c r="X879" s="103"/>
      <c r="Y879" s="103"/>
      <c r="Z879" s="103"/>
    </row>
    <row r="880" spans="1:26" ht="15.75" customHeight="1">
      <c r="A880" s="101"/>
      <c r="B880" s="103"/>
      <c r="C880" s="103"/>
      <c r="D880" s="103"/>
      <c r="E880" s="103"/>
      <c r="F880" s="103"/>
      <c r="G880" s="103"/>
      <c r="H880" s="103"/>
      <c r="I880" s="103"/>
      <c r="J880" s="103"/>
      <c r="K880" s="103"/>
      <c r="L880" s="103"/>
      <c r="M880" s="103"/>
      <c r="N880" s="103"/>
      <c r="O880" s="103"/>
      <c r="P880" s="103"/>
      <c r="Q880" s="103"/>
      <c r="R880" s="103"/>
      <c r="S880" s="103"/>
      <c r="T880" s="103"/>
      <c r="U880" s="103"/>
      <c r="V880" s="103"/>
      <c r="W880" s="103"/>
      <c r="X880" s="103"/>
      <c r="Y880" s="103"/>
      <c r="Z880" s="103"/>
    </row>
    <row r="881" spans="1:26" ht="15.75" customHeight="1">
      <c r="A881" s="101"/>
      <c r="B881" s="103"/>
      <c r="C881" s="103"/>
      <c r="D881" s="103"/>
      <c r="E881" s="103"/>
      <c r="F881" s="103"/>
      <c r="G881" s="103"/>
      <c r="H881" s="103"/>
      <c r="I881" s="103"/>
      <c r="J881" s="103"/>
      <c r="K881" s="103"/>
      <c r="L881" s="103"/>
      <c r="M881" s="103"/>
      <c r="N881" s="103"/>
      <c r="O881" s="103"/>
      <c r="P881" s="103"/>
      <c r="Q881" s="103"/>
      <c r="R881" s="103"/>
      <c r="S881" s="103"/>
      <c r="T881" s="103"/>
      <c r="U881" s="103"/>
      <c r="V881" s="103"/>
      <c r="W881" s="103"/>
      <c r="X881" s="103"/>
      <c r="Y881" s="103"/>
      <c r="Z881" s="103"/>
    </row>
    <row r="882" spans="1:26" ht="15.75" customHeight="1">
      <c r="A882" s="101"/>
      <c r="B882" s="103"/>
      <c r="C882" s="103"/>
      <c r="D882" s="103"/>
      <c r="E882" s="103"/>
      <c r="F882" s="103"/>
      <c r="G882" s="103"/>
      <c r="H882" s="103"/>
      <c r="I882" s="103"/>
      <c r="J882" s="103"/>
      <c r="K882" s="103"/>
      <c r="L882" s="103"/>
      <c r="M882" s="103"/>
      <c r="N882" s="103"/>
      <c r="O882" s="103"/>
      <c r="P882" s="103"/>
      <c r="Q882" s="103"/>
      <c r="R882" s="103"/>
      <c r="S882" s="103"/>
      <c r="T882" s="103"/>
      <c r="U882" s="103"/>
      <c r="V882" s="103"/>
      <c r="W882" s="103"/>
      <c r="X882" s="103"/>
      <c r="Y882" s="103"/>
      <c r="Z882" s="103"/>
    </row>
    <row r="883" spans="1:26" ht="15.75" customHeight="1">
      <c r="A883" s="101"/>
      <c r="B883" s="103"/>
      <c r="C883" s="103"/>
      <c r="D883" s="103"/>
      <c r="E883" s="103"/>
      <c r="F883" s="103"/>
      <c r="G883" s="103"/>
      <c r="H883" s="103"/>
      <c r="I883" s="103"/>
      <c r="J883" s="103"/>
      <c r="K883" s="103"/>
      <c r="L883" s="103"/>
      <c r="M883" s="103"/>
      <c r="N883" s="103"/>
      <c r="O883" s="103"/>
      <c r="P883" s="103"/>
      <c r="Q883" s="103"/>
      <c r="R883" s="103"/>
      <c r="S883" s="103"/>
      <c r="T883" s="103"/>
      <c r="U883" s="103"/>
      <c r="V883" s="103"/>
      <c r="W883" s="103"/>
      <c r="X883" s="103"/>
      <c r="Y883" s="103"/>
      <c r="Z883" s="103"/>
    </row>
    <row r="884" spans="1:26" ht="15.75" customHeight="1">
      <c r="A884" s="101"/>
      <c r="B884" s="103"/>
      <c r="C884" s="103"/>
      <c r="D884" s="103"/>
      <c r="E884" s="103"/>
      <c r="F884" s="103"/>
      <c r="G884" s="103"/>
      <c r="H884" s="103"/>
      <c r="I884" s="103"/>
      <c r="J884" s="103"/>
      <c r="K884" s="103"/>
      <c r="L884" s="103"/>
      <c r="M884" s="103"/>
      <c r="N884" s="103"/>
      <c r="O884" s="103"/>
      <c r="P884" s="103"/>
      <c r="Q884" s="103"/>
      <c r="R884" s="103"/>
      <c r="S884" s="103"/>
      <c r="T884" s="103"/>
      <c r="U884" s="103"/>
      <c r="V884" s="103"/>
      <c r="W884" s="103"/>
      <c r="X884" s="103"/>
      <c r="Y884" s="103"/>
      <c r="Z884" s="103"/>
    </row>
    <row r="885" spans="1:26" ht="15.75" customHeight="1">
      <c r="A885" s="101"/>
      <c r="B885" s="103"/>
      <c r="C885" s="103"/>
      <c r="D885" s="103"/>
      <c r="E885" s="103"/>
      <c r="F885" s="103"/>
      <c r="G885" s="103"/>
      <c r="H885" s="103"/>
      <c r="I885" s="103"/>
      <c r="J885" s="103"/>
      <c r="K885" s="103"/>
      <c r="L885" s="103"/>
      <c r="M885" s="103"/>
      <c r="N885" s="103"/>
      <c r="O885" s="103"/>
      <c r="P885" s="103"/>
      <c r="Q885" s="103"/>
      <c r="R885" s="103"/>
      <c r="S885" s="103"/>
      <c r="T885" s="103"/>
      <c r="U885" s="103"/>
      <c r="V885" s="103"/>
      <c r="W885" s="103"/>
      <c r="X885" s="103"/>
      <c r="Y885" s="103"/>
      <c r="Z885" s="103"/>
    </row>
    <row r="886" spans="1:26" ht="15.75" customHeight="1">
      <c r="A886" s="101"/>
      <c r="B886" s="103"/>
      <c r="C886" s="103"/>
      <c r="D886" s="103"/>
      <c r="E886" s="103"/>
      <c r="F886" s="103"/>
      <c r="G886" s="103"/>
      <c r="H886" s="103"/>
      <c r="I886" s="103"/>
      <c r="J886" s="103"/>
      <c r="K886" s="103"/>
      <c r="L886" s="103"/>
      <c r="M886" s="103"/>
      <c r="N886" s="103"/>
      <c r="O886" s="103"/>
      <c r="P886" s="103"/>
      <c r="Q886" s="103"/>
      <c r="R886" s="103"/>
      <c r="S886" s="103"/>
      <c r="T886" s="103"/>
      <c r="U886" s="103"/>
      <c r="V886" s="103"/>
      <c r="W886" s="103"/>
      <c r="X886" s="103"/>
      <c r="Y886" s="103"/>
      <c r="Z886" s="103"/>
    </row>
    <row r="887" spans="1:26" ht="15.75" customHeight="1">
      <c r="A887" s="101"/>
      <c r="B887" s="103"/>
      <c r="C887" s="103"/>
      <c r="D887" s="103"/>
      <c r="E887" s="103"/>
      <c r="F887" s="103"/>
      <c r="G887" s="103"/>
      <c r="H887" s="103"/>
      <c r="I887" s="103"/>
      <c r="J887" s="103"/>
      <c r="K887" s="103"/>
      <c r="L887" s="103"/>
      <c r="M887" s="103"/>
      <c r="N887" s="103"/>
      <c r="O887" s="103"/>
      <c r="P887" s="103"/>
      <c r="Q887" s="103"/>
      <c r="R887" s="103"/>
      <c r="S887" s="103"/>
      <c r="T887" s="103"/>
      <c r="U887" s="103"/>
      <c r="V887" s="103"/>
      <c r="W887" s="103"/>
      <c r="X887" s="103"/>
      <c r="Y887" s="103"/>
      <c r="Z887" s="103"/>
    </row>
    <row r="888" spans="1:26" ht="15.75" customHeight="1">
      <c r="A888" s="101"/>
      <c r="B888" s="103"/>
      <c r="C888" s="103"/>
      <c r="D888" s="103"/>
      <c r="E888" s="103"/>
      <c r="F888" s="103"/>
      <c r="G888" s="103"/>
      <c r="H888" s="103"/>
      <c r="I888" s="103"/>
      <c r="J888" s="103"/>
      <c r="K888" s="103"/>
      <c r="L888" s="103"/>
      <c r="M888" s="103"/>
      <c r="N888" s="103"/>
      <c r="O888" s="103"/>
      <c r="P888" s="103"/>
      <c r="Q888" s="103"/>
      <c r="R888" s="103"/>
      <c r="S888" s="103"/>
      <c r="T888" s="103"/>
      <c r="U888" s="103"/>
      <c r="V888" s="103"/>
      <c r="W888" s="103"/>
      <c r="X888" s="103"/>
      <c r="Y888" s="103"/>
      <c r="Z888" s="103"/>
    </row>
    <row r="889" spans="1:26" ht="15.75" customHeight="1">
      <c r="A889" s="101"/>
      <c r="B889" s="103"/>
      <c r="C889" s="103"/>
      <c r="D889" s="103"/>
      <c r="E889" s="103"/>
      <c r="F889" s="103"/>
      <c r="G889" s="103"/>
      <c r="H889" s="103"/>
      <c r="I889" s="103"/>
      <c r="J889" s="103"/>
      <c r="K889" s="103"/>
      <c r="L889" s="103"/>
      <c r="M889" s="103"/>
      <c r="N889" s="103"/>
      <c r="O889" s="103"/>
      <c r="P889" s="103"/>
      <c r="Q889" s="103"/>
      <c r="R889" s="103"/>
      <c r="S889" s="103"/>
      <c r="T889" s="103"/>
      <c r="U889" s="103"/>
      <c r="V889" s="103"/>
      <c r="W889" s="103"/>
      <c r="X889" s="103"/>
      <c r="Y889" s="103"/>
      <c r="Z889" s="103"/>
    </row>
    <row r="890" spans="1:26" ht="15.75" customHeight="1">
      <c r="A890" s="101"/>
      <c r="B890" s="103"/>
      <c r="C890" s="103"/>
      <c r="D890" s="103"/>
      <c r="E890" s="103"/>
      <c r="F890" s="103"/>
      <c r="G890" s="103"/>
      <c r="H890" s="103"/>
      <c r="I890" s="103"/>
      <c r="J890" s="103"/>
      <c r="K890" s="103"/>
      <c r="L890" s="103"/>
      <c r="M890" s="103"/>
      <c r="N890" s="103"/>
      <c r="O890" s="103"/>
      <c r="P890" s="103"/>
      <c r="Q890" s="103"/>
      <c r="R890" s="103"/>
      <c r="S890" s="103"/>
      <c r="T890" s="103"/>
      <c r="U890" s="103"/>
      <c r="V890" s="103"/>
      <c r="W890" s="103"/>
      <c r="X890" s="103"/>
      <c r="Y890" s="103"/>
      <c r="Z890" s="103"/>
    </row>
    <row r="891" spans="1:26" ht="15.75" customHeight="1">
      <c r="A891" s="101"/>
      <c r="B891" s="103"/>
      <c r="C891" s="103"/>
      <c r="D891" s="103"/>
      <c r="E891" s="103"/>
      <c r="F891" s="103"/>
      <c r="G891" s="103"/>
      <c r="H891" s="103"/>
      <c r="I891" s="103"/>
      <c r="J891" s="103"/>
      <c r="K891" s="103"/>
      <c r="L891" s="103"/>
      <c r="M891" s="103"/>
      <c r="N891" s="103"/>
      <c r="O891" s="103"/>
      <c r="P891" s="103"/>
      <c r="Q891" s="103"/>
      <c r="R891" s="103"/>
      <c r="S891" s="103"/>
      <c r="T891" s="103"/>
      <c r="U891" s="103"/>
      <c r="V891" s="103"/>
      <c r="W891" s="103"/>
      <c r="X891" s="103"/>
      <c r="Y891" s="103"/>
      <c r="Z891" s="103"/>
    </row>
    <row r="892" spans="1:26" ht="15.75" customHeight="1">
      <c r="A892" s="101"/>
      <c r="B892" s="103"/>
      <c r="C892" s="103"/>
      <c r="D892" s="103"/>
      <c r="E892" s="103"/>
      <c r="F892" s="103"/>
      <c r="G892" s="103"/>
      <c r="H892" s="103"/>
      <c r="I892" s="103"/>
      <c r="J892" s="103"/>
      <c r="K892" s="103"/>
      <c r="L892" s="103"/>
      <c r="M892" s="103"/>
      <c r="N892" s="103"/>
      <c r="O892" s="103"/>
      <c r="P892" s="103"/>
      <c r="Q892" s="103"/>
      <c r="R892" s="103"/>
      <c r="S892" s="103"/>
      <c r="T892" s="103"/>
      <c r="U892" s="103"/>
      <c r="V892" s="103"/>
      <c r="W892" s="103"/>
      <c r="X892" s="103"/>
      <c r="Y892" s="103"/>
      <c r="Z892" s="103"/>
    </row>
    <row r="893" spans="1:26" ht="15.75" customHeight="1">
      <c r="A893" s="101"/>
      <c r="B893" s="103"/>
      <c r="C893" s="103"/>
      <c r="D893" s="103"/>
      <c r="E893" s="103"/>
      <c r="F893" s="103"/>
      <c r="G893" s="103"/>
      <c r="H893" s="103"/>
      <c r="I893" s="103"/>
      <c r="J893" s="103"/>
      <c r="K893" s="103"/>
      <c r="L893" s="103"/>
      <c r="M893" s="103"/>
      <c r="N893" s="103"/>
      <c r="O893" s="103"/>
      <c r="P893" s="103"/>
      <c r="Q893" s="103"/>
      <c r="R893" s="103"/>
      <c r="S893" s="103"/>
      <c r="T893" s="103"/>
      <c r="U893" s="103"/>
      <c r="V893" s="103"/>
      <c r="W893" s="103"/>
      <c r="X893" s="103"/>
      <c r="Y893" s="103"/>
      <c r="Z893" s="103"/>
    </row>
    <row r="894" spans="1:26" ht="15.75" customHeight="1">
      <c r="A894" s="101"/>
      <c r="B894" s="103"/>
      <c r="C894" s="103"/>
      <c r="D894" s="103"/>
      <c r="E894" s="103"/>
      <c r="F894" s="103"/>
      <c r="G894" s="103"/>
      <c r="H894" s="103"/>
      <c r="I894" s="103"/>
      <c r="J894" s="103"/>
      <c r="K894" s="103"/>
      <c r="L894" s="103"/>
      <c r="M894" s="103"/>
      <c r="N894" s="103"/>
      <c r="O894" s="103"/>
      <c r="P894" s="103"/>
      <c r="Q894" s="103"/>
      <c r="R894" s="103"/>
      <c r="S894" s="103"/>
      <c r="T894" s="103"/>
      <c r="U894" s="103"/>
      <c r="V894" s="103"/>
      <c r="W894" s="103"/>
      <c r="X894" s="103"/>
      <c r="Y894" s="103"/>
      <c r="Z894" s="103"/>
    </row>
    <row r="895" spans="1:26" ht="15.75" customHeight="1">
      <c r="A895" s="101"/>
      <c r="B895" s="103"/>
      <c r="C895" s="103"/>
      <c r="D895" s="103"/>
      <c r="E895" s="103"/>
      <c r="F895" s="103"/>
      <c r="G895" s="103"/>
      <c r="H895" s="103"/>
      <c r="I895" s="103"/>
      <c r="J895" s="103"/>
      <c r="K895" s="103"/>
      <c r="L895" s="103"/>
      <c r="M895" s="103"/>
      <c r="N895" s="103"/>
      <c r="O895" s="103"/>
      <c r="P895" s="103"/>
      <c r="Q895" s="103"/>
      <c r="R895" s="103"/>
      <c r="S895" s="103"/>
      <c r="T895" s="103"/>
      <c r="U895" s="103"/>
      <c r="V895" s="103"/>
      <c r="W895" s="103"/>
      <c r="X895" s="103"/>
      <c r="Y895" s="103"/>
      <c r="Z895" s="103"/>
    </row>
    <row r="896" spans="1:26" ht="15.75" customHeight="1">
      <c r="A896" s="101"/>
      <c r="B896" s="103"/>
      <c r="C896" s="103"/>
      <c r="D896" s="103"/>
      <c r="E896" s="103"/>
      <c r="F896" s="103"/>
      <c r="G896" s="103"/>
      <c r="H896" s="103"/>
      <c r="I896" s="103"/>
      <c r="J896" s="103"/>
      <c r="K896" s="103"/>
      <c r="L896" s="103"/>
      <c r="M896" s="103"/>
      <c r="N896" s="103"/>
      <c r="O896" s="103"/>
      <c r="P896" s="103"/>
      <c r="Q896" s="103"/>
      <c r="R896" s="103"/>
      <c r="S896" s="103"/>
      <c r="T896" s="103"/>
      <c r="U896" s="103"/>
      <c r="V896" s="103"/>
      <c r="W896" s="103"/>
      <c r="X896" s="103"/>
      <c r="Y896" s="103"/>
      <c r="Z896" s="103"/>
    </row>
    <row r="897" spans="1:26" ht="15.75" customHeight="1">
      <c r="A897" s="101"/>
      <c r="B897" s="103"/>
      <c r="C897" s="103"/>
      <c r="D897" s="103"/>
      <c r="E897" s="103"/>
      <c r="F897" s="103"/>
      <c r="G897" s="103"/>
      <c r="H897" s="103"/>
      <c r="I897" s="103"/>
      <c r="J897" s="103"/>
      <c r="K897" s="103"/>
      <c r="L897" s="103"/>
      <c r="M897" s="103"/>
      <c r="N897" s="103"/>
      <c r="O897" s="103"/>
      <c r="P897" s="103"/>
      <c r="Q897" s="103"/>
      <c r="R897" s="103"/>
      <c r="S897" s="103"/>
      <c r="T897" s="103"/>
      <c r="U897" s="103"/>
      <c r="V897" s="103"/>
      <c r="W897" s="103"/>
      <c r="X897" s="103"/>
      <c r="Y897" s="103"/>
      <c r="Z897" s="103"/>
    </row>
    <row r="898" spans="1:26" ht="15.75" customHeight="1">
      <c r="A898" s="101"/>
      <c r="B898" s="103"/>
      <c r="C898" s="103"/>
      <c r="D898" s="103"/>
      <c r="E898" s="103"/>
      <c r="F898" s="103"/>
      <c r="G898" s="103"/>
      <c r="H898" s="103"/>
      <c r="I898" s="103"/>
      <c r="J898" s="103"/>
      <c r="K898" s="103"/>
      <c r="L898" s="103"/>
      <c r="M898" s="103"/>
      <c r="N898" s="103"/>
      <c r="O898" s="103"/>
      <c r="P898" s="103"/>
      <c r="Q898" s="103"/>
      <c r="R898" s="103"/>
      <c r="S898" s="103"/>
      <c r="T898" s="103"/>
      <c r="U898" s="103"/>
      <c r="V898" s="103"/>
      <c r="W898" s="103"/>
      <c r="X898" s="103"/>
      <c r="Y898" s="103"/>
      <c r="Z898" s="103"/>
    </row>
    <row r="899" spans="1:26" ht="15.75" customHeight="1">
      <c r="A899" s="101"/>
      <c r="B899" s="103"/>
      <c r="C899" s="103"/>
      <c r="D899" s="103"/>
      <c r="E899" s="103"/>
      <c r="F899" s="103"/>
      <c r="G899" s="103"/>
      <c r="H899" s="103"/>
      <c r="I899" s="103"/>
      <c r="J899" s="103"/>
      <c r="K899" s="103"/>
      <c r="L899" s="103"/>
      <c r="M899" s="103"/>
      <c r="N899" s="103"/>
      <c r="O899" s="103"/>
      <c r="P899" s="103"/>
      <c r="Q899" s="103"/>
      <c r="R899" s="103"/>
      <c r="S899" s="103"/>
      <c r="T899" s="103"/>
      <c r="U899" s="103"/>
      <c r="V899" s="103"/>
      <c r="W899" s="103"/>
      <c r="X899" s="103"/>
      <c r="Y899" s="103"/>
      <c r="Z899" s="103"/>
    </row>
    <row r="900" spans="1:26" ht="15.75" customHeight="1">
      <c r="A900" s="101"/>
      <c r="B900" s="103"/>
      <c r="C900" s="103"/>
      <c r="D900" s="103"/>
      <c r="E900" s="103"/>
      <c r="F900" s="103"/>
      <c r="G900" s="103"/>
      <c r="H900" s="103"/>
      <c r="I900" s="103"/>
      <c r="J900" s="103"/>
      <c r="K900" s="103"/>
      <c r="L900" s="103"/>
      <c r="M900" s="103"/>
      <c r="N900" s="103"/>
      <c r="O900" s="103"/>
      <c r="P900" s="103"/>
      <c r="Q900" s="103"/>
      <c r="R900" s="103"/>
      <c r="S900" s="103"/>
      <c r="T900" s="103"/>
      <c r="U900" s="103"/>
      <c r="V900" s="103"/>
      <c r="W900" s="103"/>
      <c r="X900" s="103"/>
      <c r="Y900" s="103"/>
      <c r="Z900" s="103"/>
    </row>
    <row r="901" spans="1:26" ht="15.75" customHeight="1">
      <c r="A901" s="101"/>
      <c r="B901" s="103"/>
      <c r="C901" s="103"/>
      <c r="D901" s="103"/>
      <c r="E901" s="103"/>
      <c r="F901" s="103"/>
      <c r="G901" s="103"/>
      <c r="H901" s="103"/>
      <c r="I901" s="103"/>
      <c r="J901" s="103"/>
      <c r="K901" s="103"/>
      <c r="L901" s="103"/>
      <c r="M901" s="103"/>
      <c r="N901" s="103"/>
      <c r="O901" s="103"/>
      <c r="P901" s="103"/>
      <c r="Q901" s="103"/>
      <c r="R901" s="103"/>
      <c r="S901" s="103"/>
      <c r="T901" s="103"/>
      <c r="U901" s="103"/>
      <c r="V901" s="103"/>
      <c r="W901" s="103"/>
      <c r="X901" s="103"/>
      <c r="Y901" s="103"/>
      <c r="Z901" s="103"/>
    </row>
    <row r="902" spans="1:26" ht="15.75" customHeight="1">
      <c r="A902" s="101"/>
      <c r="B902" s="103"/>
      <c r="C902" s="103"/>
      <c r="D902" s="103"/>
      <c r="E902" s="103"/>
      <c r="F902" s="103"/>
      <c r="G902" s="103"/>
      <c r="H902" s="103"/>
      <c r="I902" s="103"/>
      <c r="J902" s="103"/>
      <c r="K902" s="103"/>
      <c r="L902" s="103"/>
      <c r="M902" s="103"/>
      <c r="N902" s="103"/>
      <c r="O902" s="103"/>
      <c r="P902" s="103"/>
      <c r="Q902" s="103"/>
      <c r="R902" s="103"/>
      <c r="S902" s="103"/>
      <c r="T902" s="103"/>
      <c r="U902" s="103"/>
      <c r="V902" s="103"/>
      <c r="W902" s="103"/>
      <c r="X902" s="103"/>
      <c r="Y902" s="103"/>
      <c r="Z902" s="103"/>
    </row>
    <row r="903" spans="1:26" ht="15.75" customHeight="1">
      <c r="A903" s="101"/>
      <c r="B903" s="103"/>
      <c r="C903" s="103"/>
      <c r="D903" s="103"/>
      <c r="E903" s="103"/>
      <c r="F903" s="103"/>
      <c r="G903" s="103"/>
      <c r="H903" s="103"/>
      <c r="I903" s="103"/>
      <c r="J903" s="103"/>
      <c r="K903" s="103"/>
      <c r="L903" s="103"/>
      <c r="M903" s="103"/>
      <c r="N903" s="103"/>
      <c r="O903" s="103"/>
      <c r="P903" s="103"/>
      <c r="Q903" s="103"/>
      <c r="R903" s="103"/>
      <c r="S903" s="103"/>
      <c r="T903" s="103"/>
      <c r="U903" s="103"/>
      <c r="V903" s="103"/>
      <c r="W903" s="103"/>
      <c r="X903" s="103"/>
      <c r="Y903" s="103"/>
      <c r="Z903" s="103"/>
    </row>
    <row r="904" spans="1:26" ht="15.75" customHeight="1">
      <c r="A904" s="101"/>
      <c r="B904" s="103"/>
      <c r="C904" s="103"/>
      <c r="D904" s="103"/>
      <c r="E904" s="103"/>
      <c r="F904" s="103"/>
      <c r="G904" s="103"/>
      <c r="H904" s="103"/>
      <c r="I904" s="103"/>
      <c r="J904" s="103"/>
      <c r="K904" s="103"/>
      <c r="L904" s="103"/>
      <c r="M904" s="103"/>
      <c r="N904" s="103"/>
      <c r="O904" s="103"/>
      <c r="P904" s="103"/>
      <c r="Q904" s="103"/>
      <c r="R904" s="103"/>
      <c r="S904" s="103"/>
      <c r="T904" s="103"/>
      <c r="U904" s="103"/>
      <c r="V904" s="103"/>
      <c r="W904" s="103"/>
      <c r="X904" s="103"/>
      <c r="Y904" s="103"/>
      <c r="Z904" s="103"/>
    </row>
    <row r="905" spans="1:26" ht="15.75" customHeight="1">
      <c r="A905" s="101"/>
      <c r="B905" s="103"/>
      <c r="C905" s="103"/>
      <c r="D905" s="103"/>
      <c r="E905" s="103"/>
      <c r="F905" s="103"/>
      <c r="G905" s="103"/>
      <c r="H905" s="103"/>
      <c r="I905" s="103"/>
      <c r="J905" s="103"/>
      <c r="K905" s="103"/>
      <c r="L905" s="103"/>
      <c r="M905" s="103"/>
      <c r="N905" s="103"/>
      <c r="O905" s="103"/>
      <c r="P905" s="103"/>
      <c r="Q905" s="103"/>
      <c r="R905" s="103"/>
      <c r="S905" s="103"/>
      <c r="T905" s="103"/>
      <c r="U905" s="103"/>
      <c r="V905" s="103"/>
      <c r="W905" s="103"/>
      <c r="X905" s="103"/>
      <c r="Y905" s="103"/>
      <c r="Z905" s="103"/>
    </row>
    <row r="906" spans="1:26" ht="15.75" customHeight="1">
      <c r="A906" s="101"/>
      <c r="B906" s="103"/>
      <c r="C906" s="103"/>
      <c r="D906" s="103"/>
      <c r="E906" s="103"/>
      <c r="F906" s="103"/>
      <c r="G906" s="103"/>
      <c r="H906" s="103"/>
      <c r="I906" s="103"/>
      <c r="J906" s="103"/>
      <c r="K906" s="103"/>
      <c r="L906" s="103"/>
      <c r="M906" s="103"/>
      <c r="N906" s="103"/>
      <c r="O906" s="103"/>
      <c r="P906" s="103"/>
      <c r="Q906" s="103"/>
      <c r="R906" s="103"/>
      <c r="S906" s="103"/>
      <c r="T906" s="103"/>
      <c r="U906" s="103"/>
      <c r="V906" s="103"/>
      <c r="W906" s="103"/>
      <c r="X906" s="103"/>
      <c r="Y906" s="103"/>
      <c r="Z906" s="103"/>
    </row>
    <row r="907" spans="1:26" ht="15.75" customHeight="1">
      <c r="A907" s="101"/>
      <c r="B907" s="103"/>
      <c r="C907" s="103"/>
      <c r="D907" s="103"/>
      <c r="E907" s="103"/>
      <c r="F907" s="103"/>
      <c r="G907" s="103"/>
      <c r="H907" s="103"/>
      <c r="I907" s="103"/>
      <c r="J907" s="103"/>
      <c r="K907" s="103"/>
      <c r="L907" s="103"/>
      <c r="M907" s="103"/>
      <c r="N907" s="103"/>
      <c r="O907" s="103"/>
      <c r="P907" s="103"/>
      <c r="Q907" s="103"/>
      <c r="R907" s="103"/>
      <c r="S907" s="103"/>
      <c r="T907" s="103"/>
      <c r="U907" s="103"/>
      <c r="V907" s="103"/>
      <c r="W907" s="103"/>
      <c r="X907" s="103"/>
      <c r="Y907" s="103"/>
      <c r="Z907" s="103"/>
    </row>
    <row r="908" spans="1:26" ht="15.75" customHeight="1">
      <c r="A908" s="101"/>
      <c r="B908" s="103"/>
      <c r="C908" s="103"/>
      <c r="D908" s="103"/>
      <c r="E908" s="103"/>
      <c r="F908" s="103"/>
      <c r="G908" s="103"/>
      <c r="H908" s="103"/>
      <c r="I908" s="103"/>
      <c r="J908" s="103"/>
      <c r="K908" s="103"/>
      <c r="L908" s="103"/>
      <c r="M908" s="103"/>
      <c r="N908" s="103"/>
      <c r="O908" s="103"/>
      <c r="P908" s="103"/>
      <c r="Q908" s="103"/>
      <c r="R908" s="103"/>
      <c r="S908" s="103"/>
      <c r="T908" s="103"/>
      <c r="U908" s="103"/>
      <c r="V908" s="103"/>
      <c r="W908" s="103"/>
      <c r="X908" s="103"/>
      <c r="Y908" s="103"/>
      <c r="Z908" s="103"/>
    </row>
    <row r="909" spans="1:26" ht="15.75" customHeight="1">
      <c r="A909" s="101"/>
      <c r="B909" s="103"/>
      <c r="C909" s="103"/>
      <c r="D909" s="103"/>
      <c r="E909" s="103"/>
      <c r="F909" s="103"/>
      <c r="G909" s="103"/>
      <c r="H909" s="103"/>
      <c r="I909" s="103"/>
      <c r="J909" s="103"/>
      <c r="K909" s="103"/>
      <c r="L909" s="103"/>
      <c r="M909" s="103"/>
      <c r="N909" s="103"/>
      <c r="O909" s="103"/>
      <c r="P909" s="103"/>
      <c r="Q909" s="103"/>
      <c r="R909" s="103"/>
      <c r="S909" s="103"/>
      <c r="T909" s="103"/>
      <c r="U909" s="103"/>
      <c r="V909" s="103"/>
      <c r="W909" s="103"/>
      <c r="X909" s="103"/>
      <c r="Y909" s="103"/>
      <c r="Z909" s="103"/>
    </row>
    <row r="910" spans="1:26" ht="15.75" customHeight="1">
      <c r="A910" s="101"/>
      <c r="B910" s="103"/>
      <c r="C910" s="103"/>
      <c r="D910" s="103"/>
      <c r="E910" s="103"/>
      <c r="F910" s="103"/>
      <c r="G910" s="103"/>
      <c r="H910" s="103"/>
      <c r="I910" s="103"/>
      <c r="J910" s="103"/>
      <c r="K910" s="103"/>
      <c r="L910" s="103"/>
      <c r="M910" s="103"/>
      <c r="N910" s="103"/>
      <c r="O910" s="103"/>
      <c r="P910" s="103"/>
      <c r="Q910" s="103"/>
      <c r="R910" s="103"/>
      <c r="S910" s="103"/>
      <c r="T910" s="103"/>
      <c r="U910" s="103"/>
      <c r="V910" s="103"/>
      <c r="W910" s="103"/>
      <c r="X910" s="103"/>
      <c r="Y910" s="103"/>
      <c r="Z910" s="103"/>
    </row>
    <row r="911" spans="1:26" ht="15.75" customHeight="1">
      <c r="A911" s="101"/>
      <c r="B911" s="103"/>
      <c r="C911" s="103"/>
      <c r="D911" s="103"/>
      <c r="E911" s="103"/>
      <c r="F911" s="103"/>
      <c r="G911" s="103"/>
      <c r="H911" s="103"/>
      <c r="I911" s="103"/>
      <c r="J911" s="103"/>
      <c r="K911" s="103"/>
      <c r="L911" s="103"/>
      <c r="M911" s="103"/>
      <c r="N911" s="103"/>
      <c r="O911" s="103"/>
      <c r="P911" s="103"/>
      <c r="Q911" s="103"/>
      <c r="R911" s="103"/>
      <c r="S911" s="103"/>
      <c r="T911" s="103"/>
      <c r="U911" s="103"/>
      <c r="V911" s="103"/>
      <c r="W911" s="103"/>
      <c r="X911" s="103"/>
      <c r="Y911" s="103"/>
      <c r="Z911" s="103"/>
    </row>
    <row r="912" spans="1:26" ht="15.75" customHeight="1">
      <c r="A912" s="101"/>
      <c r="B912" s="103"/>
      <c r="C912" s="103"/>
      <c r="D912" s="103"/>
      <c r="E912" s="103"/>
      <c r="F912" s="103"/>
      <c r="G912" s="103"/>
      <c r="H912" s="103"/>
      <c r="I912" s="103"/>
      <c r="J912" s="103"/>
      <c r="K912" s="103"/>
      <c r="L912" s="103"/>
      <c r="M912" s="103"/>
      <c r="N912" s="103"/>
      <c r="O912" s="103"/>
      <c r="P912" s="103"/>
      <c r="Q912" s="103"/>
      <c r="R912" s="103"/>
      <c r="S912" s="103"/>
      <c r="T912" s="103"/>
      <c r="U912" s="103"/>
      <c r="V912" s="103"/>
      <c r="W912" s="103"/>
      <c r="X912" s="103"/>
      <c r="Y912" s="103"/>
      <c r="Z912" s="103"/>
    </row>
    <row r="913" spans="1:26" ht="15.75" customHeight="1">
      <c r="A913" s="101"/>
      <c r="B913" s="103"/>
      <c r="C913" s="103"/>
      <c r="D913" s="103"/>
      <c r="E913" s="103"/>
      <c r="F913" s="103"/>
      <c r="G913" s="103"/>
      <c r="H913" s="103"/>
      <c r="I913" s="103"/>
      <c r="J913" s="103"/>
      <c r="K913" s="103"/>
      <c r="L913" s="103"/>
      <c r="M913" s="103"/>
      <c r="N913" s="103"/>
      <c r="O913" s="103"/>
      <c r="P913" s="103"/>
      <c r="Q913" s="103"/>
      <c r="R913" s="103"/>
      <c r="S913" s="103"/>
      <c r="T913" s="103"/>
      <c r="U913" s="103"/>
      <c r="V913" s="103"/>
      <c r="W913" s="103"/>
      <c r="X913" s="103"/>
      <c r="Y913" s="103"/>
      <c r="Z913" s="103"/>
    </row>
    <row r="914" spans="1:26" ht="15.75" customHeight="1">
      <c r="A914" s="101"/>
      <c r="B914" s="103"/>
      <c r="C914" s="103"/>
      <c r="D914" s="103"/>
      <c r="E914" s="103"/>
      <c r="F914" s="103"/>
      <c r="G914" s="103"/>
      <c r="H914" s="103"/>
      <c r="I914" s="103"/>
      <c r="J914" s="103"/>
      <c r="K914" s="103"/>
      <c r="L914" s="103"/>
      <c r="M914" s="103"/>
      <c r="N914" s="103"/>
      <c r="O914" s="103"/>
      <c r="P914" s="103"/>
      <c r="Q914" s="103"/>
      <c r="R914" s="103"/>
      <c r="S914" s="103"/>
      <c r="T914" s="103"/>
      <c r="U914" s="103"/>
      <c r="V914" s="103"/>
      <c r="W914" s="103"/>
      <c r="X914" s="103"/>
      <c r="Y914" s="103"/>
      <c r="Z914" s="103"/>
    </row>
    <row r="915" spans="1:26" ht="15.75" customHeight="1">
      <c r="A915" s="101"/>
      <c r="B915" s="103"/>
      <c r="C915" s="103"/>
      <c r="D915" s="103"/>
      <c r="E915" s="103"/>
      <c r="F915" s="103"/>
      <c r="G915" s="103"/>
      <c r="H915" s="103"/>
      <c r="I915" s="103"/>
      <c r="J915" s="103"/>
      <c r="K915" s="103"/>
      <c r="L915" s="103"/>
      <c r="M915" s="103"/>
      <c r="N915" s="103"/>
      <c r="O915" s="103"/>
      <c r="P915" s="103"/>
      <c r="Q915" s="103"/>
      <c r="R915" s="103"/>
      <c r="S915" s="103"/>
      <c r="T915" s="103"/>
      <c r="U915" s="103"/>
      <c r="V915" s="103"/>
      <c r="W915" s="103"/>
      <c r="X915" s="103"/>
      <c r="Y915" s="103"/>
      <c r="Z915" s="103"/>
    </row>
    <row r="916" spans="1:26" ht="15.75" customHeight="1">
      <c r="A916" s="101"/>
      <c r="B916" s="103"/>
      <c r="C916" s="103"/>
      <c r="D916" s="103"/>
      <c r="E916" s="103"/>
      <c r="F916" s="103"/>
      <c r="G916" s="103"/>
      <c r="H916" s="103"/>
      <c r="I916" s="103"/>
      <c r="J916" s="103"/>
      <c r="K916" s="103"/>
      <c r="L916" s="103"/>
      <c r="M916" s="103"/>
      <c r="N916" s="103"/>
      <c r="O916" s="103"/>
      <c r="P916" s="103"/>
      <c r="Q916" s="103"/>
      <c r="R916" s="103"/>
      <c r="S916" s="103"/>
      <c r="T916" s="103"/>
      <c r="U916" s="103"/>
      <c r="V916" s="103"/>
      <c r="W916" s="103"/>
      <c r="X916" s="103"/>
      <c r="Y916" s="103"/>
      <c r="Z916" s="103"/>
    </row>
    <row r="917" spans="1:26" ht="15.75" customHeight="1">
      <c r="A917" s="101"/>
      <c r="B917" s="103"/>
      <c r="C917" s="103"/>
      <c r="D917" s="103"/>
      <c r="E917" s="103"/>
      <c r="F917" s="103"/>
      <c r="G917" s="103"/>
      <c r="H917" s="103"/>
      <c r="I917" s="103"/>
      <c r="J917" s="103"/>
      <c r="K917" s="103"/>
      <c r="L917" s="103"/>
      <c r="M917" s="103"/>
      <c r="N917" s="103"/>
      <c r="O917" s="103"/>
      <c r="P917" s="103"/>
      <c r="Q917" s="103"/>
      <c r="R917" s="103"/>
      <c r="S917" s="103"/>
      <c r="T917" s="103"/>
      <c r="U917" s="103"/>
      <c r="V917" s="103"/>
      <c r="W917" s="103"/>
      <c r="X917" s="103"/>
      <c r="Y917" s="103"/>
      <c r="Z917" s="103"/>
    </row>
    <row r="918" spans="1:26" ht="15.75" customHeight="1">
      <c r="A918" s="101"/>
      <c r="B918" s="103"/>
      <c r="C918" s="103"/>
      <c r="D918" s="103"/>
      <c r="E918" s="103"/>
      <c r="F918" s="103"/>
      <c r="G918" s="103"/>
      <c r="H918" s="103"/>
      <c r="I918" s="103"/>
      <c r="J918" s="103"/>
      <c r="K918" s="103"/>
      <c r="L918" s="103"/>
      <c r="M918" s="103"/>
      <c r="N918" s="103"/>
      <c r="O918" s="103"/>
      <c r="P918" s="103"/>
      <c r="Q918" s="103"/>
      <c r="R918" s="103"/>
      <c r="S918" s="103"/>
      <c r="T918" s="103"/>
      <c r="U918" s="103"/>
      <c r="V918" s="103"/>
      <c r="W918" s="103"/>
      <c r="X918" s="103"/>
      <c r="Y918" s="103"/>
      <c r="Z918" s="103"/>
    </row>
    <row r="919" spans="1:26" ht="15.75" customHeight="1">
      <c r="A919" s="101"/>
      <c r="B919" s="103"/>
      <c r="C919" s="103"/>
      <c r="D919" s="103"/>
      <c r="E919" s="103"/>
      <c r="F919" s="103"/>
      <c r="G919" s="103"/>
      <c r="H919" s="103"/>
      <c r="I919" s="103"/>
      <c r="J919" s="103"/>
      <c r="K919" s="103"/>
      <c r="L919" s="103"/>
      <c r="M919" s="103"/>
      <c r="N919" s="103"/>
      <c r="O919" s="103"/>
      <c r="P919" s="103"/>
      <c r="Q919" s="103"/>
      <c r="R919" s="103"/>
      <c r="S919" s="103"/>
      <c r="T919" s="103"/>
      <c r="U919" s="103"/>
      <c r="V919" s="103"/>
      <c r="W919" s="103"/>
      <c r="X919" s="103"/>
      <c r="Y919" s="103"/>
      <c r="Z919" s="103"/>
    </row>
    <row r="920" spans="1:26" ht="15.75" customHeight="1">
      <c r="A920" s="101"/>
      <c r="B920" s="103"/>
      <c r="C920" s="103"/>
      <c r="D920" s="103"/>
      <c r="E920" s="103"/>
      <c r="F920" s="103"/>
      <c r="G920" s="103"/>
      <c r="H920" s="103"/>
      <c r="I920" s="103"/>
      <c r="J920" s="103"/>
      <c r="K920" s="103"/>
      <c r="L920" s="103"/>
      <c r="M920" s="103"/>
      <c r="N920" s="103"/>
      <c r="O920" s="103"/>
      <c r="P920" s="103"/>
      <c r="Q920" s="103"/>
      <c r="R920" s="103"/>
      <c r="S920" s="103"/>
      <c r="T920" s="103"/>
      <c r="U920" s="103"/>
      <c r="V920" s="103"/>
      <c r="W920" s="103"/>
      <c r="X920" s="103"/>
      <c r="Y920" s="103"/>
      <c r="Z920" s="103"/>
    </row>
    <row r="921" spans="1:26" ht="15.75" customHeight="1">
      <c r="A921" s="101"/>
      <c r="B921" s="103"/>
      <c r="C921" s="103"/>
      <c r="D921" s="103"/>
      <c r="E921" s="103"/>
      <c r="F921" s="103"/>
      <c r="G921" s="103"/>
      <c r="H921" s="103"/>
      <c r="I921" s="103"/>
      <c r="J921" s="103"/>
      <c r="K921" s="103"/>
      <c r="L921" s="103"/>
      <c r="M921" s="103"/>
      <c r="N921" s="103"/>
      <c r="O921" s="103"/>
      <c r="P921" s="103"/>
      <c r="Q921" s="103"/>
      <c r="R921" s="103"/>
      <c r="S921" s="103"/>
      <c r="T921" s="103"/>
      <c r="U921" s="103"/>
      <c r="V921" s="103"/>
      <c r="W921" s="103"/>
      <c r="X921" s="103"/>
      <c r="Y921" s="103"/>
      <c r="Z921" s="103"/>
    </row>
    <row r="922" spans="1:26" ht="15.75" customHeight="1">
      <c r="A922" s="101"/>
      <c r="B922" s="103"/>
      <c r="C922" s="103"/>
      <c r="D922" s="103"/>
      <c r="E922" s="103"/>
      <c r="F922" s="103"/>
      <c r="G922" s="103"/>
      <c r="H922" s="103"/>
      <c r="I922" s="103"/>
      <c r="J922" s="103"/>
      <c r="K922" s="103"/>
      <c r="L922" s="103"/>
      <c r="M922" s="103"/>
      <c r="N922" s="103"/>
      <c r="O922" s="103"/>
      <c r="P922" s="103"/>
      <c r="Q922" s="103"/>
      <c r="R922" s="103"/>
      <c r="S922" s="103"/>
      <c r="T922" s="103"/>
      <c r="U922" s="103"/>
      <c r="V922" s="103"/>
      <c r="W922" s="103"/>
      <c r="X922" s="103"/>
      <c r="Y922" s="103"/>
      <c r="Z922" s="103"/>
    </row>
    <row r="923" spans="1:26" ht="15.75" customHeight="1">
      <c r="A923" s="101"/>
      <c r="B923" s="103"/>
      <c r="C923" s="103"/>
      <c r="D923" s="103"/>
      <c r="E923" s="103"/>
      <c r="F923" s="103"/>
      <c r="G923" s="103"/>
      <c r="H923" s="103"/>
      <c r="I923" s="103"/>
      <c r="J923" s="103"/>
      <c r="K923" s="103"/>
      <c r="L923" s="103"/>
      <c r="M923" s="103"/>
      <c r="N923" s="103"/>
      <c r="O923" s="103"/>
      <c r="P923" s="103"/>
      <c r="Q923" s="103"/>
      <c r="R923" s="103"/>
      <c r="S923" s="103"/>
      <c r="T923" s="103"/>
      <c r="U923" s="103"/>
      <c r="V923" s="103"/>
      <c r="W923" s="103"/>
      <c r="X923" s="103"/>
      <c r="Y923" s="103"/>
      <c r="Z923" s="103"/>
    </row>
    <row r="924" spans="1:26" ht="15.75" customHeight="1">
      <c r="A924" s="101"/>
      <c r="B924" s="103"/>
      <c r="C924" s="103"/>
      <c r="D924" s="103"/>
      <c r="E924" s="103"/>
      <c r="F924" s="103"/>
      <c r="G924" s="103"/>
      <c r="H924" s="103"/>
      <c r="I924" s="103"/>
      <c r="J924" s="103"/>
      <c r="K924" s="103"/>
      <c r="L924" s="103"/>
      <c r="M924" s="103"/>
      <c r="N924" s="103"/>
      <c r="O924" s="103"/>
      <c r="P924" s="103"/>
      <c r="Q924" s="103"/>
      <c r="R924" s="103"/>
      <c r="S924" s="103"/>
      <c r="T924" s="103"/>
      <c r="U924" s="103"/>
      <c r="V924" s="103"/>
      <c r="W924" s="103"/>
      <c r="X924" s="103"/>
      <c r="Y924" s="103"/>
      <c r="Z924" s="103"/>
    </row>
    <row r="925" spans="1:26" ht="15.75" customHeight="1">
      <c r="A925" s="101"/>
      <c r="B925" s="103"/>
      <c r="C925" s="103"/>
      <c r="D925" s="103"/>
      <c r="E925" s="103"/>
      <c r="F925" s="103"/>
      <c r="G925" s="103"/>
      <c r="H925" s="103"/>
      <c r="I925" s="103"/>
      <c r="J925" s="103"/>
      <c r="K925" s="103"/>
      <c r="L925" s="103"/>
      <c r="M925" s="103"/>
      <c r="N925" s="103"/>
      <c r="O925" s="103"/>
      <c r="P925" s="103"/>
      <c r="Q925" s="103"/>
      <c r="R925" s="103"/>
      <c r="S925" s="103"/>
      <c r="T925" s="103"/>
      <c r="U925" s="103"/>
      <c r="V925" s="103"/>
      <c r="W925" s="103"/>
      <c r="X925" s="103"/>
      <c r="Y925" s="103"/>
      <c r="Z925" s="103"/>
    </row>
    <row r="926" spans="1:26" ht="15.75" customHeight="1">
      <c r="A926" s="101"/>
      <c r="B926" s="103"/>
      <c r="C926" s="103"/>
      <c r="D926" s="103"/>
      <c r="E926" s="103"/>
      <c r="F926" s="103"/>
      <c r="G926" s="103"/>
      <c r="H926" s="103"/>
      <c r="I926" s="103"/>
      <c r="J926" s="103"/>
      <c r="K926" s="103"/>
      <c r="L926" s="103"/>
      <c r="M926" s="103"/>
      <c r="N926" s="103"/>
      <c r="O926" s="103"/>
      <c r="P926" s="103"/>
      <c r="Q926" s="103"/>
      <c r="R926" s="103"/>
      <c r="S926" s="103"/>
      <c r="T926" s="103"/>
      <c r="U926" s="103"/>
      <c r="V926" s="103"/>
      <c r="W926" s="103"/>
      <c r="X926" s="103"/>
      <c r="Y926" s="103"/>
      <c r="Z926" s="103"/>
    </row>
    <row r="927" spans="1:26" ht="15.75" customHeight="1">
      <c r="A927" s="101"/>
      <c r="B927" s="103"/>
      <c r="C927" s="103"/>
      <c r="D927" s="103"/>
      <c r="E927" s="103"/>
      <c r="F927" s="103"/>
      <c r="G927" s="103"/>
      <c r="H927" s="103"/>
      <c r="I927" s="103"/>
      <c r="J927" s="103"/>
      <c r="K927" s="103"/>
      <c r="L927" s="103"/>
      <c r="M927" s="103"/>
      <c r="N927" s="103"/>
      <c r="O927" s="103"/>
      <c r="P927" s="103"/>
      <c r="Q927" s="103"/>
      <c r="R927" s="103"/>
      <c r="S927" s="103"/>
      <c r="T927" s="103"/>
      <c r="U927" s="103"/>
      <c r="V927" s="103"/>
      <c r="W927" s="103"/>
      <c r="X927" s="103"/>
      <c r="Y927" s="103"/>
      <c r="Z927" s="103"/>
    </row>
    <row r="928" spans="1:26" ht="15.75" customHeight="1">
      <c r="A928" s="101"/>
      <c r="B928" s="103"/>
      <c r="C928" s="103"/>
      <c r="D928" s="103"/>
      <c r="E928" s="103"/>
      <c r="F928" s="103"/>
      <c r="G928" s="103"/>
      <c r="H928" s="103"/>
      <c r="I928" s="103"/>
      <c r="J928" s="103"/>
      <c r="K928" s="103"/>
      <c r="L928" s="103"/>
      <c r="M928" s="103"/>
      <c r="N928" s="103"/>
      <c r="O928" s="103"/>
      <c r="P928" s="103"/>
      <c r="Q928" s="103"/>
      <c r="R928" s="103"/>
      <c r="S928" s="103"/>
      <c r="T928" s="103"/>
      <c r="U928" s="103"/>
      <c r="V928" s="103"/>
      <c r="W928" s="103"/>
      <c r="X928" s="103"/>
      <c r="Y928" s="103"/>
      <c r="Z928" s="103"/>
    </row>
    <row r="929" spans="1:26" ht="15.75" customHeight="1">
      <c r="A929" s="101"/>
      <c r="B929" s="103"/>
      <c r="C929" s="103"/>
      <c r="D929" s="103"/>
      <c r="E929" s="103"/>
      <c r="F929" s="103"/>
      <c r="G929" s="103"/>
      <c r="H929" s="103"/>
      <c r="I929" s="103"/>
      <c r="J929" s="103"/>
      <c r="K929" s="103"/>
      <c r="L929" s="103"/>
      <c r="M929" s="103"/>
      <c r="N929" s="103"/>
      <c r="O929" s="103"/>
      <c r="P929" s="103"/>
      <c r="Q929" s="103"/>
      <c r="R929" s="103"/>
      <c r="S929" s="103"/>
      <c r="T929" s="103"/>
      <c r="U929" s="103"/>
      <c r="V929" s="103"/>
      <c r="W929" s="103"/>
      <c r="X929" s="103"/>
      <c r="Y929" s="103"/>
      <c r="Z929" s="103"/>
    </row>
    <row r="930" spans="1:26" ht="15.75" customHeight="1">
      <c r="A930" s="101"/>
      <c r="B930" s="103"/>
      <c r="C930" s="103"/>
      <c r="D930" s="103"/>
      <c r="E930" s="103"/>
      <c r="F930" s="103"/>
      <c r="G930" s="103"/>
      <c r="H930" s="103"/>
      <c r="I930" s="103"/>
      <c r="J930" s="103"/>
      <c r="K930" s="103"/>
      <c r="L930" s="103"/>
      <c r="M930" s="103"/>
      <c r="N930" s="103"/>
      <c r="O930" s="103"/>
      <c r="P930" s="103"/>
      <c r="Q930" s="103"/>
      <c r="R930" s="103"/>
      <c r="S930" s="103"/>
      <c r="T930" s="103"/>
      <c r="U930" s="103"/>
      <c r="V930" s="103"/>
      <c r="W930" s="103"/>
      <c r="X930" s="103"/>
      <c r="Y930" s="103"/>
      <c r="Z930" s="103"/>
    </row>
    <row r="931" spans="1:26" ht="15.75" customHeight="1">
      <c r="A931" s="101"/>
      <c r="B931" s="103"/>
      <c r="C931" s="103"/>
      <c r="D931" s="103"/>
      <c r="E931" s="103"/>
      <c r="F931" s="103"/>
      <c r="G931" s="103"/>
      <c r="H931" s="103"/>
      <c r="I931" s="103"/>
      <c r="J931" s="103"/>
      <c r="K931" s="103"/>
      <c r="L931" s="103"/>
      <c r="M931" s="103"/>
      <c r="N931" s="103"/>
      <c r="O931" s="103"/>
      <c r="P931" s="103"/>
      <c r="Q931" s="103"/>
      <c r="R931" s="103"/>
      <c r="S931" s="103"/>
      <c r="T931" s="103"/>
      <c r="U931" s="103"/>
      <c r="V931" s="103"/>
      <c r="W931" s="103"/>
      <c r="X931" s="103"/>
      <c r="Y931" s="103"/>
      <c r="Z931" s="103"/>
    </row>
    <row r="932" spans="1:26" ht="15.75" customHeight="1">
      <c r="A932" s="101"/>
      <c r="B932" s="103"/>
      <c r="C932" s="103"/>
      <c r="D932" s="103"/>
      <c r="E932" s="103"/>
      <c r="F932" s="103"/>
      <c r="G932" s="103"/>
      <c r="H932" s="103"/>
      <c r="I932" s="103"/>
      <c r="J932" s="103"/>
      <c r="K932" s="103"/>
      <c r="L932" s="103"/>
      <c r="M932" s="103"/>
      <c r="N932" s="103"/>
      <c r="O932" s="103"/>
      <c r="P932" s="103"/>
      <c r="Q932" s="103"/>
      <c r="R932" s="103"/>
      <c r="S932" s="103"/>
      <c r="T932" s="103"/>
      <c r="U932" s="103"/>
      <c r="V932" s="103"/>
      <c r="W932" s="103"/>
      <c r="X932" s="103"/>
      <c r="Y932" s="103"/>
      <c r="Z932" s="103"/>
    </row>
    <row r="933" spans="1:26" ht="15.75" customHeight="1">
      <c r="A933" s="101"/>
      <c r="B933" s="103"/>
      <c r="C933" s="103"/>
      <c r="D933" s="103"/>
      <c r="E933" s="103"/>
      <c r="F933" s="103"/>
      <c r="G933" s="103"/>
      <c r="H933" s="103"/>
      <c r="I933" s="103"/>
      <c r="J933" s="103"/>
      <c r="K933" s="103"/>
      <c r="L933" s="103"/>
      <c r="M933" s="103"/>
      <c r="N933" s="103"/>
      <c r="O933" s="103"/>
      <c r="P933" s="103"/>
      <c r="Q933" s="103"/>
      <c r="R933" s="103"/>
      <c r="S933" s="103"/>
      <c r="T933" s="103"/>
      <c r="U933" s="103"/>
      <c r="V933" s="103"/>
      <c r="W933" s="103"/>
      <c r="X933" s="103"/>
      <c r="Y933" s="103"/>
      <c r="Z933" s="103"/>
    </row>
    <row r="934" spans="1:26" ht="15.75" customHeight="1">
      <c r="A934" s="101"/>
      <c r="B934" s="103"/>
      <c r="C934" s="103"/>
      <c r="D934" s="103"/>
      <c r="E934" s="103"/>
      <c r="F934" s="103"/>
      <c r="G934" s="103"/>
      <c r="H934" s="103"/>
      <c r="I934" s="103"/>
      <c r="J934" s="103"/>
      <c r="K934" s="103"/>
      <c r="L934" s="103"/>
      <c r="M934" s="103"/>
      <c r="N934" s="103"/>
      <c r="O934" s="103"/>
      <c r="P934" s="103"/>
      <c r="Q934" s="103"/>
      <c r="R934" s="103"/>
      <c r="S934" s="103"/>
      <c r="T934" s="103"/>
      <c r="U934" s="103"/>
      <c r="V934" s="103"/>
      <c r="W934" s="103"/>
      <c r="X934" s="103"/>
      <c r="Y934" s="103"/>
      <c r="Z934" s="103"/>
    </row>
    <row r="935" spans="1:26" ht="15.75" customHeight="1">
      <c r="A935" s="101"/>
      <c r="B935" s="103"/>
      <c r="C935" s="103"/>
      <c r="D935" s="103"/>
      <c r="E935" s="103"/>
      <c r="F935" s="103"/>
      <c r="G935" s="103"/>
      <c r="H935" s="103"/>
      <c r="I935" s="103"/>
      <c r="J935" s="103"/>
      <c r="K935" s="103"/>
      <c r="L935" s="103"/>
      <c r="M935" s="103"/>
      <c r="N935" s="103"/>
      <c r="O935" s="103"/>
      <c r="P935" s="103"/>
      <c r="Q935" s="103"/>
      <c r="R935" s="103"/>
      <c r="S935" s="103"/>
      <c r="T935" s="103"/>
      <c r="U935" s="103"/>
      <c r="V935" s="103"/>
      <c r="W935" s="103"/>
      <c r="X935" s="103"/>
      <c r="Y935" s="103"/>
      <c r="Z935" s="103"/>
    </row>
    <row r="936" spans="1:26" ht="15.75" customHeight="1">
      <c r="A936" s="101"/>
      <c r="B936" s="103"/>
      <c r="C936" s="103"/>
      <c r="D936" s="103"/>
      <c r="E936" s="103"/>
      <c r="F936" s="103"/>
      <c r="G936" s="103"/>
      <c r="H936" s="103"/>
      <c r="I936" s="103"/>
      <c r="J936" s="103"/>
      <c r="K936" s="103"/>
      <c r="L936" s="103"/>
      <c r="M936" s="103"/>
      <c r="N936" s="103"/>
      <c r="O936" s="103"/>
      <c r="P936" s="103"/>
      <c r="Q936" s="103"/>
      <c r="R936" s="103"/>
      <c r="S936" s="103"/>
      <c r="T936" s="103"/>
      <c r="U936" s="103"/>
      <c r="V936" s="103"/>
      <c r="W936" s="103"/>
      <c r="X936" s="103"/>
      <c r="Y936" s="103"/>
      <c r="Z936" s="103"/>
    </row>
    <row r="937" spans="1:26" ht="15.75" customHeight="1">
      <c r="A937" s="101"/>
      <c r="B937" s="103"/>
      <c r="C937" s="103"/>
      <c r="D937" s="103"/>
      <c r="E937" s="103"/>
      <c r="F937" s="103"/>
      <c r="G937" s="103"/>
      <c r="H937" s="103"/>
      <c r="I937" s="103"/>
      <c r="J937" s="103"/>
      <c r="K937" s="103"/>
      <c r="L937" s="103"/>
      <c r="M937" s="103"/>
      <c r="N937" s="103"/>
      <c r="O937" s="103"/>
      <c r="P937" s="103"/>
      <c r="Q937" s="103"/>
      <c r="R937" s="103"/>
      <c r="S937" s="103"/>
      <c r="T937" s="103"/>
      <c r="U937" s="103"/>
      <c r="V937" s="103"/>
      <c r="W937" s="103"/>
      <c r="X937" s="103"/>
      <c r="Y937" s="103"/>
      <c r="Z937" s="103"/>
    </row>
    <row r="938" spans="1:26" ht="15.75" customHeight="1">
      <c r="A938" s="101"/>
      <c r="B938" s="103"/>
      <c r="C938" s="103"/>
      <c r="D938" s="103"/>
      <c r="E938" s="103"/>
      <c r="F938" s="103"/>
      <c r="G938" s="103"/>
      <c r="H938" s="103"/>
      <c r="I938" s="103"/>
      <c r="J938" s="103"/>
      <c r="K938" s="103"/>
      <c r="L938" s="103"/>
      <c r="M938" s="103"/>
      <c r="N938" s="103"/>
      <c r="O938" s="103"/>
      <c r="P938" s="103"/>
      <c r="Q938" s="103"/>
      <c r="R938" s="103"/>
      <c r="S938" s="103"/>
      <c r="T938" s="103"/>
      <c r="U938" s="103"/>
      <c r="V938" s="103"/>
      <c r="W938" s="103"/>
      <c r="X938" s="103"/>
      <c r="Y938" s="103"/>
      <c r="Z938" s="103"/>
    </row>
    <row r="939" spans="1:26" ht="15.75" customHeight="1">
      <c r="A939" s="101"/>
      <c r="B939" s="103"/>
      <c r="C939" s="103"/>
      <c r="D939" s="103"/>
      <c r="E939" s="103"/>
      <c r="F939" s="103"/>
      <c r="G939" s="103"/>
      <c r="H939" s="103"/>
      <c r="I939" s="103"/>
      <c r="J939" s="103"/>
      <c r="K939" s="103"/>
      <c r="L939" s="103"/>
      <c r="M939" s="103"/>
      <c r="N939" s="103"/>
      <c r="O939" s="103"/>
      <c r="P939" s="103"/>
      <c r="Q939" s="103"/>
      <c r="R939" s="103"/>
      <c r="S939" s="103"/>
      <c r="T939" s="103"/>
      <c r="U939" s="103"/>
      <c r="V939" s="103"/>
      <c r="W939" s="103"/>
      <c r="X939" s="103"/>
      <c r="Y939" s="103"/>
      <c r="Z939" s="103"/>
    </row>
    <row r="940" spans="1:26" ht="15.75" customHeight="1">
      <c r="A940" s="101"/>
      <c r="B940" s="103"/>
      <c r="C940" s="103"/>
      <c r="D940" s="103"/>
      <c r="E940" s="103"/>
      <c r="F940" s="103"/>
      <c r="G940" s="103"/>
      <c r="H940" s="103"/>
      <c r="I940" s="103"/>
      <c r="J940" s="103"/>
      <c r="K940" s="103"/>
      <c r="L940" s="103"/>
      <c r="M940" s="103"/>
      <c r="N940" s="103"/>
      <c r="O940" s="103"/>
      <c r="P940" s="103"/>
      <c r="Q940" s="103"/>
      <c r="R940" s="103"/>
      <c r="S940" s="103"/>
      <c r="T940" s="103"/>
      <c r="U940" s="103"/>
      <c r="V940" s="103"/>
      <c r="W940" s="103"/>
      <c r="X940" s="103"/>
      <c r="Y940" s="103"/>
      <c r="Z940" s="103"/>
    </row>
    <row r="941" spans="1:26" ht="15.75" customHeight="1">
      <c r="A941" s="101"/>
      <c r="B941" s="103"/>
      <c r="C941" s="103"/>
      <c r="D941" s="103"/>
      <c r="E941" s="103"/>
      <c r="F941" s="103"/>
      <c r="G941" s="103"/>
      <c r="H941" s="103"/>
      <c r="I941" s="103"/>
      <c r="J941" s="103"/>
      <c r="K941" s="103"/>
      <c r="L941" s="103"/>
      <c r="M941" s="103"/>
      <c r="N941" s="103"/>
      <c r="O941" s="103"/>
      <c r="P941" s="103"/>
      <c r="Q941" s="103"/>
      <c r="R941" s="103"/>
      <c r="S941" s="103"/>
      <c r="T941" s="103"/>
      <c r="U941" s="103"/>
      <c r="V941" s="103"/>
      <c r="W941" s="103"/>
      <c r="X941" s="103"/>
      <c r="Y941" s="103"/>
      <c r="Z941" s="103"/>
    </row>
    <row r="942" spans="1:26" ht="15.75" customHeight="1">
      <c r="A942" s="101"/>
      <c r="B942" s="103"/>
      <c r="C942" s="103"/>
      <c r="D942" s="103"/>
      <c r="E942" s="103"/>
      <c r="F942" s="103"/>
      <c r="G942" s="103"/>
      <c r="H942" s="103"/>
      <c r="I942" s="103"/>
      <c r="J942" s="103"/>
      <c r="K942" s="103"/>
      <c r="L942" s="103"/>
      <c r="M942" s="103"/>
      <c r="N942" s="103"/>
      <c r="O942" s="103"/>
      <c r="P942" s="103"/>
      <c r="Q942" s="103"/>
      <c r="R942" s="103"/>
      <c r="S942" s="103"/>
      <c r="T942" s="103"/>
      <c r="U942" s="103"/>
      <c r="V942" s="103"/>
      <c r="W942" s="103"/>
      <c r="X942" s="103"/>
      <c r="Y942" s="103"/>
      <c r="Z942" s="103"/>
    </row>
    <row r="943" spans="1:26" ht="15.75" customHeight="1">
      <c r="A943" s="101"/>
      <c r="B943" s="103"/>
      <c r="C943" s="103"/>
      <c r="D943" s="103"/>
      <c r="E943" s="103"/>
      <c r="F943" s="103"/>
      <c r="G943" s="103"/>
      <c r="H943" s="103"/>
      <c r="I943" s="103"/>
      <c r="J943" s="103"/>
      <c r="K943" s="103"/>
      <c r="L943" s="103"/>
      <c r="M943" s="103"/>
      <c r="N943" s="103"/>
      <c r="O943" s="103"/>
      <c r="P943" s="103"/>
      <c r="Q943" s="103"/>
      <c r="R943" s="103"/>
      <c r="S943" s="103"/>
      <c r="T943" s="103"/>
      <c r="U943" s="103"/>
      <c r="V943" s="103"/>
      <c r="W943" s="103"/>
      <c r="X943" s="103"/>
      <c r="Y943" s="103"/>
      <c r="Z943" s="103"/>
    </row>
    <row r="944" spans="1:26" ht="15.75" customHeight="1">
      <c r="A944" s="101"/>
      <c r="B944" s="103"/>
      <c r="C944" s="103"/>
      <c r="D944" s="103"/>
      <c r="E944" s="103"/>
      <c r="F944" s="103"/>
      <c r="G944" s="103"/>
      <c r="H944" s="103"/>
      <c r="I944" s="103"/>
      <c r="J944" s="103"/>
      <c r="K944" s="103"/>
      <c r="L944" s="103"/>
      <c r="M944" s="103"/>
      <c r="N944" s="103"/>
      <c r="O944" s="103"/>
      <c r="P944" s="103"/>
      <c r="Q944" s="103"/>
      <c r="R944" s="103"/>
      <c r="S944" s="103"/>
      <c r="T944" s="103"/>
      <c r="U944" s="103"/>
      <c r="V944" s="103"/>
      <c r="W944" s="103"/>
      <c r="X944" s="103"/>
      <c r="Y944" s="103"/>
      <c r="Z944" s="103"/>
    </row>
    <row r="945" spans="1:26" ht="15.75" customHeight="1">
      <c r="A945" s="101"/>
      <c r="B945" s="103"/>
      <c r="C945" s="103"/>
      <c r="D945" s="103"/>
      <c r="E945" s="103"/>
      <c r="F945" s="103"/>
      <c r="G945" s="103"/>
      <c r="H945" s="103"/>
      <c r="I945" s="103"/>
      <c r="J945" s="103"/>
      <c r="K945" s="103"/>
      <c r="L945" s="103"/>
      <c r="M945" s="103"/>
      <c r="N945" s="103"/>
      <c r="O945" s="103"/>
      <c r="P945" s="103"/>
      <c r="Q945" s="103"/>
      <c r="R945" s="103"/>
      <c r="S945" s="103"/>
      <c r="T945" s="103"/>
      <c r="U945" s="103"/>
      <c r="V945" s="103"/>
      <c r="W945" s="103"/>
      <c r="X945" s="103"/>
      <c r="Y945" s="103"/>
      <c r="Z945" s="103"/>
    </row>
    <row r="946" spans="1:26" ht="15.75" customHeight="1">
      <c r="A946" s="101"/>
      <c r="B946" s="103"/>
      <c r="C946" s="103"/>
      <c r="D946" s="103"/>
      <c r="E946" s="103"/>
      <c r="F946" s="103"/>
      <c r="G946" s="103"/>
      <c r="H946" s="103"/>
      <c r="I946" s="103"/>
      <c r="J946" s="103"/>
      <c r="K946" s="103"/>
      <c r="L946" s="103"/>
      <c r="M946" s="103"/>
      <c r="N946" s="103"/>
      <c r="O946" s="103"/>
      <c r="P946" s="103"/>
      <c r="Q946" s="103"/>
      <c r="R946" s="103"/>
      <c r="S946" s="103"/>
      <c r="T946" s="103"/>
      <c r="U946" s="103"/>
      <c r="V946" s="103"/>
      <c r="W946" s="103"/>
      <c r="X946" s="103"/>
      <c r="Y946" s="103"/>
      <c r="Z946" s="103"/>
    </row>
    <row r="947" spans="1:26" ht="15.75" customHeight="1">
      <c r="A947" s="101"/>
      <c r="B947" s="103"/>
      <c r="C947" s="103"/>
      <c r="D947" s="103"/>
      <c r="E947" s="103"/>
      <c r="F947" s="103"/>
      <c r="G947" s="103"/>
      <c r="H947" s="103"/>
      <c r="I947" s="103"/>
      <c r="J947" s="103"/>
      <c r="K947" s="103"/>
      <c r="L947" s="103"/>
      <c r="M947" s="103"/>
      <c r="N947" s="103"/>
      <c r="O947" s="103"/>
      <c r="P947" s="103"/>
      <c r="Q947" s="103"/>
      <c r="R947" s="103"/>
      <c r="S947" s="103"/>
      <c r="T947" s="103"/>
      <c r="U947" s="103"/>
      <c r="V947" s="103"/>
      <c r="W947" s="103"/>
      <c r="X947" s="103"/>
      <c r="Y947" s="103"/>
      <c r="Z947" s="103"/>
    </row>
    <row r="948" spans="1:26" ht="15.75" customHeight="1">
      <c r="A948" s="101"/>
      <c r="B948" s="103"/>
      <c r="C948" s="103"/>
      <c r="D948" s="103"/>
      <c r="E948" s="103"/>
      <c r="F948" s="103"/>
      <c r="G948" s="103"/>
      <c r="H948" s="103"/>
      <c r="I948" s="103"/>
      <c r="J948" s="103"/>
      <c r="K948" s="103"/>
      <c r="L948" s="103"/>
      <c r="M948" s="103"/>
      <c r="N948" s="103"/>
      <c r="O948" s="103"/>
      <c r="P948" s="103"/>
      <c r="Q948" s="103"/>
      <c r="R948" s="103"/>
      <c r="S948" s="103"/>
      <c r="T948" s="103"/>
      <c r="U948" s="103"/>
      <c r="V948" s="103"/>
      <c r="W948" s="103"/>
      <c r="X948" s="103"/>
      <c r="Y948" s="103"/>
      <c r="Z948" s="103"/>
    </row>
    <row r="949" spans="1:26" ht="15.75" customHeight="1">
      <c r="A949" s="101"/>
      <c r="B949" s="103"/>
      <c r="C949" s="103"/>
      <c r="D949" s="103"/>
      <c r="E949" s="103"/>
      <c r="F949" s="103"/>
      <c r="G949" s="103"/>
      <c r="H949" s="103"/>
      <c r="I949" s="103"/>
      <c r="J949" s="103"/>
      <c r="K949" s="103"/>
      <c r="L949" s="103"/>
      <c r="M949" s="103"/>
      <c r="N949" s="103"/>
      <c r="O949" s="103"/>
      <c r="P949" s="103"/>
      <c r="Q949" s="103"/>
      <c r="R949" s="103"/>
      <c r="S949" s="103"/>
      <c r="T949" s="103"/>
      <c r="U949" s="103"/>
      <c r="V949" s="103"/>
      <c r="W949" s="103"/>
      <c r="X949" s="103"/>
      <c r="Y949" s="103"/>
      <c r="Z949" s="103"/>
    </row>
    <row r="950" spans="1:26" ht="15.75" customHeight="1">
      <c r="A950" s="101"/>
      <c r="B950" s="103"/>
      <c r="C950" s="103"/>
      <c r="D950" s="103"/>
      <c r="E950" s="103"/>
      <c r="F950" s="103"/>
      <c r="G950" s="103"/>
      <c r="H950" s="103"/>
      <c r="I950" s="103"/>
      <c r="J950" s="103"/>
      <c r="K950" s="103"/>
      <c r="L950" s="103"/>
      <c r="M950" s="103"/>
      <c r="N950" s="103"/>
      <c r="O950" s="103"/>
      <c r="P950" s="103"/>
      <c r="Q950" s="103"/>
      <c r="R950" s="103"/>
      <c r="S950" s="103"/>
      <c r="T950" s="103"/>
      <c r="U950" s="103"/>
      <c r="V950" s="103"/>
      <c r="W950" s="103"/>
      <c r="X950" s="103"/>
      <c r="Y950" s="103"/>
      <c r="Z950" s="103"/>
    </row>
    <row r="951" spans="1:26" ht="15.75" customHeight="1">
      <c r="A951" s="101"/>
      <c r="B951" s="103"/>
      <c r="C951" s="103"/>
      <c r="D951" s="103"/>
      <c r="E951" s="103"/>
      <c r="F951" s="103"/>
      <c r="G951" s="103"/>
      <c r="H951" s="103"/>
      <c r="I951" s="103"/>
      <c r="J951" s="103"/>
      <c r="K951" s="103"/>
      <c r="L951" s="103"/>
      <c r="M951" s="103"/>
      <c r="N951" s="103"/>
      <c r="O951" s="103"/>
      <c r="P951" s="103"/>
      <c r="Q951" s="103"/>
      <c r="R951" s="103"/>
      <c r="S951" s="103"/>
      <c r="T951" s="103"/>
      <c r="U951" s="103"/>
      <c r="V951" s="103"/>
      <c r="W951" s="103"/>
      <c r="X951" s="103"/>
      <c r="Y951" s="103"/>
      <c r="Z951" s="103"/>
    </row>
    <row r="952" spans="1:26" ht="15.75" customHeight="1">
      <c r="A952" s="101"/>
      <c r="B952" s="103"/>
      <c r="C952" s="103"/>
      <c r="D952" s="103"/>
      <c r="E952" s="103"/>
      <c r="F952" s="103"/>
      <c r="G952" s="103"/>
      <c r="H952" s="103"/>
      <c r="I952" s="103"/>
      <c r="J952" s="103"/>
      <c r="K952" s="103"/>
      <c r="L952" s="103"/>
      <c r="M952" s="103"/>
      <c r="N952" s="103"/>
      <c r="O952" s="103"/>
      <c r="P952" s="103"/>
      <c r="Q952" s="103"/>
      <c r="R952" s="103"/>
      <c r="S952" s="103"/>
      <c r="T952" s="103"/>
      <c r="U952" s="103"/>
      <c r="V952" s="103"/>
      <c r="W952" s="103"/>
      <c r="X952" s="103"/>
      <c r="Y952" s="103"/>
      <c r="Z952" s="103"/>
    </row>
    <row r="953" spans="1:26" ht="15.75" customHeight="1">
      <c r="A953" s="101"/>
      <c r="B953" s="103"/>
      <c r="C953" s="103"/>
      <c r="D953" s="103"/>
      <c r="E953" s="103"/>
      <c r="F953" s="103"/>
      <c r="G953" s="103"/>
      <c r="H953" s="103"/>
      <c r="I953" s="103"/>
      <c r="J953" s="103"/>
      <c r="K953" s="103"/>
      <c r="L953" s="103"/>
      <c r="M953" s="103"/>
      <c r="N953" s="103"/>
      <c r="O953" s="103"/>
      <c r="P953" s="103"/>
      <c r="Q953" s="103"/>
      <c r="R953" s="103"/>
      <c r="S953" s="103"/>
      <c r="T953" s="103"/>
      <c r="U953" s="103"/>
      <c r="V953" s="103"/>
      <c r="W953" s="103"/>
      <c r="X953" s="103"/>
      <c r="Y953" s="103"/>
      <c r="Z953" s="103"/>
    </row>
    <row r="954" spans="1:26" ht="15.75" customHeight="1">
      <c r="A954" s="101"/>
      <c r="B954" s="103"/>
      <c r="C954" s="103"/>
      <c r="D954" s="103"/>
      <c r="E954" s="103"/>
      <c r="F954" s="103"/>
      <c r="G954" s="103"/>
      <c r="H954" s="103"/>
      <c r="I954" s="103"/>
      <c r="J954" s="103"/>
      <c r="K954" s="103"/>
      <c r="L954" s="103"/>
      <c r="M954" s="103"/>
      <c r="N954" s="103"/>
      <c r="O954" s="103"/>
      <c r="P954" s="103"/>
      <c r="Q954" s="103"/>
      <c r="R954" s="103"/>
      <c r="S954" s="103"/>
      <c r="T954" s="103"/>
      <c r="U954" s="103"/>
      <c r="V954" s="103"/>
      <c r="W954" s="103"/>
      <c r="X954" s="103"/>
      <c r="Y954" s="103"/>
      <c r="Z954" s="103"/>
    </row>
    <row r="955" spans="1:26" ht="15.75" customHeight="1">
      <c r="A955" s="101"/>
      <c r="B955" s="103"/>
      <c r="C955" s="103"/>
      <c r="D955" s="103"/>
      <c r="E955" s="103"/>
      <c r="F955" s="103"/>
      <c r="G955" s="103"/>
      <c r="H955" s="103"/>
      <c r="I955" s="103"/>
      <c r="J955" s="103"/>
      <c r="K955" s="103"/>
      <c r="L955" s="103"/>
      <c r="M955" s="103"/>
      <c r="N955" s="103"/>
      <c r="O955" s="103"/>
      <c r="P955" s="103"/>
      <c r="Q955" s="103"/>
      <c r="R955" s="103"/>
      <c r="S955" s="103"/>
      <c r="T955" s="103"/>
      <c r="U955" s="103"/>
      <c r="V955" s="103"/>
      <c r="W955" s="103"/>
      <c r="X955" s="103"/>
      <c r="Y955" s="103"/>
      <c r="Z955" s="103"/>
    </row>
    <row r="956" spans="1:26" ht="15.75" customHeight="1">
      <c r="A956" s="101"/>
      <c r="B956" s="103"/>
      <c r="C956" s="103"/>
      <c r="D956" s="103"/>
      <c r="E956" s="103"/>
      <c r="F956" s="103"/>
      <c r="G956" s="103"/>
      <c r="H956" s="103"/>
      <c r="I956" s="103"/>
      <c r="J956" s="103"/>
      <c r="K956" s="103"/>
      <c r="L956" s="103"/>
      <c r="M956" s="103"/>
      <c r="N956" s="103"/>
      <c r="O956" s="103"/>
      <c r="P956" s="103"/>
      <c r="Q956" s="103"/>
      <c r="R956" s="103"/>
      <c r="S956" s="103"/>
      <c r="T956" s="103"/>
      <c r="U956" s="103"/>
      <c r="V956" s="103"/>
      <c r="W956" s="103"/>
      <c r="X956" s="103"/>
      <c r="Y956" s="103"/>
      <c r="Z956" s="103"/>
    </row>
    <row r="957" spans="1:26" ht="15.75" customHeight="1">
      <c r="A957" s="101"/>
      <c r="B957" s="103"/>
      <c r="C957" s="103"/>
      <c r="D957" s="103"/>
      <c r="E957" s="103"/>
      <c r="F957" s="103"/>
      <c r="G957" s="103"/>
      <c r="H957" s="103"/>
      <c r="I957" s="103"/>
      <c r="J957" s="103"/>
      <c r="K957" s="103"/>
      <c r="L957" s="103"/>
      <c r="M957" s="103"/>
      <c r="N957" s="103"/>
      <c r="O957" s="103"/>
      <c r="P957" s="103"/>
      <c r="Q957" s="103"/>
      <c r="R957" s="103"/>
      <c r="S957" s="103"/>
      <c r="T957" s="103"/>
      <c r="U957" s="103"/>
      <c r="V957" s="103"/>
      <c r="W957" s="103"/>
      <c r="X957" s="103"/>
      <c r="Y957" s="103"/>
      <c r="Z957" s="103"/>
    </row>
    <row r="958" spans="1:26" ht="15.75" customHeight="1">
      <c r="A958" s="101"/>
      <c r="B958" s="103"/>
      <c r="C958" s="103"/>
      <c r="D958" s="103"/>
      <c r="E958" s="103"/>
      <c r="F958" s="103"/>
      <c r="G958" s="103"/>
      <c r="H958" s="103"/>
      <c r="I958" s="103"/>
      <c r="J958" s="103"/>
      <c r="K958" s="103"/>
      <c r="L958" s="103"/>
      <c r="M958" s="103"/>
      <c r="N958" s="103"/>
      <c r="O958" s="103"/>
      <c r="P958" s="103"/>
      <c r="Q958" s="103"/>
      <c r="R958" s="103"/>
      <c r="S958" s="103"/>
      <c r="T958" s="103"/>
      <c r="U958" s="103"/>
      <c r="V958" s="103"/>
      <c r="W958" s="103"/>
      <c r="X958" s="103"/>
      <c r="Y958" s="103"/>
      <c r="Z958" s="103"/>
    </row>
    <row r="959" spans="1:26" ht="15.75" customHeight="1">
      <c r="A959" s="101"/>
      <c r="B959" s="103"/>
      <c r="C959" s="103"/>
      <c r="D959" s="103"/>
      <c r="E959" s="103"/>
      <c r="F959" s="103"/>
      <c r="G959" s="103"/>
      <c r="H959" s="103"/>
      <c r="I959" s="103"/>
      <c r="J959" s="103"/>
      <c r="K959" s="103"/>
      <c r="L959" s="103"/>
      <c r="M959" s="103"/>
      <c r="N959" s="103"/>
      <c r="O959" s="103"/>
      <c r="P959" s="103"/>
      <c r="Q959" s="103"/>
      <c r="R959" s="103"/>
      <c r="S959" s="103"/>
      <c r="T959" s="103"/>
      <c r="U959" s="103"/>
      <c r="V959" s="103"/>
      <c r="W959" s="103"/>
      <c r="X959" s="103"/>
      <c r="Y959" s="103"/>
      <c r="Z959" s="103"/>
    </row>
    <row r="960" spans="1:26" ht="15.75" customHeight="1">
      <c r="A960" s="101"/>
      <c r="B960" s="103"/>
      <c r="C960" s="103"/>
      <c r="D960" s="103"/>
      <c r="E960" s="103"/>
      <c r="F960" s="103"/>
      <c r="G960" s="103"/>
      <c r="H960" s="103"/>
      <c r="I960" s="103"/>
      <c r="J960" s="103"/>
      <c r="K960" s="103"/>
      <c r="L960" s="103"/>
      <c r="M960" s="103"/>
      <c r="N960" s="103"/>
      <c r="O960" s="103"/>
      <c r="P960" s="103"/>
      <c r="Q960" s="103"/>
      <c r="R960" s="103"/>
      <c r="S960" s="103"/>
      <c r="T960" s="103"/>
      <c r="U960" s="103"/>
      <c r="V960" s="103"/>
      <c r="W960" s="103"/>
      <c r="X960" s="103"/>
      <c r="Y960" s="103"/>
      <c r="Z960" s="103"/>
    </row>
    <row r="961" spans="1:26" ht="15.75" customHeight="1">
      <c r="A961" s="101"/>
      <c r="B961" s="103"/>
      <c r="C961" s="103"/>
      <c r="D961" s="103"/>
      <c r="E961" s="103"/>
      <c r="F961" s="103"/>
      <c r="G961" s="103"/>
      <c r="H961" s="103"/>
      <c r="I961" s="103"/>
      <c r="J961" s="103"/>
      <c r="K961" s="103"/>
      <c r="L961" s="103"/>
      <c r="M961" s="103"/>
      <c r="N961" s="103"/>
      <c r="O961" s="103"/>
      <c r="P961" s="103"/>
      <c r="Q961" s="103"/>
      <c r="R961" s="103"/>
      <c r="S961" s="103"/>
      <c r="T961" s="103"/>
      <c r="U961" s="103"/>
      <c r="V961" s="103"/>
      <c r="W961" s="103"/>
      <c r="X961" s="103"/>
      <c r="Y961" s="103"/>
      <c r="Z961" s="103"/>
    </row>
    <row r="962" spans="1:26" ht="15.75" customHeight="1">
      <c r="A962" s="101"/>
      <c r="B962" s="103"/>
      <c r="C962" s="103"/>
      <c r="D962" s="103"/>
      <c r="E962" s="103"/>
      <c r="F962" s="103"/>
      <c r="G962" s="103"/>
      <c r="H962" s="103"/>
      <c r="I962" s="103"/>
      <c r="J962" s="103"/>
      <c r="K962" s="103"/>
      <c r="L962" s="103"/>
      <c r="M962" s="103"/>
      <c r="N962" s="103"/>
      <c r="O962" s="103"/>
      <c r="P962" s="103"/>
      <c r="Q962" s="103"/>
      <c r="R962" s="103"/>
      <c r="S962" s="103"/>
      <c r="T962" s="103"/>
      <c r="U962" s="103"/>
      <c r="V962" s="103"/>
      <c r="W962" s="103"/>
      <c r="X962" s="103"/>
      <c r="Y962" s="103"/>
      <c r="Z962" s="103"/>
    </row>
    <row r="963" spans="1:26" ht="15.75" customHeight="1">
      <c r="A963" s="101"/>
      <c r="B963" s="103"/>
      <c r="C963" s="103"/>
      <c r="D963" s="103"/>
      <c r="E963" s="103"/>
      <c r="F963" s="103"/>
      <c r="G963" s="103"/>
      <c r="H963" s="103"/>
      <c r="I963" s="103"/>
      <c r="J963" s="103"/>
      <c r="K963" s="103"/>
      <c r="L963" s="103"/>
      <c r="M963" s="103"/>
      <c r="N963" s="103"/>
      <c r="O963" s="103"/>
      <c r="P963" s="103"/>
      <c r="Q963" s="103"/>
      <c r="R963" s="103"/>
      <c r="S963" s="103"/>
      <c r="T963" s="103"/>
      <c r="U963" s="103"/>
      <c r="V963" s="103"/>
      <c r="W963" s="103"/>
      <c r="X963" s="103"/>
      <c r="Y963" s="103"/>
      <c r="Z963" s="103"/>
    </row>
    <row r="964" spans="1:26" ht="15.75" customHeight="1">
      <c r="A964" s="101"/>
      <c r="B964" s="103"/>
      <c r="C964" s="103"/>
      <c r="D964" s="103"/>
      <c r="E964" s="103"/>
      <c r="F964" s="103"/>
      <c r="G964" s="103"/>
      <c r="H964" s="103"/>
      <c r="I964" s="103"/>
      <c r="J964" s="103"/>
      <c r="K964" s="103"/>
      <c r="L964" s="103"/>
      <c r="M964" s="103"/>
      <c r="N964" s="103"/>
      <c r="O964" s="103"/>
      <c r="P964" s="103"/>
      <c r="Q964" s="103"/>
      <c r="R964" s="103"/>
      <c r="S964" s="103"/>
      <c r="T964" s="103"/>
      <c r="U964" s="103"/>
      <c r="V964" s="103"/>
      <c r="W964" s="103"/>
      <c r="X964" s="103"/>
      <c r="Y964" s="103"/>
      <c r="Z964" s="103"/>
    </row>
    <row r="965" spans="1:26" ht="15.75" customHeight="1">
      <c r="A965" s="101"/>
      <c r="B965" s="103"/>
      <c r="C965" s="103"/>
      <c r="D965" s="103"/>
      <c r="E965" s="103"/>
      <c r="F965" s="103"/>
      <c r="G965" s="103"/>
      <c r="H965" s="103"/>
      <c r="I965" s="103"/>
      <c r="J965" s="103"/>
      <c r="K965" s="103"/>
      <c r="L965" s="103"/>
      <c r="M965" s="103"/>
      <c r="N965" s="103"/>
      <c r="O965" s="103"/>
      <c r="P965" s="103"/>
      <c r="Q965" s="103"/>
      <c r="R965" s="103"/>
      <c r="S965" s="103"/>
      <c r="T965" s="103"/>
      <c r="U965" s="103"/>
      <c r="V965" s="103"/>
      <c r="W965" s="103"/>
      <c r="X965" s="103"/>
      <c r="Y965" s="103"/>
      <c r="Z965" s="103"/>
    </row>
    <row r="966" spans="1:26" ht="15.75" customHeight="1">
      <c r="A966" s="101"/>
      <c r="B966" s="103"/>
      <c r="C966" s="103"/>
      <c r="D966" s="103"/>
      <c r="E966" s="103"/>
      <c r="F966" s="103"/>
      <c r="G966" s="103"/>
      <c r="H966" s="103"/>
      <c r="I966" s="103"/>
      <c r="J966" s="103"/>
      <c r="K966" s="103"/>
      <c r="L966" s="103"/>
      <c r="M966" s="103"/>
      <c r="N966" s="103"/>
      <c r="O966" s="103"/>
      <c r="P966" s="103"/>
      <c r="Q966" s="103"/>
      <c r="R966" s="103"/>
      <c r="S966" s="103"/>
      <c r="T966" s="103"/>
      <c r="U966" s="103"/>
      <c r="V966" s="103"/>
      <c r="W966" s="103"/>
      <c r="X966" s="103"/>
      <c r="Y966" s="103"/>
      <c r="Z966" s="103"/>
    </row>
    <row r="967" spans="1:26" ht="15.75" customHeight="1">
      <c r="A967" s="101"/>
      <c r="B967" s="103"/>
      <c r="C967" s="103"/>
      <c r="D967" s="103"/>
      <c r="E967" s="103"/>
      <c r="F967" s="103"/>
      <c r="G967" s="103"/>
      <c r="H967" s="103"/>
      <c r="I967" s="103"/>
      <c r="J967" s="103"/>
      <c r="K967" s="103"/>
      <c r="L967" s="103"/>
      <c r="M967" s="103"/>
      <c r="N967" s="103"/>
      <c r="O967" s="103"/>
      <c r="P967" s="103"/>
      <c r="Q967" s="103"/>
      <c r="R967" s="103"/>
      <c r="S967" s="103"/>
      <c r="T967" s="103"/>
      <c r="U967" s="103"/>
      <c r="V967" s="103"/>
      <c r="W967" s="103"/>
      <c r="X967" s="103"/>
      <c r="Y967" s="103"/>
      <c r="Z967" s="103"/>
    </row>
    <row r="968" spans="1:26" ht="15.75" customHeight="1">
      <c r="A968" s="101"/>
      <c r="B968" s="103"/>
      <c r="C968" s="103"/>
      <c r="D968" s="103"/>
      <c r="E968" s="103"/>
      <c r="F968" s="103"/>
      <c r="G968" s="103"/>
      <c r="H968" s="103"/>
      <c r="I968" s="103"/>
      <c r="J968" s="103"/>
      <c r="K968" s="103"/>
      <c r="L968" s="103"/>
      <c r="M968" s="103"/>
      <c r="N968" s="103"/>
      <c r="O968" s="103"/>
      <c r="P968" s="103"/>
      <c r="Q968" s="103"/>
      <c r="R968" s="103"/>
      <c r="S968" s="103"/>
      <c r="T968" s="103"/>
      <c r="U968" s="103"/>
      <c r="V968" s="103"/>
      <c r="W968" s="103"/>
      <c r="X968" s="103"/>
      <c r="Y968" s="103"/>
      <c r="Z968" s="103"/>
    </row>
    <row r="969" spans="1:26" ht="15.75" customHeight="1">
      <c r="A969" s="101"/>
      <c r="B969" s="103"/>
      <c r="C969" s="103"/>
      <c r="D969" s="103"/>
      <c r="E969" s="103"/>
      <c r="F969" s="103"/>
      <c r="G969" s="103"/>
      <c r="H969" s="103"/>
      <c r="I969" s="103"/>
      <c r="J969" s="103"/>
      <c r="K969" s="103"/>
      <c r="L969" s="103"/>
      <c r="M969" s="103"/>
      <c r="N969" s="103"/>
      <c r="O969" s="103"/>
      <c r="P969" s="103"/>
      <c r="Q969" s="103"/>
      <c r="R969" s="103"/>
      <c r="S969" s="103"/>
      <c r="T969" s="103"/>
      <c r="U969" s="103"/>
      <c r="V969" s="103"/>
      <c r="W969" s="103"/>
      <c r="X969" s="103"/>
      <c r="Y969" s="103"/>
      <c r="Z969" s="103"/>
    </row>
    <row r="970" spans="1:26" ht="15.75" customHeight="1">
      <c r="A970" s="101"/>
      <c r="B970" s="103"/>
      <c r="C970" s="103"/>
      <c r="D970" s="103"/>
      <c r="E970" s="103"/>
      <c r="F970" s="103"/>
      <c r="G970" s="103"/>
      <c r="H970" s="103"/>
      <c r="I970" s="103"/>
      <c r="J970" s="103"/>
      <c r="K970" s="103"/>
      <c r="L970" s="103"/>
      <c r="M970" s="103"/>
      <c r="N970" s="103"/>
      <c r="O970" s="103"/>
      <c r="P970" s="103"/>
      <c r="Q970" s="103"/>
      <c r="R970" s="103"/>
      <c r="S970" s="103"/>
      <c r="T970" s="103"/>
      <c r="U970" s="103"/>
      <c r="V970" s="103"/>
      <c r="W970" s="103"/>
      <c r="X970" s="103"/>
      <c r="Y970" s="103"/>
      <c r="Z970" s="103"/>
    </row>
    <row r="971" spans="1:26" ht="15.75" customHeight="1">
      <c r="A971" s="101"/>
      <c r="B971" s="103"/>
      <c r="C971" s="103"/>
      <c r="D971" s="103"/>
      <c r="E971" s="103"/>
      <c r="F971" s="103"/>
      <c r="G971" s="103"/>
      <c r="H971" s="103"/>
      <c r="I971" s="103"/>
      <c r="J971" s="103"/>
      <c r="K971" s="103"/>
      <c r="L971" s="103"/>
      <c r="M971" s="103"/>
      <c r="N971" s="103"/>
      <c r="O971" s="103"/>
      <c r="P971" s="103"/>
      <c r="Q971" s="103"/>
      <c r="R971" s="103"/>
      <c r="S971" s="103"/>
      <c r="T971" s="103"/>
      <c r="U971" s="103"/>
      <c r="V971" s="103"/>
      <c r="W971" s="103"/>
      <c r="X971" s="103"/>
      <c r="Y971" s="103"/>
      <c r="Z971" s="103"/>
    </row>
    <row r="972" spans="1:26" ht="15.75" customHeight="1">
      <c r="A972" s="101"/>
      <c r="B972" s="103"/>
      <c r="C972" s="103"/>
      <c r="D972" s="103"/>
      <c r="E972" s="103"/>
      <c r="F972" s="103"/>
      <c r="G972" s="103"/>
      <c r="H972" s="103"/>
      <c r="I972" s="103"/>
      <c r="J972" s="103"/>
      <c r="K972" s="103"/>
      <c r="L972" s="103"/>
      <c r="M972" s="103"/>
      <c r="N972" s="103"/>
      <c r="O972" s="103"/>
      <c r="P972" s="103"/>
      <c r="Q972" s="103"/>
      <c r="R972" s="103"/>
      <c r="S972" s="103"/>
      <c r="T972" s="103"/>
      <c r="U972" s="103"/>
      <c r="V972" s="103"/>
      <c r="W972" s="103"/>
      <c r="X972" s="103"/>
      <c r="Y972" s="103"/>
      <c r="Z972" s="103"/>
    </row>
    <row r="973" spans="1:26" ht="15.75" customHeight="1">
      <c r="A973" s="101"/>
      <c r="B973" s="103"/>
      <c r="C973" s="103"/>
      <c r="D973" s="103"/>
      <c r="E973" s="103"/>
      <c r="F973" s="103"/>
      <c r="G973" s="103"/>
      <c r="H973" s="103"/>
      <c r="I973" s="103"/>
      <c r="J973" s="103"/>
      <c r="K973" s="103"/>
      <c r="L973" s="103"/>
      <c r="M973" s="103"/>
      <c r="N973" s="103"/>
      <c r="O973" s="103"/>
      <c r="P973" s="103"/>
      <c r="Q973" s="103"/>
      <c r="R973" s="103"/>
      <c r="S973" s="103"/>
      <c r="T973" s="103"/>
      <c r="U973" s="103"/>
      <c r="V973" s="103"/>
      <c r="W973" s="103"/>
      <c r="X973" s="103"/>
      <c r="Y973" s="103"/>
      <c r="Z973" s="103"/>
    </row>
    <row r="974" spans="1:26" ht="15.75" customHeight="1">
      <c r="A974" s="101"/>
      <c r="B974" s="103"/>
      <c r="C974" s="103"/>
      <c r="D974" s="103"/>
      <c r="E974" s="103"/>
      <c r="F974" s="103"/>
      <c r="G974" s="103"/>
      <c r="H974" s="103"/>
      <c r="I974" s="103"/>
      <c r="J974" s="103"/>
      <c r="K974" s="103"/>
      <c r="L974" s="103"/>
      <c r="M974" s="103"/>
      <c r="N974" s="103"/>
      <c r="O974" s="103"/>
      <c r="P974" s="103"/>
      <c r="Q974" s="103"/>
      <c r="R974" s="103"/>
      <c r="S974" s="103"/>
      <c r="T974" s="103"/>
      <c r="U974" s="103"/>
      <c r="V974" s="103"/>
      <c r="W974" s="103"/>
      <c r="X974" s="103"/>
      <c r="Y974" s="103"/>
      <c r="Z974" s="103"/>
    </row>
    <row r="975" spans="1:26" ht="15.75" customHeight="1">
      <c r="A975" s="101"/>
      <c r="B975" s="103"/>
      <c r="C975" s="103"/>
      <c r="D975" s="103"/>
      <c r="E975" s="103"/>
      <c r="F975" s="103"/>
      <c r="G975" s="103"/>
      <c r="H975" s="103"/>
      <c r="I975" s="103"/>
      <c r="J975" s="103"/>
      <c r="K975" s="103"/>
      <c r="L975" s="103"/>
      <c r="M975" s="103"/>
      <c r="N975" s="103"/>
      <c r="O975" s="103"/>
      <c r="P975" s="103"/>
      <c r="Q975" s="103"/>
      <c r="R975" s="103"/>
      <c r="S975" s="103"/>
      <c r="T975" s="103"/>
      <c r="U975" s="103"/>
      <c r="V975" s="103"/>
      <c r="W975" s="103"/>
      <c r="X975" s="103"/>
      <c r="Y975" s="103"/>
      <c r="Z975" s="103"/>
    </row>
    <row r="976" spans="1:26" ht="15.75" customHeight="1">
      <c r="A976" s="101"/>
      <c r="B976" s="103"/>
      <c r="C976" s="103"/>
      <c r="D976" s="103"/>
      <c r="E976" s="103"/>
      <c r="F976" s="103"/>
      <c r="G976" s="103"/>
      <c r="H976" s="103"/>
      <c r="I976" s="103"/>
      <c r="J976" s="103"/>
      <c r="K976" s="103"/>
      <c r="L976" s="103"/>
      <c r="M976" s="103"/>
      <c r="N976" s="103"/>
      <c r="O976" s="103"/>
      <c r="P976" s="103"/>
      <c r="Q976" s="103"/>
      <c r="R976" s="103"/>
      <c r="S976" s="103"/>
      <c r="T976" s="103"/>
      <c r="U976" s="103"/>
      <c r="V976" s="103"/>
      <c r="W976" s="103"/>
      <c r="X976" s="103"/>
      <c r="Y976" s="103"/>
      <c r="Z976" s="103"/>
    </row>
    <row r="977" spans="1:26" ht="15.75" customHeight="1">
      <c r="A977" s="101"/>
      <c r="B977" s="103"/>
      <c r="C977" s="103"/>
      <c r="D977" s="103"/>
      <c r="E977" s="103"/>
      <c r="F977" s="103"/>
      <c r="G977" s="103"/>
      <c r="H977" s="103"/>
      <c r="I977" s="103"/>
      <c r="J977" s="103"/>
      <c r="K977" s="103"/>
      <c r="L977" s="103"/>
      <c r="M977" s="103"/>
      <c r="N977" s="103"/>
      <c r="O977" s="103"/>
      <c r="P977" s="103"/>
      <c r="Q977" s="103"/>
      <c r="R977" s="103"/>
      <c r="S977" s="103"/>
      <c r="T977" s="103"/>
      <c r="U977" s="103"/>
      <c r="V977" s="103"/>
      <c r="W977" s="103"/>
      <c r="X977" s="103"/>
      <c r="Y977" s="103"/>
      <c r="Z977" s="103"/>
    </row>
    <row r="978" spans="1:26" ht="15.75" customHeight="1">
      <c r="A978" s="101"/>
      <c r="B978" s="103"/>
      <c r="C978" s="103"/>
      <c r="D978" s="103"/>
      <c r="E978" s="103"/>
      <c r="F978" s="103"/>
      <c r="G978" s="103"/>
      <c r="H978" s="103"/>
      <c r="I978" s="103"/>
      <c r="J978" s="103"/>
      <c r="K978" s="103"/>
      <c r="L978" s="103"/>
      <c r="M978" s="103"/>
      <c r="N978" s="103"/>
      <c r="O978" s="103"/>
      <c r="P978" s="103"/>
      <c r="Q978" s="103"/>
      <c r="R978" s="103"/>
      <c r="S978" s="103"/>
      <c r="T978" s="103"/>
      <c r="U978" s="103"/>
      <c r="V978" s="103"/>
      <c r="W978" s="103"/>
      <c r="X978" s="103"/>
      <c r="Y978" s="103"/>
      <c r="Z978" s="103"/>
    </row>
    <row r="979" spans="1:26" ht="15.75" customHeight="1">
      <c r="A979" s="101"/>
      <c r="B979" s="103"/>
      <c r="C979" s="103"/>
      <c r="D979" s="103"/>
      <c r="E979" s="103"/>
      <c r="F979" s="103"/>
      <c r="G979" s="103"/>
      <c r="H979" s="103"/>
      <c r="I979" s="103"/>
      <c r="J979" s="103"/>
      <c r="K979" s="103"/>
      <c r="L979" s="103"/>
      <c r="M979" s="103"/>
      <c r="N979" s="103"/>
      <c r="O979" s="103"/>
      <c r="P979" s="103"/>
      <c r="Q979" s="103"/>
      <c r="R979" s="103"/>
      <c r="S979" s="103"/>
      <c r="T979" s="103"/>
      <c r="U979" s="103"/>
      <c r="V979" s="103"/>
      <c r="W979" s="103"/>
      <c r="X979" s="103"/>
      <c r="Y979" s="103"/>
      <c r="Z979" s="103"/>
    </row>
    <row r="980" spans="1:26" ht="15.75" customHeight="1">
      <c r="A980" s="101"/>
      <c r="B980" s="103"/>
      <c r="C980" s="103"/>
      <c r="D980" s="103"/>
      <c r="E980" s="103"/>
      <c r="F980" s="103"/>
      <c r="G980" s="103"/>
      <c r="H980" s="103"/>
      <c r="I980" s="103"/>
      <c r="J980" s="103"/>
      <c r="K980" s="103"/>
      <c r="L980" s="103"/>
      <c r="M980" s="103"/>
      <c r="N980" s="103"/>
      <c r="O980" s="103"/>
      <c r="P980" s="103"/>
      <c r="Q980" s="103"/>
      <c r="R980" s="103"/>
      <c r="S980" s="103"/>
      <c r="T980" s="103"/>
      <c r="U980" s="103"/>
      <c r="V980" s="103"/>
      <c r="W980" s="103"/>
      <c r="X980" s="103"/>
      <c r="Y980" s="103"/>
      <c r="Z980" s="103"/>
    </row>
    <row r="981" spans="1:26" ht="15.75" customHeight="1">
      <c r="A981" s="101"/>
      <c r="B981" s="103"/>
      <c r="C981" s="103"/>
      <c r="D981" s="103"/>
      <c r="E981" s="103"/>
      <c r="F981" s="103"/>
      <c r="G981" s="103"/>
      <c r="H981" s="103"/>
      <c r="I981" s="103"/>
      <c r="J981" s="103"/>
      <c r="K981" s="103"/>
      <c r="L981" s="103"/>
      <c r="M981" s="103"/>
      <c r="N981" s="103"/>
      <c r="O981" s="103"/>
      <c r="P981" s="103"/>
      <c r="Q981" s="103"/>
      <c r="R981" s="103"/>
      <c r="S981" s="103"/>
      <c r="T981" s="103"/>
      <c r="U981" s="103"/>
      <c r="V981" s="103"/>
      <c r="W981" s="103"/>
      <c r="X981" s="103"/>
      <c r="Y981" s="103"/>
      <c r="Z981" s="103"/>
    </row>
    <row r="982" spans="1:26" ht="15.75" customHeight="1">
      <c r="A982" s="101"/>
      <c r="B982" s="103"/>
      <c r="C982" s="103"/>
      <c r="D982" s="103"/>
      <c r="E982" s="103"/>
      <c r="F982" s="103"/>
      <c r="G982" s="103"/>
      <c r="H982" s="103"/>
      <c r="I982" s="103"/>
      <c r="J982" s="103"/>
      <c r="K982" s="103"/>
      <c r="L982" s="103"/>
      <c r="M982" s="103"/>
      <c r="N982" s="103"/>
      <c r="O982" s="103"/>
      <c r="P982" s="103"/>
      <c r="Q982" s="103"/>
      <c r="R982" s="103"/>
      <c r="S982" s="103"/>
      <c r="T982" s="103"/>
      <c r="U982" s="103"/>
      <c r="V982" s="103"/>
      <c r="W982" s="103"/>
      <c r="X982" s="103"/>
      <c r="Y982" s="103"/>
      <c r="Z982" s="103"/>
    </row>
    <row r="983" spans="1:26" ht="15.75" customHeight="1">
      <c r="A983" s="101"/>
      <c r="B983" s="103"/>
      <c r="C983" s="103"/>
      <c r="D983" s="103"/>
      <c r="E983" s="103"/>
      <c r="F983" s="103"/>
      <c r="G983" s="103"/>
      <c r="H983" s="103"/>
      <c r="I983" s="103"/>
      <c r="J983" s="103"/>
      <c r="K983" s="103"/>
      <c r="L983" s="103"/>
      <c r="M983" s="103"/>
      <c r="N983" s="103"/>
      <c r="O983" s="103"/>
      <c r="P983" s="103"/>
      <c r="Q983" s="103"/>
      <c r="R983" s="103"/>
      <c r="S983" s="103"/>
      <c r="T983" s="103"/>
      <c r="U983" s="103"/>
      <c r="V983" s="103"/>
      <c r="W983" s="103"/>
      <c r="X983" s="103"/>
      <c r="Y983" s="103"/>
      <c r="Z983" s="103"/>
    </row>
    <row r="984" spans="1:26" ht="15.75" customHeight="1">
      <c r="A984" s="101"/>
      <c r="B984" s="103"/>
      <c r="C984" s="103"/>
      <c r="D984" s="103"/>
      <c r="E984" s="103"/>
      <c r="F984" s="103"/>
      <c r="G984" s="103"/>
      <c r="H984" s="103"/>
      <c r="I984" s="103"/>
      <c r="J984" s="103"/>
      <c r="K984" s="103"/>
      <c r="L984" s="103"/>
      <c r="M984" s="103"/>
      <c r="N984" s="103"/>
      <c r="O984" s="103"/>
      <c r="P984" s="103"/>
      <c r="Q984" s="103"/>
      <c r="R984" s="103"/>
      <c r="S984" s="103"/>
      <c r="T984" s="103"/>
      <c r="U984" s="103"/>
      <c r="V984" s="103"/>
      <c r="W984" s="103"/>
      <c r="X984" s="103"/>
      <c r="Y984" s="103"/>
      <c r="Z984" s="103"/>
    </row>
    <row r="985" spans="1:26" ht="15.75" customHeight="1">
      <c r="A985" s="101"/>
      <c r="B985" s="103"/>
      <c r="C985" s="103"/>
      <c r="D985" s="103"/>
      <c r="E985" s="103"/>
      <c r="F985" s="103"/>
      <c r="G985" s="103"/>
      <c r="H985" s="103"/>
      <c r="I985" s="103"/>
      <c r="J985" s="103"/>
      <c r="K985" s="103"/>
      <c r="L985" s="103"/>
      <c r="M985" s="103"/>
      <c r="N985" s="103"/>
      <c r="O985" s="103"/>
      <c r="P985" s="103"/>
      <c r="Q985" s="103"/>
      <c r="R985" s="103"/>
      <c r="S985" s="103"/>
      <c r="T985" s="103"/>
      <c r="U985" s="103"/>
      <c r="V985" s="103"/>
      <c r="W985" s="103"/>
      <c r="X985" s="103"/>
      <c r="Y985" s="103"/>
      <c r="Z985" s="103"/>
    </row>
    <row r="986" spans="1:26" ht="15.75" customHeight="1">
      <c r="A986" s="101"/>
      <c r="B986" s="103"/>
      <c r="C986" s="103"/>
      <c r="D986" s="103"/>
      <c r="E986" s="103"/>
      <c r="F986" s="103"/>
      <c r="G986" s="103"/>
      <c r="H986" s="103"/>
      <c r="I986" s="103"/>
      <c r="J986" s="103"/>
      <c r="K986" s="103"/>
      <c r="L986" s="103"/>
      <c r="M986" s="103"/>
      <c r="N986" s="103"/>
      <c r="O986" s="103"/>
      <c r="P986" s="103"/>
      <c r="Q986" s="103"/>
      <c r="R986" s="103"/>
      <c r="S986" s="103"/>
      <c r="T986" s="103"/>
      <c r="U986" s="103"/>
      <c r="V986" s="103"/>
      <c r="W986" s="103"/>
      <c r="X986" s="103"/>
      <c r="Y986" s="103"/>
      <c r="Z986" s="103"/>
    </row>
    <row r="987" spans="1:26" ht="15.75" customHeight="1">
      <c r="A987" s="101"/>
      <c r="B987" s="103"/>
      <c r="C987" s="103"/>
      <c r="D987" s="103"/>
      <c r="E987" s="103"/>
      <c r="F987" s="103"/>
      <c r="G987" s="103"/>
      <c r="H987" s="103"/>
      <c r="I987" s="103"/>
      <c r="J987" s="103"/>
      <c r="K987" s="103"/>
      <c r="L987" s="103"/>
      <c r="M987" s="103"/>
      <c r="N987" s="103"/>
      <c r="O987" s="103"/>
      <c r="P987" s="103"/>
      <c r="Q987" s="103"/>
      <c r="R987" s="103"/>
      <c r="S987" s="103"/>
      <c r="T987" s="103"/>
      <c r="U987" s="103"/>
      <c r="V987" s="103"/>
      <c r="W987" s="103"/>
      <c r="X987" s="103"/>
      <c r="Y987" s="103"/>
      <c r="Z987" s="103"/>
    </row>
    <row r="988" spans="1:26" ht="15.75" customHeight="1">
      <c r="A988" s="101"/>
      <c r="B988" s="103"/>
      <c r="C988" s="103"/>
      <c r="D988" s="103"/>
      <c r="E988" s="103"/>
      <c r="F988" s="103"/>
      <c r="G988" s="103"/>
      <c r="H988" s="103"/>
      <c r="I988" s="103"/>
      <c r="J988" s="103"/>
      <c r="K988" s="103"/>
      <c r="L988" s="103"/>
      <c r="M988" s="103"/>
      <c r="N988" s="103"/>
      <c r="O988" s="103"/>
      <c r="P988" s="103"/>
      <c r="Q988" s="103"/>
      <c r="R988" s="103"/>
      <c r="S988" s="103"/>
      <c r="T988" s="103"/>
      <c r="U988" s="103"/>
      <c r="V988" s="103"/>
      <c r="W988" s="103"/>
      <c r="X988" s="103"/>
      <c r="Y988" s="103"/>
      <c r="Z988" s="103"/>
    </row>
    <row r="989" spans="1:26" ht="15.75" customHeight="1">
      <c r="A989" s="101"/>
      <c r="B989" s="103"/>
      <c r="C989" s="103"/>
      <c r="D989" s="103"/>
      <c r="E989" s="103"/>
      <c r="F989" s="103"/>
      <c r="G989" s="103"/>
      <c r="H989" s="103"/>
      <c r="I989" s="103"/>
      <c r="J989" s="103"/>
      <c r="K989" s="103"/>
      <c r="L989" s="103"/>
      <c r="M989" s="103"/>
      <c r="N989" s="103"/>
      <c r="O989" s="103"/>
      <c r="P989" s="103"/>
      <c r="Q989" s="103"/>
      <c r="R989" s="103"/>
      <c r="S989" s="103"/>
      <c r="T989" s="103"/>
      <c r="U989" s="103"/>
      <c r="V989" s="103"/>
      <c r="W989" s="103"/>
      <c r="X989" s="103"/>
      <c r="Y989" s="103"/>
      <c r="Z989" s="103"/>
    </row>
    <row r="990" spans="1:26" ht="15.75" customHeight="1">
      <c r="A990" s="101"/>
      <c r="B990" s="103"/>
      <c r="C990" s="103"/>
      <c r="D990" s="103"/>
      <c r="E990" s="103"/>
      <c r="F990" s="103"/>
      <c r="G990" s="103"/>
      <c r="H990" s="103"/>
      <c r="I990" s="103"/>
      <c r="J990" s="103"/>
      <c r="K990" s="103"/>
      <c r="L990" s="103"/>
      <c r="M990" s="103"/>
      <c r="N990" s="103"/>
      <c r="O990" s="103"/>
      <c r="P990" s="103"/>
      <c r="Q990" s="103"/>
      <c r="R990" s="103"/>
      <c r="S990" s="103"/>
      <c r="T990" s="103"/>
      <c r="U990" s="103"/>
      <c r="V990" s="103"/>
      <c r="W990" s="103"/>
      <c r="X990" s="103"/>
      <c r="Y990" s="103"/>
      <c r="Z990" s="103"/>
    </row>
    <row r="991" spans="1:26" ht="15.75" customHeight="1">
      <c r="A991" s="101"/>
      <c r="B991" s="103"/>
      <c r="C991" s="103"/>
      <c r="D991" s="103"/>
      <c r="E991" s="103"/>
      <c r="F991" s="103"/>
      <c r="G991" s="103"/>
      <c r="H991" s="103"/>
      <c r="I991" s="103"/>
      <c r="J991" s="103"/>
      <c r="K991" s="103"/>
      <c r="L991" s="103"/>
      <c r="M991" s="103"/>
      <c r="N991" s="103"/>
      <c r="O991" s="103"/>
      <c r="P991" s="103"/>
      <c r="Q991" s="103"/>
      <c r="R991" s="103"/>
      <c r="S991" s="103"/>
      <c r="T991" s="103"/>
      <c r="U991" s="103"/>
      <c r="V991" s="103"/>
      <c r="W991" s="103"/>
      <c r="X991" s="103"/>
      <c r="Y991" s="103"/>
      <c r="Z991" s="103"/>
    </row>
    <row r="992" spans="1:26" ht="15.75" customHeight="1">
      <c r="A992" s="101"/>
      <c r="B992" s="103"/>
      <c r="C992" s="103"/>
      <c r="D992" s="103"/>
      <c r="E992" s="103"/>
      <c r="F992" s="103"/>
      <c r="G992" s="103"/>
      <c r="H992" s="103"/>
      <c r="I992" s="103"/>
      <c r="J992" s="103"/>
      <c r="K992" s="103"/>
      <c r="L992" s="103"/>
      <c r="M992" s="103"/>
      <c r="N992" s="103"/>
      <c r="O992" s="103"/>
      <c r="P992" s="103"/>
      <c r="Q992" s="103"/>
      <c r="R992" s="103"/>
      <c r="S992" s="103"/>
      <c r="T992" s="103"/>
      <c r="U992" s="103"/>
      <c r="V992" s="103"/>
      <c r="W992" s="103"/>
      <c r="X992" s="103"/>
      <c r="Y992" s="103"/>
      <c r="Z992" s="103"/>
    </row>
    <row r="993" spans="1:26" ht="15.75" customHeight="1">
      <c r="A993" s="101"/>
      <c r="B993" s="103"/>
      <c r="C993" s="103"/>
      <c r="D993" s="103"/>
      <c r="E993" s="103"/>
      <c r="F993" s="103"/>
      <c r="G993" s="103"/>
      <c r="H993" s="103"/>
      <c r="I993" s="103"/>
      <c r="J993" s="103"/>
      <c r="K993" s="103"/>
      <c r="L993" s="103"/>
      <c r="M993" s="103"/>
      <c r="N993" s="103"/>
      <c r="O993" s="103"/>
      <c r="P993" s="103"/>
      <c r="Q993" s="103"/>
      <c r="R993" s="103"/>
      <c r="S993" s="103"/>
      <c r="T993" s="103"/>
      <c r="U993" s="103"/>
      <c r="V993" s="103"/>
      <c r="W993" s="103"/>
      <c r="X993" s="103"/>
      <c r="Y993" s="103"/>
      <c r="Z993" s="103"/>
    </row>
    <row r="994" spans="1:26" ht="15.75" customHeight="1">
      <c r="A994" s="101"/>
      <c r="B994" s="103"/>
      <c r="C994" s="103"/>
      <c r="D994" s="103"/>
      <c r="E994" s="103"/>
      <c r="F994" s="103"/>
      <c r="G994" s="103"/>
      <c r="H994" s="103"/>
      <c r="I994" s="103"/>
      <c r="J994" s="103"/>
      <c r="K994" s="103"/>
      <c r="L994" s="103"/>
      <c r="M994" s="103"/>
      <c r="N994" s="103"/>
      <c r="O994" s="103"/>
      <c r="P994" s="103"/>
      <c r="Q994" s="103"/>
      <c r="R994" s="103"/>
      <c r="S994" s="103"/>
      <c r="T994" s="103"/>
      <c r="U994" s="103"/>
      <c r="V994" s="103"/>
      <c r="W994" s="103"/>
      <c r="X994" s="103"/>
      <c r="Y994" s="103"/>
      <c r="Z994" s="103"/>
    </row>
    <row r="995" spans="1:26" ht="15.75" customHeight="1">
      <c r="A995" s="101"/>
      <c r="B995" s="103"/>
      <c r="C995" s="103"/>
      <c r="D995" s="103"/>
      <c r="E995" s="103"/>
      <c r="F995" s="103"/>
      <c r="G995" s="103"/>
      <c r="H995" s="103"/>
      <c r="I995" s="103"/>
      <c r="J995" s="103"/>
      <c r="K995" s="103"/>
      <c r="L995" s="103"/>
      <c r="M995" s="103"/>
      <c r="N995" s="103"/>
      <c r="O995" s="103"/>
      <c r="P995" s="103"/>
      <c r="Q995" s="103"/>
      <c r="R995" s="103"/>
      <c r="S995" s="103"/>
      <c r="T995" s="103"/>
      <c r="U995" s="103"/>
      <c r="V995" s="103"/>
      <c r="W995" s="103"/>
      <c r="X995" s="103"/>
      <c r="Y995" s="103"/>
      <c r="Z995" s="103"/>
    </row>
    <row r="996" spans="1:26" ht="15.75" customHeight="1">
      <c r="A996" s="101"/>
      <c r="B996" s="103"/>
      <c r="C996" s="103"/>
      <c r="D996" s="103"/>
      <c r="E996" s="103"/>
      <c r="F996" s="103"/>
      <c r="G996" s="103"/>
      <c r="H996" s="103"/>
      <c r="I996" s="103"/>
      <c r="J996" s="103"/>
      <c r="K996" s="103"/>
      <c r="L996" s="103"/>
      <c r="M996" s="103"/>
      <c r="N996" s="103"/>
      <c r="O996" s="103"/>
      <c r="P996" s="103"/>
      <c r="Q996" s="103"/>
      <c r="R996" s="103"/>
      <c r="S996" s="103"/>
      <c r="T996" s="103"/>
      <c r="U996" s="103"/>
      <c r="V996" s="103"/>
      <c r="W996" s="103"/>
      <c r="X996" s="103"/>
      <c r="Y996" s="103"/>
      <c r="Z996" s="103"/>
    </row>
    <row r="997" spans="1:26" ht="15.75" customHeight="1">
      <c r="A997" s="101"/>
      <c r="B997" s="103"/>
      <c r="C997" s="103"/>
      <c r="D997" s="103"/>
      <c r="E997" s="103"/>
      <c r="F997" s="103"/>
      <c r="G997" s="103"/>
      <c r="H997" s="103"/>
      <c r="I997" s="103"/>
      <c r="J997" s="103"/>
      <c r="K997" s="103"/>
      <c r="L997" s="103"/>
      <c r="M997" s="103"/>
      <c r="N997" s="103"/>
      <c r="O997" s="103"/>
      <c r="P997" s="103"/>
      <c r="Q997" s="103"/>
      <c r="R997" s="103"/>
      <c r="S997" s="103"/>
      <c r="T997" s="103"/>
      <c r="U997" s="103"/>
      <c r="V997" s="103"/>
      <c r="W997" s="103"/>
      <c r="X997" s="103"/>
      <c r="Y997" s="103"/>
      <c r="Z997" s="103"/>
    </row>
    <row r="998" spans="1:26" ht="15.75" customHeight="1">
      <c r="A998" s="101"/>
      <c r="B998" s="103"/>
      <c r="C998" s="103"/>
      <c r="D998" s="103"/>
      <c r="E998" s="103"/>
      <c r="F998" s="103"/>
      <c r="G998" s="103"/>
      <c r="H998" s="103"/>
      <c r="I998" s="103"/>
      <c r="J998" s="103"/>
      <c r="K998" s="103"/>
      <c r="L998" s="103"/>
      <c r="M998" s="103"/>
      <c r="N998" s="103"/>
      <c r="O998" s="103"/>
      <c r="P998" s="103"/>
      <c r="Q998" s="103"/>
      <c r="R998" s="103"/>
      <c r="S998" s="103"/>
      <c r="T998" s="103"/>
      <c r="U998" s="103"/>
      <c r="V998" s="103"/>
      <c r="W998" s="103"/>
      <c r="X998" s="103"/>
      <c r="Y998" s="103"/>
      <c r="Z998" s="103"/>
    </row>
    <row r="999" spans="1:26" ht="15.75" customHeight="1">
      <c r="A999" s="101"/>
      <c r="B999" s="103"/>
      <c r="C999" s="103"/>
      <c r="D999" s="103"/>
      <c r="E999" s="103"/>
      <c r="F999" s="103"/>
      <c r="G999" s="103"/>
      <c r="H999" s="103"/>
      <c r="I999" s="103"/>
      <c r="J999" s="103"/>
      <c r="K999" s="103"/>
      <c r="L999" s="103"/>
      <c r="M999" s="103"/>
      <c r="N999" s="103"/>
      <c r="O999" s="103"/>
      <c r="P999" s="103"/>
      <c r="Q999" s="103"/>
      <c r="R999" s="103"/>
      <c r="S999" s="103"/>
      <c r="T999" s="103"/>
      <c r="U999" s="103"/>
      <c r="V999" s="103"/>
      <c r="W999" s="103"/>
      <c r="X999" s="103"/>
      <c r="Y999" s="103"/>
      <c r="Z999" s="103"/>
    </row>
    <row r="1000" spans="1:26" ht="15.75" customHeight="1">
      <c r="A1000" s="101"/>
      <c r="B1000" s="103"/>
      <c r="C1000" s="103"/>
      <c r="D1000" s="103"/>
      <c r="E1000" s="103"/>
      <c r="F1000" s="103"/>
      <c r="G1000" s="103"/>
      <c r="H1000" s="103"/>
      <c r="I1000" s="103"/>
      <c r="J1000" s="103"/>
      <c r="K1000" s="103"/>
      <c r="L1000" s="103"/>
      <c r="M1000" s="103"/>
      <c r="N1000" s="103"/>
      <c r="O1000" s="103"/>
      <c r="P1000" s="103"/>
      <c r="Q1000" s="103"/>
      <c r="R1000" s="103"/>
      <c r="S1000" s="103"/>
      <c r="T1000" s="103"/>
      <c r="U1000" s="103"/>
      <c r="V1000" s="103"/>
      <c r="W1000" s="103"/>
      <c r="X1000" s="103"/>
      <c r="Y1000" s="103"/>
      <c r="Z1000" s="103"/>
    </row>
  </sheetData>
  <autoFilter ref="A1:I54" xr:uid="{00000000-0009-0000-0000-000004000000}"/>
  <pageMargins left="0.7" right="0.7" top="0.75" bottom="0.75" header="0" footer="0"/>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C6836-440D-4F4A-80A8-5A3208F278BF}">
  <dimension ref="A1:Z1000"/>
  <sheetViews>
    <sheetView workbookViewId="0">
      <pane ySplit="1" topLeftCell="A2" activePane="bottomLeft" state="frozen"/>
      <selection pane="bottomLeft" activeCell="C24" sqref="C24"/>
    </sheetView>
  </sheetViews>
  <sheetFormatPr defaultColWidth="12.625" defaultRowHeight="15" customHeight="1"/>
  <cols>
    <col min="1" max="1" width="65.875" style="99" customWidth="1"/>
    <col min="2" max="2" width="24.875" style="99" customWidth="1"/>
    <col min="3" max="6" width="12.625" style="99" customWidth="1"/>
    <col min="7" max="16384" width="12.625" style="99"/>
  </cols>
  <sheetData>
    <row r="1" spans="1:26" ht="14.25" customHeight="1">
      <c r="A1" s="141" t="s">
        <v>5085</v>
      </c>
      <c r="B1" s="141" t="s">
        <v>5925</v>
      </c>
      <c r="C1" s="103"/>
      <c r="D1" s="103"/>
      <c r="E1" s="103"/>
      <c r="F1" s="103"/>
      <c r="G1" s="103"/>
      <c r="H1" s="103"/>
      <c r="I1" s="103"/>
      <c r="J1" s="103"/>
      <c r="K1" s="103"/>
      <c r="L1" s="103"/>
      <c r="M1" s="103"/>
      <c r="N1" s="103"/>
      <c r="O1" s="103"/>
      <c r="P1" s="103"/>
      <c r="Q1" s="103"/>
      <c r="R1" s="103"/>
      <c r="S1" s="103"/>
      <c r="T1" s="103"/>
      <c r="U1" s="103"/>
      <c r="V1" s="103"/>
      <c r="W1" s="103"/>
      <c r="X1" s="103"/>
      <c r="Y1" s="103"/>
      <c r="Z1" s="103"/>
    </row>
    <row r="2" spans="1:26" ht="14.25" customHeight="1">
      <c r="A2" s="124" t="s">
        <v>5036</v>
      </c>
      <c r="B2" s="124" t="s">
        <v>984</v>
      </c>
      <c r="C2" s="103"/>
      <c r="D2" s="103"/>
      <c r="E2" s="103"/>
      <c r="F2" s="103"/>
      <c r="G2" s="103"/>
      <c r="H2" s="103"/>
      <c r="I2" s="103"/>
      <c r="J2" s="103"/>
      <c r="K2" s="103"/>
      <c r="L2" s="103"/>
      <c r="M2" s="103"/>
      <c r="N2" s="103"/>
      <c r="O2" s="103"/>
      <c r="P2" s="103"/>
      <c r="Q2" s="103"/>
      <c r="R2" s="103"/>
      <c r="S2" s="103"/>
      <c r="T2" s="103"/>
      <c r="U2" s="103"/>
      <c r="V2" s="103"/>
      <c r="W2" s="103"/>
      <c r="X2" s="103"/>
      <c r="Y2" s="103"/>
      <c r="Z2" s="103"/>
    </row>
    <row r="3" spans="1:26" ht="14.25" customHeight="1">
      <c r="A3" s="124" t="s">
        <v>5023</v>
      </c>
      <c r="B3" s="124" t="s">
        <v>5924</v>
      </c>
      <c r="C3" s="103"/>
      <c r="D3" s="103"/>
      <c r="E3" s="103"/>
      <c r="F3" s="103"/>
      <c r="G3" s="103"/>
      <c r="H3" s="103"/>
      <c r="I3" s="103"/>
      <c r="J3" s="103"/>
      <c r="K3" s="103"/>
      <c r="L3" s="103"/>
      <c r="M3" s="103"/>
      <c r="N3" s="103"/>
      <c r="O3" s="103"/>
      <c r="P3" s="103"/>
      <c r="Q3" s="103"/>
      <c r="R3" s="103"/>
      <c r="S3" s="103"/>
      <c r="T3" s="103"/>
      <c r="U3" s="103"/>
      <c r="V3" s="103"/>
      <c r="W3" s="103"/>
      <c r="X3" s="103"/>
      <c r="Y3" s="103"/>
      <c r="Z3" s="103"/>
    </row>
    <row r="4" spans="1:26" ht="14.25" customHeight="1">
      <c r="A4" s="139" t="s">
        <v>5923</v>
      </c>
      <c r="B4" s="124" t="s">
        <v>984</v>
      </c>
      <c r="C4" s="103"/>
      <c r="D4" s="103"/>
      <c r="E4" s="103"/>
      <c r="F4" s="103"/>
      <c r="G4" s="103"/>
      <c r="H4" s="103"/>
      <c r="I4" s="103"/>
      <c r="J4" s="103"/>
      <c r="K4" s="103"/>
      <c r="L4" s="103"/>
      <c r="M4" s="103"/>
      <c r="N4" s="103"/>
      <c r="O4" s="103"/>
      <c r="P4" s="103"/>
      <c r="Q4" s="103"/>
      <c r="R4" s="103"/>
      <c r="S4" s="103"/>
      <c r="T4" s="103"/>
      <c r="U4" s="103"/>
      <c r="V4" s="103"/>
      <c r="W4" s="103"/>
      <c r="X4" s="103"/>
      <c r="Y4" s="103"/>
      <c r="Z4" s="103"/>
    </row>
    <row r="5" spans="1:26" ht="14.25" customHeight="1">
      <c r="A5" s="124" t="s">
        <v>4996</v>
      </c>
      <c r="B5" s="124" t="s">
        <v>5922</v>
      </c>
      <c r="C5" s="103"/>
      <c r="D5" s="103"/>
      <c r="E5" s="103"/>
      <c r="F5" s="103"/>
      <c r="G5" s="103"/>
      <c r="H5" s="103"/>
      <c r="I5" s="103"/>
      <c r="J5" s="103"/>
      <c r="K5" s="103"/>
      <c r="L5" s="103"/>
      <c r="M5" s="103"/>
      <c r="N5" s="103"/>
      <c r="O5" s="103"/>
      <c r="P5" s="103"/>
      <c r="Q5" s="103"/>
      <c r="R5" s="103"/>
      <c r="S5" s="103"/>
      <c r="T5" s="103"/>
      <c r="U5" s="103"/>
      <c r="V5" s="103"/>
      <c r="W5" s="103"/>
      <c r="X5" s="103"/>
      <c r="Y5" s="103"/>
      <c r="Z5" s="103"/>
    </row>
    <row r="6" spans="1:26" ht="14.25" customHeight="1">
      <c r="A6" s="124" t="s">
        <v>4995</v>
      </c>
      <c r="B6" s="124" t="s">
        <v>984</v>
      </c>
      <c r="C6" s="103"/>
      <c r="D6" s="103"/>
      <c r="E6" s="103"/>
      <c r="F6" s="103"/>
      <c r="G6" s="103"/>
      <c r="H6" s="103"/>
      <c r="I6" s="103"/>
      <c r="J6" s="103"/>
      <c r="K6" s="103"/>
      <c r="L6" s="103"/>
      <c r="M6" s="103"/>
      <c r="N6" s="103"/>
      <c r="O6" s="103"/>
      <c r="P6" s="103"/>
      <c r="Q6" s="103"/>
      <c r="R6" s="103"/>
      <c r="S6" s="103"/>
      <c r="T6" s="103"/>
      <c r="U6" s="103"/>
      <c r="V6" s="103"/>
      <c r="W6" s="103"/>
      <c r="X6" s="103"/>
      <c r="Y6" s="103"/>
      <c r="Z6" s="103"/>
    </row>
    <row r="7" spans="1:26" ht="14.25" customHeight="1">
      <c r="A7" s="124" t="s">
        <v>40</v>
      </c>
      <c r="B7" s="124" t="s">
        <v>5921</v>
      </c>
      <c r="C7" s="103"/>
      <c r="D7" s="103"/>
      <c r="E7" s="103"/>
      <c r="F7" s="103"/>
      <c r="G7" s="103"/>
      <c r="H7" s="103"/>
      <c r="I7" s="103"/>
      <c r="J7" s="103"/>
      <c r="K7" s="103"/>
      <c r="L7" s="103"/>
      <c r="M7" s="103"/>
      <c r="N7" s="103"/>
      <c r="O7" s="103"/>
      <c r="P7" s="103"/>
      <c r="Q7" s="103"/>
      <c r="R7" s="103"/>
      <c r="S7" s="103"/>
      <c r="T7" s="103"/>
      <c r="U7" s="103"/>
      <c r="V7" s="103"/>
      <c r="W7" s="103"/>
      <c r="X7" s="103"/>
      <c r="Y7" s="103"/>
      <c r="Z7" s="103"/>
    </row>
    <row r="8" spans="1:26" ht="14.25" customHeight="1">
      <c r="A8" s="124" t="s">
        <v>4984</v>
      </c>
      <c r="B8" s="138" t="s">
        <v>5920</v>
      </c>
      <c r="C8" s="103"/>
      <c r="D8" s="103"/>
      <c r="E8" s="103"/>
      <c r="F8" s="103"/>
      <c r="G8" s="103"/>
      <c r="H8" s="103"/>
      <c r="I8" s="103"/>
      <c r="J8" s="103"/>
      <c r="K8" s="103"/>
      <c r="L8" s="103"/>
      <c r="M8" s="103"/>
      <c r="N8" s="103"/>
      <c r="O8" s="103"/>
      <c r="P8" s="103"/>
      <c r="Q8" s="103"/>
      <c r="R8" s="103"/>
      <c r="S8" s="103"/>
      <c r="T8" s="103"/>
      <c r="U8" s="103"/>
      <c r="V8" s="103"/>
      <c r="W8" s="103"/>
      <c r="X8" s="103"/>
      <c r="Y8" s="103"/>
      <c r="Z8" s="103"/>
    </row>
    <row r="9" spans="1:26" ht="14.25" customHeight="1">
      <c r="A9" s="124" t="s">
        <v>4955</v>
      </c>
      <c r="B9" s="138" t="s">
        <v>5919</v>
      </c>
      <c r="C9" s="103"/>
      <c r="D9" s="103"/>
      <c r="E9" s="103"/>
      <c r="F9" s="103"/>
      <c r="G9" s="103"/>
      <c r="H9" s="103"/>
      <c r="I9" s="103"/>
      <c r="J9" s="103"/>
      <c r="K9" s="103"/>
      <c r="L9" s="103"/>
      <c r="M9" s="103"/>
      <c r="N9" s="103"/>
      <c r="O9" s="103"/>
      <c r="P9" s="103"/>
      <c r="Q9" s="103"/>
      <c r="R9" s="103"/>
      <c r="S9" s="103"/>
      <c r="T9" s="103"/>
      <c r="U9" s="103"/>
      <c r="V9" s="103"/>
      <c r="W9" s="103"/>
      <c r="X9" s="103"/>
      <c r="Y9" s="103"/>
      <c r="Z9" s="103"/>
    </row>
    <row r="10" spans="1:26" ht="14.25" customHeight="1">
      <c r="A10" s="124" t="s">
        <v>4943</v>
      </c>
      <c r="B10" s="124" t="s">
        <v>5918</v>
      </c>
      <c r="C10" s="103"/>
      <c r="D10" s="103"/>
      <c r="E10" s="137"/>
      <c r="F10" s="137"/>
      <c r="G10" s="137"/>
      <c r="H10" s="137"/>
      <c r="I10" s="137"/>
      <c r="J10" s="137"/>
      <c r="K10" s="137"/>
      <c r="L10" s="137"/>
      <c r="M10" s="137"/>
      <c r="N10" s="137"/>
      <c r="O10" s="137"/>
      <c r="P10" s="137"/>
      <c r="Q10" s="137"/>
      <c r="R10" s="137"/>
      <c r="S10" s="137"/>
      <c r="T10" s="137"/>
      <c r="U10" s="137"/>
      <c r="V10" s="137"/>
      <c r="W10" s="137"/>
      <c r="X10" s="137"/>
      <c r="Y10" s="137"/>
      <c r="Z10" s="137"/>
    </row>
    <row r="11" spans="1:26" ht="14.25" customHeight="1">
      <c r="A11" s="124" t="s">
        <v>4936</v>
      </c>
      <c r="B11" s="124" t="s">
        <v>5917</v>
      </c>
      <c r="C11" s="103"/>
      <c r="D11" s="103"/>
      <c r="E11" s="137"/>
      <c r="F11" s="137"/>
      <c r="G11" s="137"/>
      <c r="H11" s="137"/>
      <c r="I11" s="137"/>
      <c r="J11" s="137"/>
      <c r="K11" s="137"/>
      <c r="L11" s="137"/>
      <c r="M11" s="137"/>
      <c r="N11" s="137"/>
      <c r="O11" s="137"/>
      <c r="P11" s="137"/>
      <c r="Q11" s="137"/>
      <c r="R11" s="137"/>
      <c r="S11" s="137"/>
      <c r="T11" s="137"/>
      <c r="U11" s="137"/>
      <c r="V11" s="137"/>
      <c r="W11" s="137"/>
      <c r="X11" s="137"/>
      <c r="Y11" s="137"/>
      <c r="Z11" s="137"/>
    </row>
    <row r="12" spans="1:26" ht="14.25" customHeight="1">
      <c r="A12" s="124" t="s">
        <v>458</v>
      </c>
      <c r="B12" s="140" t="s">
        <v>5916</v>
      </c>
      <c r="C12" s="103"/>
      <c r="D12" s="103"/>
      <c r="E12" s="103"/>
      <c r="F12" s="103"/>
      <c r="G12" s="103"/>
      <c r="H12" s="103"/>
      <c r="I12" s="103"/>
      <c r="J12" s="103"/>
      <c r="K12" s="103"/>
      <c r="L12" s="103"/>
      <c r="M12" s="103"/>
      <c r="N12" s="103"/>
      <c r="O12" s="103"/>
      <c r="P12" s="103"/>
      <c r="Q12" s="103"/>
      <c r="R12" s="103"/>
      <c r="S12" s="103"/>
      <c r="T12" s="103"/>
      <c r="U12" s="103"/>
      <c r="V12" s="103"/>
      <c r="W12" s="103"/>
      <c r="X12" s="103"/>
      <c r="Y12" s="103"/>
      <c r="Z12" s="103"/>
    </row>
    <row r="13" spans="1:26" ht="14.25" customHeight="1">
      <c r="A13" s="124" t="s">
        <v>4909</v>
      </c>
      <c r="B13" s="124" t="s">
        <v>984</v>
      </c>
      <c r="C13" s="103"/>
      <c r="D13" s="103"/>
      <c r="E13" s="103"/>
      <c r="F13" s="103"/>
      <c r="G13" s="103"/>
      <c r="H13" s="103"/>
      <c r="I13" s="103"/>
      <c r="J13" s="103"/>
      <c r="K13" s="103"/>
      <c r="L13" s="103"/>
      <c r="M13" s="103"/>
      <c r="N13" s="103"/>
      <c r="O13" s="103"/>
      <c r="P13" s="103"/>
      <c r="Q13" s="103"/>
      <c r="R13" s="103"/>
      <c r="S13" s="103"/>
      <c r="T13" s="103"/>
      <c r="U13" s="103"/>
      <c r="V13" s="103"/>
      <c r="W13" s="103"/>
      <c r="X13" s="103"/>
      <c r="Y13" s="103"/>
      <c r="Z13" s="103"/>
    </row>
    <row r="14" spans="1:26" ht="14.25" customHeight="1">
      <c r="A14" s="124" t="s">
        <v>4896</v>
      </c>
      <c r="B14" s="124" t="s">
        <v>984</v>
      </c>
      <c r="C14" s="103"/>
      <c r="D14" s="103"/>
      <c r="E14" s="103"/>
      <c r="F14" s="103"/>
      <c r="G14" s="103"/>
      <c r="H14" s="103"/>
      <c r="I14" s="103"/>
      <c r="J14" s="103"/>
      <c r="K14" s="103"/>
      <c r="L14" s="103"/>
      <c r="M14" s="103"/>
      <c r="N14" s="103"/>
      <c r="O14" s="103"/>
      <c r="P14" s="103"/>
      <c r="Q14" s="103"/>
      <c r="R14" s="103"/>
      <c r="S14" s="103"/>
      <c r="T14" s="103"/>
      <c r="U14" s="103"/>
      <c r="V14" s="103"/>
      <c r="W14" s="103"/>
      <c r="X14" s="103"/>
      <c r="Y14" s="103"/>
      <c r="Z14" s="103"/>
    </row>
    <row r="15" spans="1:26" ht="14.25" customHeight="1">
      <c r="A15" s="139" t="s">
        <v>5915</v>
      </c>
      <c r="B15" s="124" t="s">
        <v>5914</v>
      </c>
      <c r="C15" s="103"/>
      <c r="D15" s="103"/>
      <c r="E15" s="103"/>
      <c r="F15" s="103"/>
      <c r="G15" s="103"/>
      <c r="H15" s="103"/>
      <c r="I15" s="103"/>
      <c r="J15" s="103"/>
      <c r="K15" s="103"/>
      <c r="L15" s="103"/>
      <c r="M15" s="103"/>
      <c r="N15" s="103"/>
      <c r="O15" s="103"/>
      <c r="P15" s="103"/>
      <c r="Q15" s="103"/>
      <c r="R15" s="103"/>
      <c r="S15" s="103"/>
      <c r="T15" s="103"/>
      <c r="U15" s="103"/>
      <c r="V15" s="103"/>
      <c r="W15" s="103"/>
      <c r="X15" s="103"/>
      <c r="Y15" s="103"/>
      <c r="Z15" s="103"/>
    </row>
    <row r="16" spans="1:26" ht="14.25" customHeight="1">
      <c r="A16" s="124" t="s">
        <v>5913</v>
      </c>
      <c r="B16" s="124" t="s">
        <v>5912</v>
      </c>
      <c r="C16" s="103"/>
      <c r="D16" s="103"/>
      <c r="E16" s="103"/>
      <c r="F16" s="103"/>
      <c r="G16" s="103"/>
      <c r="H16" s="103"/>
      <c r="I16" s="103"/>
      <c r="J16" s="103"/>
      <c r="K16" s="103"/>
      <c r="L16" s="103"/>
      <c r="M16" s="103"/>
      <c r="N16" s="103"/>
      <c r="O16" s="103"/>
      <c r="P16" s="103"/>
      <c r="Q16" s="103"/>
      <c r="R16" s="103"/>
      <c r="S16" s="103"/>
      <c r="T16" s="103"/>
      <c r="U16" s="103"/>
      <c r="V16" s="103"/>
      <c r="W16" s="103"/>
      <c r="X16" s="103"/>
      <c r="Y16" s="103"/>
      <c r="Z16" s="103"/>
    </row>
    <row r="17" spans="1:26" ht="14.25" customHeight="1">
      <c r="A17" s="124" t="s">
        <v>5079</v>
      </c>
      <c r="B17" s="124"/>
      <c r="C17" s="103"/>
      <c r="D17" s="103"/>
      <c r="E17" s="103"/>
      <c r="F17" s="103"/>
      <c r="G17" s="103"/>
      <c r="H17" s="103"/>
      <c r="I17" s="103"/>
      <c r="J17" s="103"/>
      <c r="K17" s="103"/>
      <c r="L17" s="103"/>
      <c r="M17" s="103"/>
      <c r="N17" s="103"/>
      <c r="O17" s="103"/>
      <c r="P17" s="103"/>
      <c r="Q17" s="103"/>
      <c r="R17" s="103"/>
      <c r="S17" s="103"/>
      <c r="T17" s="103"/>
      <c r="U17" s="103"/>
      <c r="V17" s="103"/>
      <c r="W17" s="103"/>
      <c r="X17" s="103"/>
      <c r="Y17" s="103"/>
      <c r="Z17" s="103"/>
    </row>
    <row r="18" spans="1:26" ht="14.25" customHeight="1">
      <c r="A18" s="124" t="s">
        <v>5078</v>
      </c>
      <c r="B18" s="124" t="s">
        <v>984</v>
      </c>
      <c r="C18" s="103"/>
      <c r="D18" s="103"/>
      <c r="E18" s="103"/>
      <c r="F18" s="103"/>
      <c r="G18" s="103"/>
      <c r="H18" s="103"/>
      <c r="I18" s="103"/>
      <c r="J18" s="103"/>
      <c r="K18" s="103"/>
      <c r="L18" s="103"/>
      <c r="M18" s="103"/>
      <c r="N18" s="103"/>
      <c r="O18" s="103"/>
      <c r="P18" s="103"/>
      <c r="Q18" s="103"/>
      <c r="R18" s="103"/>
      <c r="S18" s="103"/>
      <c r="T18" s="103"/>
      <c r="U18" s="103"/>
      <c r="V18" s="103"/>
      <c r="W18" s="103"/>
      <c r="X18" s="103"/>
      <c r="Y18" s="103"/>
      <c r="Z18" s="103"/>
    </row>
    <row r="19" spans="1:26" ht="14.25" customHeight="1">
      <c r="A19" s="124" t="s">
        <v>5062</v>
      </c>
      <c r="B19" s="124" t="s">
        <v>984</v>
      </c>
      <c r="C19" s="103"/>
      <c r="D19" s="103"/>
      <c r="E19" s="103"/>
      <c r="F19" s="103"/>
      <c r="G19" s="103"/>
      <c r="H19" s="103"/>
      <c r="I19" s="103"/>
      <c r="J19" s="103"/>
      <c r="K19" s="103"/>
      <c r="L19" s="103"/>
      <c r="M19" s="103"/>
      <c r="N19" s="103"/>
      <c r="O19" s="103"/>
      <c r="P19" s="103"/>
      <c r="Q19" s="103"/>
      <c r="R19" s="103"/>
      <c r="S19" s="103"/>
      <c r="T19" s="103"/>
      <c r="U19" s="103"/>
      <c r="V19" s="103"/>
      <c r="W19" s="103"/>
      <c r="X19" s="103"/>
      <c r="Y19" s="103"/>
      <c r="Z19" s="103"/>
    </row>
    <row r="20" spans="1:26" ht="14.25" customHeight="1">
      <c r="A20" s="124" t="s">
        <v>5045</v>
      </c>
      <c r="B20" s="124" t="s">
        <v>984</v>
      </c>
      <c r="C20" s="103"/>
      <c r="D20" s="103"/>
      <c r="E20" s="103"/>
      <c r="F20" s="103"/>
      <c r="G20" s="103"/>
      <c r="H20" s="103"/>
      <c r="I20" s="103"/>
      <c r="J20" s="103"/>
      <c r="K20" s="103"/>
      <c r="L20" s="103"/>
      <c r="M20" s="103"/>
      <c r="N20" s="103"/>
      <c r="O20" s="103"/>
      <c r="P20" s="103"/>
      <c r="Q20" s="103"/>
      <c r="R20" s="103"/>
      <c r="S20" s="103"/>
      <c r="T20" s="103"/>
      <c r="U20" s="103"/>
      <c r="V20" s="103"/>
      <c r="W20" s="103"/>
      <c r="X20" s="103"/>
      <c r="Y20" s="103"/>
      <c r="Z20" s="103"/>
    </row>
    <row r="21" spans="1:26" ht="14.25" customHeight="1">
      <c r="A21" s="124" t="s">
        <v>5042</v>
      </c>
      <c r="B21" s="124" t="s">
        <v>984</v>
      </c>
      <c r="C21" s="103"/>
      <c r="D21" s="103"/>
      <c r="E21" s="103"/>
      <c r="F21" s="103"/>
      <c r="G21" s="103"/>
      <c r="H21" s="103"/>
      <c r="I21" s="103"/>
      <c r="J21" s="103"/>
      <c r="K21" s="103"/>
      <c r="L21" s="103"/>
      <c r="M21" s="103"/>
      <c r="N21" s="103"/>
      <c r="O21" s="103"/>
      <c r="P21" s="103"/>
      <c r="Q21" s="103"/>
      <c r="R21" s="103"/>
      <c r="S21" s="103"/>
      <c r="T21" s="103"/>
      <c r="U21" s="103"/>
      <c r="V21" s="103"/>
      <c r="W21" s="103"/>
      <c r="X21" s="103"/>
      <c r="Y21" s="103"/>
      <c r="Z21" s="103"/>
    </row>
    <row r="22" spans="1:26" ht="14.25" customHeight="1">
      <c r="A22" s="124" t="s">
        <v>5039</v>
      </c>
      <c r="B22" s="124" t="s">
        <v>984</v>
      </c>
      <c r="C22" s="103"/>
      <c r="D22" s="103"/>
      <c r="E22" s="103"/>
      <c r="F22" s="103"/>
      <c r="G22" s="103"/>
      <c r="H22" s="103"/>
      <c r="I22" s="103"/>
      <c r="J22" s="103"/>
      <c r="K22" s="103"/>
      <c r="L22" s="103"/>
      <c r="M22" s="103"/>
      <c r="N22" s="103"/>
      <c r="O22" s="103"/>
      <c r="P22" s="103"/>
      <c r="Q22" s="103"/>
      <c r="R22" s="103"/>
      <c r="S22" s="103"/>
      <c r="T22" s="103"/>
      <c r="U22" s="103"/>
      <c r="V22" s="103"/>
      <c r="W22" s="103"/>
      <c r="X22" s="103"/>
      <c r="Y22" s="103"/>
      <c r="Z22" s="103"/>
    </row>
    <row r="23" spans="1:26" ht="14.25" customHeight="1">
      <c r="A23" s="124" t="s">
        <v>5013</v>
      </c>
      <c r="B23" s="124" t="s">
        <v>984</v>
      </c>
      <c r="C23" s="103"/>
      <c r="D23" s="103"/>
      <c r="E23" s="103"/>
      <c r="F23" s="103"/>
      <c r="G23" s="103"/>
      <c r="H23" s="103"/>
      <c r="I23" s="103"/>
      <c r="J23" s="103"/>
      <c r="K23" s="103"/>
      <c r="L23" s="103"/>
      <c r="M23" s="103"/>
      <c r="N23" s="103"/>
      <c r="O23" s="103"/>
      <c r="P23" s="103"/>
      <c r="Q23" s="103"/>
      <c r="R23" s="103"/>
      <c r="S23" s="103"/>
      <c r="T23" s="103"/>
      <c r="U23" s="103"/>
      <c r="V23" s="103"/>
      <c r="W23" s="103"/>
      <c r="X23" s="103"/>
      <c r="Y23" s="103"/>
      <c r="Z23" s="103"/>
    </row>
    <row r="24" spans="1:26" ht="14.25" customHeight="1">
      <c r="A24" s="124" t="s">
        <v>5008</v>
      </c>
      <c r="B24" s="124" t="s">
        <v>984</v>
      </c>
      <c r="C24" s="103"/>
      <c r="D24" s="103"/>
      <c r="E24" s="103"/>
      <c r="F24" s="103"/>
      <c r="G24" s="103"/>
      <c r="H24" s="103"/>
      <c r="I24" s="103"/>
      <c r="J24" s="103"/>
      <c r="K24" s="103"/>
      <c r="L24" s="103"/>
      <c r="M24" s="103"/>
      <c r="N24" s="103"/>
      <c r="O24" s="103"/>
      <c r="P24" s="103"/>
      <c r="Q24" s="103"/>
      <c r="R24" s="103"/>
      <c r="S24" s="103"/>
      <c r="T24" s="103"/>
      <c r="U24" s="103"/>
      <c r="V24" s="103"/>
      <c r="W24" s="103"/>
      <c r="X24" s="103"/>
      <c r="Y24" s="103"/>
      <c r="Z24" s="103"/>
    </row>
    <row r="25" spans="1:26" ht="14.25" customHeight="1">
      <c r="A25" s="124" t="s">
        <v>5004</v>
      </c>
      <c r="B25" s="124" t="s">
        <v>984</v>
      </c>
      <c r="C25" s="103"/>
      <c r="D25" s="103"/>
      <c r="E25" s="103"/>
      <c r="F25" s="103"/>
      <c r="G25" s="103"/>
      <c r="H25" s="103"/>
      <c r="I25" s="103"/>
      <c r="J25" s="103"/>
      <c r="K25" s="103"/>
      <c r="L25" s="103"/>
      <c r="M25" s="103"/>
      <c r="N25" s="103"/>
      <c r="O25" s="103"/>
      <c r="P25" s="103"/>
      <c r="Q25" s="103"/>
      <c r="R25" s="103"/>
      <c r="S25" s="103"/>
      <c r="T25" s="103"/>
      <c r="U25" s="103"/>
      <c r="V25" s="103"/>
      <c r="W25" s="103"/>
      <c r="X25" s="103"/>
      <c r="Y25" s="103"/>
      <c r="Z25" s="103"/>
    </row>
    <row r="26" spans="1:26" ht="14.25" customHeight="1">
      <c r="A26" s="124" t="s">
        <v>4998</v>
      </c>
      <c r="B26" s="124" t="s">
        <v>984</v>
      </c>
      <c r="C26" s="103"/>
      <c r="D26" s="103"/>
      <c r="E26" s="103"/>
      <c r="F26" s="103"/>
      <c r="G26" s="103"/>
      <c r="H26" s="103"/>
      <c r="I26" s="103"/>
      <c r="J26" s="103"/>
      <c r="K26" s="103"/>
      <c r="L26" s="103"/>
      <c r="M26" s="103"/>
      <c r="N26" s="103"/>
      <c r="O26" s="103"/>
      <c r="P26" s="103"/>
      <c r="Q26" s="103"/>
      <c r="R26" s="103"/>
      <c r="S26" s="103"/>
      <c r="T26" s="103"/>
      <c r="U26" s="103"/>
      <c r="V26" s="103"/>
      <c r="W26" s="103"/>
      <c r="X26" s="103"/>
      <c r="Y26" s="103"/>
      <c r="Z26" s="103"/>
    </row>
    <row r="27" spans="1:26" ht="14.25" customHeight="1">
      <c r="A27" s="124" t="s">
        <v>4960</v>
      </c>
      <c r="B27" s="124" t="s">
        <v>984</v>
      </c>
      <c r="C27" s="103"/>
      <c r="D27" s="103"/>
      <c r="E27" s="103"/>
      <c r="F27" s="103"/>
      <c r="G27" s="103"/>
      <c r="H27" s="103"/>
      <c r="I27" s="103"/>
      <c r="J27" s="103"/>
      <c r="K27" s="103"/>
      <c r="L27" s="103"/>
      <c r="M27" s="103"/>
      <c r="N27" s="103"/>
      <c r="O27" s="103"/>
      <c r="P27" s="103"/>
      <c r="Q27" s="103"/>
      <c r="R27" s="103"/>
      <c r="S27" s="103"/>
      <c r="T27" s="103"/>
      <c r="U27" s="103"/>
      <c r="V27" s="103"/>
      <c r="W27" s="103"/>
      <c r="X27" s="103"/>
      <c r="Y27" s="103"/>
      <c r="Z27" s="103"/>
    </row>
    <row r="28" spans="1:26" ht="14.25" customHeight="1">
      <c r="A28" s="124" t="s">
        <v>4957</v>
      </c>
      <c r="B28" s="124"/>
      <c r="C28" s="103"/>
      <c r="D28" s="103"/>
      <c r="E28" s="103"/>
      <c r="F28" s="103"/>
      <c r="G28" s="103"/>
      <c r="H28" s="103"/>
      <c r="I28" s="103"/>
      <c r="J28" s="103"/>
      <c r="K28" s="103"/>
      <c r="L28" s="103"/>
      <c r="M28" s="103"/>
      <c r="N28" s="103"/>
      <c r="O28" s="103"/>
      <c r="P28" s="103"/>
      <c r="Q28" s="103"/>
      <c r="R28" s="103"/>
      <c r="S28" s="103"/>
      <c r="T28" s="103"/>
      <c r="U28" s="103"/>
      <c r="V28" s="103"/>
      <c r="W28" s="103"/>
      <c r="X28" s="103"/>
      <c r="Y28" s="103"/>
      <c r="Z28" s="103"/>
    </row>
    <row r="29" spans="1:26" ht="14.25" customHeight="1">
      <c r="A29" s="124" t="s">
        <v>5803</v>
      </c>
      <c r="B29" s="124" t="s">
        <v>984</v>
      </c>
      <c r="C29" s="103"/>
      <c r="D29" s="103"/>
      <c r="E29" s="103"/>
      <c r="F29" s="103"/>
      <c r="G29" s="103"/>
      <c r="H29" s="103"/>
      <c r="I29" s="103"/>
      <c r="J29" s="103"/>
      <c r="K29" s="103"/>
      <c r="L29" s="103"/>
      <c r="M29" s="103"/>
      <c r="N29" s="103"/>
      <c r="O29" s="103"/>
      <c r="P29" s="103"/>
      <c r="Q29" s="103"/>
      <c r="R29" s="103"/>
      <c r="S29" s="103"/>
      <c r="T29" s="103"/>
      <c r="U29" s="103"/>
      <c r="V29" s="103"/>
      <c r="W29" s="103"/>
      <c r="X29" s="103"/>
      <c r="Y29" s="103"/>
      <c r="Z29" s="103"/>
    </row>
    <row r="30" spans="1:26" ht="14.25" customHeight="1">
      <c r="A30" s="124" t="s">
        <v>5804</v>
      </c>
      <c r="B30" s="124" t="s">
        <v>984</v>
      </c>
      <c r="C30" s="103"/>
      <c r="D30" s="103"/>
      <c r="E30" s="103"/>
      <c r="F30" s="103"/>
      <c r="G30" s="103"/>
      <c r="H30" s="103"/>
      <c r="I30" s="103"/>
      <c r="J30" s="103"/>
      <c r="K30" s="103"/>
      <c r="L30" s="103"/>
      <c r="M30" s="103"/>
      <c r="N30" s="103"/>
      <c r="O30" s="103"/>
      <c r="P30" s="103"/>
      <c r="Q30" s="103"/>
      <c r="R30" s="103"/>
      <c r="S30" s="103"/>
      <c r="T30" s="103"/>
      <c r="U30" s="103"/>
      <c r="V30" s="103"/>
      <c r="W30" s="103"/>
      <c r="X30" s="103"/>
      <c r="Y30" s="103"/>
      <c r="Z30" s="103"/>
    </row>
    <row r="31" spans="1:26" ht="14.25" customHeight="1">
      <c r="A31" s="124" t="s">
        <v>5802</v>
      </c>
      <c r="B31" s="124" t="s">
        <v>984</v>
      </c>
      <c r="C31" s="103"/>
      <c r="D31" s="103"/>
      <c r="E31" s="103"/>
      <c r="F31" s="103"/>
      <c r="G31" s="103"/>
      <c r="H31" s="103"/>
      <c r="I31" s="103"/>
      <c r="J31" s="103"/>
      <c r="K31" s="103"/>
      <c r="L31" s="103"/>
      <c r="M31" s="103"/>
      <c r="N31" s="103"/>
      <c r="O31" s="103"/>
      <c r="P31" s="103"/>
      <c r="Q31" s="103"/>
      <c r="R31" s="103"/>
      <c r="S31" s="103"/>
      <c r="T31" s="103"/>
      <c r="U31" s="103"/>
      <c r="V31" s="103"/>
      <c r="W31" s="103"/>
      <c r="X31" s="103"/>
      <c r="Y31" s="103"/>
      <c r="Z31" s="103"/>
    </row>
    <row r="32" spans="1:26" ht="14.25" customHeight="1">
      <c r="A32" s="124" t="s">
        <v>464</v>
      </c>
      <c r="B32" s="124" t="s">
        <v>984</v>
      </c>
      <c r="C32" s="103"/>
      <c r="D32" s="103"/>
      <c r="E32" s="103"/>
      <c r="F32" s="103"/>
      <c r="G32" s="103"/>
      <c r="H32" s="103"/>
      <c r="I32" s="103"/>
      <c r="J32" s="103"/>
      <c r="K32" s="103"/>
      <c r="L32" s="103"/>
      <c r="M32" s="103"/>
      <c r="N32" s="103"/>
      <c r="O32" s="103"/>
      <c r="P32" s="103"/>
      <c r="Q32" s="103"/>
      <c r="R32" s="103"/>
      <c r="S32" s="103"/>
      <c r="T32" s="103"/>
      <c r="U32" s="103"/>
      <c r="V32" s="103"/>
      <c r="W32" s="103"/>
      <c r="X32" s="103"/>
      <c r="Y32" s="103"/>
      <c r="Z32" s="103"/>
    </row>
    <row r="33" spans="1:26" ht="14.25" customHeight="1">
      <c r="A33" s="124" t="s">
        <v>4879</v>
      </c>
      <c r="B33" s="124" t="s">
        <v>984</v>
      </c>
      <c r="C33" s="103"/>
      <c r="D33" s="103"/>
      <c r="E33" s="103"/>
      <c r="F33" s="103"/>
      <c r="G33" s="103"/>
      <c r="H33" s="103"/>
      <c r="I33" s="103"/>
      <c r="J33" s="103"/>
      <c r="K33" s="103"/>
      <c r="L33" s="103"/>
      <c r="M33" s="103"/>
      <c r="N33" s="103"/>
      <c r="O33" s="103"/>
      <c r="P33" s="103"/>
      <c r="Q33" s="103"/>
      <c r="R33" s="103"/>
      <c r="S33" s="103"/>
      <c r="T33" s="103"/>
      <c r="U33" s="103"/>
      <c r="V33" s="103"/>
      <c r="W33" s="103"/>
      <c r="X33" s="103"/>
      <c r="Y33" s="103"/>
      <c r="Z33" s="103"/>
    </row>
    <row r="34" spans="1:26" ht="14.25" customHeight="1">
      <c r="A34" s="124" t="s">
        <v>4876</v>
      </c>
      <c r="B34" s="124" t="s">
        <v>984</v>
      </c>
      <c r="C34" s="103"/>
      <c r="D34" s="103"/>
      <c r="E34" s="103"/>
      <c r="F34" s="103"/>
      <c r="G34" s="103"/>
      <c r="H34" s="103"/>
      <c r="I34" s="103"/>
      <c r="J34" s="103"/>
      <c r="K34" s="103"/>
      <c r="L34" s="103"/>
      <c r="M34" s="103"/>
      <c r="N34" s="103"/>
      <c r="O34" s="103"/>
      <c r="P34" s="103"/>
      <c r="Q34" s="103"/>
      <c r="R34" s="103"/>
      <c r="S34" s="103"/>
      <c r="T34" s="103"/>
      <c r="U34" s="103"/>
      <c r="V34" s="103"/>
      <c r="W34" s="103"/>
      <c r="X34" s="103"/>
      <c r="Y34" s="103"/>
      <c r="Z34" s="103"/>
    </row>
    <row r="35" spans="1:26" ht="14.25" customHeight="1">
      <c r="A35" s="124" t="s">
        <v>4873</v>
      </c>
      <c r="B35" s="124" t="s">
        <v>984</v>
      </c>
      <c r="C35" s="103"/>
      <c r="D35" s="103"/>
      <c r="E35" s="103"/>
      <c r="F35" s="103"/>
      <c r="G35" s="103"/>
      <c r="H35" s="103"/>
      <c r="I35" s="103"/>
      <c r="J35" s="103"/>
      <c r="K35" s="103"/>
      <c r="L35" s="103"/>
      <c r="M35" s="103"/>
      <c r="N35" s="103"/>
      <c r="O35" s="103"/>
      <c r="P35" s="103"/>
      <c r="Q35" s="103"/>
      <c r="R35" s="103"/>
      <c r="S35" s="103"/>
      <c r="T35" s="103"/>
      <c r="U35" s="103"/>
      <c r="V35" s="103"/>
      <c r="W35" s="103"/>
      <c r="X35" s="103"/>
      <c r="Y35" s="103"/>
      <c r="Z35" s="103"/>
    </row>
    <row r="36" spans="1:26" ht="14.25" customHeight="1">
      <c r="A36" s="124" t="s">
        <v>4868</v>
      </c>
      <c r="B36" s="124" t="s">
        <v>984</v>
      </c>
      <c r="C36" s="103"/>
      <c r="D36" s="103"/>
      <c r="E36" s="103"/>
      <c r="F36" s="103"/>
      <c r="G36" s="103"/>
      <c r="H36" s="103"/>
      <c r="I36" s="103"/>
      <c r="J36" s="103"/>
      <c r="K36" s="103"/>
      <c r="L36" s="103"/>
      <c r="M36" s="103"/>
      <c r="N36" s="103"/>
      <c r="O36" s="103"/>
      <c r="P36" s="103"/>
      <c r="Q36" s="103"/>
      <c r="R36" s="103"/>
      <c r="S36" s="103"/>
      <c r="T36" s="103"/>
      <c r="U36" s="103"/>
      <c r="V36" s="103"/>
      <c r="W36" s="103"/>
      <c r="X36" s="103"/>
      <c r="Y36" s="103"/>
      <c r="Z36" s="103"/>
    </row>
    <row r="37" spans="1:26" ht="14.25" customHeight="1">
      <c r="A37" s="124" t="s">
        <v>5054</v>
      </c>
      <c r="B37" s="124" t="s">
        <v>984</v>
      </c>
      <c r="C37" s="103"/>
      <c r="D37" s="103"/>
      <c r="E37" s="103"/>
      <c r="F37" s="103"/>
      <c r="G37" s="103"/>
      <c r="H37" s="103"/>
      <c r="I37" s="103"/>
      <c r="J37" s="103"/>
      <c r="K37" s="103"/>
      <c r="L37" s="103"/>
      <c r="M37" s="103"/>
      <c r="N37" s="103"/>
      <c r="O37" s="103"/>
      <c r="P37" s="103"/>
      <c r="Q37" s="103"/>
      <c r="R37" s="103"/>
      <c r="S37" s="103"/>
      <c r="T37" s="103"/>
      <c r="U37" s="103"/>
      <c r="V37" s="103"/>
      <c r="W37" s="103"/>
      <c r="X37" s="103"/>
      <c r="Y37" s="103"/>
      <c r="Z37" s="103"/>
    </row>
    <row r="38" spans="1:26" ht="14.25" customHeight="1">
      <c r="A38" s="124" t="s">
        <v>5049</v>
      </c>
      <c r="B38" s="124" t="s">
        <v>984</v>
      </c>
      <c r="C38" s="103"/>
      <c r="D38" s="103"/>
      <c r="E38" s="103"/>
      <c r="F38" s="103"/>
      <c r="G38" s="103"/>
      <c r="H38" s="103"/>
      <c r="I38" s="103"/>
      <c r="J38" s="103"/>
      <c r="K38" s="103"/>
      <c r="L38" s="103"/>
      <c r="M38" s="103"/>
      <c r="N38" s="103"/>
      <c r="O38" s="103"/>
      <c r="P38" s="103"/>
      <c r="Q38" s="103"/>
      <c r="R38" s="103"/>
      <c r="S38" s="103"/>
      <c r="T38" s="103"/>
      <c r="U38" s="103"/>
      <c r="V38" s="103"/>
      <c r="W38" s="103"/>
      <c r="X38" s="103"/>
      <c r="Y38" s="103"/>
      <c r="Z38" s="103"/>
    </row>
    <row r="39" spans="1:26" ht="14.25" customHeight="1">
      <c r="A39" s="124" t="s">
        <v>5033</v>
      </c>
      <c r="B39" s="138"/>
      <c r="C39" s="103"/>
      <c r="D39" s="103"/>
      <c r="E39" s="103"/>
      <c r="F39" s="103"/>
      <c r="G39" s="103"/>
      <c r="H39" s="103"/>
      <c r="I39" s="103"/>
      <c r="J39" s="103"/>
      <c r="K39" s="103"/>
      <c r="L39" s="103"/>
      <c r="M39" s="103"/>
      <c r="N39" s="103"/>
      <c r="O39" s="103"/>
      <c r="P39" s="103"/>
      <c r="Q39" s="103"/>
      <c r="R39" s="103"/>
      <c r="S39" s="103"/>
      <c r="T39" s="103"/>
      <c r="U39" s="103"/>
      <c r="V39" s="103"/>
      <c r="W39" s="103"/>
      <c r="X39" s="103"/>
      <c r="Y39" s="103"/>
      <c r="Z39" s="103"/>
    </row>
    <row r="40" spans="1:26" ht="14.25" customHeight="1">
      <c r="A40" s="124" t="s">
        <v>5029</v>
      </c>
      <c r="B40" s="124" t="s">
        <v>5911</v>
      </c>
      <c r="C40" s="103"/>
      <c r="D40" s="103"/>
      <c r="E40" s="103"/>
      <c r="F40" s="103"/>
      <c r="G40" s="103"/>
      <c r="H40" s="103"/>
      <c r="I40" s="103"/>
      <c r="J40" s="103"/>
      <c r="K40" s="103"/>
      <c r="L40" s="103"/>
      <c r="M40" s="103"/>
      <c r="N40" s="103"/>
      <c r="O40" s="103"/>
      <c r="P40" s="103"/>
      <c r="Q40" s="103"/>
      <c r="R40" s="103"/>
      <c r="S40" s="103"/>
      <c r="T40" s="103"/>
      <c r="U40" s="103"/>
      <c r="V40" s="103"/>
      <c r="W40" s="103"/>
      <c r="X40" s="103"/>
      <c r="Y40" s="103"/>
      <c r="Z40" s="103"/>
    </row>
    <row r="41" spans="1:26" ht="14.25" customHeight="1">
      <c r="A41" s="124" t="s">
        <v>5026</v>
      </c>
      <c r="B41" s="124" t="s">
        <v>984</v>
      </c>
      <c r="C41" s="103"/>
      <c r="D41" s="103"/>
      <c r="E41" s="137"/>
      <c r="F41" s="137"/>
      <c r="G41" s="137"/>
      <c r="H41" s="137"/>
      <c r="I41" s="137"/>
      <c r="J41" s="137"/>
      <c r="K41" s="137"/>
      <c r="L41" s="137"/>
      <c r="M41" s="137"/>
      <c r="N41" s="137"/>
      <c r="O41" s="137"/>
      <c r="P41" s="137"/>
      <c r="Q41" s="137"/>
      <c r="R41" s="137"/>
      <c r="S41" s="137"/>
      <c r="T41" s="137"/>
      <c r="U41" s="137"/>
      <c r="V41" s="137"/>
      <c r="W41" s="137"/>
      <c r="X41" s="137"/>
      <c r="Y41" s="137"/>
      <c r="Z41" s="137"/>
    </row>
    <row r="42" spans="1:26" ht="14.25" customHeight="1">
      <c r="A42" s="124" t="s">
        <v>5020</v>
      </c>
      <c r="B42" s="124" t="s">
        <v>984</v>
      </c>
      <c r="C42" s="103"/>
      <c r="D42" s="103"/>
      <c r="E42" s="103"/>
      <c r="F42" s="103"/>
      <c r="G42" s="103"/>
      <c r="H42" s="103"/>
      <c r="I42" s="103"/>
      <c r="J42" s="103"/>
      <c r="K42" s="103"/>
      <c r="L42" s="103"/>
      <c r="M42" s="103"/>
      <c r="N42" s="103"/>
      <c r="O42" s="103"/>
      <c r="P42" s="103"/>
      <c r="Q42" s="103"/>
      <c r="R42" s="103"/>
      <c r="S42" s="103"/>
      <c r="T42" s="103"/>
      <c r="U42" s="103"/>
      <c r="V42" s="103"/>
      <c r="W42" s="103"/>
      <c r="X42" s="103"/>
      <c r="Y42" s="103"/>
      <c r="Z42" s="103"/>
    </row>
    <row r="43" spans="1:26" ht="14.25" customHeight="1">
      <c r="A43" s="124" t="s">
        <v>5017</v>
      </c>
      <c r="B43" s="124" t="s">
        <v>984</v>
      </c>
      <c r="C43" s="103"/>
      <c r="D43" s="103"/>
      <c r="E43" s="103"/>
      <c r="F43" s="103"/>
      <c r="G43" s="103"/>
      <c r="H43" s="103"/>
      <c r="I43" s="103"/>
      <c r="J43" s="103"/>
      <c r="K43" s="103"/>
      <c r="L43" s="103"/>
      <c r="M43" s="103"/>
      <c r="N43" s="103"/>
      <c r="O43" s="103"/>
      <c r="P43" s="103"/>
      <c r="Q43" s="103"/>
      <c r="R43" s="103"/>
      <c r="S43" s="103"/>
      <c r="T43" s="103"/>
      <c r="U43" s="103"/>
      <c r="V43" s="103"/>
      <c r="W43" s="103"/>
      <c r="X43" s="103"/>
      <c r="Y43" s="103"/>
      <c r="Z43" s="103"/>
    </row>
    <row r="44" spans="1:26" ht="14.25" customHeight="1">
      <c r="A44" s="124" t="s">
        <v>5001</v>
      </c>
      <c r="B44" s="124" t="s">
        <v>984</v>
      </c>
      <c r="C44" s="103"/>
      <c r="D44" s="103"/>
      <c r="E44" s="103"/>
      <c r="F44" s="103"/>
      <c r="G44" s="103"/>
      <c r="H44" s="103"/>
      <c r="I44" s="103"/>
      <c r="J44" s="103"/>
      <c r="K44" s="103"/>
      <c r="L44" s="103"/>
      <c r="M44" s="103"/>
      <c r="N44" s="103"/>
      <c r="O44" s="103"/>
      <c r="P44" s="103"/>
      <c r="Q44" s="103"/>
      <c r="R44" s="103"/>
      <c r="S44" s="103"/>
      <c r="T44" s="103"/>
      <c r="U44" s="103"/>
      <c r="V44" s="103"/>
      <c r="W44" s="103"/>
      <c r="X44" s="103"/>
      <c r="Y44" s="103"/>
      <c r="Z44" s="103"/>
    </row>
    <row r="45" spans="1:26" ht="14.25" customHeight="1">
      <c r="A45" s="124" t="s">
        <v>4890</v>
      </c>
      <c r="B45" s="124" t="s">
        <v>984</v>
      </c>
      <c r="C45" s="103"/>
      <c r="D45" s="103"/>
      <c r="E45" s="103"/>
      <c r="F45" s="103"/>
      <c r="G45" s="103"/>
      <c r="H45" s="103"/>
      <c r="I45" s="103"/>
      <c r="J45" s="103"/>
      <c r="K45" s="103"/>
      <c r="L45" s="103"/>
      <c r="M45" s="103"/>
      <c r="N45" s="103"/>
      <c r="O45" s="103"/>
      <c r="P45" s="103"/>
      <c r="Q45" s="103"/>
      <c r="R45" s="103"/>
      <c r="S45" s="103"/>
      <c r="T45" s="103"/>
      <c r="U45" s="103"/>
      <c r="V45" s="103"/>
      <c r="W45" s="103"/>
      <c r="X45" s="103"/>
      <c r="Y45" s="103"/>
      <c r="Z45" s="103"/>
    </row>
    <row r="46" spans="1:26" ht="14.25" customHeight="1">
      <c r="A46" s="124" t="s">
        <v>5776</v>
      </c>
      <c r="B46" s="124" t="s">
        <v>984</v>
      </c>
      <c r="C46" s="103"/>
      <c r="D46" s="103"/>
      <c r="E46" s="103"/>
      <c r="F46" s="103"/>
      <c r="G46" s="103"/>
      <c r="H46" s="103"/>
      <c r="I46" s="103"/>
      <c r="J46" s="103"/>
      <c r="K46" s="103"/>
      <c r="L46" s="103"/>
      <c r="M46" s="103"/>
      <c r="N46" s="103"/>
      <c r="O46" s="103"/>
      <c r="P46" s="103"/>
      <c r="Q46" s="103"/>
      <c r="R46" s="103"/>
      <c r="S46" s="103"/>
      <c r="T46" s="103"/>
      <c r="U46" s="103"/>
      <c r="V46" s="103"/>
      <c r="W46" s="103"/>
      <c r="X46" s="103"/>
      <c r="Y46" s="103"/>
      <c r="Z46" s="103"/>
    </row>
    <row r="47" spans="1:26" ht="14.25" customHeight="1">
      <c r="A47" s="124" t="s">
        <v>4980</v>
      </c>
      <c r="B47" s="124" t="s">
        <v>5910</v>
      </c>
      <c r="C47" s="103"/>
      <c r="D47" s="103"/>
      <c r="E47" s="103"/>
      <c r="F47" s="103"/>
      <c r="G47" s="103"/>
      <c r="H47" s="103"/>
      <c r="I47" s="103"/>
      <c r="J47" s="103"/>
      <c r="K47" s="103"/>
      <c r="L47" s="103"/>
      <c r="M47" s="103"/>
      <c r="N47" s="103"/>
      <c r="O47" s="103"/>
      <c r="P47" s="103"/>
      <c r="Q47" s="103"/>
      <c r="R47" s="103"/>
      <c r="S47" s="103"/>
      <c r="T47" s="103"/>
      <c r="U47" s="103"/>
      <c r="V47" s="103"/>
      <c r="W47" s="103"/>
      <c r="X47" s="103"/>
      <c r="Y47" s="103"/>
      <c r="Z47" s="103"/>
    </row>
    <row r="48" spans="1:26" ht="14.25" customHeight="1">
      <c r="A48" s="124" t="s">
        <v>4980</v>
      </c>
      <c r="B48" s="124" t="s">
        <v>5909</v>
      </c>
      <c r="C48" s="103"/>
      <c r="D48" s="103"/>
      <c r="E48" s="103"/>
      <c r="F48" s="103"/>
      <c r="G48" s="103"/>
      <c r="H48" s="103"/>
      <c r="I48" s="103"/>
      <c r="J48" s="103"/>
      <c r="K48" s="103"/>
      <c r="L48" s="103"/>
      <c r="M48" s="103"/>
      <c r="N48" s="103"/>
      <c r="O48" s="103"/>
      <c r="P48" s="103"/>
      <c r="Q48" s="103"/>
      <c r="R48" s="103"/>
      <c r="S48" s="103"/>
      <c r="T48" s="103"/>
      <c r="U48" s="103"/>
      <c r="V48" s="103"/>
      <c r="W48" s="103"/>
      <c r="X48" s="103"/>
      <c r="Y48" s="103"/>
      <c r="Z48" s="103"/>
    </row>
    <row r="49" spans="1:26" ht="14.25" customHeight="1">
      <c r="A49" s="124" t="s">
        <v>4962</v>
      </c>
      <c r="B49" s="124" t="s">
        <v>984</v>
      </c>
      <c r="C49" s="103"/>
      <c r="D49" s="103"/>
      <c r="E49" s="103"/>
      <c r="F49" s="103"/>
      <c r="G49" s="103"/>
      <c r="H49" s="103"/>
      <c r="I49" s="103"/>
      <c r="J49" s="103"/>
      <c r="K49" s="103"/>
      <c r="L49" s="103"/>
      <c r="M49" s="103"/>
      <c r="N49" s="103"/>
      <c r="O49" s="103"/>
      <c r="P49" s="103"/>
      <c r="Q49" s="103"/>
      <c r="R49" s="103"/>
      <c r="S49" s="103"/>
      <c r="T49" s="103"/>
      <c r="U49" s="103"/>
      <c r="V49" s="103"/>
      <c r="W49" s="103"/>
      <c r="X49" s="103"/>
      <c r="Y49" s="103"/>
      <c r="Z49" s="103"/>
    </row>
    <row r="50" spans="1:26" ht="14.25" customHeight="1">
      <c r="A50" s="124" t="s">
        <v>5908</v>
      </c>
      <c r="B50" s="124" t="s">
        <v>5907</v>
      </c>
      <c r="C50" s="103"/>
      <c r="D50" s="103"/>
      <c r="E50" s="103"/>
      <c r="F50" s="103"/>
      <c r="G50" s="103"/>
      <c r="H50" s="103"/>
      <c r="I50" s="103"/>
      <c r="J50" s="103"/>
      <c r="K50" s="103"/>
      <c r="L50" s="103"/>
      <c r="M50" s="103"/>
      <c r="N50" s="103"/>
      <c r="O50" s="103"/>
      <c r="P50" s="103"/>
      <c r="Q50" s="103"/>
      <c r="R50" s="103"/>
      <c r="S50" s="103"/>
      <c r="T50" s="103"/>
      <c r="U50" s="103"/>
      <c r="V50" s="103"/>
      <c r="W50" s="103"/>
      <c r="X50" s="103"/>
      <c r="Y50" s="103"/>
      <c r="Z50" s="103"/>
    </row>
    <row r="51" spans="1:26" ht="14.25" customHeight="1">
      <c r="A51" s="124" t="s">
        <v>5906</v>
      </c>
      <c r="B51" s="124" t="s">
        <v>5905</v>
      </c>
      <c r="C51" s="103"/>
      <c r="D51" s="103"/>
      <c r="E51" s="103"/>
      <c r="F51" s="103"/>
      <c r="G51" s="103"/>
      <c r="H51" s="103"/>
      <c r="I51" s="103"/>
      <c r="J51" s="103"/>
      <c r="K51" s="103"/>
      <c r="L51" s="103"/>
      <c r="M51" s="103"/>
      <c r="N51" s="103"/>
      <c r="O51" s="103"/>
      <c r="P51" s="103"/>
      <c r="Q51" s="103"/>
      <c r="R51" s="103"/>
      <c r="S51" s="103"/>
      <c r="T51" s="103"/>
      <c r="U51" s="103"/>
      <c r="V51" s="103"/>
      <c r="W51" s="103"/>
      <c r="X51" s="103"/>
      <c r="Y51" s="103"/>
      <c r="Z51" s="103"/>
    </row>
    <row r="52" spans="1:26" ht="14.25" customHeight="1">
      <c r="A52" s="124" t="s">
        <v>4909</v>
      </c>
      <c r="B52" s="124" t="s">
        <v>5904</v>
      </c>
      <c r="C52" s="103"/>
      <c r="D52" s="103"/>
      <c r="E52" s="103"/>
      <c r="F52" s="103"/>
      <c r="G52" s="103"/>
      <c r="H52" s="103"/>
      <c r="I52" s="103"/>
      <c r="J52" s="103"/>
      <c r="K52" s="103"/>
      <c r="L52" s="103"/>
      <c r="M52" s="103"/>
      <c r="N52" s="103"/>
      <c r="O52" s="103"/>
      <c r="P52" s="103"/>
      <c r="Q52" s="103"/>
      <c r="R52" s="103"/>
      <c r="S52" s="103"/>
      <c r="T52" s="103"/>
      <c r="U52" s="103"/>
      <c r="V52" s="103"/>
      <c r="W52" s="103"/>
      <c r="X52" s="103"/>
      <c r="Y52" s="103"/>
      <c r="Z52" s="103"/>
    </row>
    <row r="53" spans="1:26" ht="14.25" customHeight="1">
      <c r="A53" s="124" t="s">
        <v>5903</v>
      </c>
      <c r="B53" s="124" t="s">
        <v>984</v>
      </c>
      <c r="C53" s="103"/>
      <c r="D53" s="103"/>
      <c r="E53" s="103"/>
      <c r="F53" s="103"/>
      <c r="G53" s="103"/>
      <c r="H53" s="103"/>
      <c r="I53" s="103"/>
      <c r="J53" s="103"/>
      <c r="K53" s="103"/>
      <c r="L53" s="103"/>
      <c r="M53" s="103"/>
      <c r="N53" s="103"/>
      <c r="O53" s="103"/>
      <c r="P53" s="103"/>
      <c r="Q53" s="103"/>
      <c r="R53" s="103"/>
      <c r="S53" s="103"/>
      <c r="T53" s="103"/>
      <c r="U53" s="103"/>
      <c r="V53" s="103"/>
      <c r="W53" s="103"/>
      <c r="X53" s="103"/>
      <c r="Y53" s="103"/>
      <c r="Z53" s="103"/>
    </row>
    <row r="54" spans="1:26" ht="14.25" customHeight="1">
      <c r="A54" s="124" t="s">
        <v>4884</v>
      </c>
      <c r="B54" s="124" t="s">
        <v>984</v>
      </c>
      <c r="C54" s="103"/>
      <c r="D54" s="103"/>
      <c r="E54" s="103"/>
      <c r="F54" s="103"/>
      <c r="G54" s="103"/>
      <c r="H54" s="103"/>
      <c r="I54" s="103"/>
      <c r="J54" s="103"/>
      <c r="K54" s="103"/>
      <c r="L54" s="103"/>
      <c r="M54" s="103"/>
      <c r="N54" s="103"/>
      <c r="O54" s="103"/>
      <c r="P54" s="103"/>
      <c r="Q54" s="103"/>
      <c r="R54" s="103"/>
      <c r="S54" s="103"/>
      <c r="T54" s="103"/>
      <c r="U54" s="103"/>
      <c r="V54" s="103"/>
      <c r="W54" s="103"/>
      <c r="X54" s="103"/>
      <c r="Y54" s="103"/>
      <c r="Z54" s="103"/>
    </row>
    <row r="55" spans="1:26" ht="14.25" customHeight="1">
      <c r="A55" s="103"/>
      <c r="B55" s="103"/>
      <c r="C55" s="103"/>
      <c r="D55" s="103"/>
      <c r="E55" s="103"/>
      <c r="F55" s="103"/>
      <c r="G55" s="103"/>
      <c r="H55" s="103"/>
      <c r="I55" s="103"/>
      <c r="J55" s="103"/>
      <c r="K55" s="103"/>
      <c r="L55" s="103"/>
      <c r="M55" s="103"/>
      <c r="N55" s="103"/>
      <c r="O55" s="103"/>
      <c r="P55" s="103"/>
      <c r="Q55" s="103"/>
      <c r="R55" s="103"/>
      <c r="S55" s="103"/>
      <c r="T55" s="103"/>
      <c r="U55" s="103"/>
      <c r="V55" s="103"/>
      <c r="W55" s="103"/>
      <c r="X55" s="103"/>
      <c r="Y55" s="103"/>
      <c r="Z55" s="103"/>
    </row>
    <row r="56" spans="1:26" ht="14.25" customHeight="1">
      <c r="A56" s="103"/>
      <c r="B56" s="103"/>
      <c r="C56" s="103"/>
      <c r="D56" s="103"/>
      <c r="E56" s="103"/>
      <c r="F56" s="103"/>
      <c r="G56" s="103"/>
      <c r="H56" s="103"/>
      <c r="I56" s="103"/>
      <c r="J56" s="103"/>
      <c r="K56" s="103"/>
      <c r="L56" s="103"/>
      <c r="M56" s="103"/>
      <c r="N56" s="103"/>
      <c r="O56" s="103"/>
      <c r="P56" s="103"/>
      <c r="Q56" s="103"/>
      <c r="R56" s="103"/>
      <c r="S56" s="103"/>
      <c r="T56" s="103"/>
      <c r="U56" s="103"/>
      <c r="V56" s="103"/>
      <c r="W56" s="103"/>
      <c r="X56" s="103"/>
      <c r="Y56" s="103"/>
      <c r="Z56" s="103"/>
    </row>
    <row r="57" spans="1:26" ht="14.25" customHeight="1">
      <c r="A57" s="103"/>
      <c r="B57" s="103"/>
      <c r="C57" s="103"/>
      <c r="D57" s="103"/>
      <c r="E57" s="103"/>
      <c r="F57" s="103"/>
      <c r="G57" s="103"/>
      <c r="H57" s="103"/>
      <c r="I57" s="103"/>
      <c r="J57" s="103"/>
      <c r="K57" s="103"/>
      <c r="L57" s="103"/>
      <c r="M57" s="103"/>
      <c r="N57" s="103"/>
      <c r="O57" s="103"/>
      <c r="P57" s="103"/>
      <c r="Q57" s="103"/>
      <c r="R57" s="103"/>
      <c r="S57" s="103"/>
      <c r="T57" s="103"/>
      <c r="U57" s="103"/>
      <c r="V57" s="103"/>
      <c r="W57" s="103"/>
      <c r="X57" s="103"/>
      <c r="Y57" s="103"/>
      <c r="Z57" s="103"/>
    </row>
    <row r="58" spans="1:26" ht="14.25" customHeight="1">
      <c r="A58" s="103"/>
      <c r="B58" s="103"/>
      <c r="C58" s="103"/>
      <c r="D58" s="103"/>
      <c r="E58" s="103"/>
      <c r="F58" s="103"/>
      <c r="G58" s="103"/>
      <c r="H58" s="103"/>
      <c r="I58" s="103"/>
      <c r="J58" s="103"/>
      <c r="K58" s="103"/>
      <c r="L58" s="103"/>
      <c r="M58" s="103"/>
      <c r="N58" s="103"/>
      <c r="O58" s="103"/>
      <c r="P58" s="103"/>
      <c r="Q58" s="103"/>
      <c r="R58" s="103"/>
      <c r="S58" s="103"/>
      <c r="T58" s="103"/>
      <c r="U58" s="103"/>
      <c r="V58" s="103"/>
      <c r="W58" s="103"/>
      <c r="X58" s="103"/>
      <c r="Y58" s="103"/>
      <c r="Z58" s="103"/>
    </row>
    <row r="59" spans="1:26" ht="14.25" customHeight="1">
      <c r="A59" s="103"/>
      <c r="B59" s="103"/>
      <c r="C59" s="103"/>
      <c r="D59" s="103"/>
      <c r="E59" s="103"/>
      <c r="F59" s="103"/>
      <c r="G59" s="103"/>
      <c r="H59" s="103"/>
      <c r="I59" s="103"/>
      <c r="J59" s="103"/>
      <c r="K59" s="103"/>
      <c r="L59" s="103"/>
      <c r="M59" s="103"/>
      <c r="N59" s="103"/>
      <c r="O59" s="103"/>
      <c r="P59" s="103"/>
      <c r="Q59" s="103"/>
      <c r="R59" s="103"/>
      <c r="S59" s="103"/>
      <c r="T59" s="103"/>
      <c r="U59" s="103"/>
      <c r="V59" s="103"/>
      <c r="W59" s="103"/>
      <c r="X59" s="103"/>
      <c r="Y59" s="103"/>
      <c r="Z59" s="103"/>
    </row>
    <row r="60" spans="1:26" ht="14.25" customHeight="1">
      <c r="A60" s="103"/>
      <c r="B60" s="103"/>
      <c r="C60" s="103"/>
      <c r="D60" s="103"/>
      <c r="E60" s="103"/>
      <c r="F60" s="103"/>
      <c r="G60" s="103"/>
      <c r="H60" s="103"/>
      <c r="I60" s="103"/>
      <c r="J60" s="103"/>
      <c r="K60" s="103"/>
      <c r="L60" s="103"/>
      <c r="M60" s="103"/>
      <c r="N60" s="103"/>
      <c r="O60" s="103"/>
      <c r="P60" s="103"/>
      <c r="Q60" s="103"/>
      <c r="R60" s="103"/>
      <c r="S60" s="103"/>
      <c r="T60" s="103"/>
      <c r="U60" s="103"/>
      <c r="V60" s="103"/>
      <c r="W60" s="103"/>
      <c r="X60" s="103"/>
      <c r="Y60" s="103"/>
      <c r="Z60" s="103"/>
    </row>
    <row r="61" spans="1:26" ht="14.25" customHeight="1">
      <c r="A61" s="103"/>
      <c r="B61" s="103"/>
      <c r="C61" s="103"/>
      <c r="D61" s="103"/>
      <c r="E61" s="103"/>
      <c r="F61" s="103"/>
      <c r="G61" s="103"/>
      <c r="H61" s="103"/>
      <c r="I61" s="103"/>
      <c r="J61" s="103"/>
      <c r="K61" s="103"/>
      <c r="L61" s="103"/>
      <c r="M61" s="103"/>
      <c r="N61" s="103"/>
      <c r="O61" s="103"/>
      <c r="P61" s="103"/>
      <c r="Q61" s="103"/>
      <c r="R61" s="103"/>
      <c r="S61" s="103"/>
      <c r="T61" s="103"/>
      <c r="U61" s="103"/>
      <c r="V61" s="103"/>
      <c r="W61" s="103"/>
      <c r="X61" s="103"/>
      <c r="Y61" s="103"/>
      <c r="Z61" s="103"/>
    </row>
    <row r="62" spans="1:26" ht="14.25" customHeight="1">
      <c r="A62" s="103"/>
      <c r="B62" s="103"/>
      <c r="C62" s="103"/>
      <c r="D62" s="103"/>
      <c r="E62" s="103"/>
      <c r="F62" s="103"/>
      <c r="G62" s="103"/>
      <c r="H62" s="103"/>
      <c r="I62" s="103"/>
      <c r="J62" s="103"/>
      <c r="K62" s="103"/>
      <c r="L62" s="103"/>
      <c r="M62" s="103"/>
      <c r="N62" s="103"/>
      <c r="O62" s="103"/>
      <c r="P62" s="103"/>
      <c r="Q62" s="103"/>
      <c r="R62" s="103"/>
      <c r="S62" s="103"/>
      <c r="T62" s="103"/>
      <c r="U62" s="103"/>
      <c r="V62" s="103"/>
      <c r="W62" s="103"/>
      <c r="X62" s="103"/>
      <c r="Y62" s="103"/>
      <c r="Z62" s="103"/>
    </row>
    <row r="63" spans="1:26" ht="14.25" customHeight="1">
      <c r="A63" s="103"/>
      <c r="B63" s="103"/>
      <c r="C63" s="103"/>
      <c r="D63" s="103"/>
      <c r="E63" s="103"/>
      <c r="F63" s="103"/>
      <c r="G63" s="103"/>
      <c r="H63" s="103"/>
      <c r="I63" s="103"/>
      <c r="J63" s="103"/>
      <c r="K63" s="103"/>
      <c r="L63" s="103"/>
      <c r="M63" s="103"/>
      <c r="N63" s="103"/>
      <c r="O63" s="103"/>
      <c r="P63" s="103"/>
      <c r="Q63" s="103"/>
      <c r="R63" s="103"/>
      <c r="S63" s="103"/>
      <c r="T63" s="103"/>
      <c r="U63" s="103"/>
      <c r="V63" s="103"/>
      <c r="W63" s="103"/>
      <c r="X63" s="103"/>
      <c r="Y63" s="103"/>
      <c r="Z63" s="103"/>
    </row>
    <row r="64" spans="1:26" ht="14.25" customHeight="1">
      <c r="A64" s="103"/>
      <c r="B64" s="103"/>
      <c r="C64" s="103"/>
      <c r="D64" s="103"/>
      <c r="E64" s="103"/>
      <c r="F64" s="103"/>
      <c r="G64" s="103"/>
      <c r="H64" s="103"/>
      <c r="I64" s="103"/>
      <c r="J64" s="103"/>
      <c r="K64" s="103"/>
      <c r="L64" s="103"/>
      <c r="M64" s="103"/>
      <c r="N64" s="103"/>
      <c r="O64" s="103"/>
      <c r="P64" s="103"/>
      <c r="Q64" s="103"/>
      <c r="R64" s="103"/>
      <c r="S64" s="103"/>
      <c r="T64" s="103"/>
      <c r="U64" s="103"/>
      <c r="V64" s="103"/>
      <c r="W64" s="103"/>
      <c r="X64" s="103"/>
      <c r="Y64" s="103"/>
      <c r="Z64" s="103"/>
    </row>
    <row r="65" spans="1:26" ht="14.25" customHeight="1">
      <c r="A65" s="103"/>
      <c r="B65" s="103"/>
      <c r="C65" s="103"/>
      <c r="D65" s="103"/>
      <c r="E65" s="103"/>
      <c r="F65" s="103"/>
      <c r="G65" s="103"/>
      <c r="H65" s="103"/>
      <c r="I65" s="103"/>
      <c r="J65" s="103"/>
      <c r="K65" s="103"/>
      <c r="L65" s="103"/>
      <c r="M65" s="103"/>
      <c r="N65" s="103"/>
      <c r="O65" s="103"/>
      <c r="P65" s="103"/>
      <c r="Q65" s="103"/>
      <c r="R65" s="103"/>
      <c r="S65" s="103"/>
      <c r="T65" s="103"/>
      <c r="U65" s="103"/>
      <c r="V65" s="103"/>
      <c r="W65" s="103"/>
      <c r="X65" s="103"/>
      <c r="Y65" s="103"/>
      <c r="Z65" s="103"/>
    </row>
    <row r="66" spans="1:26" ht="14.25" customHeight="1">
      <c r="A66" s="103"/>
      <c r="B66" s="103"/>
      <c r="C66" s="103"/>
      <c r="D66" s="103"/>
      <c r="E66" s="103"/>
      <c r="F66" s="103"/>
      <c r="G66" s="103"/>
      <c r="H66" s="103"/>
      <c r="I66" s="103"/>
      <c r="J66" s="103"/>
      <c r="K66" s="103"/>
      <c r="L66" s="103"/>
      <c r="M66" s="103"/>
      <c r="N66" s="103"/>
      <c r="O66" s="103"/>
      <c r="P66" s="103"/>
      <c r="Q66" s="103"/>
      <c r="R66" s="103"/>
      <c r="S66" s="103"/>
      <c r="T66" s="103"/>
      <c r="U66" s="103"/>
      <c r="V66" s="103"/>
      <c r="W66" s="103"/>
      <c r="X66" s="103"/>
      <c r="Y66" s="103"/>
      <c r="Z66" s="103"/>
    </row>
    <row r="67" spans="1:26" ht="14.25" customHeight="1">
      <c r="A67" s="103"/>
      <c r="B67" s="103"/>
      <c r="C67" s="103"/>
      <c r="D67" s="103"/>
      <c r="E67" s="103"/>
      <c r="F67" s="103"/>
      <c r="G67" s="103"/>
      <c r="H67" s="103"/>
      <c r="I67" s="103"/>
      <c r="J67" s="103"/>
      <c r="K67" s="103"/>
      <c r="L67" s="103"/>
      <c r="M67" s="103"/>
      <c r="N67" s="103"/>
      <c r="O67" s="103"/>
      <c r="P67" s="103"/>
      <c r="Q67" s="103"/>
      <c r="R67" s="103"/>
      <c r="S67" s="103"/>
      <c r="T67" s="103"/>
      <c r="U67" s="103"/>
      <c r="V67" s="103"/>
      <c r="W67" s="103"/>
      <c r="X67" s="103"/>
      <c r="Y67" s="103"/>
      <c r="Z67" s="103"/>
    </row>
    <row r="68" spans="1:26" ht="14.25" customHeight="1">
      <c r="A68" s="103"/>
      <c r="B68" s="103"/>
      <c r="C68" s="103"/>
      <c r="D68" s="103"/>
      <c r="E68" s="103"/>
      <c r="F68" s="103"/>
      <c r="G68" s="103"/>
      <c r="H68" s="103"/>
      <c r="I68" s="103"/>
      <c r="J68" s="103"/>
      <c r="K68" s="103"/>
      <c r="L68" s="103"/>
      <c r="M68" s="103"/>
      <c r="N68" s="103"/>
      <c r="O68" s="103"/>
      <c r="P68" s="103"/>
      <c r="Q68" s="103"/>
      <c r="R68" s="103"/>
      <c r="S68" s="103"/>
      <c r="T68" s="103"/>
      <c r="U68" s="103"/>
      <c r="V68" s="103"/>
      <c r="W68" s="103"/>
      <c r="X68" s="103"/>
      <c r="Y68" s="103"/>
      <c r="Z68" s="103"/>
    </row>
    <row r="69" spans="1:26" ht="14.25" customHeight="1">
      <c r="A69" s="103"/>
      <c r="B69" s="103"/>
      <c r="C69" s="103"/>
      <c r="D69" s="103"/>
      <c r="E69" s="103"/>
      <c r="F69" s="103"/>
      <c r="G69" s="103"/>
      <c r="H69" s="103"/>
      <c r="I69" s="103"/>
      <c r="J69" s="103"/>
      <c r="K69" s="103"/>
      <c r="L69" s="103"/>
      <c r="M69" s="103"/>
      <c r="N69" s="103"/>
      <c r="O69" s="103"/>
      <c r="P69" s="103"/>
      <c r="Q69" s="103"/>
      <c r="R69" s="103"/>
      <c r="S69" s="103"/>
      <c r="T69" s="103"/>
      <c r="U69" s="103"/>
      <c r="V69" s="103"/>
      <c r="W69" s="103"/>
      <c r="X69" s="103"/>
      <c r="Y69" s="103"/>
      <c r="Z69" s="103"/>
    </row>
    <row r="70" spans="1:26" ht="14.25" customHeight="1">
      <c r="A70" s="103"/>
      <c r="B70" s="103"/>
      <c r="C70" s="103"/>
      <c r="D70" s="103"/>
      <c r="E70" s="103"/>
      <c r="F70" s="103"/>
      <c r="G70" s="103"/>
      <c r="H70" s="103"/>
      <c r="I70" s="103"/>
      <c r="J70" s="103"/>
      <c r="K70" s="103"/>
      <c r="L70" s="103"/>
      <c r="M70" s="103"/>
      <c r="N70" s="103"/>
      <c r="O70" s="103"/>
      <c r="P70" s="103"/>
      <c r="Q70" s="103"/>
      <c r="R70" s="103"/>
      <c r="S70" s="103"/>
      <c r="T70" s="103"/>
      <c r="U70" s="103"/>
      <c r="V70" s="103"/>
      <c r="W70" s="103"/>
      <c r="X70" s="103"/>
      <c r="Y70" s="103"/>
      <c r="Z70" s="103"/>
    </row>
    <row r="71" spans="1:26" ht="14.25" customHeight="1">
      <c r="A71" s="103"/>
      <c r="B71" s="103"/>
      <c r="C71" s="103"/>
      <c r="D71" s="103"/>
      <c r="E71" s="103"/>
      <c r="F71" s="103"/>
      <c r="G71" s="103"/>
      <c r="H71" s="103"/>
      <c r="I71" s="103"/>
      <c r="J71" s="103"/>
      <c r="K71" s="103"/>
      <c r="L71" s="103"/>
      <c r="M71" s="103"/>
      <c r="N71" s="103"/>
      <c r="O71" s="103"/>
      <c r="P71" s="103"/>
      <c r="Q71" s="103"/>
      <c r="R71" s="103"/>
      <c r="S71" s="103"/>
      <c r="T71" s="103"/>
      <c r="U71" s="103"/>
      <c r="V71" s="103"/>
      <c r="W71" s="103"/>
      <c r="X71" s="103"/>
      <c r="Y71" s="103"/>
      <c r="Z71" s="103"/>
    </row>
    <row r="72" spans="1:26" ht="14.25" customHeight="1">
      <c r="A72" s="103"/>
      <c r="B72" s="103"/>
      <c r="C72" s="103"/>
      <c r="D72" s="103"/>
      <c r="E72" s="103"/>
      <c r="F72" s="103"/>
      <c r="G72" s="103"/>
      <c r="H72" s="103"/>
      <c r="I72" s="103"/>
      <c r="J72" s="103"/>
      <c r="K72" s="103"/>
      <c r="L72" s="103"/>
      <c r="M72" s="103"/>
      <c r="N72" s="103"/>
      <c r="O72" s="103"/>
      <c r="P72" s="103"/>
      <c r="Q72" s="103"/>
      <c r="R72" s="103"/>
      <c r="S72" s="103"/>
      <c r="T72" s="103"/>
      <c r="U72" s="103"/>
      <c r="V72" s="103"/>
      <c r="W72" s="103"/>
      <c r="X72" s="103"/>
      <c r="Y72" s="103"/>
      <c r="Z72" s="103"/>
    </row>
    <row r="73" spans="1:26" ht="14.25" customHeight="1">
      <c r="A73" s="103"/>
      <c r="B73" s="103"/>
      <c r="C73" s="103"/>
      <c r="D73" s="103"/>
      <c r="E73" s="103"/>
      <c r="F73" s="103"/>
      <c r="G73" s="103"/>
      <c r="H73" s="103"/>
      <c r="I73" s="103"/>
      <c r="J73" s="103"/>
      <c r="K73" s="103"/>
      <c r="L73" s="103"/>
      <c r="M73" s="103"/>
      <c r="N73" s="103"/>
      <c r="O73" s="103"/>
      <c r="P73" s="103"/>
      <c r="Q73" s="103"/>
      <c r="R73" s="103"/>
      <c r="S73" s="103"/>
      <c r="T73" s="103"/>
      <c r="U73" s="103"/>
      <c r="V73" s="103"/>
      <c r="W73" s="103"/>
      <c r="X73" s="103"/>
      <c r="Y73" s="103"/>
      <c r="Z73" s="103"/>
    </row>
    <row r="74" spans="1:26" ht="14.25" customHeight="1">
      <c r="A74" s="103"/>
      <c r="B74" s="103"/>
      <c r="C74" s="103"/>
      <c r="D74" s="103"/>
      <c r="E74" s="103"/>
      <c r="F74" s="103"/>
      <c r="G74" s="103"/>
      <c r="H74" s="103"/>
      <c r="I74" s="103"/>
      <c r="J74" s="103"/>
      <c r="K74" s="103"/>
      <c r="L74" s="103"/>
      <c r="M74" s="103"/>
      <c r="N74" s="103"/>
      <c r="O74" s="103"/>
      <c r="P74" s="103"/>
      <c r="Q74" s="103"/>
      <c r="R74" s="103"/>
      <c r="S74" s="103"/>
      <c r="T74" s="103"/>
      <c r="U74" s="103"/>
      <c r="V74" s="103"/>
      <c r="W74" s="103"/>
      <c r="X74" s="103"/>
      <c r="Y74" s="103"/>
      <c r="Z74" s="103"/>
    </row>
    <row r="75" spans="1:26" ht="14.25" customHeight="1">
      <c r="A75" s="103"/>
      <c r="B75" s="103"/>
      <c r="C75" s="103"/>
      <c r="D75" s="103"/>
      <c r="E75" s="103"/>
      <c r="F75" s="103"/>
      <c r="G75" s="103"/>
      <c r="H75" s="103"/>
      <c r="I75" s="103"/>
      <c r="J75" s="103"/>
      <c r="K75" s="103"/>
      <c r="L75" s="103"/>
      <c r="M75" s="103"/>
      <c r="N75" s="103"/>
      <c r="O75" s="103"/>
      <c r="P75" s="103"/>
      <c r="Q75" s="103"/>
      <c r="R75" s="103"/>
      <c r="S75" s="103"/>
      <c r="T75" s="103"/>
      <c r="U75" s="103"/>
      <c r="V75" s="103"/>
      <c r="W75" s="103"/>
      <c r="X75" s="103"/>
      <c r="Y75" s="103"/>
      <c r="Z75" s="103"/>
    </row>
    <row r="76" spans="1:26" ht="14.25" customHeight="1">
      <c r="A76" s="103"/>
      <c r="B76" s="103"/>
      <c r="C76" s="103"/>
      <c r="D76" s="103"/>
      <c r="E76" s="103"/>
      <c r="F76" s="103"/>
      <c r="G76" s="103"/>
      <c r="H76" s="103"/>
      <c r="I76" s="103"/>
      <c r="J76" s="103"/>
      <c r="K76" s="103"/>
      <c r="L76" s="103"/>
      <c r="M76" s="103"/>
      <c r="N76" s="103"/>
      <c r="O76" s="103"/>
      <c r="P76" s="103"/>
      <c r="Q76" s="103"/>
      <c r="R76" s="103"/>
      <c r="S76" s="103"/>
      <c r="T76" s="103"/>
      <c r="U76" s="103"/>
      <c r="V76" s="103"/>
      <c r="W76" s="103"/>
      <c r="X76" s="103"/>
      <c r="Y76" s="103"/>
      <c r="Z76" s="103"/>
    </row>
    <row r="77" spans="1:26" ht="14.25" customHeight="1">
      <c r="A77" s="103"/>
      <c r="B77" s="103"/>
      <c r="C77" s="103"/>
      <c r="D77" s="103"/>
      <c r="E77" s="103"/>
      <c r="F77" s="103"/>
      <c r="G77" s="103"/>
      <c r="H77" s="103"/>
      <c r="I77" s="103"/>
      <c r="J77" s="103"/>
      <c r="K77" s="103"/>
      <c r="L77" s="103"/>
      <c r="M77" s="103"/>
      <c r="N77" s="103"/>
      <c r="O77" s="103"/>
      <c r="P77" s="103"/>
      <c r="Q77" s="103"/>
      <c r="R77" s="103"/>
      <c r="S77" s="103"/>
      <c r="T77" s="103"/>
      <c r="U77" s="103"/>
      <c r="V77" s="103"/>
      <c r="W77" s="103"/>
      <c r="X77" s="103"/>
      <c r="Y77" s="103"/>
      <c r="Z77" s="103"/>
    </row>
    <row r="78" spans="1:26" ht="14.25" customHeight="1">
      <c r="A78" s="103"/>
      <c r="B78" s="103"/>
      <c r="C78" s="103"/>
      <c r="D78" s="103"/>
      <c r="E78" s="103"/>
      <c r="F78" s="103"/>
      <c r="G78" s="103"/>
      <c r="H78" s="103"/>
      <c r="I78" s="103"/>
      <c r="J78" s="103"/>
      <c r="K78" s="103"/>
      <c r="L78" s="103"/>
      <c r="M78" s="103"/>
      <c r="N78" s="103"/>
      <c r="O78" s="103"/>
      <c r="P78" s="103"/>
      <c r="Q78" s="103"/>
      <c r="R78" s="103"/>
      <c r="S78" s="103"/>
      <c r="T78" s="103"/>
      <c r="U78" s="103"/>
      <c r="V78" s="103"/>
      <c r="W78" s="103"/>
      <c r="X78" s="103"/>
      <c r="Y78" s="103"/>
      <c r="Z78" s="103"/>
    </row>
    <row r="79" spans="1:26" ht="14.25" customHeight="1">
      <c r="A79" s="103"/>
      <c r="B79" s="103"/>
      <c r="C79" s="103"/>
      <c r="D79" s="103"/>
      <c r="E79" s="103"/>
      <c r="F79" s="103"/>
      <c r="G79" s="103"/>
      <c r="H79" s="103"/>
      <c r="I79" s="103"/>
      <c r="J79" s="103"/>
      <c r="K79" s="103"/>
      <c r="L79" s="103"/>
      <c r="M79" s="103"/>
      <c r="N79" s="103"/>
      <c r="O79" s="103"/>
      <c r="P79" s="103"/>
      <c r="Q79" s="103"/>
      <c r="R79" s="103"/>
      <c r="S79" s="103"/>
      <c r="T79" s="103"/>
      <c r="U79" s="103"/>
      <c r="V79" s="103"/>
      <c r="W79" s="103"/>
      <c r="X79" s="103"/>
      <c r="Y79" s="103"/>
      <c r="Z79" s="103"/>
    </row>
    <row r="80" spans="1:26" ht="14.25" customHeight="1">
      <c r="A80" s="103"/>
      <c r="B80" s="103"/>
      <c r="C80" s="103"/>
      <c r="D80" s="103"/>
      <c r="E80" s="103"/>
      <c r="F80" s="103"/>
      <c r="G80" s="103"/>
      <c r="H80" s="103"/>
      <c r="I80" s="103"/>
      <c r="J80" s="103"/>
      <c r="K80" s="103"/>
      <c r="L80" s="103"/>
      <c r="M80" s="103"/>
      <c r="N80" s="103"/>
      <c r="O80" s="103"/>
      <c r="P80" s="103"/>
      <c r="Q80" s="103"/>
      <c r="R80" s="103"/>
      <c r="S80" s="103"/>
      <c r="T80" s="103"/>
      <c r="U80" s="103"/>
      <c r="V80" s="103"/>
      <c r="W80" s="103"/>
      <c r="X80" s="103"/>
      <c r="Y80" s="103"/>
      <c r="Z80" s="103"/>
    </row>
    <row r="81" spans="1:26" ht="14.25" customHeight="1">
      <c r="A81" s="103"/>
      <c r="B81" s="103"/>
      <c r="C81" s="103"/>
      <c r="D81" s="103"/>
      <c r="E81" s="103"/>
      <c r="F81" s="103"/>
      <c r="G81" s="103"/>
      <c r="H81" s="103"/>
      <c r="I81" s="103"/>
      <c r="J81" s="103"/>
      <c r="K81" s="103"/>
      <c r="L81" s="103"/>
      <c r="M81" s="103"/>
      <c r="N81" s="103"/>
      <c r="O81" s="103"/>
      <c r="P81" s="103"/>
      <c r="Q81" s="103"/>
      <c r="R81" s="103"/>
      <c r="S81" s="103"/>
      <c r="T81" s="103"/>
      <c r="U81" s="103"/>
      <c r="V81" s="103"/>
      <c r="W81" s="103"/>
      <c r="X81" s="103"/>
      <c r="Y81" s="103"/>
      <c r="Z81" s="103"/>
    </row>
    <row r="82" spans="1:26" ht="14.25" customHeight="1">
      <c r="A82" s="103"/>
      <c r="B82" s="103"/>
      <c r="C82" s="103"/>
      <c r="D82" s="103"/>
      <c r="E82" s="103"/>
      <c r="F82" s="103"/>
      <c r="G82" s="103"/>
      <c r="H82" s="103"/>
      <c r="I82" s="103"/>
      <c r="J82" s="103"/>
      <c r="K82" s="103"/>
      <c r="L82" s="103"/>
      <c r="M82" s="103"/>
      <c r="N82" s="103"/>
      <c r="O82" s="103"/>
      <c r="P82" s="103"/>
      <c r="Q82" s="103"/>
      <c r="R82" s="103"/>
      <c r="S82" s="103"/>
      <c r="T82" s="103"/>
      <c r="U82" s="103"/>
      <c r="V82" s="103"/>
      <c r="W82" s="103"/>
      <c r="X82" s="103"/>
      <c r="Y82" s="103"/>
      <c r="Z82" s="103"/>
    </row>
    <row r="83" spans="1:26" ht="14.25" customHeight="1">
      <c r="A83" s="103"/>
      <c r="B83" s="103"/>
      <c r="C83" s="103"/>
      <c r="D83" s="103"/>
      <c r="E83" s="103"/>
      <c r="F83" s="103"/>
      <c r="G83" s="103"/>
      <c r="H83" s="103"/>
      <c r="I83" s="103"/>
      <c r="J83" s="103"/>
      <c r="K83" s="103"/>
      <c r="L83" s="103"/>
      <c r="M83" s="103"/>
      <c r="N83" s="103"/>
      <c r="O83" s="103"/>
      <c r="P83" s="103"/>
      <c r="Q83" s="103"/>
      <c r="R83" s="103"/>
      <c r="S83" s="103"/>
      <c r="T83" s="103"/>
      <c r="U83" s="103"/>
      <c r="V83" s="103"/>
      <c r="W83" s="103"/>
      <c r="X83" s="103"/>
      <c r="Y83" s="103"/>
      <c r="Z83" s="103"/>
    </row>
    <row r="84" spans="1:26" ht="14.25" customHeight="1">
      <c r="A84" s="103"/>
      <c r="B84" s="103"/>
      <c r="C84" s="103"/>
      <c r="D84" s="103"/>
      <c r="E84" s="103"/>
      <c r="F84" s="103"/>
      <c r="G84" s="103"/>
      <c r="H84" s="103"/>
      <c r="I84" s="103"/>
      <c r="J84" s="103"/>
      <c r="K84" s="103"/>
      <c r="L84" s="103"/>
      <c r="M84" s="103"/>
      <c r="N84" s="103"/>
      <c r="O84" s="103"/>
      <c r="P84" s="103"/>
      <c r="Q84" s="103"/>
      <c r="R84" s="103"/>
      <c r="S84" s="103"/>
      <c r="T84" s="103"/>
      <c r="U84" s="103"/>
      <c r="V84" s="103"/>
      <c r="W84" s="103"/>
      <c r="X84" s="103"/>
      <c r="Y84" s="103"/>
      <c r="Z84" s="103"/>
    </row>
    <row r="85" spans="1:26" ht="14.25" customHeight="1">
      <c r="A85" s="103"/>
      <c r="B85" s="103"/>
      <c r="C85" s="103"/>
      <c r="D85" s="103"/>
      <c r="E85" s="103"/>
      <c r="F85" s="103"/>
      <c r="G85" s="103"/>
      <c r="H85" s="103"/>
      <c r="I85" s="103"/>
      <c r="J85" s="103"/>
      <c r="K85" s="103"/>
      <c r="L85" s="103"/>
      <c r="M85" s="103"/>
      <c r="N85" s="103"/>
      <c r="O85" s="103"/>
      <c r="P85" s="103"/>
      <c r="Q85" s="103"/>
      <c r="R85" s="103"/>
      <c r="S85" s="103"/>
      <c r="T85" s="103"/>
      <c r="U85" s="103"/>
      <c r="V85" s="103"/>
      <c r="W85" s="103"/>
      <c r="X85" s="103"/>
      <c r="Y85" s="103"/>
      <c r="Z85" s="103"/>
    </row>
    <row r="86" spans="1:26" ht="14.25" customHeight="1">
      <c r="A86" s="103"/>
      <c r="B86" s="103"/>
      <c r="C86" s="103"/>
      <c r="D86" s="103"/>
      <c r="E86" s="103"/>
      <c r="F86" s="103"/>
      <c r="G86" s="103"/>
      <c r="H86" s="103"/>
      <c r="I86" s="103"/>
      <c r="J86" s="103"/>
      <c r="K86" s="103"/>
      <c r="L86" s="103"/>
      <c r="M86" s="103"/>
      <c r="N86" s="103"/>
      <c r="O86" s="103"/>
      <c r="P86" s="103"/>
      <c r="Q86" s="103"/>
      <c r="R86" s="103"/>
      <c r="S86" s="103"/>
      <c r="T86" s="103"/>
      <c r="U86" s="103"/>
      <c r="V86" s="103"/>
      <c r="W86" s="103"/>
      <c r="X86" s="103"/>
      <c r="Y86" s="103"/>
      <c r="Z86" s="103"/>
    </row>
    <row r="87" spans="1:26" ht="14.25" customHeight="1">
      <c r="A87" s="103"/>
      <c r="B87" s="103"/>
      <c r="C87" s="103"/>
      <c r="D87" s="103"/>
      <c r="E87" s="103"/>
      <c r="F87" s="103"/>
      <c r="G87" s="103"/>
      <c r="H87" s="103"/>
      <c r="I87" s="103"/>
      <c r="J87" s="103"/>
      <c r="K87" s="103"/>
      <c r="L87" s="103"/>
      <c r="M87" s="103"/>
      <c r="N87" s="103"/>
      <c r="O87" s="103"/>
      <c r="P87" s="103"/>
      <c r="Q87" s="103"/>
      <c r="R87" s="103"/>
      <c r="S87" s="103"/>
      <c r="T87" s="103"/>
      <c r="U87" s="103"/>
      <c r="V87" s="103"/>
      <c r="W87" s="103"/>
      <c r="X87" s="103"/>
      <c r="Y87" s="103"/>
      <c r="Z87" s="103"/>
    </row>
    <row r="88" spans="1:26" ht="14.25" customHeight="1">
      <c r="A88" s="103"/>
      <c r="B88" s="103"/>
      <c r="C88" s="103"/>
      <c r="D88" s="103"/>
      <c r="E88" s="103"/>
      <c r="F88" s="103"/>
      <c r="G88" s="103"/>
      <c r="H88" s="103"/>
      <c r="I88" s="103"/>
      <c r="J88" s="103"/>
      <c r="K88" s="103"/>
      <c r="L88" s="103"/>
      <c r="M88" s="103"/>
      <c r="N88" s="103"/>
      <c r="O88" s="103"/>
      <c r="P88" s="103"/>
      <c r="Q88" s="103"/>
      <c r="R88" s="103"/>
      <c r="S88" s="103"/>
      <c r="T88" s="103"/>
      <c r="U88" s="103"/>
      <c r="V88" s="103"/>
      <c r="W88" s="103"/>
      <c r="X88" s="103"/>
      <c r="Y88" s="103"/>
      <c r="Z88" s="103"/>
    </row>
    <row r="89" spans="1:26" ht="14.25" customHeight="1">
      <c r="A89" s="103"/>
      <c r="B89" s="103"/>
      <c r="C89" s="103"/>
      <c r="D89" s="103"/>
      <c r="E89" s="103"/>
      <c r="F89" s="103"/>
      <c r="G89" s="103"/>
      <c r="H89" s="103"/>
      <c r="I89" s="103"/>
      <c r="J89" s="103"/>
      <c r="K89" s="103"/>
      <c r="L89" s="103"/>
      <c r="M89" s="103"/>
      <c r="N89" s="103"/>
      <c r="O89" s="103"/>
      <c r="P89" s="103"/>
      <c r="Q89" s="103"/>
      <c r="R89" s="103"/>
      <c r="S89" s="103"/>
      <c r="T89" s="103"/>
      <c r="U89" s="103"/>
      <c r="V89" s="103"/>
      <c r="W89" s="103"/>
      <c r="X89" s="103"/>
      <c r="Y89" s="103"/>
      <c r="Z89" s="103"/>
    </row>
    <row r="90" spans="1:26" ht="14.25" customHeight="1">
      <c r="A90" s="103"/>
      <c r="B90" s="103"/>
      <c r="C90" s="103"/>
      <c r="D90" s="103"/>
      <c r="E90" s="103"/>
      <c r="F90" s="103"/>
      <c r="G90" s="103"/>
      <c r="H90" s="103"/>
      <c r="I90" s="103"/>
      <c r="J90" s="103"/>
      <c r="K90" s="103"/>
      <c r="L90" s="103"/>
      <c r="M90" s="103"/>
      <c r="N90" s="103"/>
      <c r="O90" s="103"/>
      <c r="P90" s="103"/>
      <c r="Q90" s="103"/>
      <c r="R90" s="103"/>
      <c r="S90" s="103"/>
      <c r="T90" s="103"/>
      <c r="U90" s="103"/>
      <c r="V90" s="103"/>
      <c r="W90" s="103"/>
      <c r="X90" s="103"/>
      <c r="Y90" s="103"/>
      <c r="Z90" s="103"/>
    </row>
    <row r="91" spans="1:26" ht="14.25" customHeight="1">
      <c r="A91" s="103"/>
      <c r="B91" s="103"/>
      <c r="C91" s="103"/>
      <c r="D91" s="103"/>
      <c r="E91" s="103"/>
      <c r="F91" s="103"/>
      <c r="G91" s="103"/>
      <c r="H91" s="103"/>
      <c r="I91" s="103"/>
      <c r="J91" s="103"/>
      <c r="K91" s="103"/>
      <c r="L91" s="103"/>
      <c r="M91" s="103"/>
      <c r="N91" s="103"/>
      <c r="O91" s="103"/>
      <c r="P91" s="103"/>
      <c r="Q91" s="103"/>
      <c r="R91" s="103"/>
      <c r="S91" s="103"/>
      <c r="T91" s="103"/>
      <c r="U91" s="103"/>
      <c r="V91" s="103"/>
      <c r="W91" s="103"/>
      <c r="X91" s="103"/>
      <c r="Y91" s="103"/>
      <c r="Z91" s="103"/>
    </row>
    <row r="92" spans="1:26" ht="14.25" customHeight="1">
      <c r="A92" s="103"/>
      <c r="B92" s="103"/>
      <c r="C92" s="103"/>
      <c r="D92" s="103"/>
      <c r="E92" s="103"/>
      <c r="F92" s="103"/>
      <c r="G92" s="103"/>
      <c r="H92" s="103"/>
      <c r="I92" s="103"/>
      <c r="J92" s="103"/>
      <c r="K92" s="103"/>
      <c r="L92" s="103"/>
      <c r="M92" s="103"/>
      <c r="N92" s="103"/>
      <c r="O92" s="103"/>
      <c r="P92" s="103"/>
      <c r="Q92" s="103"/>
      <c r="R92" s="103"/>
      <c r="S92" s="103"/>
      <c r="T92" s="103"/>
      <c r="U92" s="103"/>
      <c r="V92" s="103"/>
      <c r="W92" s="103"/>
      <c r="X92" s="103"/>
      <c r="Y92" s="103"/>
      <c r="Z92" s="103"/>
    </row>
    <row r="93" spans="1:26" ht="14.25" customHeight="1">
      <c r="A93" s="103"/>
      <c r="B93" s="103"/>
      <c r="C93" s="103"/>
      <c r="D93" s="103"/>
      <c r="E93" s="103"/>
      <c r="F93" s="103"/>
      <c r="G93" s="103"/>
      <c r="H93" s="103"/>
      <c r="I93" s="103"/>
      <c r="J93" s="103"/>
      <c r="K93" s="103"/>
      <c r="L93" s="103"/>
      <c r="M93" s="103"/>
      <c r="N93" s="103"/>
      <c r="O93" s="103"/>
      <c r="P93" s="103"/>
      <c r="Q93" s="103"/>
      <c r="R93" s="103"/>
      <c r="S93" s="103"/>
      <c r="T93" s="103"/>
      <c r="U93" s="103"/>
      <c r="V93" s="103"/>
      <c r="W93" s="103"/>
      <c r="X93" s="103"/>
      <c r="Y93" s="103"/>
      <c r="Z93" s="103"/>
    </row>
    <row r="94" spans="1:26" ht="14.25" customHeight="1">
      <c r="A94" s="103"/>
      <c r="B94" s="103"/>
      <c r="C94" s="103"/>
      <c r="D94" s="103"/>
      <c r="E94" s="103"/>
      <c r="F94" s="103"/>
      <c r="G94" s="103"/>
      <c r="H94" s="103"/>
      <c r="I94" s="103"/>
      <c r="J94" s="103"/>
      <c r="K94" s="103"/>
      <c r="L94" s="103"/>
      <c r="M94" s="103"/>
      <c r="N94" s="103"/>
      <c r="O94" s="103"/>
      <c r="P94" s="103"/>
      <c r="Q94" s="103"/>
      <c r="R94" s="103"/>
      <c r="S94" s="103"/>
      <c r="T94" s="103"/>
      <c r="U94" s="103"/>
      <c r="V94" s="103"/>
      <c r="W94" s="103"/>
      <c r="X94" s="103"/>
      <c r="Y94" s="103"/>
      <c r="Z94" s="103"/>
    </row>
    <row r="95" spans="1:26" ht="14.25" customHeight="1">
      <c r="A95" s="103"/>
      <c r="B95" s="103"/>
      <c r="C95" s="103"/>
      <c r="D95" s="103"/>
      <c r="E95" s="103"/>
      <c r="F95" s="103"/>
      <c r="G95" s="103"/>
      <c r="H95" s="103"/>
      <c r="I95" s="103"/>
      <c r="J95" s="103"/>
      <c r="K95" s="103"/>
      <c r="L95" s="103"/>
      <c r="M95" s="103"/>
      <c r="N95" s="103"/>
      <c r="O95" s="103"/>
      <c r="P95" s="103"/>
      <c r="Q95" s="103"/>
      <c r="R95" s="103"/>
      <c r="S95" s="103"/>
      <c r="T95" s="103"/>
      <c r="U95" s="103"/>
      <c r="V95" s="103"/>
      <c r="W95" s="103"/>
      <c r="X95" s="103"/>
      <c r="Y95" s="103"/>
      <c r="Z95" s="103"/>
    </row>
    <row r="96" spans="1:26" ht="14.25" customHeight="1">
      <c r="A96" s="103"/>
      <c r="B96" s="103"/>
      <c r="C96" s="103"/>
      <c r="D96" s="103"/>
      <c r="E96" s="103"/>
      <c r="F96" s="103"/>
      <c r="G96" s="103"/>
      <c r="H96" s="103"/>
      <c r="I96" s="103"/>
      <c r="J96" s="103"/>
      <c r="K96" s="103"/>
      <c r="L96" s="103"/>
      <c r="M96" s="103"/>
      <c r="N96" s="103"/>
      <c r="O96" s="103"/>
      <c r="P96" s="103"/>
      <c r="Q96" s="103"/>
      <c r="R96" s="103"/>
      <c r="S96" s="103"/>
      <c r="T96" s="103"/>
      <c r="U96" s="103"/>
      <c r="V96" s="103"/>
      <c r="W96" s="103"/>
      <c r="X96" s="103"/>
      <c r="Y96" s="103"/>
      <c r="Z96" s="103"/>
    </row>
    <row r="97" spans="1:26" ht="14.25" customHeight="1">
      <c r="A97" s="103"/>
      <c r="B97" s="103"/>
      <c r="C97" s="103"/>
      <c r="D97" s="103"/>
      <c r="E97" s="103"/>
      <c r="F97" s="103"/>
      <c r="G97" s="103"/>
      <c r="H97" s="103"/>
      <c r="I97" s="103"/>
      <c r="J97" s="103"/>
      <c r="K97" s="103"/>
      <c r="L97" s="103"/>
      <c r="M97" s="103"/>
      <c r="N97" s="103"/>
      <c r="O97" s="103"/>
      <c r="P97" s="103"/>
      <c r="Q97" s="103"/>
      <c r="R97" s="103"/>
      <c r="S97" s="103"/>
      <c r="T97" s="103"/>
      <c r="U97" s="103"/>
      <c r="V97" s="103"/>
      <c r="W97" s="103"/>
      <c r="X97" s="103"/>
      <c r="Y97" s="103"/>
      <c r="Z97" s="103"/>
    </row>
    <row r="98" spans="1:26" ht="14.25" customHeight="1">
      <c r="A98" s="103"/>
      <c r="B98" s="103"/>
      <c r="C98" s="103"/>
      <c r="D98" s="103"/>
      <c r="E98" s="103"/>
      <c r="F98" s="103"/>
      <c r="G98" s="103"/>
      <c r="H98" s="103"/>
      <c r="I98" s="103"/>
      <c r="J98" s="103"/>
      <c r="K98" s="103"/>
      <c r="L98" s="103"/>
      <c r="M98" s="103"/>
      <c r="N98" s="103"/>
      <c r="O98" s="103"/>
      <c r="P98" s="103"/>
      <c r="Q98" s="103"/>
      <c r="R98" s="103"/>
      <c r="S98" s="103"/>
      <c r="T98" s="103"/>
      <c r="U98" s="103"/>
      <c r="V98" s="103"/>
      <c r="W98" s="103"/>
      <c r="X98" s="103"/>
      <c r="Y98" s="103"/>
      <c r="Z98" s="103"/>
    </row>
    <row r="99" spans="1:26" ht="14.25" customHeight="1">
      <c r="A99" s="103"/>
      <c r="B99" s="103"/>
      <c r="C99" s="103"/>
      <c r="D99" s="103"/>
      <c r="E99" s="103"/>
      <c r="F99" s="103"/>
      <c r="G99" s="103"/>
      <c r="H99" s="103"/>
      <c r="I99" s="103"/>
      <c r="J99" s="103"/>
      <c r="K99" s="103"/>
      <c r="L99" s="103"/>
      <c r="M99" s="103"/>
      <c r="N99" s="103"/>
      <c r="O99" s="103"/>
      <c r="P99" s="103"/>
      <c r="Q99" s="103"/>
      <c r="R99" s="103"/>
      <c r="S99" s="103"/>
      <c r="T99" s="103"/>
      <c r="U99" s="103"/>
      <c r="V99" s="103"/>
      <c r="W99" s="103"/>
      <c r="X99" s="103"/>
      <c r="Y99" s="103"/>
      <c r="Z99" s="103"/>
    </row>
    <row r="100" spans="1:26" ht="14.25" customHeight="1">
      <c r="A100" s="103"/>
      <c r="B100" s="103"/>
      <c r="C100" s="103"/>
      <c r="D100" s="103"/>
      <c r="E100" s="103"/>
      <c r="F100" s="103"/>
      <c r="G100" s="103"/>
      <c r="H100" s="103"/>
      <c r="I100" s="103"/>
      <c r="J100" s="103"/>
      <c r="K100" s="103"/>
      <c r="L100" s="103"/>
      <c r="M100" s="103"/>
      <c r="N100" s="103"/>
      <c r="O100" s="103"/>
      <c r="P100" s="103"/>
      <c r="Q100" s="103"/>
      <c r="R100" s="103"/>
      <c r="S100" s="103"/>
      <c r="T100" s="103"/>
      <c r="U100" s="103"/>
      <c r="V100" s="103"/>
      <c r="W100" s="103"/>
      <c r="X100" s="103"/>
      <c r="Y100" s="103"/>
      <c r="Z100" s="103"/>
    </row>
    <row r="101" spans="1:26" ht="14.25" customHeight="1">
      <c r="A101" s="103"/>
      <c r="B101" s="103"/>
      <c r="C101" s="103"/>
      <c r="D101" s="103"/>
      <c r="E101" s="103"/>
      <c r="F101" s="103"/>
      <c r="G101" s="103"/>
      <c r="H101" s="103"/>
      <c r="I101" s="103"/>
      <c r="J101" s="103"/>
      <c r="K101" s="103"/>
      <c r="L101" s="103"/>
      <c r="M101" s="103"/>
      <c r="N101" s="103"/>
      <c r="O101" s="103"/>
      <c r="P101" s="103"/>
      <c r="Q101" s="103"/>
      <c r="R101" s="103"/>
      <c r="S101" s="103"/>
      <c r="T101" s="103"/>
      <c r="U101" s="103"/>
      <c r="V101" s="103"/>
      <c r="W101" s="103"/>
      <c r="X101" s="103"/>
      <c r="Y101" s="103"/>
      <c r="Z101" s="103"/>
    </row>
    <row r="102" spans="1:26" ht="14.25" customHeight="1">
      <c r="A102" s="103"/>
      <c r="B102" s="103"/>
      <c r="C102" s="103"/>
      <c r="D102" s="103"/>
      <c r="E102" s="103"/>
      <c r="F102" s="103"/>
      <c r="G102" s="103"/>
      <c r="H102" s="103"/>
      <c r="I102" s="103"/>
      <c r="J102" s="103"/>
      <c r="K102" s="103"/>
      <c r="L102" s="103"/>
      <c r="M102" s="103"/>
      <c r="N102" s="103"/>
      <c r="O102" s="103"/>
      <c r="P102" s="103"/>
      <c r="Q102" s="103"/>
      <c r="R102" s="103"/>
      <c r="S102" s="103"/>
      <c r="T102" s="103"/>
      <c r="U102" s="103"/>
      <c r="V102" s="103"/>
      <c r="W102" s="103"/>
      <c r="X102" s="103"/>
      <c r="Y102" s="103"/>
      <c r="Z102" s="103"/>
    </row>
    <row r="103" spans="1:26" ht="14.25" customHeight="1">
      <c r="A103" s="103"/>
      <c r="B103" s="103"/>
      <c r="C103" s="103"/>
      <c r="D103" s="103"/>
      <c r="E103" s="103"/>
      <c r="F103" s="103"/>
      <c r="G103" s="103"/>
      <c r="H103" s="103"/>
      <c r="I103" s="103"/>
      <c r="J103" s="103"/>
      <c r="K103" s="103"/>
      <c r="L103" s="103"/>
      <c r="M103" s="103"/>
      <c r="N103" s="103"/>
      <c r="O103" s="103"/>
      <c r="P103" s="103"/>
      <c r="Q103" s="103"/>
      <c r="R103" s="103"/>
      <c r="S103" s="103"/>
      <c r="T103" s="103"/>
      <c r="U103" s="103"/>
      <c r="V103" s="103"/>
      <c r="W103" s="103"/>
      <c r="X103" s="103"/>
      <c r="Y103" s="103"/>
      <c r="Z103" s="103"/>
    </row>
    <row r="104" spans="1:26" ht="14.25" customHeight="1">
      <c r="A104" s="103"/>
      <c r="B104" s="103"/>
      <c r="C104" s="103"/>
      <c r="D104" s="103"/>
      <c r="E104" s="103"/>
      <c r="F104" s="103"/>
      <c r="G104" s="103"/>
      <c r="H104" s="103"/>
      <c r="I104" s="103"/>
      <c r="J104" s="103"/>
      <c r="K104" s="103"/>
      <c r="L104" s="103"/>
      <c r="M104" s="103"/>
      <c r="N104" s="103"/>
      <c r="O104" s="103"/>
      <c r="P104" s="103"/>
      <c r="Q104" s="103"/>
      <c r="R104" s="103"/>
      <c r="S104" s="103"/>
      <c r="T104" s="103"/>
      <c r="U104" s="103"/>
      <c r="V104" s="103"/>
      <c r="W104" s="103"/>
      <c r="X104" s="103"/>
      <c r="Y104" s="103"/>
      <c r="Z104" s="103"/>
    </row>
    <row r="105" spans="1:26" ht="14.25" customHeight="1">
      <c r="A105" s="103"/>
      <c r="B105" s="103"/>
      <c r="C105" s="103"/>
      <c r="D105" s="103"/>
      <c r="E105" s="103"/>
      <c r="F105" s="103"/>
      <c r="G105" s="103"/>
      <c r="H105" s="103"/>
      <c r="I105" s="103"/>
      <c r="J105" s="103"/>
      <c r="K105" s="103"/>
      <c r="L105" s="103"/>
      <c r="M105" s="103"/>
      <c r="N105" s="103"/>
      <c r="O105" s="103"/>
      <c r="P105" s="103"/>
      <c r="Q105" s="103"/>
      <c r="R105" s="103"/>
      <c r="S105" s="103"/>
      <c r="T105" s="103"/>
      <c r="U105" s="103"/>
      <c r="V105" s="103"/>
      <c r="W105" s="103"/>
      <c r="X105" s="103"/>
      <c r="Y105" s="103"/>
      <c r="Z105" s="103"/>
    </row>
    <row r="106" spans="1:26" ht="14.25" customHeight="1">
      <c r="A106" s="103"/>
      <c r="B106" s="103"/>
      <c r="C106" s="103"/>
      <c r="D106" s="103"/>
      <c r="E106" s="103"/>
      <c r="F106" s="103"/>
      <c r="G106" s="103"/>
      <c r="H106" s="103"/>
      <c r="I106" s="103"/>
      <c r="J106" s="103"/>
      <c r="K106" s="103"/>
      <c r="L106" s="103"/>
      <c r="M106" s="103"/>
      <c r="N106" s="103"/>
      <c r="O106" s="103"/>
      <c r="P106" s="103"/>
      <c r="Q106" s="103"/>
      <c r="R106" s="103"/>
      <c r="S106" s="103"/>
      <c r="T106" s="103"/>
      <c r="U106" s="103"/>
      <c r="V106" s="103"/>
      <c r="W106" s="103"/>
      <c r="X106" s="103"/>
      <c r="Y106" s="103"/>
      <c r="Z106" s="103"/>
    </row>
    <row r="107" spans="1:26" ht="14.25" customHeight="1">
      <c r="A107" s="103"/>
      <c r="B107" s="103"/>
      <c r="C107" s="103"/>
      <c r="D107" s="103"/>
      <c r="E107" s="103"/>
      <c r="F107" s="103"/>
      <c r="G107" s="103"/>
      <c r="H107" s="103"/>
      <c r="I107" s="103"/>
      <c r="J107" s="103"/>
      <c r="K107" s="103"/>
      <c r="L107" s="103"/>
      <c r="M107" s="103"/>
      <c r="N107" s="103"/>
      <c r="O107" s="103"/>
      <c r="P107" s="103"/>
      <c r="Q107" s="103"/>
      <c r="R107" s="103"/>
      <c r="S107" s="103"/>
      <c r="T107" s="103"/>
      <c r="U107" s="103"/>
      <c r="V107" s="103"/>
      <c r="W107" s="103"/>
      <c r="X107" s="103"/>
      <c r="Y107" s="103"/>
      <c r="Z107" s="103"/>
    </row>
    <row r="108" spans="1:26" ht="14.25" customHeight="1">
      <c r="A108" s="103"/>
      <c r="B108" s="103"/>
      <c r="C108" s="103"/>
      <c r="D108" s="103"/>
      <c r="E108" s="103"/>
      <c r="F108" s="103"/>
      <c r="G108" s="103"/>
      <c r="H108" s="103"/>
      <c r="I108" s="103"/>
      <c r="J108" s="103"/>
      <c r="K108" s="103"/>
      <c r="L108" s="103"/>
      <c r="M108" s="103"/>
      <c r="N108" s="103"/>
      <c r="O108" s="103"/>
      <c r="P108" s="103"/>
      <c r="Q108" s="103"/>
      <c r="R108" s="103"/>
      <c r="S108" s="103"/>
      <c r="T108" s="103"/>
      <c r="U108" s="103"/>
      <c r="V108" s="103"/>
      <c r="W108" s="103"/>
      <c r="X108" s="103"/>
      <c r="Y108" s="103"/>
      <c r="Z108" s="103"/>
    </row>
    <row r="109" spans="1:26" ht="14.25" customHeight="1">
      <c r="A109" s="103"/>
      <c r="B109" s="103"/>
      <c r="C109" s="103"/>
      <c r="D109" s="103"/>
      <c r="E109" s="103"/>
      <c r="F109" s="103"/>
      <c r="G109" s="103"/>
      <c r="H109" s="103"/>
      <c r="I109" s="103"/>
      <c r="J109" s="103"/>
      <c r="K109" s="103"/>
      <c r="L109" s="103"/>
      <c r="M109" s="103"/>
      <c r="N109" s="103"/>
      <c r="O109" s="103"/>
      <c r="P109" s="103"/>
      <c r="Q109" s="103"/>
      <c r="R109" s="103"/>
      <c r="S109" s="103"/>
      <c r="T109" s="103"/>
      <c r="U109" s="103"/>
      <c r="V109" s="103"/>
      <c r="W109" s="103"/>
      <c r="X109" s="103"/>
      <c r="Y109" s="103"/>
      <c r="Z109" s="103"/>
    </row>
    <row r="110" spans="1:26" ht="14.25" customHeight="1">
      <c r="A110" s="103"/>
      <c r="B110" s="103"/>
      <c r="C110" s="103"/>
      <c r="D110" s="103"/>
      <c r="E110" s="103"/>
      <c r="F110" s="103"/>
      <c r="G110" s="103"/>
      <c r="H110" s="103"/>
      <c r="I110" s="103"/>
      <c r="J110" s="103"/>
      <c r="K110" s="103"/>
      <c r="L110" s="103"/>
      <c r="M110" s="103"/>
      <c r="N110" s="103"/>
      <c r="O110" s="103"/>
      <c r="P110" s="103"/>
      <c r="Q110" s="103"/>
      <c r="R110" s="103"/>
      <c r="S110" s="103"/>
      <c r="T110" s="103"/>
      <c r="U110" s="103"/>
      <c r="V110" s="103"/>
      <c r="W110" s="103"/>
      <c r="X110" s="103"/>
      <c r="Y110" s="103"/>
      <c r="Z110" s="103"/>
    </row>
    <row r="111" spans="1:26" ht="14.25" customHeight="1">
      <c r="A111" s="103"/>
      <c r="B111" s="103"/>
      <c r="C111" s="103"/>
      <c r="D111" s="103"/>
      <c r="E111" s="103"/>
      <c r="F111" s="103"/>
      <c r="G111" s="103"/>
      <c r="H111" s="103"/>
      <c r="I111" s="103"/>
      <c r="J111" s="103"/>
      <c r="K111" s="103"/>
      <c r="L111" s="103"/>
      <c r="M111" s="103"/>
      <c r="N111" s="103"/>
      <c r="O111" s="103"/>
      <c r="P111" s="103"/>
      <c r="Q111" s="103"/>
      <c r="R111" s="103"/>
      <c r="S111" s="103"/>
      <c r="T111" s="103"/>
      <c r="U111" s="103"/>
      <c r="V111" s="103"/>
      <c r="W111" s="103"/>
      <c r="X111" s="103"/>
      <c r="Y111" s="103"/>
      <c r="Z111" s="103"/>
    </row>
    <row r="112" spans="1:26" ht="14.25" customHeight="1">
      <c r="A112" s="103"/>
      <c r="B112" s="103"/>
      <c r="C112" s="103"/>
      <c r="D112" s="103"/>
      <c r="E112" s="103"/>
      <c r="F112" s="103"/>
      <c r="G112" s="103"/>
      <c r="H112" s="103"/>
      <c r="I112" s="103"/>
      <c r="J112" s="103"/>
      <c r="K112" s="103"/>
      <c r="L112" s="103"/>
      <c r="M112" s="103"/>
      <c r="N112" s="103"/>
      <c r="O112" s="103"/>
      <c r="P112" s="103"/>
      <c r="Q112" s="103"/>
      <c r="R112" s="103"/>
      <c r="S112" s="103"/>
      <c r="T112" s="103"/>
      <c r="U112" s="103"/>
      <c r="V112" s="103"/>
      <c r="W112" s="103"/>
      <c r="X112" s="103"/>
      <c r="Y112" s="103"/>
      <c r="Z112" s="103"/>
    </row>
    <row r="113" spans="1:26" ht="14.25" customHeight="1">
      <c r="A113" s="103"/>
      <c r="B113" s="103"/>
      <c r="C113" s="103"/>
      <c r="D113" s="103"/>
      <c r="E113" s="103"/>
      <c r="F113" s="103"/>
      <c r="G113" s="103"/>
      <c r="H113" s="103"/>
      <c r="I113" s="103"/>
      <c r="J113" s="103"/>
      <c r="K113" s="103"/>
      <c r="L113" s="103"/>
      <c r="M113" s="103"/>
      <c r="N113" s="103"/>
      <c r="O113" s="103"/>
      <c r="P113" s="103"/>
      <c r="Q113" s="103"/>
      <c r="R113" s="103"/>
      <c r="S113" s="103"/>
      <c r="T113" s="103"/>
      <c r="U113" s="103"/>
      <c r="V113" s="103"/>
      <c r="W113" s="103"/>
      <c r="X113" s="103"/>
      <c r="Y113" s="103"/>
      <c r="Z113" s="103"/>
    </row>
    <row r="114" spans="1:26" ht="14.25" customHeight="1">
      <c r="A114" s="103"/>
      <c r="B114" s="103"/>
      <c r="C114" s="103"/>
      <c r="D114" s="103"/>
      <c r="E114" s="103"/>
      <c r="F114" s="103"/>
      <c r="G114" s="103"/>
      <c r="H114" s="103"/>
      <c r="I114" s="103"/>
      <c r="J114" s="103"/>
      <c r="K114" s="103"/>
      <c r="L114" s="103"/>
      <c r="M114" s="103"/>
      <c r="N114" s="103"/>
      <c r="O114" s="103"/>
      <c r="P114" s="103"/>
      <c r="Q114" s="103"/>
      <c r="R114" s="103"/>
      <c r="S114" s="103"/>
      <c r="T114" s="103"/>
      <c r="U114" s="103"/>
      <c r="V114" s="103"/>
      <c r="W114" s="103"/>
      <c r="X114" s="103"/>
      <c r="Y114" s="103"/>
      <c r="Z114" s="103"/>
    </row>
    <row r="115" spans="1:26" ht="14.25" customHeight="1">
      <c r="A115" s="103"/>
      <c r="B115" s="103"/>
      <c r="C115" s="103"/>
      <c r="D115" s="103"/>
      <c r="E115" s="103"/>
      <c r="F115" s="103"/>
      <c r="G115" s="103"/>
      <c r="H115" s="103"/>
      <c r="I115" s="103"/>
      <c r="J115" s="103"/>
      <c r="K115" s="103"/>
      <c r="L115" s="103"/>
      <c r="M115" s="103"/>
      <c r="N115" s="103"/>
      <c r="O115" s="103"/>
      <c r="P115" s="103"/>
      <c r="Q115" s="103"/>
      <c r="R115" s="103"/>
      <c r="S115" s="103"/>
      <c r="T115" s="103"/>
      <c r="U115" s="103"/>
      <c r="V115" s="103"/>
      <c r="W115" s="103"/>
      <c r="X115" s="103"/>
      <c r="Y115" s="103"/>
      <c r="Z115" s="103"/>
    </row>
    <row r="116" spans="1:26" ht="14.25" customHeight="1">
      <c r="A116" s="103"/>
      <c r="B116" s="103"/>
      <c r="C116" s="103"/>
      <c r="D116" s="103"/>
      <c r="E116" s="103"/>
      <c r="F116" s="103"/>
      <c r="G116" s="103"/>
      <c r="H116" s="103"/>
      <c r="I116" s="103"/>
      <c r="J116" s="103"/>
      <c r="K116" s="103"/>
      <c r="L116" s="103"/>
      <c r="M116" s="103"/>
      <c r="N116" s="103"/>
      <c r="O116" s="103"/>
      <c r="P116" s="103"/>
      <c r="Q116" s="103"/>
      <c r="R116" s="103"/>
      <c r="S116" s="103"/>
      <c r="T116" s="103"/>
      <c r="U116" s="103"/>
      <c r="V116" s="103"/>
      <c r="W116" s="103"/>
      <c r="X116" s="103"/>
      <c r="Y116" s="103"/>
      <c r="Z116" s="103"/>
    </row>
    <row r="117" spans="1:26" ht="14.25" customHeight="1">
      <c r="A117" s="103"/>
      <c r="B117" s="103"/>
      <c r="C117" s="103"/>
      <c r="D117" s="103"/>
      <c r="E117" s="103"/>
      <c r="F117" s="103"/>
      <c r="G117" s="103"/>
      <c r="H117" s="103"/>
      <c r="I117" s="103"/>
      <c r="J117" s="103"/>
      <c r="K117" s="103"/>
      <c r="L117" s="103"/>
      <c r="M117" s="103"/>
      <c r="N117" s="103"/>
      <c r="O117" s="103"/>
      <c r="P117" s="103"/>
      <c r="Q117" s="103"/>
      <c r="R117" s="103"/>
      <c r="S117" s="103"/>
      <c r="T117" s="103"/>
      <c r="U117" s="103"/>
      <c r="V117" s="103"/>
      <c r="W117" s="103"/>
      <c r="X117" s="103"/>
      <c r="Y117" s="103"/>
      <c r="Z117" s="103"/>
    </row>
    <row r="118" spans="1:26" ht="14.25" customHeight="1">
      <c r="A118" s="103"/>
      <c r="B118" s="103"/>
      <c r="C118" s="103"/>
      <c r="D118" s="103"/>
      <c r="E118" s="103"/>
      <c r="F118" s="103"/>
      <c r="G118" s="103"/>
      <c r="H118" s="103"/>
      <c r="I118" s="103"/>
      <c r="J118" s="103"/>
      <c r="K118" s="103"/>
      <c r="L118" s="103"/>
      <c r="M118" s="103"/>
      <c r="N118" s="103"/>
      <c r="O118" s="103"/>
      <c r="P118" s="103"/>
      <c r="Q118" s="103"/>
      <c r="R118" s="103"/>
      <c r="S118" s="103"/>
      <c r="T118" s="103"/>
      <c r="U118" s="103"/>
      <c r="V118" s="103"/>
      <c r="W118" s="103"/>
      <c r="X118" s="103"/>
      <c r="Y118" s="103"/>
      <c r="Z118" s="103"/>
    </row>
    <row r="119" spans="1:26" ht="14.25" customHeight="1">
      <c r="A119" s="103"/>
      <c r="B119" s="103"/>
      <c r="C119" s="103"/>
      <c r="D119" s="103"/>
      <c r="E119" s="103"/>
      <c r="F119" s="103"/>
      <c r="G119" s="103"/>
      <c r="H119" s="103"/>
      <c r="I119" s="103"/>
      <c r="J119" s="103"/>
      <c r="K119" s="103"/>
      <c r="L119" s="103"/>
      <c r="M119" s="103"/>
      <c r="N119" s="103"/>
      <c r="O119" s="103"/>
      <c r="P119" s="103"/>
      <c r="Q119" s="103"/>
      <c r="R119" s="103"/>
      <c r="S119" s="103"/>
      <c r="T119" s="103"/>
      <c r="U119" s="103"/>
      <c r="V119" s="103"/>
      <c r="W119" s="103"/>
      <c r="X119" s="103"/>
      <c r="Y119" s="103"/>
      <c r="Z119" s="103"/>
    </row>
    <row r="120" spans="1:26" ht="14.25" customHeight="1">
      <c r="A120" s="103"/>
      <c r="B120" s="103"/>
      <c r="C120" s="103"/>
      <c r="D120" s="103"/>
      <c r="E120" s="103"/>
      <c r="F120" s="103"/>
      <c r="G120" s="103"/>
      <c r="H120" s="103"/>
      <c r="I120" s="103"/>
      <c r="J120" s="103"/>
      <c r="K120" s="103"/>
      <c r="L120" s="103"/>
      <c r="M120" s="103"/>
      <c r="N120" s="103"/>
      <c r="O120" s="103"/>
      <c r="P120" s="103"/>
      <c r="Q120" s="103"/>
      <c r="R120" s="103"/>
      <c r="S120" s="103"/>
      <c r="T120" s="103"/>
      <c r="U120" s="103"/>
      <c r="V120" s="103"/>
      <c r="W120" s="103"/>
      <c r="X120" s="103"/>
      <c r="Y120" s="103"/>
      <c r="Z120" s="103"/>
    </row>
    <row r="121" spans="1:26" ht="14.25" customHeight="1">
      <c r="A121" s="103"/>
      <c r="B121" s="103"/>
      <c r="C121" s="103"/>
      <c r="D121" s="103"/>
      <c r="E121" s="103"/>
      <c r="F121" s="103"/>
      <c r="G121" s="103"/>
      <c r="H121" s="103"/>
      <c r="I121" s="103"/>
      <c r="J121" s="103"/>
      <c r="K121" s="103"/>
      <c r="L121" s="103"/>
      <c r="M121" s="103"/>
      <c r="N121" s="103"/>
      <c r="O121" s="103"/>
      <c r="P121" s="103"/>
      <c r="Q121" s="103"/>
      <c r="R121" s="103"/>
      <c r="S121" s="103"/>
      <c r="T121" s="103"/>
      <c r="U121" s="103"/>
      <c r="V121" s="103"/>
      <c r="W121" s="103"/>
      <c r="X121" s="103"/>
      <c r="Y121" s="103"/>
      <c r="Z121" s="103"/>
    </row>
    <row r="122" spans="1:26" ht="14.25" customHeight="1">
      <c r="A122" s="103"/>
      <c r="B122" s="103"/>
      <c r="C122" s="103"/>
      <c r="D122" s="103"/>
      <c r="E122" s="103"/>
      <c r="F122" s="103"/>
      <c r="G122" s="103"/>
      <c r="H122" s="103"/>
      <c r="I122" s="103"/>
      <c r="J122" s="103"/>
      <c r="K122" s="103"/>
      <c r="L122" s="103"/>
      <c r="M122" s="103"/>
      <c r="N122" s="103"/>
      <c r="O122" s="103"/>
      <c r="P122" s="103"/>
      <c r="Q122" s="103"/>
      <c r="R122" s="103"/>
      <c r="S122" s="103"/>
      <c r="T122" s="103"/>
      <c r="U122" s="103"/>
      <c r="V122" s="103"/>
      <c r="W122" s="103"/>
      <c r="X122" s="103"/>
      <c r="Y122" s="103"/>
      <c r="Z122" s="103"/>
    </row>
    <row r="123" spans="1:26" ht="14.25" customHeight="1">
      <c r="A123" s="103"/>
      <c r="B123" s="103"/>
      <c r="C123" s="103"/>
      <c r="D123" s="103"/>
      <c r="E123" s="103"/>
      <c r="F123" s="103"/>
      <c r="G123" s="103"/>
      <c r="H123" s="103"/>
      <c r="I123" s="103"/>
      <c r="J123" s="103"/>
      <c r="K123" s="103"/>
      <c r="L123" s="103"/>
      <c r="M123" s="103"/>
      <c r="N123" s="103"/>
      <c r="O123" s="103"/>
      <c r="P123" s="103"/>
      <c r="Q123" s="103"/>
      <c r="R123" s="103"/>
      <c r="S123" s="103"/>
      <c r="T123" s="103"/>
      <c r="U123" s="103"/>
      <c r="V123" s="103"/>
      <c r="W123" s="103"/>
      <c r="X123" s="103"/>
      <c r="Y123" s="103"/>
      <c r="Z123" s="103"/>
    </row>
    <row r="124" spans="1:26" ht="14.25" customHeight="1">
      <c r="A124" s="103"/>
      <c r="B124" s="103"/>
      <c r="C124" s="103"/>
      <c r="D124" s="103"/>
      <c r="E124" s="103"/>
      <c r="F124" s="103"/>
      <c r="G124" s="103"/>
      <c r="H124" s="103"/>
      <c r="I124" s="103"/>
      <c r="J124" s="103"/>
      <c r="K124" s="103"/>
      <c r="L124" s="103"/>
      <c r="M124" s="103"/>
      <c r="N124" s="103"/>
      <c r="O124" s="103"/>
      <c r="P124" s="103"/>
      <c r="Q124" s="103"/>
      <c r="R124" s="103"/>
      <c r="S124" s="103"/>
      <c r="T124" s="103"/>
      <c r="U124" s="103"/>
      <c r="V124" s="103"/>
      <c r="W124" s="103"/>
      <c r="X124" s="103"/>
      <c r="Y124" s="103"/>
      <c r="Z124" s="103"/>
    </row>
    <row r="125" spans="1:26" ht="14.25" customHeight="1">
      <c r="A125" s="103"/>
      <c r="B125" s="103"/>
      <c r="C125" s="103"/>
      <c r="D125" s="103"/>
      <c r="E125" s="103"/>
      <c r="F125" s="103"/>
      <c r="G125" s="103"/>
      <c r="H125" s="103"/>
      <c r="I125" s="103"/>
      <c r="J125" s="103"/>
      <c r="K125" s="103"/>
      <c r="L125" s="103"/>
      <c r="M125" s="103"/>
      <c r="N125" s="103"/>
      <c r="O125" s="103"/>
      <c r="P125" s="103"/>
      <c r="Q125" s="103"/>
      <c r="R125" s="103"/>
      <c r="S125" s="103"/>
      <c r="T125" s="103"/>
      <c r="U125" s="103"/>
      <c r="V125" s="103"/>
      <c r="W125" s="103"/>
      <c r="X125" s="103"/>
      <c r="Y125" s="103"/>
      <c r="Z125" s="103"/>
    </row>
    <row r="126" spans="1:26" ht="14.25" customHeight="1">
      <c r="A126" s="103"/>
      <c r="B126" s="103"/>
      <c r="C126" s="103"/>
      <c r="D126" s="103"/>
      <c r="E126" s="103"/>
      <c r="F126" s="103"/>
      <c r="G126" s="103"/>
      <c r="H126" s="103"/>
      <c r="I126" s="103"/>
      <c r="J126" s="103"/>
      <c r="K126" s="103"/>
      <c r="L126" s="103"/>
      <c r="M126" s="103"/>
      <c r="N126" s="103"/>
      <c r="O126" s="103"/>
      <c r="P126" s="103"/>
      <c r="Q126" s="103"/>
      <c r="R126" s="103"/>
      <c r="S126" s="103"/>
      <c r="T126" s="103"/>
      <c r="U126" s="103"/>
      <c r="V126" s="103"/>
      <c r="W126" s="103"/>
      <c r="X126" s="103"/>
      <c r="Y126" s="103"/>
      <c r="Z126" s="103"/>
    </row>
    <row r="127" spans="1:26" ht="14.25" customHeight="1">
      <c r="A127" s="103"/>
      <c r="B127" s="103"/>
      <c r="C127" s="103"/>
      <c r="D127" s="103"/>
      <c r="E127" s="103"/>
      <c r="F127" s="103"/>
      <c r="G127" s="103"/>
      <c r="H127" s="103"/>
      <c r="I127" s="103"/>
      <c r="J127" s="103"/>
      <c r="K127" s="103"/>
      <c r="L127" s="103"/>
      <c r="M127" s="103"/>
      <c r="N127" s="103"/>
      <c r="O127" s="103"/>
      <c r="P127" s="103"/>
      <c r="Q127" s="103"/>
      <c r="R127" s="103"/>
      <c r="S127" s="103"/>
      <c r="T127" s="103"/>
      <c r="U127" s="103"/>
      <c r="V127" s="103"/>
      <c r="W127" s="103"/>
      <c r="X127" s="103"/>
      <c r="Y127" s="103"/>
      <c r="Z127" s="103"/>
    </row>
    <row r="128" spans="1:26" ht="14.25" customHeight="1">
      <c r="A128" s="103"/>
      <c r="B128" s="103"/>
      <c r="C128" s="103"/>
      <c r="D128" s="103"/>
      <c r="E128" s="103"/>
      <c r="F128" s="103"/>
      <c r="G128" s="103"/>
      <c r="H128" s="103"/>
      <c r="I128" s="103"/>
      <c r="J128" s="103"/>
      <c r="K128" s="103"/>
      <c r="L128" s="103"/>
      <c r="M128" s="103"/>
      <c r="N128" s="103"/>
      <c r="O128" s="103"/>
      <c r="P128" s="103"/>
      <c r="Q128" s="103"/>
      <c r="R128" s="103"/>
      <c r="S128" s="103"/>
      <c r="T128" s="103"/>
      <c r="U128" s="103"/>
      <c r="V128" s="103"/>
      <c r="W128" s="103"/>
      <c r="X128" s="103"/>
      <c r="Y128" s="103"/>
      <c r="Z128" s="103"/>
    </row>
    <row r="129" spans="1:26" ht="14.25" customHeight="1">
      <c r="A129" s="103"/>
      <c r="B129" s="103"/>
      <c r="C129" s="103"/>
      <c r="D129" s="103"/>
      <c r="E129" s="103"/>
      <c r="F129" s="103"/>
      <c r="G129" s="103"/>
      <c r="H129" s="103"/>
      <c r="I129" s="103"/>
      <c r="J129" s="103"/>
      <c r="K129" s="103"/>
      <c r="L129" s="103"/>
      <c r="M129" s="103"/>
      <c r="N129" s="103"/>
      <c r="O129" s="103"/>
      <c r="P129" s="103"/>
      <c r="Q129" s="103"/>
      <c r="R129" s="103"/>
      <c r="S129" s="103"/>
      <c r="T129" s="103"/>
      <c r="U129" s="103"/>
      <c r="V129" s="103"/>
      <c r="W129" s="103"/>
      <c r="X129" s="103"/>
      <c r="Y129" s="103"/>
      <c r="Z129" s="103"/>
    </row>
    <row r="130" spans="1:26" ht="14.25" customHeight="1">
      <c r="A130" s="103"/>
      <c r="B130" s="103"/>
      <c r="C130" s="103"/>
      <c r="D130" s="103"/>
      <c r="E130" s="103"/>
      <c r="F130" s="103"/>
      <c r="G130" s="103"/>
      <c r="H130" s="103"/>
      <c r="I130" s="103"/>
      <c r="J130" s="103"/>
      <c r="K130" s="103"/>
      <c r="L130" s="103"/>
      <c r="M130" s="103"/>
      <c r="N130" s="103"/>
      <c r="O130" s="103"/>
      <c r="P130" s="103"/>
      <c r="Q130" s="103"/>
      <c r="R130" s="103"/>
      <c r="S130" s="103"/>
      <c r="T130" s="103"/>
      <c r="U130" s="103"/>
      <c r="V130" s="103"/>
      <c r="W130" s="103"/>
      <c r="X130" s="103"/>
      <c r="Y130" s="103"/>
      <c r="Z130" s="103"/>
    </row>
    <row r="131" spans="1:26" ht="14.25" customHeight="1">
      <c r="A131" s="103"/>
      <c r="B131" s="103"/>
      <c r="C131" s="103"/>
      <c r="D131" s="103"/>
      <c r="E131" s="103"/>
      <c r="F131" s="103"/>
      <c r="G131" s="103"/>
      <c r="H131" s="103"/>
      <c r="I131" s="103"/>
      <c r="J131" s="103"/>
      <c r="K131" s="103"/>
      <c r="L131" s="103"/>
      <c r="M131" s="103"/>
      <c r="N131" s="103"/>
      <c r="O131" s="103"/>
      <c r="P131" s="103"/>
      <c r="Q131" s="103"/>
      <c r="R131" s="103"/>
      <c r="S131" s="103"/>
      <c r="T131" s="103"/>
      <c r="U131" s="103"/>
      <c r="V131" s="103"/>
      <c r="W131" s="103"/>
      <c r="X131" s="103"/>
      <c r="Y131" s="103"/>
      <c r="Z131" s="103"/>
    </row>
    <row r="132" spans="1:26" ht="14.25" customHeight="1">
      <c r="A132" s="103"/>
      <c r="B132" s="103"/>
      <c r="C132" s="103"/>
      <c r="D132" s="103"/>
      <c r="E132" s="103"/>
      <c r="F132" s="103"/>
      <c r="G132" s="103"/>
      <c r="H132" s="103"/>
      <c r="I132" s="103"/>
      <c r="J132" s="103"/>
      <c r="K132" s="103"/>
      <c r="L132" s="103"/>
      <c r="M132" s="103"/>
      <c r="N132" s="103"/>
      <c r="O132" s="103"/>
      <c r="P132" s="103"/>
      <c r="Q132" s="103"/>
      <c r="R132" s="103"/>
      <c r="S132" s="103"/>
      <c r="T132" s="103"/>
      <c r="U132" s="103"/>
      <c r="V132" s="103"/>
      <c r="W132" s="103"/>
      <c r="X132" s="103"/>
      <c r="Y132" s="103"/>
      <c r="Z132" s="103"/>
    </row>
    <row r="133" spans="1:26" ht="14.25" customHeight="1">
      <c r="A133" s="103"/>
      <c r="B133" s="103"/>
      <c r="C133" s="103"/>
      <c r="D133" s="103"/>
      <c r="E133" s="103"/>
      <c r="F133" s="103"/>
      <c r="G133" s="103"/>
      <c r="H133" s="103"/>
      <c r="I133" s="103"/>
      <c r="J133" s="103"/>
      <c r="K133" s="103"/>
      <c r="L133" s="103"/>
      <c r="M133" s="103"/>
      <c r="N133" s="103"/>
      <c r="O133" s="103"/>
      <c r="P133" s="103"/>
      <c r="Q133" s="103"/>
      <c r="R133" s="103"/>
      <c r="S133" s="103"/>
      <c r="T133" s="103"/>
      <c r="U133" s="103"/>
      <c r="V133" s="103"/>
      <c r="W133" s="103"/>
      <c r="X133" s="103"/>
      <c r="Y133" s="103"/>
      <c r="Z133" s="103"/>
    </row>
    <row r="134" spans="1:26" ht="14.25" customHeight="1">
      <c r="A134" s="103"/>
      <c r="B134" s="103"/>
      <c r="C134" s="103"/>
      <c r="D134" s="103"/>
      <c r="E134" s="103"/>
      <c r="F134" s="103"/>
      <c r="G134" s="103"/>
      <c r="H134" s="103"/>
      <c r="I134" s="103"/>
      <c r="J134" s="103"/>
      <c r="K134" s="103"/>
      <c r="L134" s="103"/>
      <c r="M134" s="103"/>
      <c r="N134" s="103"/>
      <c r="O134" s="103"/>
      <c r="P134" s="103"/>
      <c r="Q134" s="103"/>
      <c r="R134" s="103"/>
      <c r="S134" s="103"/>
      <c r="T134" s="103"/>
      <c r="U134" s="103"/>
      <c r="V134" s="103"/>
      <c r="W134" s="103"/>
      <c r="X134" s="103"/>
      <c r="Y134" s="103"/>
      <c r="Z134" s="103"/>
    </row>
    <row r="135" spans="1:26" ht="14.25" customHeight="1">
      <c r="A135" s="103"/>
      <c r="B135" s="103"/>
      <c r="C135" s="103"/>
      <c r="D135" s="103"/>
      <c r="E135" s="103"/>
      <c r="F135" s="103"/>
      <c r="G135" s="103"/>
      <c r="H135" s="103"/>
      <c r="I135" s="103"/>
      <c r="J135" s="103"/>
      <c r="K135" s="103"/>
      <c r="L135" s="103"/>
      <c r="M135" s="103"/>
      <c r="N135" s="103"/>
      <c r="O135" s="103"/>
      <c r="P135" s="103"/>
      <c r="Q135" s="103"/>
      <c r="R135" s="103"/>
      <c r="S135" s="103"/>
      <c r="T135" s="103"/>
      <c r="U135" s="103"/>
      <c r="V135" s="103"/>
      <c r="W135" s="103"/>
      <c r="X135" s="103"/>
      <c r="Y135" s="103"/>
      <c r="Z135" s="103"/>
    </row>
    <row r="136" spans="1:26" ht="14.25" customHeight="1">
      <c r="A136" s="103"/>
      <c r="B136" s="103"/>
      <c r="C136" s="103"/>
      <c r="D136" s="103"/>
      <c r="E136" s="103"/>
      <c r="F136" s="103"/>
      <c r="G136" s="103"/>
      <c r="H136" s="103"/>
      <c r="I136" s="103"/>
      <c r="J136" s="103"/>
      <c r="K136" s="103"/>
      <c r="L136" s="103"/>
      <c r="M136" s="103"/>
      <c r="N136" s="103"/>
      <c r="O136" s="103"/>
      <c r="P136" s="103"/>
      <c r="Q136" s="103"/>
      <c r="R136" s="103"/>
      <c r="S136" s="103"/>
      <c r="T136" s="103"/>
      <c r="U136" s="103"/>
      <c r="V136" s="103"/>
      <c r="W136" s="103"/>
      <c r="X136" s="103"/>
      <c r="Y136" s="103"/>
      <c r="Z136" s="103"/>
    </row>
    <row r="137" spans="1:26" ht="14.25" customHeight="1">
      <c r="A137" s="103"/>
      <c r="B137" s="103"/>
      <c r="C137" s="103"/>
      <c r="D137" s="103"/>
      <c r="E137" s="103"/>
      <c r="F137" s="103"/>
      <c r="G137" s="103"/>
      <c r="H137" s="103"/>
      <c r="I137" s="103"/>
      <c r="J137" s="103"/>
      <c r="K137" s="103"/>
      <c r="L137" s="103"/>
      <c r="M137" s="103"/>
      <c r="N137" s="103"/>
      <c r="O137" s="103"/>
      <c r="P137" s="103"/>
      <c r="Q137" s="103"/>
      <c r="R137" s="103"/>
      <c r="S137" s="103"/>
      <c r="T137" s="103"/>
      <c r="U137" s="103"/>
      <c r="V137" s="103"/>
      <c r="W137" s="103"/>
      <c r="X137" s="103"/>
      <c r="Y137" s="103"/>
      <c r="Z137" s="103"/>
    </row>
    <row r="138" spans="1:26" ht="14.25" customHeight="1">
      <c r="A138" s="103"/>
      <c r="B138" s="103"/>
      <c r="C138" s="103"/>
      <c r="D138" s="103"/>
      <c r="E138" s="103"/>
      <c r="F138" s="103"/>
      <c r="G138" s="103"/>
      <c r="H138" s="103"/>
      <c r="I138" s="103"/>
      <c r="J138" s="103"/>
      <c r="K138" s="103"/>
      <c r="L138" s="103"/>
      <c r="M138" s="103"/>
      <c r="N138" s="103"/>
      <c r="O138" s="103"/>
      <c r="P138" s="103"/>
      <c r="Q138" s="103"/>
      <c r="R138" s="103"/>
      <c r="S138" s="103"/>
      <c r="T138" s="103"/>
      <c r="U138" s="103"/>
      <c r="V138" s="103"/>
      <c r="W138" s="103"/>
      <c r="X138" s="103"/>
      <c r="Y138" s="103"/>
      <c r="Z138" s="103"/>
    </row>
    <row r="139" spans="1:26" ht="14.25" customHeight="1">
      <c r="A139" s="103"/>
      <c r="B139" s="103"/>
      <c r="C139" s="103"/>
      <c r="D139" s="103"/>
      <c r="E139" s="103"/>
      <c r="F139" s="103"/>
      <c r="G139" s="103"/>
      <c r="H139" s="103"/>
      <c r="I139" s="103"/>
      <c r="J139" s="103"/>
      <c r="K139" s="103"/>
      <c r="L139" s="103"/>
      <c r="M139" s="103"/>
      <c r="N139" s="103"/>
      <c r="O139" s="103"/>
      <c r="P139" s="103"/>
      <c r="Q139" s="103"/>
      <c r="R139" s="103"/>
      <c r="S139" s="103"/>
      <c r="T139" s="103"/>
      <c r="U139" s="103"/>
      <c r="V139" s="103"/>
      <c r="W139" s="103"/>
      <c r="X139" s="103"/>
      <c r="Y139" s="103"/>
      <c r="Z139" s="103"/>
    </row>
    <row r="140" spans="1:26" ht="14.25" customHeight="1">
      <c r="A140" s="103"/>
      <c r="B140" s="103"/>
      <c r="C140" s="103"/>
      <c r="D140" s="103"/>
      <c r="E140" s="103"/>
      <c r="F140" s="103"/>
      <c r="G140" s="103"/>
      <c r="H140" s="103"/>
      <c r="I140" s="103"/>
      <c r="J140" s="103"/>
      <c r="K140" s="103"/>
      <c r="L140" s="103"/>
      <c r="M140" s="103"/>
      <c r="N140" s="103"/>
      <c r="O140" s="103"/>
      <c r="P140" s="103"/>
      <c r="Q140" s="103"/>
      <c r="R140" s="103"/>
      <c r="S140" s="103"/>
      <c r="T140" s="103"/>
      <c r="U140" s="103"/>
      <c r="V140" s="103"/>
      <c r="W140" s="103"/>
      <c r="X140" s="103"/>
      <c r="Y140" s="103"/>
      <c r="Z140" s="103"/>
    </row>
    <row r="141" spans="1:26" ht="14.25" customHeight="1">
      <c r="A141" s="103"/>
      <c r="B141" s="103"/>
      <c r="C141" s="103"/>
      <c r="D141" s="103"/>
      <c r="E141" s="103"/>
      <c r="F141" s="103"/>
      <c r="G141" s="103"/>
      <c r="H141" s="103"/>
      <c r="I141" s="103"/>
      <c r="J141" s="103"/>
      <c r="K141" s="103"/>
      <c r="L141" s="103"/>
      <c r="M141" s="103"/>
      <c r="N141" s="103"/>
      <c r="O141" s="103"/>
      <c r="P141" s="103"/>
      <c r="Q141" s="103"/>
      <c r="R141" s="103"/>
      <c r="S141" s="103"/>
      <c r="T141" s="103"/>
      <c r="U141" s="103"/>
      <c r="V141" s="103"/>
      <c r="W141" s="103"/>
      <c r="X141" s="103"/>
      <c r="Y141" s="103"/>
      <c r="Z141" s="103"/>
    </row>
    <row r="142" spans="1:26" ht="14.25" customHeight="1">
      <c r="A142" s="103"/>
      <c r="B142" s="103"/>
      <c r="C142" s="103"/>
      <c r="D142" s="103"/>
      <c r="E142" s="103"/>
      <c r="F142" s="103"/>
      <c r="G142" s="103"/>
      <c r="H142" s="103"/>
      <c r="I142" s="103"/>
      <c r="J142" s="103"/>
      <c r="K142" s="103"/>
      <c r="L142" s="103"/>
      <c r="M142" s="103"/>
      <c r="N142" s="103"/>
      <c r="O142" s="103"/>
      <c r="P142" s="103"/>
      <c r="Q142" s="103"/>
      <c r="R142" s="103"/>
      <c r="S142" s="103"/>
      <c r="T142" s="103"/>
      <c r="U142" s="103"/>
      <c r="V142" s="103"/>
      <c r="W142" s="103"/>
      <c r="X142" s="103"/>
      <c r="Y142" s="103"/>
      <c r="Z142" s="103"/>
    </row>
    <row r="143" spans="1:26" ht="14.25" customHeight="1">
      <c r="A143" s="103"/>
      <c r="B143" s="103"/>
      <c r="C143" s="103"/>
      <c r="D143" s="103"/>
      <c r="E143" s="103"/>
      <c r="F143" s="103"/>
      <c r="G143" s="103"/>
      <c r="H143" s="103"/>
      <c r="I143" s="103"/>
      <c r="J143" s="103"/>
      <c r="K143" s="103"/>
      <c r="L143" s="103"/>
      <c r="M143" s="103"/>
      <c r="N143" s="103"/>
      <c r="O143" s="103"/>
      <c r="P143" s="103"/>
      <c r="Q143" s="103"/>
      <c r="R143" s="103"/>
      <c r="S143" s="103"/>
      <c r="T143" s="103"/>
      <c r="U143" s="103"/>
      <c r="V143" s="103"/>
      <c r="W143" s="103"/>
      <c r="X143" s="103"/>
      <c r="Y143" s="103"/>
      <c r="Z143" s="103"/>
    </row>
    <row r="144" spans="1:26" ht="14.25" customHeight="1">
      <c r="A144" s="103"/>
      <c r="B144" s="103"/>
      <c r="C144" s="103"/>
      <c r="D144" s="103"/>
      <c r="E144" s="103"/>
      <c r="F144" s="103"/>
      <c r="G144" s="103"/>
      <c r="H144" s="103"/>
      <c r="I144" s="103"/>
      <c r="J144" s="103"/>
      <c r="K144" s="103"/>
      <c r="L144" s="103"/>
      <c r="M144" s="103"/>
      <c r="N144" s="103"/>
      <c r="O144" s="103"/>
      <c r="P144" s="103"/>
      <c r="Q144" s="103"/>
      <c r="R144" s="103"/>
      <c r="S144" s="103"/>
      <c r="T144" s="103"/>
      <c r="U144" s="103"/>
      <c r="V144" s="103"/>
      <c r="W144" s="103"/>
      <c r="X144" s="103"/>
      <c r="Y144" s="103"/>
      <c r="Z144" s="103"/>
    </row>
    <row r="145" spans="1:26" ht="14.25" customHeight="1">
      <c r="A145" s="103"/>
      <c r="B145" s="103"/>
      <c r="C145" s="103"/>
      <c r="D145" s="103"/>
      <c r="E145" s="103"/>
      <c r="F145" s="103"/>
      <c r="G145" s="103"/>
      <c r="H145" s="103"/>
      <c r="I145" s="103"/>
      <c r="J145" s="103"/>
      <c r="K145" s="103"/>
      <c r="L145" s="103"/>
      <c r="M145" s="103"/>
      <c r="N145" s="103"/>
      <c r="O145" s="103"/>
      <c r="P145" s="103"/>
      <c r="Q145" s="103"/>
      <c r="R145" s="103"/>
      <c r="S145" s="103"/>
      <c r="T145" s="103"/>
      <c r="U145" s="103"/>
      <c r="V145" s="103"/>
      <c r="W145" s="103"/>
      <c r="X145" s="103"/>
      <c r="Y145" s="103"/>
      <c r="Z145" s="103"/>
    </row>
    <row r="146" spans="1:26" ht="14.25" customHeight="1">
      <c r="A146" s="103"/>
      <c r="B146" s="103"/>
      <c r="C146" s="103"/>
      <c r="D146" s="103"/>
      <c r="E146" s="103"/>
      <c r="F146" s="103"/>
      <c r="G146" s="103"/>
      <c r="H146" s="103"/>
      <c r="I146" s="103"/>
      <c r="J146" s="103"/>
      <c r="K146" s="103"/>
      <c r="L146" s="103"/>
      <c r="M146" s="103"/>
      <c r="N146" s="103"/>
      <c r="O146" s="103"/>
      <c r="P146" s="103"/>
      <c r="Q146" s="103"/>
      <c r="R146" s="103"/>
      <c r="S146" s="103"/>
      <c r="T146" s="103"/>
      <c r="U146" s="103"/>
      <c r="V146" s="103"/>
      <c r="W146" s="103"/>
      <c r="X146" s="103"/>
      <c r="Y146" s="103"/>
      <c r="Z146" s="103"/>
    </row>
    <row r="147" spans="1:26" ht="14.25" customHeight="1">
      <c r="A147" s="103"/>
      <c r="B147" s="103"/>
      <c r="C147" s="103"/>
      <c r="D147" s="103"/>
      <c r="E147" s="103"/>
      <c r="F147" s="103"/>
      <c r="G147" s="103"/>
      <c r="H147" s="103"/>
      <c r="I147" s="103"/>
      <c r="J147" s="103"/>
      <c r="K147" s="103"/>
      <c r="L147" s="103"/>
      <c r="M147" s="103"/>
      <c r="N147" s="103"/>
      <c r="O147" s="103"/>
      <c r="P147" s="103"/>
      <c r="Q147" s="103"/>
      <c r="R147" s="103"/>
      <c r="S147" s="103"/>
      <c r="T147" s="103"/>
      <c r="U147" s="103"/>
      <c r="V147" s="103"/>
      <c r="W147" s="103"/>
      <c r="X147" s="103"/>
      <c r="Y147" s="103"/>
      <c r="Z147" s="103"/>
    </row>
    <row r="148" spans="1:26" ht="14.25" customHeight="1">
      <c r="A148" s="103"/>
      <c r="B148" s="103"/>
      <c r="C148" s="103"/>
      <c r="D148" s="103"/>
      <c r="E148" s="103"/>
      <c r="F148" s="103"/>
      <c r="G148" s="103"/>
      <c r="H148" s="103"/>
      <c r="I148" s="103"/>
      <c r="J148" s="103"/>
      <c r="K148" s="103"/>
      <c r="L148" s="103"/>
      <c r="M148" s="103"/>
      <c r="N148" s="103"/>
      <c r="O148" s="103"/>
      <c r="P148" s="103"/>
      <c r="Q148" s="103"/>
      <c r="R148" s="103"/>
      <c r="S148" s="103"/>
      <c r="T148" s="103"/>
      <c r="U148" s="103"/>
      <c r="V148" s="103"/>
      <c r="W148" s="103"/>
      <c r="X148" s="103"/>
      <c r="Y148" s="103"/>
      <c r="Z148" s="103"/>
    </row>
    <row r="149" spans="1:26" ht="14.25" customHeight="1">
      <c r="A149" s="103"/>
      <c r="B149" s="103"/>
      <c r="C149" s="103"/>
      <c r="D149" s="103"/>
      <c r="E149" s="103"/>
      <c r="F149" s="103"/>
      <c r="G149" s="103"/>
      <c r="H149" s="103"/>
      <c r="I149" s="103"/>
      <c r="J149" s="103"/>
      <c r="K149" s="103"/>
      <c r="L149" s="103"/>
      <c r="M149" s="103"/>
      <c r="N149" s="103"/>
      <c r="O149" s="103"/>
      <c r="P149" s="103"/>
      <c r="Q149" s="103"/>
      <c r="R149" s="103"/>
      <c r="S149" s="103"/>
      <c r="T149" s="103"/>
      <c r="U149" s="103"/>
      <c r="V149" s="103"/>
      <c r="W149" s="103"/>
      <c r="X149" s="103"/>
      <c r="Y149" s="103"/>
      <c r="Z149" s="103"/>
    </row>
    <row r="150" spans="1:26" ht="14.25" customHeight="1">
      <c r="A150" s="103"/>
      <c r="B150" s="103"/>
      <c r="C150" s="103"/>
      <c r="D150" s="103"/>
      <c r="E150" s="103"/>
      <c r="F150" s="103"/>
      <c r="G150" s="103"/>
      <c r="H150" s="103"/>
      <c r="I150" s="103"/>
      <c r="J150" s="103"/>
      <c r="K150" s="103"/>
      <c r="L150" s="103"/>
      <c r="M150" s="103"/>
      <c r="N150" s="103"/>
      <c r="O150" s="103"/>
      <c r="P150" s="103"/>
      <c r="Q150" s="103"/>
      <c r="R150" s="103"/>
      <c r="S150" s="103"/>
      <c r="T150" s="103"/>
      <c r="U150" s="103"/>
      <c r="V150" s="103"/>
      <c r="W150" s="103"/>
      <c r="X150" s="103"/>
      <c r="Y150" s="103"/>
      <c r="Z150" s="103"/>
    </row>
    <row r="151" spans="1:26" ht="14.25" customHeight="1">
      <c r="A151" s="103"/>
      <c r="B151" s="103"/>
      <c r="C151" s="103"/>
      <c r="D151" s="103"/>
      <c r="E151" s="103"/>
      <c r="F151" s="103"/>
      <c r="G151" s="103"/>
      <c r="H151" s="103"/>
      <c r="I151" s="103"/>
      <c r="J151" s="103"/>
      <c r="K151" s="103"/>
      <c r="L151" s="103"/>
      <c r="M151" s="103"/>
      <c r="N151" s="103"/>
      <c r="O151" s="103"/>
      <c r="P151" s="103"/>
      <c r="Q151" s="103"/>
      <c r="R151" s="103"/>
      <c r="S151" s="103"/>
      <c r="T151" s="103"/>
      <c r="U151" s="103"/>
      <c r="V151" s="103"/>
      <c r="W151" s="103"/>
      <c r="X151" s="103"/>
      <c r="Y151" s="103"/>
      <c r="Z151" s="103"/>
    </row>
    <row r="152" spans="1:26" ht="14.25" customHeight="1">
      <c r="A152" s="103"/>
      <c r="B152" s="103"/>
      <c r="C152" s="103"/>
      <c r="D152" s="103"/>
      <c r="E152" s="103"/>
      <c r="F152" s="103"/>
      <c r="G152" s="103"/>
      <c r="H152" s="103"/>
      <c r="I152" s="103"/>
      <c r="J152" s="103"/>
      <c r="K152" s="103"/>
      <c r="L152" s="103"/>
      <c r="M152" s="103"/>
      <c r="N152" s="103"/>
      <c r="O152" s="103"/>
      <c r="P152" s="103"/>
      <c r="Q152" s="103"/>
      <c r="R152" s="103"/>
      <c r="S152" s="103"/>
      <c r="T152" s="103"/>
      <c r="U152" s="103"/>
      <c r="V152" s="103"/>
      <c r="W152" s="103"/>
      <c r="X152" s="103"/>
      <c r="Y152" s="103"/>
      <c r="Z152" s="103"/>
    </row>
    <row r="153" spans="1:26" ht="14.25" customHeight="1">
      <c r="A153" s="103"/>
      <c r="B153" s="103"/>
      <c r="C153" s="103"/>
      <c r="D153" s="103"/>
      <c r="E153" s="103"/>
      <c r="F153" s="103"/>
      <c r="G153" s="103"/>
      <c r="H153" s="103"/>
      <c r="I153" s="103"/>
      <c r="J153" s="103"/>
      <c r="K153" s="103"/>
      <c r="L153" s="103"/>
      <c r="M153" s="103"/>
      <c r="N153" s="103"/>
      <c r="O153" s="103"/>
      <c r="P153" s="103"/>
      <c r="Q153" s="103"/>
      <c r="R153" s="103"/>
      <c r="S153" s="103"/>
      <c r="T153" s="103"/>
      <c r="U153" s="103"/>
      <c r="V153" s="103"/>
      <c r="W153" s="103"/>
      <c r="X153" s="103"/>
      <c r="Y153" s="103"/>
      <c r="Z153" s="103"/>
    </row>
    <row r="154" spans="1:26" ht="14.25" customHeight="1">
      <c r="A154" s="103"/>
      <c r="B154" s="103"/>
      <c r="C154" s="103"/>
      <c r="D154" s="103"/>
      <c r="E154" s="103"/>
      <c r="F154" s="103"/>
      <c r="G154" s="103"/>
      <c r="H154" s="103"/>
      <c r="I154" s="103"/>
      <c r="J154" s="103"/>
      <c r="K154" s="103"/>
      <c r="L154" s="103"/>
      <c r="M154" s="103"/>
      <c r="N154" s="103"/>
      <c r="O154" s="103"/>
      <c r="P154" s="103"/>
      <c r="Q154" s="103"/>
      <c r="R154" s="103"/>
      <c r="S154" s="103"/>
      <c r="T154" s="103"/>
      <c r="U154" s="103"/>
      <c r="V154" s="103"/>
      <c r="W154" s="103"/>
      <c r="X154" s="103"/>
      <c r="Y154" s="103"/>
      <c r="Z154" s="103"/>
    </row>
    <row r="155" spans="1:26" ht="14.25" customHeight="1">
      <c r="A155" s="103"/>
      <c r="B155" s="103"/>
      <c r="C155" s="103"/>
      <c r="D155" s="103"/>
      <c r="E155" s="103"/>
      <c r="F155" s="103"/>
      <c r="G155" s="103"/>
      <c r="H155" s="103"/>
      <c r="I155" s="103"/>
      <c r="J155" s="103"/>
      <c r="K155" s="103"/>
      <c r="L155" s="103"/>
      <c r="M155" s="103"/>
      <c r="N155" s="103"/>
      <c r="O155" s="103"/>
      <c r="P155" s="103"/>
      <c r="Q155" s="103"/>
      <c r="R155" s="103"/>
      <c r="S155" s="103"/>
      <c r="T155" s="103"/>
      <c r="U155" s="103"/>
      <c r="V155" s="103"/>
      <c r="W155" s="103"/>
      <c r="X155" s="103"/>
      <c r="Y155" s="103"/>
      <c r="Z155" s="103"/>
    </row>
    <row r="156" spans="1:26" ht="14.25" customHeight="1">
      <c r="A156" s="103"/>
      <c r="B156" s="103"/>
      <c r="C156" s="103"/>
      <c r="D156" s="103"/>
      <c r="E156" s="103"/>
      <c r="F156" s="103"/>
      <c r="G156" s="103"/>
      <c r="H156" s="103"/>
      <c r="I156" s="103"/>
      <c r="J156" s="103"/>
      <c r="K156" s="103"/>
      <c r="L156" s="103"/>
      <c r="M156" s="103"/>
      <c r="N156" s="103"/>
      <c r="O156" s="103"/>
      <c r="P156" s="103"/>
      <c r="Q156" s="103"/>
      <c r="R156" s="103"/>
      <c r="S156" s="103"/>
      <c r="T156" s="103"/>
      <c r="U156" s="103"/>
      <c r="V156" s="103"/>
      <c r="W156" s="103"/>
      <c r="X156" s="103"/>
      <c r="Y156" s="103"/>
      <c r="Z156" s="103"/>
    </row>
    <row r="157" spans="1:26" ht="14.25" customHeight="1">
      <c r="A157" s="103"/>
      <c r="B157" s="103"/>
      <c r="C157" s="103"/>
      <c r="D157" s="103"/>
      <c r="E157" s="103"/>
      <c r="F157" s="103"/>
      <c r="G157" s="103"/>
      <c r="H157" s="103"/>
      <c r="I157" s="103"/>
      <c r="J157" s="103"/>
      <c r="K157" s="103"/>
      <c r="L157" s="103"/>
      <c r="M157" s="103"/>
      <c r="N157" s="103"/>
      <c r="O157" s="103"/>
      <c r="P157" s="103"/>
      <c r="Q157" s="103"/>
      <c r="R157" s="103"/>
      <c r="S157" s="103"/>
      <c r="T157" s="103"/>
      <c r="U157" s="103"/>
      <c r="V157" s="103"/>
      <c r="W157" s="103"/>
      <c r="X157" s="103"/>
      <c r="Y157" s="103"/>
      <c r="Z157" s="103"/>
    </row>
    <row r="158" spans="1:26" ht="14.25" customHeight="1">
      <c r="A158" s="103"/>
      <c r="B158" s="103"/>
      <c r="C158" s="103"/>
      <c r="D158" s="103"/>
      <c r="E158" s="103"/>
      <c r="F158" s="103"/>
      <c r="G158" s="103"/>
      <c r="H158" s="103"/>
      <c r="I158" s="103"/>
      <c r="J158" s="103"/>
      <c r="K158" s="103"/>
      <c r="L158" s="103"/>
      <c r="M158" s="103"/>
      <c r="N158" s="103"/>
      <c r="O158" s="103"/>
      <c r="P158" s="103"/>
      <c r="Q158" s="103"/>
      <c r="R158" s="103"/>
      <c r="S158" s="103"/>
      <c r="T158" s="103"/>
      <c r="U158" s="103"/>
      <c r="V158" s="103"/>
      <c r="W158" s="103"/>
      <c r="X158" s="103"/>
      <c r="Y158" s="103"/>
      <c r="Z158" s="103"/>
    </row>
    <row r="159" spans="1:26" ht="14.25" customHeight="1">
      <c r="A159" s="103"/>
      <c r="B159" s="103"/>
      <c r="C159" s="103"/>
      <c r="D159" s="103"/>
      <c r="E159" s="103"/>
      <c r="F159" s="103"/>
      <c r="G159" s="103"/>
      <c r="H159" s="103"/>
      <c r="I159" s="103"/>
      <c r="J159" s="103"/>
      <c r="K159" s="103"/>
      <c r="L159" s="103"/>
      <c r="M159" s="103"/>
      <c r="N159" s="103"/>
      <c r="O159" s="103"/>
      <c r="P159" s="103"/>
      <c r="Q159" s="103"/>
      <c r="R159" s="103"/>
      <c r="S159" s="103"/>
      <c r="T159" s="103"/>
      <c r="U159" s="103"/>
      <c r="V159" s="103"/>
      <c r="W159" s="103"/>
      <c r="X159" s="103"/>
      <c r="Y159" s="103"/>
      <c r="Z159" s="103"/>
    </row>
    <row r="160" spans="1:26" ht="14.25" customHeight="1">
      <c r="A160" s="103"/>
      <c r="B160" s="103"/>
      <c r="C160" s="103"/>
      <c r="D160" s="103"/>
      <c r="E160" s="103"/>
      <c r="F160" s="103"/>
      <c r="G160" s="103"/>
      <c r="H160" s="103"/>
      <c r="I160" s="103"/>
      <c r="J160" s="103"/>
      <c r="K160" s="103"/>
      <c r="L160" s="103"/>
      <c r="M160" s="103"/>
      <c r="N160" s="103"/>
      <c r="O160" s="103"/>
      <c r="P160" s="103"/>
      <c r="Q160" s="103"/>
      <c r="R160" s="103"/>
      <c r="S160" s="103"/>
      <c r="T160" s="103"/>
      <c r="U160" s="103"/>
      <c r="V160" s="103"/>
      <c r="W160" s="103"/>
      <c r="X160" s="103"/>
      <c r="Y160" s="103"/>
      <c r="Z160" s="103"/>
    </row>
    <row r="161" spans="1:26" ht="14.25" customHeight="1">
      <c r="A161" s="103"/>
      <c r="B161" s="103"/>
      <c r="C161" s="103"/>
      <c r="D161" s="103"/>
      <c r="E161" s="103"/>
      <c r="F161" s="103"/>
      <c r="G161" s="103"/>
      <c r="H161" s="103"/>
      <c r="I161" s="103"/>
      <c r="J161" s="103"/>
      <c r="K161" s="103"/>
      <c r="L161" s="103"/>
      <c r="M161" s="103"/>
      <c r="N161" s="103"/>
      <c r="O161" s="103"/>
      <c r="P161" s="103"/>
      <c r="Q161" s="103"/>
      <c r="R161" s="103"/>
      <c r="S161" s="103"/>
      <c r="T161" s="103"/>
      <c r="U161" s="103"/>
      <c r="V161" s="103"/>
      <c r="W161" s="103"/>
      <c r="X161" s="103"/>
      <c r="Y161" s="103"/>
      <c r="Z161" s="103"/>
    </row>
    <row r="162" spans="1:26" ht="14.25" customHeight="1">
      <c r="A162" s="103"/>
      <c r="B162" s="103"/>
      <c r="C162" s="103"/>
      <c r="D162" s="103"/>
      <c r="E162" s="103"/>
      <c r="F162" s="103"/>
      <c r="G162" s="103"/>
      <c r="H162" s="103"/>
      <c r="I162" s="103"/>
      <c r="J162" s="103"/>
      <c r="K162" s="103"/>
      <c r="L162" s="103"/>
      <c r="M162" s="103"/>
      <c r="N162" s="103"/>
      <c r="O162" s="103"/>
      <c r="P162" s="103"/>
      <c r="Q162" s="103"/>
      <c r="R162" s="103"/>
      <c r="S162" s="103"/>
      <c r="T162" s="103"/>
      <c r="U162" s="103"/>
      <c r="V162" s="103"/>
      <c r="W162" s="103"/>
      <c r="X162" s="103"/>
      <c r="Y162" s="103"/>
      <c r="Z162" s="103"/>
    </row>
    <row r="163" spans="1:26" ht="14.25" customHeight="1">
      <c r="A163" s="103"/>
      <c r="B163" s="103"/>
      <c r="C163" s="103"/>
      <c r="D163" s="103"/>
      <c r="E163" s="103"/>
      <c r="F163" s="103"/>
      <c r="G163" s="103"/>
      <c r="H163" s="103"/>
      <c r="I163" s="103"/>
      <c r="J163" s="103"/>
      <c r="K163" s="103"/>
      <c r="L163" s="103"/>
      <c r="M163" s="103"/>
      <c r="N163" s="103"/>
      <c r="O163" s="103"/>
      <c r="P163" s="103"/>
      <c r="Q163" s="103"/>
      <c r="R163" s="103"/>
      <c r="S163" s="103"/>
      <c r="T163" s="103"/>
      <c r="U163" s="103"/>
      <c r="V163" s="103"/>
      <c r="W163" s="103"/>
      <c r="X163" s="103"/>
      <c r="Y163" s="103"/>
      <c r="Z163" s="103"/>
    </row>
    <row r="164" spans="1:26" ht="14.25" customHeight="1">
      <c r="A164" s="103"/>
      <c r="B164" s="103"/>
      <c r="C164" s="103"/>
      <c r="D164" s="103"/>
      <c r="E164" s="103"/>
      <c r="F164" s="103"/>
      <c r="G164" s="103"/>
      <c r="H164" s="103"/>
      <c r="I164" s="103"/>
      <c r="J164" s="103"/>
      <c r="K164" s="103"/>
      <c r="L164" s="103"/>
      <c r="M164" s="103"/>
      <c r="N164" s="103"/>
      <c r="O164" s="103"/>
      <c r="P164" s="103"/>
      <c r="Q164" s="103"/>
      <c r="R164" s="103"/>
      <c r="S164" s="103"/>
      <c r="T164" s="103"/>
      <c r="U164" s="103"/>
      <c r="V164" s="103"/>
      <c r="W164" s="103"/>
      <c r="X164" s="103"/>
      <c r="Y164" s="103"/>
      <c r="Z164" s="103"/>
    </row>
    <row r="165" spans="1:26" ht="14.25" customHeight="1">
      <c r="A165" s="103"/>
      <c r="B165" s="103"/>
      <c r="C165" s="103"/>
      <c r="D165" s="103"/>
      <c r="E165" s="103"/>
      <c r="F165" s="103"/>
      <c r="G165" s="103"/>
      <c r="H165" s="103"/>
      <c r="I165" s="103"/>
      <c r="J165" s="103"/>
      <c r="K165" s="103"/>
      <c r="L165" s="103"/>
      <c r="M165" s="103"/>
      <c r="N165" s="103"/>
      <c r="O165" s="103"/>
      <c r="P165" s="103"/>
      <c r="Q165" s="103"/>
      <c r="R165" s="103"/>
      <c r="S165" s="103"/>
      <c r="T165" s="103"/>
      <c r="U165" s="103"/>
      <c r="V165" s="103"/>
      <c r="W165" s="103"/>
      <c r="X165" s="103"/>
      <c r="Y165" s="103"/>
      <c r="Z165" s="103"/>
    </row>
    <row r="166" spans="1:26" ht="14.25" customHeight="1">
      <c r="A166" s="103"/>
      <c r="B166" s="103"/>
      <c r="C166" s="103"/>
      <c r="D166" s="103"/>
      <c r="E166" s="103"/>
      <c r="F166" s="103"/>
      <c r="G166" s="103"/>
      <c r="H166" s="103"/>
      <c r="I166" s="103"/>
      <c r="J166" s="103"/>
      <c r="K166" s="103"/>
      <c r="L166" s="103"/>
      <c r="M166" s="103"/>
      <c r="N166" s="103"/>
      <c r="O166" s="103"/>
      <c r="P166" s="103"/>
      <c r="Q166" s="103"/>
      <c r="R166" s="103"/>
      <c r="S166" s="103"/>
      <c r="T166" s="103"/>
      <c r="U166" s="103"/>
      <c r="V166" s="103"/>
      <c r="W166" s="103"/>
      <c r="X166" s="103"/>
      <c r="Y166" s="103"/>
      <c r="Z166" s="103"/>
    </row>
    <row r="167" spans="1:26" ht="14.25" customHeight="1">
      <c r="A167" s="103"/>
      <c r="B167" s="103"/>
      <c r="C167" s="103"/>
      <c r="D167" s="103"/>
      <c r="E167" s="103"/>
      <c r="F167" s="103"/>
      <c r="G167" s="103"/>
      <c r="H167" s="103"/>
      <c r="I167" s="103"/>
      <c r="J167" s="103"/>
      <c r="K167" s="103"/>
      <c r="L167" s="103"/>
      <c r="M167" s="103"/>
      <c r="N167" s="103"/>
      <c r="O167" s="103"/>
      <c r="P167" s="103"/>
      <c r="Q167" s="103"/>
      <c r="R167" s="103"/>
      <c r="S167" s="103"/>
      <c r="T167" s="103"/>
      <c r="U167" s="103"/>
      <c r="V167" s="103"/>
      <c r="W167" s="103"/>
      <c r="X167" s="103"/>
      <c r="Y167" s="103"/>
      <c r="Z167" s="103"/>
    </row>
    <row r="168" spans="1:26" ht="14.25" customHeight="1">
      <c r="A168" s="103"/>
      <c r="B168" s="103"/>
      <c r="C168" s="103"/>
      <c r="D168" s="103"/>
      <c r="E168" s="103"/>
      <c r="F168" s="103"/>
      <c r="G168" s="103"/>
      <c r="H168" s="103"/>
      <c r="I168" s="103"/>
      <c r="J168" s="103"/>
      <c r="K168" s="103"/>
      <c r="L168" s="103"/>
      <c r="M168" s="103"/>
      <c r="N168" s="103"/>
      <c r="O168" s="103"/>
      <c r="P168" s="103"/>
      <c r="Q168" s="103"/>
      <c r="R168" s="103"/>
      <c r="S168" s="103"/>
      <c r="T168" s="103"/>
      <c r="U168" s="103"/>
      <c r="V168" s="103"/>
      <c r="W168" s="103"/>
      <c r="X168" s="103"/>
      <c r="Y168" s="103"/>
      <c r="Z168" s="103"/>
    </row>
    <row r="169" spans="1:26" ht="14.25" customHeight="1">
      <c r="A169" s="103"/>
      <c r="B169" s="103"/>
      <c r="C169" s="103"/>
      <c r="D169" s="103"/>
      <c r="E169" s="103"/>
      <c r="F169" s="103"/>
      <c r="G169" s="103"/>
      <c r="H169" s="103"/>
      <c r="I169" s="103"/>
      <c r="J169" s="103"/>
      <c r="K169" s="103"/>
      <c r="L169" s="103"/>
      <c r="M169" s="103"/>
      <c r="N169" s="103"/>
      <c r="O169" s="103"/>
      <c r="P169" s="103"/>
      <c r="Q169" s="103"/>
      <c r="R169" s="103"/>
      <c r="S169" s="103"/>
      <c r="T169" s="103"/>
      <c r="U169" s="103"/>
      <c r="V169" s="103"/>
      <c r="W169" s="103"/>
      <c r="X169" s="103"/>
      <c r="Y169" s="103"/>
      <c r="Z169" s="103"/>
    </row>
    <row r="170" spans="1:26" ht="14.25" customHeight="1">
      <c r="A170" s="103"/>
      <c r="B170" s="103"/>
      <c r="C170" s="103"/>
      <c r="D170" s="103"/>
      <c r="E170" s="103"/>
      <c r="F170" s="103"/>
      <c r="G170" s="103"/>
      <c r="H170" s="103"/>
      <c r="I170" s="103"/>
      <c r="J170" s="103"/>
      <c r="K170" s="103"/>
      <c r="L170" s="103"/>
      <c r="M170" s="103"/>
      <c r="N170" s="103"/>
      <c r="O170" s="103"/>
      <c r="P170" s="103"/>
      <c r="Q170" s="103"/>
      <c r="R170" s="103"/>
      <c r="S170" s="103"/>
      <c r="T170" s="103"/>
      <c r="U170" s="103"/>
      <c r="V170" s="103"/>
      <c r="W170" s="103"/>
      <c r="X170" s="103"/>
      <c r="Y170" s="103"/>
      <c r="Z170" s="103"/>
    </row>
    <row r="171" spans="1:26" ht="14.25" customHeight="1">
      <c r="A171" s="103"/>
      <c r="B171" s="103"/>
      <c r="C171" s="103"/>
      <c r="D171" s="103"/>
      <c r="E171" s="103"/>
      <c r="F171" s="103"/>
      <c r="G171" s="103"/>
      <c r="H171" s="103"/>
      <c r="I171" s="103"/>
      <c r="J171" s="103"/>
      <c r="K171" s="103"/>
      <c r="L171" s="103"/>
      <c r="M171" s="103"/>
      <c r="N171" s="103"/>
      <c r="O171" s="103"/>
      <c r="P171" s="103"/>
      <c r="Q171" s="103"/>
      <c r="R171" s="103"/>
      <c r="S171" s="103"/>
      <c r="T171" s="103"/>
      <c r="U171" s="103"/>
      <c r="V171" s="103"/>
      <c r="W171" s="103"/>
      <c r="X171" s="103"/>
      <c r="Y171" s="103"/>
      <c r="Z171" s="103"/>
    </row>
    <row r="172" spans="1:26" ht="14.25" customHeight="1">
      <c r="A172" s="103"/>
      <c r="B172" s="103"/>
      <c r="C172" s="103"/>
      <c r="D172" s="103"/>
      <c r="E172" s="103"/>
      <c r="F172" s="103"/>
      <c r="G172" s="103"/>
      <c r="H172" s="103"/>
      <c r="I172" s="103"/>
      <c r="J172" s="103"/>
      <c r="K172" s="103"/>
      <c r="L172" s="103"/>
      <c r="M172" s="103"/>
      <c r="N172" s="103"/>
      <c r="O172" s="103"/>
      <c r="P172" s="103"/>
      <c r="Q172" s="103"/>
      <c r="R172" s="103"/>
      <c r="S172" s="103"/>
      <c r="T172" s="103"/>
      <c r="U172" s="103"/>
      <c r="V172" s="103"/>
      <c r="W172" s="103"/>
      <c r="X172" s="103"/>
      <c r="Y172" s="103"/>
      <c r="Z172" s="103"/>
    </row>
    <row r="173" spans="1:26" ht="14.25" customHeight="1">
      <c r="A173" s="103"/>
      <c r="B173" s="103"/>
      <c r="C173" s="103"/>
      <c r="D173" s="103"/>
      <c r="E173" s="103"/>
      <c r="F173" s="103"/>
      <c r="G173" s="103"/>
      <c r="H173" s="103"/>
      <c r="I173" s="103"/>
      <c r="J173" s="103"/>
      <c r="K173" s="103"/>
      <c r="L173" s="103"/>
      <c r="M173" s="103"/>
      <c r="N173" s="103"/>
      <c r="O173" s="103"/>
      <c r="P173" s="103"/>
      <c r="Q173" s="103"/>
      <c r="R173" s="103"/>
      <c r="S173" s="103"/>
      <c r="T173" s="103"/>
      <c r="U173" s="103"/>
      <c r="V173" s="103"/>
      <c r="W173" s="103"/>
      <c r="X173" s="103"/>
      <c r="Y173" s="103"/>
      <c r="Z173" s="103"/>
    </row>
    <row r="174" spans="1:26" ht="14.25" customHeight="1">
      <c r="A174" s="103"/>
      <c r="B174" s="103"/>
      <c r="C174" s="103"/>
      <c r="D174" s="103"/>
      <c r="E174" s="103"/>
      <c r="F174" s="103"/>
      <c r="G174" s="103"/>
      <c r="H174" s="103"/>
      <c r="I174" s="103"/>
      <c r="J174" s="103"/>
      <c r="K174" s="103"/>
      <c r="L174" s="103"/>
      <c r="M174" s="103"/>
      <c r="N174" s="103"/>
      <c r="O174" s="103"/>
      <c r="P174" s="103"/>
      <c r="Q174" s="103"/>
      <c r="R174" s="103"/>
      <c r="S174" s="103"/>
      <c r="T174" s="103"/>
      <c r="U174" s="103"/>
      <c r="V174" s="103"/>
      <c r="W174" s="103"/>
      <c r="X174" s="103"/>
      <c r="Y174" s="103"/>
      <c r="Z174" s="103"/>
    </row>
    <row r="175" spans="1:26" ht="14.25" customHeight="1">
      <c r="A175" s="103"/>
      <c r="B175" s="103"/>
      <c r="C175" s="103"/>
      <c r="D175" s="103"/>
      <c r="E175" s="103"/>
      <c r="F175" s="103"/>
      <c r="G175" s="103"/>
      <c r="H175" s="103"/>
      <c r="I175" s="103"/>
      <c r="J175" s="103"/>
      <c r="K175" s="103"/>
      <c r="L175" s="103"/>
      <c r="M175" s="103"/>
      <c r="N175" s="103"/>
      <c r="O175" s="103"/>
      <c r="P175" s="103"/>
      <c r="Q175" s="103"/>
      <c r="R175" s="103"/>
      <c r="S175" s="103"/>
      <c r="T175" s="103"/>
      <c r="U175" s="103"/>
      <c r="V175" s="103"/>
      <c r="W175" s="103"/>
      <c r="X175" s="103"/>
      <c r="Y175" s="103"/>
      <c r="Z175" s="103"/>
    </row>
    <row r="176" spans="1:26" ht="14.25" customHeight="1">
      <c r="A176" s="103"/>
      <c r="B176" s="103"/>
      <c r="C176" s="103"/>
      <c r="D176" s="103"/>
      <c r="E176" s="103"/>
      <c r="F176" s="103"/>
      <c r="G176" s="103"/>
      <c r="H176" s="103"/>
      <c r="I176" s="103"/>
      <c r="J176" s="103"/>
      <c r="K176" s="103"/>
      <c r="L176" s="103"/>
      <c r="M176" s="103"/>
      <c r="N176" s="103"/>
      <c r="O176" s="103"/>
      <c r="P176" s="103"/>
      <c r="Q176" s="103"/>
      <c r="R176" s="103"/>
      <c r="S176" s="103"/>
      <c r="T176" s="103"/>
      <c r="U176" s="103"/>
      <c r="V176" s="103"/>
      <c r="W176" s="103"/>
      <c r="X176" s="103"/>
      <c r="Y176" s="103"/>
      <c r="Z176" s="103"/>
    </row>
    <row r="177" spans="1:26" ht="14.25" customHeight="1">
      <c r="A177" s="103"/>
      <c r="B177" s="103"/>
      <c r="C177" s="103"/>
      <c r="D177" s="103"/>
      <c r="E177" s="103"/>
      <c r="F177" s="103"/>
      <c r="G177" s="103"/>
      <c r="H177" s="103"/>
      <c r="I177" s="103"/>
      <c r="J177" s="103"/>
      <c r="K177" s="103"/>
      <c r="L177" s="103"/>
      <c r="M177" s="103"/>
      <c r="N177" s="103"/>
      <c r="O177" s="103"/>
      <c r="P177" s="103"/>
      <c r="Q177" s="103"/>
      <c r="R177" s="103"/>
      <c r="S177" s="103"/>
      <c r="T177" s="103"/>
      <c r="U177" s="103"/>
      <c r="V177" s="103"/>
      <c r="W177" s="103"/>
      <c r="X177" s="103"/>
      <c r="Y177" s="103"/>
      <c r="Z177" s="103"/>
    </row>
    <row r="178" spans="1:26" ht="14.25" customHeight="1">
      <c r="A178" s="103"/>
      <c r="B178" s="103"/>
      <c r="C178" s="103"/>
      <c r="D178" s="103"/>
      <c r="E178" s="103"/>
      <c r="F178" s="103"/>
      <c r="G178" s="103"/>
      <c r="H178" s="103"/>
      <c r="I178" s="103"/>
      <c r="J178" s="103"/>
      <c r="K178" s="103"/>
      <c r="L178" s="103"/>
      <c r="M178" s="103"/>
      <c r="N178" s="103"/>
      <c r="O178" s="103"/>
      <c r="P178" s="103"/>
      <c r="Q178" s="103"/>
      <c r="R178" s="103"/>
      <c r="S178" s="103"/>
      <c r="T178" s="103"/>
      <c r="U178" s="103"/>
      <c r="V178" s="103"/>
      <c r="W178" s="103"/>
      <c r="X178" s="103"/>
      <c r="Y178" s="103"/>
      <c r="Z178" s="103"/>
    </row>
    <row r="179" spans="1:26" ht="14.25" customHeight="1">
      <c r="A179" s="103"/>
      <c r="B179" s="103"/>
      <c r="C179" s="103"/>
      <c r="D179" s="103"/>
      <c r="E179" s="103"/>
      <c r="F179" s="103"/>
      <c r="G179" s="103"/>
      <c r="H179" s="103"/>
      <c r="I179" s="103"/>
      <c r="J179" s="103"/>
      <c r="K179" s="103"/>
      <c r="L179" s="103"/>
      <c r="M179" s="103"/>
      <c r="N179" s="103"/>
      <c r="O179" s="103"/>
      <c r="P179" s="103"/>
      <c r="Q179" s="103"/>
      <c r="R179" s="103"/>
      <c r="S179" s="103"/>
      <c r="T179" s="103"/>
      <c r="U179" s="103"/>
      <c r="V179" s="103"/>
      <c r="W179" s="103"/>
      <c r="X179" s="103"/>
      <c r="Y179" s="103"/>
      <c r="Z179" s="103"/>
    </row>
    <row r="180" spans="1:26" ht="14.25" customHeight="1">
      <c r="A180" s="103"/>
      <c r="B180" s="103"/>
      <c r="C180" s="103"/>
      <c r="D180" s="103"/>
      <c r="E180" s="103"/>
      <c r="F180" s="103"/>
      <c r="G180" s="103"/>
      <c r="H180" s="103"/>
      <c r="I180" s="103"/>
      <c r="J180" s="103"/>
      <c r="K180" s="103"/>
      <c r="L180" s="103"/>
      <c r="M180" s="103"/>
      <c r="N180" s="103"/>
      <c r="O180" s="103"/>
      <c r="P180" s="103"/>
      <c r="Q180" s="103"/>
      <c r="R180" s="103"/>
      <c r="S180" s="103"/>
      <c r="T180" s="103"/>
      <c r="U180" s="103"/>
      <c r="V180" s="103"/>
      <c r="W180" s="103"/>
      <c r="X180" s="103"/>
      <c r="Y180" s="103"/>
      <c r="Z180" s="103"/>
    </row>
    <row r="181" spans="1:26" ht="14.25" customHeight="1">
      <c r="A181" s="103"/>
      <c r="B181" s="103"/>
      <c r="C181" s="103"/>
      <c r="D181" s="103"/>
      <c r="E181" s="103"/>
      <c r="F181" s="103"/>
      <c r="G181" s="103"/>
      <c r="H181" s="103"/>
      <c r="I181" s="103"/>
      <c r="J181" s="103"/>
      <c r="K181" s="103"/>
      <c r="L181" s="103"/>
      <c r="M181" s="103"/>
      <c r="N181" s="103"/>
      <c r="O181" s="103"/>
      <c r="P181" s="103"/>
      <c r="Q181" s="103"/>
      <c r="R181" s="103"/>
      <c r="S181" s="103"/>
      <c r="T181" s="103"/>
      <c r="U181" s="103"/>
      <c r="V181" s="103"/>
      <c r="W181" s="103"/>
      <c r="X181" s="103"/>
      <c r="Y181" s="103"/>
      <c r="Z181" s="103"/>
    </row>
    <row r="182" spans="1:26" ht="14.25" customHeight="1">
      <c r="A182" s="103"/>
      <c r="B182" s="103"/>
      <c r="C182" s="103"/>
      <c r="D182" s="103"/>
      <c r="E182" s="103"/>
      <c r="F182" s="103"/>
      <c r="G182" s="103"/>
      <c r="H182" s="103"/>
      <c r="I182" s="103"/>
      <c r="J182" s="103"/>
      <c r="K182" s="103"/>
      <c r="L182" s="103"/>
      <c r="M182" s="103"/>
      <c r="N182" s="103"/>
      <c r="O182" s="103"/>
      <c r="P182" s="103"/>
      <c r="Q182" s="103"/>
      <c r="R182" s="103"/>
      <c r="S182" s="103"/>
      <c r="T182" s="103"/>
      <c r="U182" s="103"/>
      <c r="V182" s="103"/>
      <c r="W182" s="103"/>
      <c r="X182" s="103"/>
      <c r="Y182" s="103"/>
      <c r="Z182" s="103"/>
    </row>
    <row r="183" spans="1:26" ht="14.25" customHeight="1">
      <c r="A183" s="103"/>
      <c r="B183" s="103"/>
      <c r="C183" s="103"/>
      <c r="D183" s="103"/>
      <c r="E183" s="103"/>
      <c r="F183" s="103"/>
      <c r="G183" s="103"/>
      <c r="H183" s="103"/>
      <c r="I183" s="103"/>
      <c r="J183" s="103"/>
      <c r="K183" s="103"/>
      <c r="L183" s="103"/>
      <c r="M183" s="103"/>
      <c r="N183" s="103"/>
      <c r="O183" s="103"/>
      <c r="P183" s="103"/>
      <c r="Q183" s="103"/>
      <c r="R183" s="103"/>
      <c r="S183" s="103"/>
      <c r="T183" s="103"/>
      <c r="U183" s="103"/>
      <c r="V183" s="103"/>
      <c r="W183" s="103"/>
      <c r="X183" s="103"/>
      <c r="Y183" s="103"/>
      <c r="Z183" s="103"/>
    </row>
    <row r="184" spans="1:26" ht="14.25" customHeight="1">
      <c r="A184" s="103"/>
      <c r="B184" s="103"/>
      <c r="C184" s="103"/>
      <c r="D184" s="103"/>
      <c r="E184" s="103"/>
      <c r="F184" s="103"/>
      <c r="G184" s="103"/>
      <c r="H184" s="103"/>
      <c r="I184" s="103"/>
      <c r="J184" s="103"/>
      <c r="K184" s="103"/>
      <c r="L184" s="103"/>
      <c r="M184" s="103"/>
      <c r="N184" s="103"/>
      <c r="O184" s="103"/>
      <c r="P184" s="103"/>
      <c r="Q184" s="103"/>
      <c r="R184" s="103"/>
      <c r="S184" s="103"/>
      <c r="T184" s="103"/>
      <c r="U184" s="103"/>
      <c r="V184" s="103"/>
      <c r="W184" s="103"/>
      <c r="X184" s="103"/>
      <c r="Y184" s="103"/>
      <c r="Z184" s="103"/>
    </row>
    <row r="185" spans="1:26" ht="14.25" customHeight="1">
      <c r="A185" s="103"/>
      <c r="B185" s="103"/>
      <c r="C185" s="103"/>
      <c r="D185" s="103"/>
      <c r="E185" s="103"/>
      <c r="F185" s="103"/>
      <c r="G185" s="103"/>
      <c r="H185" s="103"/>
      <c r="I185" s="103"/>
      <c r="J185" s="103"/>
      <c r="K185" s="103"/>
      <c r="L185" s="103"/>
      <c r="M185" s="103"/>
      <c r="N185" s="103"/>
      <c r="O185" s="103"/>
      <c r="P185" s="103"/>
      <c r="Q185" s="103"/>
      <c r="R185" s="103"/>
      <c r="S185" s="103"/>
      <c r="T185" s="103"/>
      <c r="U185" s="103"/>
      <c r="V185" s="103"/>
      <c r="W185" s="103"/>
      <c r="X185" s="103"/>
      <c r="Y185" s="103"/>
      <c r="Z185" s="103"/>
    </row>
    <row r="186" spans="1:26" ht="14.25" customHeight="1">
      <c r="A186" s="103"/>
      <c r="B186" s="103"/>
      <c r="C186" s="103"/>
      <c r="D186" s="103"/>
      <c r="E186" s="103"/>
      <c r="F186" s="103"/>
      <c r="G186" s="103"/>
      <c r="H186" s="103"/>
      <c r="I186" s="103"/>
      <c r="J186" s="103"/>
      <c r="K186" s="103"/>
      <c r="L186" s="103"/>
      <c r="M186" s="103"/>
      <c r="N186" s="103"/>
      <c r="O186" s="103"/>
      <c r="P186" s="103"/>
      <c r="Q186" s="103"/>
      <c r="R186" s="103"/>
      <c r="S186" s="103"/>
      <c r="T186" s="103"/>
      <c r="U186" s="103"/>
      <c r="V186" s="103"/>
      <c r="W186" s="103"/>
      <c r="X186" s="103"/>
      <c r="Y186" s="103"/>
      <c r="Z186" s="103"/>
    </row>
    <row r="187" spans="1:26" ht="14.25" customHeight="1">
      <c r="A187" s="103"/>
      <c r="B187" s="103"/>
      <c r="C187" s="103"/>
      <c r="D187" s="103"/>
      <c r="E187" s="103"/>
      <c r="F187" s="103"/>
      <c r="G187" s="103"/>
      <c r="H187" s="103"/>
      <c r="I187" s="103"/>
      <c r="J187" s="103"/>
      <c r="K187" s="103"/>
      <c r="L187" s="103"/>
      <c r="M187" s="103"/>
      <c r="N187" s="103"/>
      <c r="O187" s="103"/>
      <c r="P187" s="103"/>
      <c r="Q187" s="103"/>
      <c r="R187" s="103"/>
      <c r="S187" s="103"/>
      <c r="T187" s="103"/>
      <c r="U187" s="103"/>
      <c r="V187" s="103"/>
      <c r="W187" s="103"/>
      <c r="X187" s="103"/>
      <c r="Y187" s="103"/>
      <c r="Z187" s="103"/>
    </row>
    <row r="188" spans="1:26" ht="14.25" customHeight="1">
      <c r="A188" s="103"/>
      <c r="B188" s="103"/>
      <c r="C188" s="103"/>
      <c r="D188" s="103"/>
      <c r="E188" s="103"/>
      <c r="F188" s="103"/>
      <c r="G188" s="103"/>
      <c r="H188" s="103"/>
      <c r="I188" s="103"/>
      <c r="J188" s="103"/>
      <c r="K188" s="103"/>
      <c r="L188" s="103"/>
      <c r="M188" s="103"/>
      <c r="N188" s="103"/>
      <c r="O188" s="103"/>
      <c r="P188" s="103"/>
      <c r="Q188" s="103"/>
      <c r="R188" s="103"/>
      <c r="S188" s="103"/>
      <c r="T188" s="103"/>
      <c r="U188" s="103"/>
      <c r="V188" s="103"/>
      <c r="W188" s="103"/>
      <c r="X188" s="103"/>
      <c r="Y188" s="103"/>
      <c r="Z188" s="103"/>
    </row>
    <row r="189" spans="1:26" ht="14.25" customHeight="1">
      <c r="A189" s="103"/>
      <c r="B189" s="103"/>
      <c r="C189" s="103"/>
      <c r="D189" s="103"/>
      <c r="E189" s="103"/>
      <c r="F189" s="103"/>
      <c r="G189" s="103"/>
      <c r="H189" s="103"/>
      <c r="I189" s="103"/>
      <c r="J189" s="103"/>
      <c r="K189" s="103"/>
      <c r="L189" s="103"/>
      <c r="M189" s="103"/>
      <c r="N189" s="103"/>
      <c r="O189" s="103"/>
      <c r="P189" s="103"/>
      <c r="Q189" s="103"/>
      <c r="R189" s="103"/>
      <c r="S189" s="103"/>
      <c r="T189" s="103"/>
      <c r="U189" s="103"/>
      <c r="V189" s="103"/>
      <c r="W189" s="103"/>
      <c r="X189" s="103"/>
      <c r="Y189" s="103"/>
      <c r="Z189" s="103"/>
    </row>
    <row r="190" spans="1:26" ht="14.25" customHeight="1">
      <c r="A190" s="103"/>
      <c r="B190" s="103"/>
      <c r="C190" s="103"/>
      <c r="D190" s="103"/>
      <c r="E190" s="103"/>
      <c r="F190" s="103"/>
      <c r="G190" s="103"/>
      <c r="H190" s="103"/>
      <c r="I190" s="103"/>
      <c r="J190" s="103"/>
      <c r="K190" s="103"/>
      <c r="L190" s="103"/>
      <c r="M190" s="103"/>
      <c r="N190" s="103"/>
      <c r="O190" s="103"/>
      <c r="P190" s="103"/>
      <c r="Q190" s="103"/>
      <c r="R190" s="103"/>
      <c r="S190" s="103"/>
      <c r="T190" s="103"/>
      <c r="U190" s="103"/>
      <c r="V190" s="103"/>
      <c r="W190" s="103"/>
      <c r="X190" s="103"/>
      <c r="Y190" s="103"/>
      <c r="Z190" s="103"/>
    </row>
    <row r="191" spans="1:26" ht="14.25" customHeight="1">
      <c r="A191" s="103"/>
      <c r="B191" s="103"/>
      <c r="C191" s="103"/>
      <c r="D191" s="103"/>
      <c r="E191" s="103"/>
      <c r="F191" s="103"/>
      <c r="G191" s="103"/>
      <c r="H191" s="103"/>
      <c r="I191" s="103"/>
      <c r="J191" s="103"/>
      <c r="K191" s="103"/>
      <c r="L191" s="103"/>
      <c r="M191" s="103"/>
      <c r="N191" s="103"/>
      <c r="O191" s="103"/>
      <c r="P191" s="103"/>
      <c r="Q191" s="103"/>
      <c r="R191" s="103"/>
      <c r="S191" s="103"/>
      <c r="T191" s="103"/>
      <c r="U191" s="103"/>
      <c r="V191" s="103"/>
      <c r="W191" s="103"/>
      <c r="X191" s="103"/>
      <c r="Y191" s="103"/>
      <c r="Z191" s="103"/>
    </row>
    <row r="192" spans="1:26" ht="14.25" customHeight="1">
      <c r="A192" s="103"/>
      <c r="B192" s="103"/>
      <c r="C192" s="103"/>
      <c r="D192" s="103"/>
      <c r="E192" s="103"/>
      <c r="F192" s="103"/>
      <c r="G192" s="103"/>
      <c r="H192" s="103"/>
      <c r="I192" s="103"/>
      <c r="J192" s="103"/>
      <c r="K192" s="103"/>
      <c r="L192" s="103"/>
      <c r="M192" s="103"/>
      <c r="N192" s="103"/>
      <c r="O192" s="103"/>
      <c r="P192" s="103"/>
      <c r="Q192" s="103"/>
      <c r="R192" s="103"/>
      <c r="S192" s="103"/>
      <c r="T192" s="103"/>
      <c r="U192" s="103"/>
      <c r="V192" s="103"/>
      <c r="W192" s="103"/>
      <c r="X192" s="103"/>
      <c r="Y192" s="103"/>
      <c r="Z192" s="103"/>
    </row>
    <row r="193" spans="1:26" ht="14.25" customHeight="1">
      <c r="A193" s="103"/>
      <c r="B193" s="103"/>
      <c r="C193" s="103"/>
      <c r="D193" s="103"/>
      <c r="E193" s="103"/>
      <c r="F193" s="103"/>
      <c r="G193" s="103"/>
      <c r="H193" s="103"/>
      <c r="I193" s="103"/>
      <c r="J193" s="103"/>
      <c r="K193" s="103"/>
      <c r="L193" s="103"/>
      <c r="M193" s="103"/>
      <c r="N193" s="103"/>
      <c r="O193" s="103"/>
      <c r="P193" s="103"/>
      <c r="Q193" s="103"/>
      <c r="R193" s="103"/>
      <c r="S193" s="103"/>
      <c r="T193" s="103"/>
      <c r="U193" s="103"/>
      <c r="V193" s="103"/>
      <c r="W193" s="103"/>
      <c r="X193" s="103"/>
      <c r="Y193" s="103"/>
      <c r="Z193" s="103"/>
    </row>
    <row r="194" spans="1:26" ht="14.25" customHeight="1">
      <c r="A194" s="103"/>
      <c r="B194" s="103"/>
      <c r="C194" s="103"/>
      <c r="D194" s="103"/>
      <c r="E194" s="103"/>
      <c r="F194" s="103"/>
      <c r="G194" s="103"/>
      <c r="H194" s="103"/>
      <c r="I194" s="103"/>
      <c r="J194" s="103"/>
      <c r="K194" s="103"/>
      <c r="L194" s="103"/>
      <c r="M194" s="103"/>
      <c r="N194" s="103"/>
      <c r="O194" s="103"/>
      <c r="P194" s="103"/>
      <c r="Q194" s="103"/>
      <c r="R194" s="103"/>
      <c r="S194" s="103"/>
      <c r="T194" s="103"/>
      <c r="U194" s="103"/>
      <c r="V194" s="103"/>
      <c r="W194" s="103"/>
      <c r="X194" s="103"/>
      <c r="Y194" s="103"/>
      <c r="Z194" s="103"/>
    </row>
    <row r="195" spans="1:26" ht="14.25" customHeight="1">
      <c r="A195" s="103"/>
      <c r="B195" s="103"/>
      <c r="C195" s="103"/>
      <c r="D195" s="103"/>
      <c r="E195" s="103"/>
      <c r="F195" s="103"/>
      <c r="G195" s="103"/>
      <c r="H195" s="103"/>
      <c r="I195" s="103"/>
      <c r="J195" s="103"/>
      <c r="K195" s="103"/>
      <c r="L195" s="103"/>
      <c r="M195" s="103"/>
      <c r="N195" s="103"/>
      <c r="O195" s="103"/>
      <c r="P195" s="103"/>
      <c r="Q195" s="103"/>
      <c r="R195" s="103"/>
      <c r="S195" s="103"/>
      <c r="T195" s="103"/>
      <c r="U195" s="103"/>
      <c r="V195" s="103"/>
      <c r="W195" s="103"/>
      <c r="X195" s="103"/>
      <c r="Y195" s="103"/>
      <c r="Z195" s="103"/>
    </row>
    <row r="196" spans="1:26" ht="14.25" customHeight="1">
      <c r="A196" s="103"/>
      <c r="B196" s="103"/>
      <c r="C196" s="103"/>
      <c r="D196" s="103"/>
      <c r="E196" s="103"/>
      <c r="F196" s="103"/>
      <c r="G196" s="103"/>
      <c r="H196" s="103"/>
      <c r="I196" s="103"/>
      <c r="J196" s="103"/>
      <c r="K196" s="103"/>
      <c r="L196" s="103"/>
      <c r="M196" s="103"/>
      <c r="N196" s="103"/>
      <c r="O196" s="103"/>
      <c r="P196" s="103"/>
      <c r="Q196" s="103"/>
      <c r="R196" s="103"/>
      <c r="S196" s="103"/>
      <c r="T196" s="103"/>
      <c r="U196" s="103"/>
      <c r="V196" s="103"/>
      <c r="W196" s="103"/>
      <c r="X196" s="103"/>
      <c r="Y196" s="103"/>
      <c r="Z196" s="103"/>
    </row>
    <row r="197" spans="1:26" ht="14.25" customHeight="1">
      <c r="A197" s="103"/>
      <c r="B197" s="103"/>
      <c r="C197" s="103"/>
      <c r="D197" s="103"/>
      <c r="E197" s="103"/>
      <c r="F197" s="103"/>
      <c r="G197" s="103"/>
      <c r="H197" s="103"/>
      <c r="I197" s="103"/>
      <c r="J197" s="103"/>
      <c r="K197" s="103"/>
      <c r="L197" s="103"/>
      <c r="M197" s="103"/>
      <c r="N197" s="103"/>
      <c r="O197" s="103"/>
      <c r="P197" s="103"/>
      <c r="Q197" s="103"/>
      <c r="R197" s="103"/>
      <c r="S197" s="103"/>
      <c r="T197" s="103"/>
      <c r="U197" s="103"/>
      <c r="V197" s="103"/>
      <c r="W197" s="103"/>
      <c r="X197" s="103"/>
      <c r="Y197" s="103"/>
      <c r="Z197" s="103"/>
    </row>
    <row r="198" spans="1:26" ht="14.25" customHeight="1">
      <c r="A198" s="103"/>
      <c r="B198" s="103"/>
      <c r="C198" s="103"/>
      <c r="D198" s="103"/>
      <c r="E198" s="103"/>
      <c r="F198" s="103"/>
      <c r="G198" s="103"/>
      <c r="H198" s="103"/>
      <c r="I198" s="103"/>
      <c r="J198" s="103"/>
      <c r="K198" s="103"/>
      <c r="L198" s="103"/>
      <c r="M198" s="103"/>
      <c r="N198" s="103"/>
      <c r="O198" s="103"/>
      <c r="P198" s="103"/>
      <c r="Q198" s="103"/>
      <c r="R198" s="103"/>
      <c r="S198" s="103"/>
      <c r="T198" s="103"/>
      <c r="U198" s="103"/>
      <c r="V198" s="103"/>
      <c r="W198" s="103"/>
      <c r="X198" s="103"/>
      <c r="Y198" s="103"/>
      <c r="Z198" s="103"/>
    </row>
    <row r="199" spans="1:26" ht="14.25" customHeight="1">
      <c r="A199" s="103"/>
      <c r="B199" s="103"/>
      <c r="C199" s="103"/>
      <c r="D199" s="103"/>
      <c r="E199" s="103"/>
      <c r="F199" s="103"/>
      <c r="G199" s="103"/>
      <c r="H199" s="103"/>
      <c r="I199" s="103"/>
      <c r="J199" s="103"/>
      <c r="K199" s="103"/>
      <c r="L199" s="103"/>
      <c r="M199" s="103"/>
      <c r="N199" s="103"/>
      <c r="O199" s="103"/>
      <c r="P199" s="103"/>
      <c r="Q199" s="103"/>
      <c r="R199" s="103"/>
      <c r="S199" s="103"/>
      <c r="T199" s="103"/>
      <c r="U199" s="103"/>
      <c r="V199" s="103"/>
      <c r="W199" s="103"/>
      <c r="X199" s="103"/>
      <c r="Y199" s="103"/>
      <c r="Z199" s="103"/>
    </row>
    <row r="200" spans="1:26" ht="14.25" customHeight="1">
      <c r="A200" s="103"/>
      <c r="B200" s="103"/>
      <c r="C200" s="103"/>
      <c r="D200" s="103"/>
      <c r="E200" s="103"/>
      <c r="F200" s="103"/>
      <c r="G200" s="103"/>
      <c r="H200" s="103"/>
      <c r="I200" s="103"/>
      <c r="J200" s="103"/>
      <c r="K200" s="103"/>
      <c r="L200" s="103"/>
      <c r="M200" s="103"/>
      <c r="N200" s="103"/>
      <c r="O200" s="103"/>
      <c r="P200" s="103"/>
      <c r="Q200" s="103"/>
      <c r="R200" s="103"/>
      <c r="S200" s="103"/>
      <c r="T200" s="103"/>
      <c r="U200" s="103"/>
      <c r="V200" s="103"/>
      <c r="W200" s="103"/>
      <c r="X200" s="103"/>
      <c r="Y200" s="103"/>
      <c r="Z200" s="103"/>
    </row>
    <row r="201" spans="1:26" ht="14.25" customHeight="1">
      <c r="A201" s="103"/>
      <c r="B201" s="103"/>
      <c r="C201" s="103"/>
      <c r="D201" s="103"/>
      <c r="E201" s="103"/>
      <c r="F201" s="103"/>
      <c r="G201" s="103"/>
      <c r="H201" s="103"/>
      <c r="I201" s="103"/>
      <c r="J201" s="103"/>
      <c r="K201" s="103"/>
      <c r="L201" s="103"/>
      <c r="M201" s="103"/>
      <c r="N201" s="103"/>
      <c r="O201" s="103"/>
      <c r="P201" s="103"/>
      <c r="Q201" s="103"/>
      <c r="R201" s="103"/>
      <c r="S201" s="103"/>
      <c r="T201" s="103"/>
      <c r="U201" s="103"/>
      <c r="V201" s="103"/>
      <c r="W201" s="103"/>
      <c r="X201" s="103"/>
      <c r="Y201" s="103"/>
      <c r="Z201" s="103"/>
    </row>
    <row r="202" spans="1:26" ht="14.25" customHeight="1">
      <c r="A202" s="103"/>
      <c r="B202" s="103"/>
      <c r="C202" s="103"/>
      <c r="D202" s="103"/>
      <c r="E202" s="103"/>
      <c r="F202" s="103"/>
      <c r="G202" s="103"/>
      <c r="H202" s="103"/>
      <c r="I202" s="103"/>
      <c r="J202" s="103"/>
      <c r="K202" s="103"/>
      <c r="L202" s="103"/>
      <c r="M202" s="103"/>
      <c r="N202" s="103"/>
      <c r="O202" s="103"/>
      <c r="P202" s="103"/>
      <c r="Q202" s="103"/>
      <c r="R202" s="103"/>
      <c r="S202" s="103"/>
      <c r="T202" s="103"/>
      <c r="U202" s="103"/>
      <c r="V202" s="103"/>
      <c r="W202" s="103"/>
      <c r="X202" s="103"/>
      <c r="Y202" s="103"/>
      <c r="Z202" s="103"/>
    </row>
    <row r="203" spans="1:26" ht="14.25" customHeight="1">
      <c r="A203" s="103"/>
      <c r="B203" s="103"/>
      <c r="C203" s="103"/>
      <c r="D203" s="103"/>
      <c r="E203" s="103"/>
      <c r="F203" s="103"/>
      <c r="G203" s="103"/>
      <c r="H203" s="103"/>
      <c r="I203" s="103"/>
      <c r="J203" s="103"/>
      <c r="K203" s="103"/>
      <c r="L203" s="103"/>
      <c r="M203" s="103"/>
      <c r="N203" s="103"/>
      <c r="O203" s="103"/>
      <c r="P203" s="103"/>
      <c r="Q203" s="103"/>
      <c r="R203" s="103"/>
      <c r="S203" s="103"/>
      <c r="T203" s="103"/>
      <c r="U203" s="103"/>
      <c r="V203" s="103"/>
      <c r="W203" s="103"/>
      <c r="X203" s="103"/>
      <c r="Y203" s="103"/>
      <c r="Z203" s="103"/>
    </row>
    <row r="204" spans="1:26" ht="14.25" customHeight="1">
      <c r="A204" s="103"/>
      <c r="B204" s="103"/>
      <c r="C204" s="103"/>
      <c r="D204" s="103"/>
      <c r="E204" s="103"/>
      <c r="F204" s="103"/>
      <c r="G204" s="103"/>
      <c r="H204" s="103"/>
      <c r="I204" s="103"/>
      <c r="J204" s="103"/>
      <c r="K204" s="103"/>
      <c r="L204" s="103"/>
      <c r="M204" s="103"/>
      <c r="N204" s="103"/>
      <c r="O204" s="103"/>
      <c r="P204" s="103"/>
      <c r="Q204" s="103"/>
      <c r="R204" s="103"/>
      <c r="S204" s="103"/>
      <c r="T204" s="103"/>
      <c r="U204" s="103"/>
      <c r="V204" s="103"/>
      <c r="W204" s="103"/>
      <c r="X204" s="103"/>
      <c r="Y204" s="103"/>
      <c r="Z204" s="103"/>
    </row>
    <row r="205" spans="1:26" ht="14.25" customHeight="1">
      <c r="A205" s="103"/>
      <c r="B205" s="103"/>
      <c r="C205" s="103"/>
      <c r="D205" s="103"/>
      <c r="E205" s="103"/>
      <c r="F205" s="103"/>
      <c r="G205" s="103"/>
      <c r="H205" s="103"/>
      <c r="I205" s="103"/>
      <c r="J205" s="103"/>
      <c r="K205" s="103"/>
      <c r="L205" s="103"/>
      <c r="M205" s="103"/>
      <c r="N205" s="103"/>
      <c r="O205" s="103"/>
      <c r="P205" s="103"/>
      <c r="Q205" s="103"/>
      <c r="R205" s="103"/>
      <c r="S205" s="103"/>
      <c r="T205" s="103"/>
      <c r="U205" s="103"/>
      <c r="V205" s="103"/>
      <c r="W205" s="103"/>
      <c r="X205" s="103"/>
      <c r="Y205" s="103"/>
      <c r="Z205" s="103"/>
    </row>
    <row r="206" spans="1:26" ht="14.25" customHeight="1">
      <c r="A206" s="103"/>
      <c r="B206" s="103"/>
      <c r="C206" s="103"/>
      <c r="D206" s="103"/>
      <c r="E206" s="103"/>
      <c r="F206" s="103"/>
      <c r="G206" s="103"/>
      <c r="H206" s="103"/>
      <c r="I206" s="103"/>
      <c r="J206" s="103"/>
      <c r="K206" s="103"/>
      <c r="L206" s="103"/>
      <c r="M206" s="103"/>
      <c r="N206" s="103"/>
      <c r="O206" s="103"/>
      <c r="P206" s="103"/>
      <c r="Q206" s="103"/>
      <c r="R206" s="103"/>
      <c r="S206" s="103"/>
      <c r="T206" s="103"/>
      <c r="U206" s="103"/>
      <c r="V206" s="103"/>
      <c r="W206" s="103"/>
      <c r="X206" s="103"/>
      <c r="Y206" s="103"/>
      <c r="Z206" s="103"/>
    </row>
    <row r="207" spans="1:26" ht="14.25" customHeight="1">
      <c r="A207" s="103"/>
      <c r="B207" s="103"/>
      <c r="C207" s="103"/>
      <c r="D207" s="103"/>
      <c r="E207" s="103"/>
      <c r="F207" s="103"/>
      <c r="G207" s="103"/>
      <c r="H207" s="103"/>
      <c r="I207" s="103"/>
      <c r="J207" s="103"/>
      <c r="K207" s="103"/>
      <c r="L207" s="103"/>
      <c r="M207" s="103"/>
      <c r="N207" s="103"/>
      <c r="O207" s="103"/>
      <c r="P207" s="103"/>
      <c r="Q207" s="103"/>
      <c r="R207" s="103"/>
      <c r="S207" s="103"/>
      <c r="T207" s="103"/>
      <c r="U207" s="103"/>
      <c r="V207" s="103"/>
      <c r="W207" s="103"/>
      <c r="X207" s="103"/>
      <c r="Y207" s="103"/>
      <c r="Z207" s="103"/>
    </row>
    <row r="208" spans="1:26" ht="14.25" customHeight="1">
      <c r="A208" s="103"/>
      <c r="B208" s="103"/>
      <c r="C208" s="103"/>
      <c r="D208" s="103"/>
      <c r="E208" s="103"/>
      <c r="F208" s="103"/>
      <c r="G208" s="103"/>
      <c r="H208" s="103"/>
      <c r="I208" s="103"/>
      <c r="J208" s="103"/>
      <c r="K208" s="103"/>
      <c r="L208" s="103"/>
      <c r="M208" s="103"/>
      <c r="N208" s="103"/>
      <c r="O208" s="103"/>
      <c r="P208" s="103"/>
      <c r="Q208" s="103"/>
      <c r="R208" s="103"/>
      <c r="S208" s="103"/>
      <c r="T208" s="103"/>
      <c r="U208" s="103"/>
      <c r="V208" s="103"/>
      <c r="W208" s="103"/>
      <c r="X208" s="103"/>
      <c r="Y208" s="103"/>
      <c r="Z208" s="103"/>
    </row>
    <row r="209" spans="1:26" ht="14.25" customHeight="1">
      <c r="A209" s="103"/>
      <c r="B209" s="103"/>
      <c r="C209" s="103"/>
      <c r="D209" s="103"/>
      <c r="E209" s="103"/>
      <c r="F209" s="103"/>
      <c r="G209" s="103"/>
      <c r="H209" s="103"/>
      <c r="I209" s="103"/>
      <c r="J209" s="103"/>
      <c r="K209" s="103"/>
      <c r="L209" s="103"/>
      <c r="M209" s="103"/>
      <c r="N209" s="103"/>
      <c r="O209" s="103"/>
      <c r="P209" s="103"/>
      <c r="Q209" s="103"/>
      <c r="R209" s="103"/>
      <c r="S209" s="103"/>
      <c r="T209" s="103"/>
      <c r="U209" s="103"/>
      <c r="V209" s="103"/>
      <c r="W209" s="103"/>
      <c r="X209" s="103"/>
      <c r="Y209" s="103"/>
      <c r="Z209" s="103"/>
    </row>
    <row r="210" spans="1:26" ht="14.25" customHeight="1">
      <c r="A210" s="103"/>
      <c r="B210" s="103"/>
      <c r="C210" s="103"/>
      <c r="D210" s="103"/>
      <c r="E210" s="103"/>
      <c r="F210" s="103"/>
      <c r="G210" s="103"/>
      <c r="H210" s="103"/>
      <c r="I210" s="103"/>
      <c r="J210" s="103"/>
      <c r="K210" s="103"/>
      <c r="L210" s="103"/>
      <c r="M210" s="103"/>
      <c r="N210" s="103"/>
      <c r="O210" s="103"/>
      <c r="P210" s="103"/>
      <c r="Q210" s="103"/>
      <c r="R210" s="103"/>
      <c r="S210" s="103"/>
      <c r="T210" s="103"/>
      <c r="U210" s="103"/>
      <c r="V210" s="103"/>
      <c r="W210" s="103"/>
      <c r="X210" s="103"/>
      <c r="Y210" s="103"/>
      <c r="Z210" s="103"/>
    </row>
    <row r="211" spans="1:26" ht="14.25" customHeight="1">
      <c r="A211" s="103"/>
      <c r="B211" s="103"/>
      <c r="C211" s="103"/>
      <c r="D211" s="103"/>
      <c r="E211" s="103"/>
      <c r="F211" s="103"/>
      <c r="G211" s="103"/>
      <c r="H211" s="103"/>
      <c r="I211" s="103"/>
      <c r="J211" s="103"/>
      <c r="K211" s="103"/>
      <c r="L211" s="103"/>
      <c r="M211" s="103"/>
      <c r="N211" s="103"/>
      <c r="O211" s="103"/>
      <c r="P211" s="103"/>
      <c r="Q211" s="103"/>
      <c r="R211" s="103"/>
      <c r="S211" s="103"/>
      <c r="T211" s="103"/>
      <c r="U211" s="103"/>
      <c r="V211" s="103"/>
      <c r="W211" s="103"/>
      <c r="X211" s="103"/>
      <c r="Y211" s="103"/>
      <c r="Z211" s="103"/>
    </row>
    <row r="212" spans="1:26" ht="14.25" customHeight="1">
      <c r="A212" s="103"/>
      <c r="B212" s="103"/>
      <c r="C212" s="103"/>
      <c r="D212" s="103"/>
      <c r="E212" s="103"/>
      <c r="F212" s="103"/>
      <c r="G212" s="103"/>
      <c r="H212" s="103"/>
      <c r="I212" s="103"/>
      <c r="J212" s="103"/>
      <c r="K212" s="103"/>
      <c r="L212" s="103"/>
      <c r="M212" s="103"/>
      <c r="N212" s="103"/>
      <c r="O212" s="103"/>
      <c r="P212" s="103"/>
      <c r="Q212" s="103"/>
      <c r="R212" s="103"/>
      <c r="S212" s="103"/>
      <c r="T212" s="103"/>
      <c r="U212" s="103"/>
      <c r="V212" s="103"/>
      <c r="W212" s="103"/>
      <c r="X212" s="103"/>
      <c r="Y212" s="103"/>
      <c r="Z212" s="103"/>
    </row>
    <row r="213" spans="1:26" ht="14.25" customHeight="1">
      <c r="A213" s="103"/>
      <c r="B213" s="103"/>
      <c r="C213" s="103"/>
      <c r="D213" s="103"/>
      <c r="E213" s="103"/>
      <c r="F213" s="103"/>
      <c r="G213" s="103"/>
      <c r="H213" s="103"/>
      <c r="I213" s="103"/>
      <c r="J213" s="103"/>
      <c r="K213" s="103"/>
      <c r="L213" s="103"/>
      <c r="M213" s="103"/>
      <c r="N213" s="103"/>
      <c r="O213" s="103"/>
      <c r="P213" s="103"/>
      <c r="Q213" s="103"/>
      <c r="R213" s="103"/>
      <c r="S213" s="103"/>
      <c r="T213" s="103"/>
      <c r="U213" s="103"/>
      <c r="V213" s="103"/>
      <c r="W213" s="103"/>
      <c r="X213" s="103"/>
      <c r="Y213" s="103"/>
      <c r="Z213" s="103"/>
    </row>
    <row r="214" spans="1:26" ht="14.25" customHeight="1">
      <c r="A214" s="103"/>
      <c r="B214" s="103"/>
      <c r="C214" s="103"/>
      <c r="D214" s="103"/>
      <c r="E214" s="103"/>
      <c r="F214" s="103"/>
      <c r="G214" s="103"/>
      <c r="H214" s="103"/>
      <c r="I214" s="103"/>
      <c r="J214" s="103"/>
      <c r="K214" s="103"/>
      <c r="L214" s="103"/>
      <c r="M214" s="103"/>
      <c r="N214" s="103"/>
      <c r="O214" s="103"/>
      <c r="P214" s="103"/>
      <c r="Q214" s="103"/>
      <c r="R214" s="103"/>
      <c r="S214" s="103"/>
      <c r="T214" s="103"/>
      <c r="U214" s="103"/>
      <c r="V214" s="103"/>
      <c r="W214" s="103"/>
      <c r="X214" s="103"/>
      <c r="Y214" s="103"/>
      <c r="Z214" s="103"/>
    </row>
    <row r="215" spans="1:26" ht="14.25" customHeight="1">
      <c r="A215" s="103"/>
      <c r="B215" s="103"/>
      <c r="C215" s="103"/>
      <c r="D215" s="103"/>
      <c r="E215" s="103"/>
      <c r="F215" s="103"/>
      <c r="G215" s="103"/>
      <c r="H215" s="103"/>
      <c r="I215" s="103"/>
      <c r="J215" s="103"/>
      <c r="K215" s="103"/>
      <c r="L215" s="103"/>
      <c r="M215" s="103"/>
      <c r="N215" s="103"/>
      <c r="O215" s="103"/>
      <c r="P215" s="103"/>
      <c r="Q215" s="103"/>
      <c r="R215" s="103"/>
      <c r="S215" s="103"/>
      <c r="T215" s="103"/>
      <c r="U215" s="103"/>
      <c r="V215" s="103"/>
      <c r="W215" s="103"/>
      <c r="X215" s="103"/>
      <c r="Y215" s="103"/>
      <c r="Z215" s="103"/>
    </row>
    <row r="216" spans="1:26" ht="14.25" customHeight="1">
      <c r="A216" s="103"/>
      <c r="B216" s="103"/>
      <c r="C216" s="103"/>
      <c r="D216" s="103"/>
      <c r="E216" s="103"/>
      <c r="F216" s="103"/>
      <c r="G216" s="103"/>
      <c r="H216" s="103"/>
      <c r="I216" s="103"/>
      <c r="J216" s="103"/>
      <c r="K216" s="103"/>
      <c r="L216" s="103"/>
      <c r="M216" s="103"/>
      <c r="N216" s="103"/>
      <c r="O216" s="103"/>
      <c r="P216" s="103"/>
      <c r="Q216" s="103"/>
      <c r="R216" s="103"/>
      <c r="S216" s="103"/>
      <c r="T216" s="103"/>
      <c r="U216" s="103"/>
      <c r="V216" s="103"/>
      <c r="W216" s="103"/>
      <c r="X216" s="103"/>
      <c r="Y216" s="103"/>
      <c r="Z216" s="103"/>
    </row>
    <row r="217" spans="1:26" ht="14.25" customHeight="1">
      <c r="A217" s="103"/>
      <c r="B217" s="103"/>
      <c r="C217" s="103"/>
      <c r="D217" s="103"/>
      <c r="E217" s="103"/>
      <c r="F217" s="103"/>
      <c r="G217" s="103"/>
      <c r="H217" s="103"/>
      <c r="I217" s="103"/>
      <c r="J217" s="103"/>
      <c r="K217" s="103"/>
      <c r="L217" s="103"/>
      <c r="M217" s="103"/>
      <c r="N217" s="103"/>
      <c r="O217" s="103"/>
      <c r="P217" s="103"/>
      <c r="Q217" s="103"/>
      <c r="R217" s="103"/>
      <c r="S217" s="103"/>
      <c r="T217" s="103"/>
      <c r="U217" s="103"/>
      <c r="V217" s="103"/>
      <c r="W217" s="103"/>
      <c r="X217" s="103"/>
      <c r="Y217" s="103"/>
      <c r="Z217" s="103"/>
    </row>
    <row r="218" spans="1:26" ht="14.25" customHeight="1">
      <c r="A218" s="103"/>
      <c r="B218" s="103"/>
      <c r="C218" s="103"/>
      <c r="D218" s="103"/>
      <c r="E218" s="103"/>
      <c r="F218" s="103"/>
      <c r="G218" s="103"/>
      <c r="H218" s="103"/>
      <c r="I218" s="103"/>
      <c r="J218" s="103"/>
      <c r="K218" s="103"/>
      <c r="L218" s="103"/>
      <c r="M218" s="103"/>
      <c r="N218" s="103"/>
      <c r="O218" s="103"/>
      <c r="P218" s="103"/>
      <c r="Q218" s="103"/>
      <c r="R218" s="103"/>
      <c r="S218" s="103"/>
      <c r="T218" s="103"/>
      <c r="U218" s="103"/>
      <c r="V218" s="103"/>
      <c r="W218" s="103"/>
      <c r="X218" s="103"/>
      <c r="Y218" s="103"/>
      <c r="Z218" s="103"/>
    </row>
    <row r="219" spans="1:26" ht="14.25" customHeight="1">
      <c r="A219" s="103"/>
      <c r="B219" s="103"/>
      <c r="C219" s="103"/>
      <c r="D219" s="103"/>
      <c r="E219" s="103"/>
      <c r="F219" s="103"/>
      <c r="G219" s="103"/>
      <c r="H219" s="103"/>
      <c r="I219" s="103"/>
      <c r="J219" s="103"/>
      <c r="K219" s="103"/>
      <c r="L219" s="103"/>
      <c r="M219" s="103"/>
      <c r="N219" s="103"/>
      <c r="O219" s="103"/>
      <c r="P219" s="103"/>
      <c r="Q219" s="103"/>
      <c r="R219" s="103"/>
      <c r="S219" s="103"/>
      <c r="T219" s="103"/>
      <c r="U219" s="103"/>
      <c r="V219" s="103"/>
      <c r="W219" s="103"/>
      <c r="X219" s="103"/>
      <c r="Y219" s="103"/>
      <c r="Z219" s="103"/>
    </row>
    <row r="220" spans="1:26" ht="14.25" customHeight="1">
      <c r="A220" s="103"/>
      <c r="B220" s="103"/>
      <c r="C220" s="103"/>
      <c r="D220" s="103"/>
      <c r="E220" s="103"/>
      <c r="F220" s="103"/>
      <c r="G220" s="103"/>
      <c r="H220" s="103"/>
      <c r="I220" s="103"/>
      <c r="J220" s="103"/>
      <c r="K220" s="103"/>
      <c r="L220" s="103"/>
      <c r="M220" s="103"/>
      <c r="N220" s="103"/>
      <c r="O220" s="103"/>
      <c r="P220" s="103"/>
      <c r="Q220" s="103"/>
      <c r="R220" s="103"/>
      <c r="S220" s="103"/>
      <c r="T220" s="103"/>
      <c r="U220" s="103"/>
      <c r="V220" s="103"/>
      <c r="W220" s="103"/>
      <c r="X220" s="103"/>
      <c r="Y220" s="103"/>
      <c r="Z220" s="103"/>
    </row>
    <row r="221" spans="1:26" ht="14.25" customHeight="1">
      <c r="A221" s="103"/>
      <c r="B221" s="103"/>
      <c r="C221" s="103"/>
      <c r="D221" s="103"/>
      <c r="E221" s="103"/>
      <c r="F221" s="103"/>
      <c r="G221" s="103"/>
      <c r="H221" s="103"/>
      <c r="I221" s="103"/>
      <c r="J221" s="103"/>
      <c r="K221" s="103"/>
      <c r="L221" s="103"/>
      <c r="M221" s="103"/>
      <c r="N221" s="103"/>
      <c r="O221" s="103"/>
      <c r="P221" s="103"/>
      <c r="Q221" s="103"/>
      <c r="R221" s="103"/>
      <c r="S221" s="103"/>
      <c r="T221" s="103"/>
      <c r="U221" s="103"/>
      <c r="V221" s="103"/>
      <c r="W221" s="103"/>
      <c r="X221" s="103"/>
      <c r="Y221" s="103"/>
      <c r="Z221" s="103"/>
    </row>
    <row r="222" spans="1:26" ht="14.25" customHeight="1">
      <c r="A222" s="103"/>
      <c r="B222" s="103"/>
      <c r="C222" s="103"/>
      <c r="D222" s="103"/>
      <c r="E222" s="103"/>
      <c r="F222" s="103"/>
      <c r="G222" s="103"/>
      <c r="H222" s="103"/>
      <c r="I222" s="103"/>
      <c r="J222" s="103"/>
      <c r="K222" s="103"/>
      <c r="L222" s="103"/>
      <c r="M222" s="103"/>
      <c r="N222" s="103"/>
      <c r="O222" s="103"/>
      <c r="P222" s="103"/>
      <c r="Q222" s="103"/>
      <c r="R222" s="103"/>
      <c r="S222" s="103"/>
      <c r="T222" s="103"/>
      <c r="U222" s="103"/>
      <c r="V222" s="103"/>
      <c r="W222" s="103"/>
      <c r="X222" s="103"/>
      <c r="Y222" s="103"/>
      <c r="Z222" s="103"/>
    </row>
    <row r="223" spans="1:26" ht="14.25" customHeight="1">
      <c r="A223" s="103"/>
      <c r="B223" s="103"/>
      <c r="C223" s="103"/>
      <c r="D223" s="103"/>
      <c r="E223" s="103"/>
      <c r="F223" s="103"/>
      <c r="G223" s="103"/>
      <c r="H223" s="103"/>
      <c r="I223" s="103"/>
      <c r="J223" s="103"/>
      <c r="K223" s="103"/>
      <c r="L223" s="103"/>
      <c r="M223" s="103"/>
      <c r="N223" s="103"/>
      <c r="O223" s="103"/>
      <c r="P223" s="103"/>
      <c r="Q223" s="103"/>
      <c r="R223" s="103"/>
      <c r="S223" s="103"/>
      <c r="T223" s="103"/>
      <c r="U223" s="103"/>
      <c r="V223" s="103"/>
      <c r="W223" s="103"/>
      <c r="X223" s="103"/>
      <c r="Y223" s="103"/>
      <c r="Z223" s="103"/>
    </row>
    <row r="224" spans="1:26" ht="14.25" customHeight="1">
      <c r="A224" s="103"/>
      <c r="B224" s="103"/>
      <c r="C224" s="103"/>
      <c r="D224" s="103"/>
      <c r="E224" s="103"/>
      <c r="F224" s="103"/>
      <c r="G224" s="103"/>
      <c r="H224" s="103"/>
      <c r="I224" s="103"/>
      <c r="J224" s="103"/>
      <c r="K224" s="103"/>
      <c r="L224" s="103"/>
      <c r="M224" s="103"/>
      <c r="N224" s="103"/>
      <c r="O224" s="103"/>
      <c r="P224" s="103"/>
      <c r="Q224" s="103"/>
      <c r="R224" s="103"/>
      <c r="S224" s="103"/>
      <c r="T224" s="103"/>
      <c r="U224" s="103"/>
      <c r="V224" s="103"/>
      <c r="W224" s="103"/>
      <c r="X224" s="103"/>
      <c r="Y224" s="103"/>
      <c r="Z224" s="103"/>
    </row>
    <row r="225" spans="1:26" ht="14.25" customHeight="1">
      <c r="A225" s="103"/>
      <c r="B225" s="103"/>
      <c r="C225" s="103"/>
      <c r="D225" s="103"/>
      <c r="E225" s="103"/>
      <c r="F225" s="103"/>
      <c r="G225" s="103"/>
      <c r="H225" s="103"/>
      <c r="I225" s="103"/>
      <c r="J225" s="103"/>
      <c r="K225" s="103"/>
      <c r="L225" s="103"/>
      <c r="M225" s="103"/>
      <c r="N225" s="103"/>
      <c r="O225" s="103"/>
      <c r="P225" s="103"/>
      <c r="Q225" s="103"/>
      <c r="R225" s="103"/>
      <c r="S225" s="103"/>
      <c r="T225" s="103"/>
      <c r="U225" s="103"/>
      <c r="V225" s="103"/>
      <c r="W225" s="103"/>
      <c r="X225" s="103"/>
      <c r="Y225" s="103"/>
      <c r="Z225" s="103"/>
    </row>
    <row r="226" spans="1:26" ht="14.25" customHeight="1">
      <c r="A226" s="103"/>
      <c r="B226" s="103"/>
      <c r="C226" s="103"/>
      <c r="D226" s="103"/>
      <c r="E226" s="103"/>
      <c r="F226" s="103"/>
      <c r="G226" s="103"/>
      <c r="H226" s="103"/>
      <c r="I226" s="103"/>
      <c r="J226" s="103"/>
      <c r="K226" s="103"/>
      <c r="L226" s="103"/>
      <c r="M226" s="103"/>
      <c r="N226" s="103"/>
      <c r="O226" s="103"/>
      <c r="P226" s="103"/>
      <c r="Q226" s="103"/>
      <c r="R226" s="103"/>
      <c r="S226" s="103"/>
      <c r="T226" s="103"/>
      <c r="U226" s="103"/>
      <c r="V226" s="103"/>
      <c r="W226" s="103"/>
      <c r="X226" s="103"/>
      <c r="Y226" s="103"/>
      <c r="Z226" s="103"/>
    </row>
    <row r="227" spans="1:26" ht="14.25" customHeight="1">
      <c r="A227" s="103"/>
      <c r="B227" s="103"/>
      <c r="C227" s="103"/>
      <c r="D227" s="103"/>
      <c r="E227" s="103"/>
      <c r="F227" s="103"/>
      <c r="G227" s="103"/>
      <c r="H227" s="103"/>
      <c r="I227" s="103"/>
      <c r="J227" s="103"/>
      <c r="K227" s="103"/>
      <c r="L227" s="103"/>
      <c r="M227" s="103"/>
      <c r="N227" s="103"/>
      <c r="O227" s="103"/>
      <c r="P227" s="103"/>
      <c r="Q227" s="103"/>
      <c r="R227" s="103"/>
      <c r="S227" s="103"/>
      <c r="T227" s="103"/>
      <c r="U227" s="103"/>
      <c r="V227" s="103"/>
      <c r="W227" s="103"/>
      <c r="X227" s="103"/>
      <c r="Y227" s="103"/>
      <c r="Z227" s="103"/>
    </row>
    <row r="228" spans="1:26" ht="14.25" customHeight="1">
      <c r="A228" s="103"/>
      <c r="B228" s="103"/>
      <c r="C228" s="103"/>
      <c r="D228" s="103"/>
      <c r="E228" s="103"/>
      <c r="F228" s="103"/>
      <c r="G228" s="103"/>
      <c r="H228" s="103"/>
      <c r="I228" s="103"/>
      <c r="J228" s="103"/>
      <c r="K228" s="103"/>
      <c r="L228" s="103"/>
      <c r="M228" s="103"/>
      <c r="N228" s="103"/>
      <c r="O228" s="103"/>
      <c r="P228" s="103"/>
      <c r="Q228" s="103"/>
      <c r="R228" s="103"/>
      <c r="S228" s="103"/>
      <c r="T228" s="103"/>
      <c r="U228" s="103"/>
      <c r="V228" s="103"/>
      <c r="W228" s="103"/>
      <c r="X228" s="103"/>
      <c r="Y228" s="103"/>
      <c r="Z228" s="103"/>
    </row>
    <row r="229" spans="1:26" ht="14.25" customHeight="1">
      <c r="A229" s="103"/>
      <c r="B229" s="103"/>
      <c r="C229" s="103"/>
      <c r="D229" s="103"/>
      <c r="E229" s="103"/>
      <c r="F229" s="103"/>
      <c r="G229" s="103"/>
      <c r="H229" s="103"/>
      <c r="I229" s="103"/>
      <c r="J229" s="103"/>
      <c r="K229" s="103"/>
      <c r="L229" s="103"/>
      <c r="M229" s="103"/>
      <c r="N229" s="103"/>
      <c r="O229" s="103"/>
      <c r="P229" s="103"/>
      <c r="Q229" s="103"/>
      <c r="R229" s="103"/>
      <c r="S229" s="103"/>
      <c r="T229" s="103"/>
      <c r="U229" s="103"/>
      <c r="V229" s="103"/>
      <c r="W229" s="103"/>
      <c r="X229" s="103"/>
      <c r="Y229" s="103"/>
      <c r="Z229" s="103"/>
    </row>
    <row r="230" spans="1:26" ht="14.25" customHeight="1">
      <c r="A230" s="103"/>
      <c r="B230" s="103"/>
      <c r="C230" s="103"/>
      <c r="D230" s="103"/>
      <c r="E230" s="103"/>
      <c r="F230" s="103"/>
      <c r="G230" s="103"/>
      <c r="H230" s="103"/>
      <c r="I230" s="103"/>
      <c r="J230" s="103"/>
      <c r="K230" s="103"/>
      <c r="L230" s="103"/>
      <c r="M230" s="103"/>
      <c r="N230" s="103"/>
      <c r="O230" s="103"/>
      <c r="P230" s="103"/>
      <c r="Q230" s="103"/>
      <c r="R230" s="103"/>
      <c r="S230" s="103"/>
      <c r="T230" s="103"/>
      <c r="U230" s="103"/>
      <c r="V230" s="103"/>
      <c r="W230" s="103"/>
      <c r="X230" s="103"/>
      <c r="Y230" s="103"/>
      <c r="Z230" s="103"/>
    </row>
    <row r="231" spans="1:26" ht="14.25" customHeight="1">
      <c r="A231" s="103"/>
      <c r="B231" s="103"/>
      <c r="C231" s="103"/>
      <c r="D231" s="103"/>
      <c r="E231" s="103"/>
      <c r="F231" s="103"/>
      <c r="G231" s="103"/>
      <c r="H231" s="103"/>
      <c r="I231" s="103"/>
      <c r="J231" s="103"/>
      <c r="K231" s="103"/>
      <c r="L231" s="103"/>
      <c r="M231" s="103"/>
      <c r="N231" s="103"/>
      <c r="O231" s="103"/>
      <c r="P231" s="103"/>
      <c r="Q231" s="103"/>
      <c r="R231" s="103"/>
      <c r="S231" s="103"/>
      <c r="T231" s="103"/>
      <c r="U231" s="103"/>
      <c r="V231" s="103"/>
      <c r="W231" s="103"/>
      <c r="X231" s="103"/>
      <c r="Y231" s="103"/>
      <c r="Z231" s="103"/>
    </row>
    <row r="232" spans="1:26" ht="14.25" customHeight="1">
      <c r="A232" s="103"/>
      <c r="B232" s="103"/>
      <c r="C232" s="103"/>
      <c r="D232" s="103"/>
      <c r="E232" s="103"/>
      <c r="F232" s="103"/>
      <c r="G232" s="103"/>
      <c r="H232" s="103"/>
      <c r="I232" s="103"/>
      <c r="J232" s="103"/>
      <c r="K232" s="103"/>
      <c r="L232" s="103"/>
      <c r="M232" s="103"/>
      <c r="N232" s="103"/>
      <c r="O232" s="103"/>
      <c r="P232" s="103"/>
      <c r="Q232" s="103"/>
      <c r="R232" s="103"/>
      <c r="S232" s="103"/>
      <c r="T232" s="103"/>
      <c r="U232" s="103"/>
      <c r="V232" s="103"/>
      <c r="W232" s="103"/>
      <c r="X232" s="103"/>
      <c r="Y232" s="103"/>
      <c r="Z232" s="103"/>
    </row>
    <row r="233" spans="1:26" ht="14.25" customHeight="1">
      <c r="A233" s="103"/>
      <c r="B233" s="103"/>
      <c r="C233" s="103"/>
      <c r="D233" s="103"/>
      <c r="E233" s="103"/>
      <c r="F233" s="103"/>
      <c r="G233" s="103"/>
      <c r="H233" s="103"/>
      <c r="I233" s="103"/>
      <c r="J233" s="103"/>
      <c r="K233" s="103"/>
      <c r="L233" s="103"/>
      <c r="M233" s="103"/>
      <c r="N233" s="103"/>
      <c r="O233" s="103"/>
      <c r="P233" s="103"/>
      <c r="Q233" s="103"/>
      <c r="R233" s="103"/>
      <c r="S233" s="103"/>
      <c r="T233" s="103"/>
      <c r="U233" s="103"/>
      <c r="V233" s="103"/>
      <c r="W233" s="103"/>
      <c r="X233" s="103"/>
      <c r="Y233" s="103"/>
      <c r="Z233" s="103"/>
    </row>
    <row r="234" spans="1:26" ht="14.25" customHeight="1">
      <c r="A234" s="103"/>
      <c r="B234" s="103"/>
      <c r="C234" s="103"/>
      <c r="D234" s="103"/>
      <c r="E234" s="103"/>
      <c r="F234" s="103"/>
      <c r="G234" s="103"/>
      <c r="H234" s="103"/>
      <c r="I234" s="103"/>
      <c r="J234" s="103"/>
      <c r="K234" s="103"/>
      <c r="L234" s="103"/>
      <c r="M234" s="103"/>
      <c r="N234" s="103"/>
      <c r="O234" s="103"/>
      <c r="P234" s="103"/>
      <c r="Q234" s="103"/>
      <c r="R234" s="103"/>
      <c r="S234" s="103"/>
      <c r="T234" s="103"/>
      <c r="U234" s="103"/>
      <c r="V234" s="103"/>
      <c r="W234" s="103"/>
      <c r="X234" s="103"/>
      <c r="Y234" s="103"/>
      <c r="Z234" s="103"/>
    </row>
    <row r="235" spans="1:26" ht="14.25" customHeight="1">
      <c r="A235" s="103"/>
      <c r="B235" s="103"/>
      <c r="C235" s="103"/>
      <c r="D235" s="103"/>
      <c r="E235" s="103"/>
      <c r="F235" s="103"/>
      <c r="G235" s="103"/>
      <c r="H235" s="103"/>
      <c r="I235" s="103"/>
      <c r="J235" s="103"/>
      <c r="K235" s="103"/>
      <c r="L235" s="103"/>
      <c r="M235" s="103"/>
      <c r="N235" s="103"/>
      <c r="O235" s="103"/>
      <c r="P235" s="103"/>
      <c r="Q235" s="103"/>
      <c r="R235" s="103"/>
      <c r="S235" s="103"/>
      <c r="T235" s="103"/>
      <c r="U235" s="103"/>
      <c r="V235" s="103"/>
      <c r="W235" s="103"/>
      <c r="X235" s="103"/>
      <c r="Y235" s="103"/>
      <c r="Z235" s="103"/>
    </row>
    <row r="236" spans="1:26" ht="14.25" customHeight="1">
      <c r="A236" s="103"/>
      <c r="B236" s="103"/>
      <c r="C236" s="103"/>
      <c r="D236" s="103"/>
      <c r="E236" s="103"/>
      <c r="F236" s="103"/>
      <c r="G236" s="103"/>
      <c r="H236" s="103"/>
      <c r="I236" s="103"/>
      <c r="J236" s="103"/>
      <c r="K236" s="103"/>
      <c r="L236" s="103"/>
      <c r="M236" s="103"/>
      <c r="N236" s="103"/>
      <c r="O236" s="103"/>
      <c r="P236" s="103"/>
      <c r="Q236" s="103"/>
      <c r="R236" s="103"/>
      <c r="S236" s="103"/>
      <c r="T236" s="103"/>
      <c r="U236" s="103"/>
      <c r="V236" s="103"/>
      <c r="W236" s="103"/>
      <c r="X236" s="103"/>
      <c r="Y236" s="103"/>
      <c r="Z236" s="103"/>
    </row>
    <row r="237" spans="1:26" ht="14.25" customHeight="1">
      <c r="A237" s="103"/>
      <c r="B237" s="103"/>
      <c r="C237" s="103"/>
      <c r="D237" s="103"/>
      <c r="E237" s="103"/>
      <c r="F237" s="103"/>
      <c r="G237" s="103"/>
      <c r="H237" s="103"/>
      <c r="I237" s="103"/>
      <c r="J237" s="103"/>
      <c r="K237" s="103"/>
      <c r="L237" s="103"/>
      <c r="M237" s="103"/>
      <c r="N237" s="103"/>
      <c r="O237" s="103"/>
      <c r="P237" s="103"/>
      <c r="Q237" s="103"/>
      <c r="R237" s="103"/>
      <c r="S237" s="103"/>
      <c r="T237" s="103"/>
      <c r="U237" s="103"/>
      <c r="V237" s="103"/>
      <c r="W237" s="103"/>
      <c r="X237" s="103"/>
      <c r="Y237" s="103"/>
      <c r="Z237" s="103"/>
    </row>
    <row r="238" spans="1:26" ht="14.25" customHeight="1">
      <c r="A238" s="103"/>
      <c r="B238" s="103"/>
      <c r="C238" s="103"/>
      <c r="D238" s="103"/>
      <c r="E238" s="103"/>
      <c r="F238" s="103"/>
      <c r="G238" s="103"/>
      <c r="H238" s="103"/>
      <c r="I238" s="103"/>
      <c r="J238" s="103"/>
      <c r="K238" s="103"/>
      <c r="L238" s="103"/>
      <c r="M238" s="103"/>
      <c r="N238" s="103"/>
      <c r="O238" s="103"/>
      <c r="P238" s="103"/>
      <c r="Q238" s="103"/>
      <c r="R238" s="103"/>
      <c r="S238" s="103"/>
      <c r="T238" s="103"/>
      <c r="U238" s="103"/>
      <c r="V238" s="103"/>
      <c r="W238" s="103"/>
      <c r="X238" s="103"/>
      <c r="Y238" s="103"/>
      <c r="Z238" s="103"/>
    </row>
    <row r="239" spans="1:26" ht="14.25" customHeight="1">
      <c r="A239" s="103"/>
      <c r="B239" s="103"/>
      <c r="C239" s="103"/>
      <c r="D239" s="103"/>
      <c r="E239" s="103"/>
      <c r="F239" s="103"/>
      <c r="G239" s="103"/>
      <c r="H239" s="103"/>
      <c r="I239" s="103"/>
      <c r="J239" s="103"/>
      <c r="K239" s="103"/>
      <c r="L239" s="103"/>
      <c r="M239" s="103"/>
      <c r="N239" s="103"/>
      <c r="O239" s="103"/>
      <c r="P239" s="103"/>
      <c r="Q239" s="103"/>
      <c r="R239" s="103"/>
      <c r="S239" s="103"/>
      <c r="T239" s="103"/>
      <c r="U239" s="103"/>
      <c r="V239" s="103"/>
      <c r="W239" s="103"/>
      <c r="X239" s="103"/>
      <c r="Y239" s="103"/>
      <c r="Z239" s="103"/>
    </row>
    <row r="240" spans="1:26" ht="14.25" customHeight="1">
      <c r="A240" s="103"/>
      <c r="B240" s="103"/>
      <c r="C240" s="103"/>
      <c r="D240" s="103"/>
      <c r="E240" s="103"/>
      <c r="F240" s="103"/>
      <c r="G240" s="103"/>
      <c r="H240" s="103"/>
      <c r="I240" s="103"/>
      <c r="J240" s="103"/>
      <c r="K240" s="103"/>
      <c r="L240" s="103"/>
      <c r="M240" s="103"/>
      <c r="N240" s="103"/>
      <c r="O240" s="103"/>
      <c r="P240" s="103"/>
      <c r="Q240" s="103"/>
      <c r="R240" s="103"/>
      <c r="S240" s="103"/>
      <c r="T240" s="103"/>
      <c r="U240" s="103"/>
      <c r="V240" s="103"/>
      <c r="W240" s="103"/>
      <c r="X240" s="103"/>
      <c r="Y240" s="103"/>
      <c r="Z240" s="103"/>
    </row>
    <row r="241" spans="1:26" ht="14.25" customHeight="1">
      <c r="A241" s="103"/>
      <c r="B241" s="103"/>
      <c r="C241" s="103"/>
      <c r="D241" s="103"/>
      <c r="E241" s="103"/>
      <c r="F241" s="103"/>
      <c r="G241" s="103"/>
      <c r="H241" s="103"/>
      <c r="I241" s="103"/>
      <c r="J241" s="103"/>
      <c r="K241" s="103"/>
      <c r="L241" s="103"/>
      <c r="M241" s="103"/>
      <c r="N241" s="103"/>
      <c r="O241" s="103"/>
      <c r="P241" s="103"/>
      <c r="Q241" s="103"/>
      <c r="R241" s="103"/>
      <c r="S241" s="103"/>
      <c r="T241" s="103"/>
      <c r="U241" s="103"/>
      <c r="V241" s="103"/>
      <c r="W241" s="103"/>
      <c r="X241" s="103"/>
      <c r="Y241" s="103"/>
      <c r="Z241" s="103"/>
    </row>
    <row r="242" spans="1:26" ht="14.25" customHeight="1">
      <c r="A242" s="103"/>
      <c r="B242" s="103"/>
      <c r="C242" s="103"/>
      <c r="D242" s="103"/>
      <c r="E242" s="103"/>
      <c r="F242" s="103"/>
      <c r="G242" s="103"/>
      <c r="H242" s="103"/>
      <c r="I242" s="103"/>
      <c r="J242" s="103"/>
      <c r="K242" s="103"/>
      <c r="L242" s="103"/>
      <c r="M242" s="103"/>
      <c r="N242" s="103"/>
      <c r="O242" s="103"/>
      <c r="P242" s="103"/>
      <c r="Q242" s="103"/>
      <c r="R242" s="103"/>
      <c r="S242" s="103"/>
      <c r="T242" s="103"/>
      <c r="U242" s="103"/>
      <c r="V242" s="103"/>
      <c r="W242" s="103"/>
      <c r="X242" s="103"/>
      <c r="Y242" s="103"/>
      <c r="Z242" s="103"/>
    </row>
    <row r="243" spans="1:26" ht="14.25" customHeight="1">
      <c r="A243" s="103"/>
      <c r="B243" s="103"/>
      <c r="C243" s="103"/>
      <c r="D243" s="103"/>
      <c r="E243" s="103"/>
      <c r="F243" s="103"/>
      <c r="G243" s="103"/>
      <c r="H243" s="103"/>
      <c r="I243" s="103"/>
      <c r="J243" s="103"/>
      <c r="K243" s="103"/>
      <c r="L243" s="103"/>
      <c r="M243" s="103"/>
      <c r="N243" s="103"/>
      <c r="O243" s="103"/>
      <c r="P243" s="103"/>
      <c r="Q243" s="103"/>
      <c r="R243" s="103"/>
      <c r="S243" s="103"/>
      <c r="T243" s="103"/>
      <c r="U243" s="103"/>
      <c r="V243" s="103"/>
      <c r="W243" s="103"/>
      <c r="X243" s="103"/>
      <c r="Y243" s="103"/>
      <c r="Z243" s="103"/>
    </row>
    <row r="244" spans="1:26" ht="14.25" customHeight="1">
      <c r="A244" s="103"/>
      <c r="B244" s="103"/>
      <c r="C244" s="103"/>
      <c r="D244" s="103"/>
      <c r="E244" s="103"/>
      <c r="F244" s="103"/>
      <c r="G244" s="103"/>
      <c r="H244" s="103"/>
      <c r="I244" s="103"/>
      <c r="J244" s="103"/>
      <c r="K244" s="103"/>
      <c r="L244" s="103"/>
      <c r="M244" s="103"/>
      <c r="N244" s="103"/>
      <c r="O244" s="103"/>
      <c r="P244" s="103"/>
      <c r="Q244" s="103"/>
      <c r="R244" s="103"/>
      <c r="S244" s="103"/>
      <c r="T244" s="103"/>
      <c r="U244" s="103"/>
      <c r="V244" s="103"/>
      <c r="W244" s="103"/>
      <c r="X244" s="103"/>
      <c r="Y244" s="103"/>
      <c r="Z244" s="103"/>
    </row>
    <row r="245" spans="1:26" ht="14.25" customHeight="1">
      <c r="A245" s="103"/>
      <c r="B245" s="103"/>
      <c r="C245" s="103"/>
      <c r="D245" s="103"/>
      <c r="E245" s="103"/>
      <c r="F245" s="103"/>
      <c r="G245" s="103"/>
      <c r="H245" s="103"/>
      <c r="I245" s="103"/>
      <c r="J245" s="103"/>
      <c r="K245" s="103"/>
      <c r="L245" s="103"/>
      <c r="M245" s="103"/>
      <c r="N245" s="103"/>
      <c r="O245" s="103"/>
      <c r="P245" s="103"/>
      <c r="Q245" s="103"/>
      <c r="R245" s="103"/>
      <c r="S245" s="103"/>
      <c r="T245" s="103"/>
      <c r="U245" s="103"/>
      <c r="V245" s="103"/>
      <c r="W245" s="103"/>
      <c r="X245" s="103"/>
      <c r="Y245" s="103"/>
      <c r="Z245" s="103"/>
    </row>
    <row r="246" spans="1:26" ht="14.25" customHeight="1">
      <c r="A246" s="103"/>
      <c r="B246" s="103"/>
      <c r="C246" s="103"/>
      <c r="D246" s="103"/>
      <c r="E246" s="103"/>
      <c r="F246" s="103"/>
      <c r="G246" s="103"/>
      <c r="H246" s="103"/>
      <c r="I246" s="103"/>
      <c r="J246" s="103"/>
      <c r="K246" s="103"/>
      <c r="L246" s="103"/>
      <c r="M246" s="103"/>
      <c r="N246" s="103"/>
      <c r="O246" s="103"/>
      <c r="P246" s="103"/>
      <c r="Q246" s="103"/>
      <c r="R246" s="103"/>
      <c r="S246" s="103"/>
      <c r="T246" s="103"/>
      <c r="U246" s="103"/>
      <c r="V246" s="103"/>
      <c r="W246" s="103"/>
      <c r="X246" s="103"/>
      <c r="Y246" s="103"/>
      <c r="Z246" s="103"/>
    </row>
    <row r="247" spans="1:26" ht="14.25" customHeight="1">
      <c r="A247" s="103"/>
      <c r="B247" s="103"/>
      <c r="C247" s="103"/>
      <c r="D247" s="103"/>
      <c r="E247" s="103"/>
      <c r="F247" s="103"/>
      <c r="G247" s="103"/>
      <c r="H247" s="103"/>
      <c r="I247" s="103"/>
      <c r="J247" s="103"/>
      <c r="K247" s="103"/>
      <c r="L247" s="103"/>
      <c r="M247" s="103"/>
      <c r="N247" s="103"/>
      <c r="O247" s="103"/>
      <c r="P247" s="103"/>
      <c r="Q247" s="103"/>
      <c r="R247" s="103"/>
      <c r="S247" s="103"/>
      <c r="T247" s="103"/>
      <c r="U247" s="103"/>
      <c r="V247" s="103"/>
      <c r="W247" s="103"/>
      <c r="X247" s="103"/>
      <c r="Y247" s="103"/>
      <c r="Z247" s="103"/>
    </row>
    <row r="248" spans="1:26" ht="14.25" customHeight="1">
      <c r="A248" s="103"/>
      <c r="B248" s="103"/>
      <c r="C248" s="103"/>
      <c r="D248" s="103"/>
      <c r="E248" s="103"/>
      <c r="F248" s="103"/>
      <c r="G248" s="103"/>
      <c r="H248" s="103"/>
      <c r="I248" s="103"/>
      <c r="J248" s="103"/>
      <c r="K248" s="103"/>
      <c r="L248" s="103"/>
      <c r="M248" s="103"/>
      <c r="N248" s="103"/>
      <c r="O248" s="103"/>
      <c r="P248" s="103"/>
      <c r="Q248" s="103"/>
      <c r="R248" s="103"/>
      <c r="S248" s="103"/>
      <c r="T248" s="103"/>
      <c r="U248" s="103"/>
      <c r="V248" s="103"/>
      <c r="W248" s="103"/>
      <c r="X248" s="103"/>
      <c r="Y248" s="103"/>
      <c r="Z248" s="103"/>
    </row>
    <row r="249" spans="1:26" ht="14.25" customHeight="1">
      <c r="A249" s="103"/>
      <c r="B249" s="103"/>
      <c r="C249" s="103"/>
      <c r="D249" s="103"/>
      <c r="E249" s="103"/>
      <c r="F249" s="103"/>
      <c r="G249" s="103"/>
      <c r="H249" s="103"/>
      <c r="I249" s="103"/>
      <c r="J249" s="103"/>
      <c r="K249" s="103"/>
      <c r="L249" s="103"/>
      <c r="M249" s="103"/>
      <c r="N249" s="103"/>
      <c r="O249" s="103"/>
      <c r="P249" s="103"/>
      <c r="Q249" s="103"/>
      <c r="R249" s="103"/>
      <c r="S249" s="103"/>
      <c r="T249" s="103"/>
      <c r="U249" s="103"/>
      <c r="V249" s="103"/>
      <c r="W249" s="103"/>
      <c r="X249" s="103"/>
      <c r="Y249" s="103"/>
      <c r="Z249" s="103"/>
    </row>
    <row r="250" spans="1:26" ht="14.25" customHeight="1">
      <c r="A250" s="103"/>
      <c r="B250" s="103"/>
      <c r="C250" s="103"/>
      <c r="D250" s="103"/>
      <c r="E250" s="103"/>
      <c r="F250" s="103"/>
      <c r="G250" s="103"/>
      <c r="H250" s="103"/>
      <c r="I250" s="103"/>
      <c r="J250" s="103"/>
      <c r="K250" s="103"/>
      <c r="L250" s="103"/>
      <c r="M250" s="103"/>
      <c r="N250" s="103"/>
      <c r="O250" s="103"/>
      <c r="P250" s="103"/>
      <c r="Q250" s="103"/>
      <c r="R250" s="103"/>
      <c r="S250" s="103"/>
      <c r="T250" s="103"/>
      <c r="U250" s="103"/>
      <c r="V250" s="103"/>
      <c r="W250" s="103"/>
      <c r="X250" s="103"/>
      <c r="Y250" s="103"/>
      <c r="Z250" s="103"/>
    </row>
    <row r="251" spans="1:26" ht="14.25" customHeight="1">
      <c r="A251" s="103"/>
      <c r="B251" s="103"/>
      <c r="C251" s="103"/>
      <c r="D251" s="103"/>
      <c r="E251" s="103"/>
      <c r="F251" s="103"/>
      <c r="G251" s="103"/>
      <c r="H251" s="103"/>
      <c r="I251" s="103"/>
      <c r="J251" s="103"/>
      <c r="K251" s="103"/>
      <c r="L251" s="103"/>
      <c r="M251" s="103"/>
      <c r="N251" s="103"/>
      <c r="O251" s="103"/>
      <c r="P251" s="103"/>
      <c r="Q251" s="103"/>
      <c r="R251" s="103"/>
      <c r="S251" s="103"/>
      <c r="T251" s="103"/>
      <c r="U251" s="103"/>
      <c r="V251" s="103"/>
      <c r="W251" s="103"/>
      <c r="X251" s="103"/>
      <c r="Y251" s="103"/>
      <c r="Z251" s="103"/>
    </row>
    <row r="252" spans="1:26" ht="14.25" customHeight="1">
      <c r="A252" s="103"/>
      <c r="B252" s="103"/>
      <c r="C252" s="103"/>
      <c r="D252" s="103"/>
      <c r="E252" s="103"/>
      <c r="F252" s="103"/>
      <c r="G252" s="103"/>
      <c r="H252" s="103"/>
      <c r="I252" s="103"/>
      <c r="J252" s="103"/>
      <c r="K252" s="103"/>
      <c r="L252" s="103"/>
      <c r="M252" s="103"/>
      <c r="N252" s="103"/>
      <c r="O252" s="103"/>
      <c r="P252" s="103"/>
      <c r="Q252" s="103"/>
      <c r="R252" s="103"/>
      <c r="S252" s="103"/>
      <c r="T252" s="103"/>
      <c r="U252" s="103"/>
      <c r="V252" s="103"/>
      <c r="W252" s="103"/>
      <c r="X252" s="103"/>
      <c r="Y252" s="103"/>
      <c r="Z252" s="103"/>
    </row>
    <row r="253" spans="1:26" ht="14.25" customHeight="1">
      <c r="A253" s="103"/>
      <c r="B253" s="103"/>
      <c r="C253" s="103"/>
      <c r="D253" s="103"/>
      <c r="E253" s="103"/>
      <c r="F253" s="103"/>
      <c r="G253" s="103"/>
      <c r="H253" s="103"/>
      <c r="I253" s="103"/>
      <c r="J253" s="103"/>
      <c r="K253" s="103"/>
      <c r="L253" s="103"/>
      <c r="M253" s="103"/>
      <c r="N253" s="103"/>
      <c r="O253" s="103"/>
      <c r="P253" s="103"/>
      <c r="Q253" s="103"/>
      <c r="R253" s="103"/>
      <c r="S253" s="103"/>
      <c r="T253" s="103"/>
      <c r="U253" s="103"/>
      <c r="V253" s="103"/>
      <c r="W253" s="103"/>
      <c r="X253" s="103"/>
      <c r="Y253" s="103"/>
      <c r="Z253" s="103"/>
    </row>
    <row r="254" spans="1:26" ht="14.25" customHeight="1">
      <c r="A254" s="103"/>
      <c r="B254" s="103"/>
      <c r="C254" s="103"/>
      <c r="D254" s="103"/>
      <c r="E254" s="103"/>
      <c r="F254" s="103"/>
      <c r="G254" s="103"/>
      <c r="H254" s="103"/>
      <c r="I254" s="103"/>
      <c r="J254" s="103"/>
      <c r="K254" s="103"/>
      <c r="L254" s="103"/>
      <c r="M254" s="103"/>
      <c r="N254" s="103"/>
      <c r="O254" s="103"/>
      <c r="P254" s="103"/>
      <c r="Q254" s="103"/>
      <c r="R254" s="103"/>
      <c r="S254" s="103"/>
      <c r="T254" s="103"/>
      <c r="U254" s="103"/>
      <c r="V254" s="103"/>
      <c r="W254" s="103"/>
      <c r="X254" s="103"/>
      <c r="Y254" s="103"/>
      <c r="Z254" s="103"/>
    </row>
    <row r="255" spans="1:26" ht="14.25" customHeight="1">
      <c r="A255" s="103"/>
      <c r="B255" s="103"/>
      <c r="C255" s="103"/>
      <c r="D255" s="103"/>
      <c r="E255" s="103"/>
      <c r="F255" s="103"/>
      <c r="G255" s="103"/>
      <c r="H255" s="103"/>
      <c r="I255" s="103"/>
      <c r="J255" s="103"/>
      <c r="K255" s="103"/>
      <c r="L255" s="103"/>
      <c r="M255" s="103"/>
      <c r="N255" s="103"/>
      <c r="O255" s="103"/>
      <c r="P255" s="103"/>
      <c r="Q255" s="103"/>
      <c r="R255" s="103"/>
      <c r="S255" s="103"/>
      <c r="T255" s="103"/>
      <c r="U255" s="103"/>
      <c r="V255" s="103"/>
      <c r="W255" s="103"/>
      <c r="X255" s="103"/>
      <c r="Y255" s="103"/>
      <c r="Z255" s="103"/>
    </row>
    <row r="256" spans="1:26" ht="14.25" customHeight="1">
      <c r="A256" s="103"/>
      <c r="B256" s="103"/>
      <c r="C256" s="103"/>
      <c r="D256" s="103"/>
      <c r="E256" s="103"/>
      <c r="F256" s="103"/>
      <c r="G256" s="103"/>
      <c r="H256" s="103"/>
      <c r="I256" s="103"/>
      <c r="J256" s="103"/>
      <c r="K256" s="103"/>
      <c r="L256" s="103"/>
      <c r="M256" s="103"/>
      <c r="N256" s="103"/>
      <c r="O256" s="103"/>
      <c r="P256" s="103"/>
      <c r="Q256" s="103"/>
      <c r="R256" s="103"/>
      <c r="S256" s="103"/>
      <c r="T256" s="103"/>
      <c r="U256" s="103"/>
      <c r="V256" s="103"/>
      <c r="W256" s="103"/>
      <c r="X256" s="103"/>
      <c r="Y256" s="103"/>
      <c r="Z256" s="103"/>
    </row>
    <row r="257" spans="1:26" ht="14.25" customHeight="1">
      <c r="A257" s="103"/>
      <c r="B257" s="103"/>
      <c r="C257" s="103"/>
      <c r="D257" s="103"/>
      <c r="E257" s="103"/>
      <c r="F257" s="103"/>
      <c r="G257" s="103"/>
      <c r="H257" s="103"/>
      <c r="I257" s="103"/>
      <c r="J257" s="103"/>
      <c r="K257" s="103"/>
      <c r="L257" s="103"/>
      <c r="M257" s="103"/>
      <c r="N257" s="103"/>
      <c r="O257" s="103"/>
      <c r="P257" s="103"/>
      <c r="Q257" s="103"/>
      <c r="R257" s="103"/>
      <c r="S257" s="103"/>
      <c r="T257" s="103"/>
      <c r="U257" s="103"/>
      <c r="V257" s="103"/>
      <c r="W257" s="103"/>
      <c r="X257" s="103"/>
      <c r="Y257" s="103"/>
      <c r="Z257" s="103"/>
    </row>
    <row r="258" spans="1:26" ht="14.25" customHeight="1">
      <c r="A258" s="103"/>
      <c r="B258" s="103"/>
      <c r="C258" s="103"/>
      <c r="D258" s="103"/>
      <c r="E258" s="103"/>
      <c r="F258" s="103"/>
      <c r="G258" s="103"/>
      <c r="H258" s="103"/>
      <c r="I258" s="103"/>
      <c r="J258" s="103"/>
      <c r="K258" s="103"/>
      <c r="L258" s="103"/>
      <c r="M258" s="103"/>
      <c r="N258" s="103"/>
      <c r="O258" s="103"/>
      <c r="P258" s="103"/>
      <c r="Q258" s="103"/>
      <c r="R258" s="103"/>
      <c r="S258" s="103"/>
      <c r="T258" s="103"/>
      <c r="U258" s="103"/>
      <c r="V258" s="103"/>
      <c r="W258" s="103"/>
      <c r="X258" s="103"/>
      <c r="Y258" s="103"/>
      <c r="Z258" s="103"/>
    </row>
    <row r="259" spans="1:26" ht="14.25" customHeight="1">
      <c r="A259" s="103"/>
      <c r="B259" s="103"/>
      <c r="C259" s="103"/>
      <c r="D259" s="103"/>
      <c r="E259" s="103"/>
      <c r="F259" s="103"/>
      <c r="G259" s="103"/>
      <c r="H259" s="103"/>
      <c r="I259" s="103"/>
      <c r="J259" s="103"/>
      <c r="K259" s="103"/>
      <c r="L259" s="103"/>
      <c r="M259" s="103"/>
      <c r="N259" s="103"/>
      <c r="O259" s="103"/>
      <c r="P259" s="103"/>
      <c r="Q259" s="103"/>
      <c r="R259" s="103"/>
      <c r="S259" s="103"/>
      <c r="T259" s="103"/>
      <c r="U259" s="103"/>
      <c r="V259" s="103"/>
      <c r="W259" s="103"/>
      <c r="X259" s="103"/>
      <c r="Y259" s="103"/>
      <c r="Z259" s="103"/>
    </row>
    <row r="260" spans="1:26" ht="14.25" customHeight="1">
      <c r="A260" s="103"/>
      <c r="B260" s="103"/>
      <c r="C260" s="103"/>
      <c r="D260" s="103"/>
      <c r="E260" s="103"/>
      <c r="F260" s="103"/>
      <c r="G260" s="103"/>
      <c r="H260" s="103"/>
      <c r="I260" s="103"/>
      <c r="J260" s="103"/>
      <c r="K260" s="103"/>
      <c r="L260" s="103"/>
      <c r="M260" s="103"/>
      <c r="N260" s="103"/>
      <c r="O260" s="103"/>
      <c r="P260" s="103"/>
      <c r="Q260" s="103"/>
      <c r="R260" s="103"/>
      <c r="S260" s="103"/>
      <c r="T260" s="103"/>
      <c r="U260" s="103"/>
      <c r="V260" s="103"/>
      <c r="W260" s="103"/>
      <c r="X260" s="103"/>
      <c r="Y260" s="103"/>
      <c r="Z260" s="103"/>
    </row>
    <row r="261" spans="1:26" ht="14.25" customHeight="1">
      <c r="A261" s="103"/>
      <c r="B261" s="103"/>
      <c r="C261" s="103"/>
      <c r="D261" s="103"/>
      <c r="E261" s="103"/>
      <c r="F261" s="103"/>
      <c r="G261" s="103"/>
      <c r="H261" s="103"/>
      <c r="I261" s="103"/>
      <c r="J261" s="103"/>
      <c r="K261" s="103"/>
      <c r="L261" s="103"/>
      <c r="M261" s="103"/>
      <c r="N261" s="103"/>
      <c r="O261" s="103"/>
      <c r="P261" s="103"/>
      <c r="Q261" s="103"/>
      <c r="R261" s="103"/>
      <c r="S261" s="103"/>
      <c r="T261" s="103"/>
      <c r="U261" s="103"/>
      <c r="V261" s="103"/>
      <c r="W261" s="103"/>
      <c r="X261" s="103"/>
      <c r="Y261" s="103"/>
      <c r="Z261" s="103"/>
    </row>
    <row r="262" spans="1:26" ht="14.25" customHeight="1">
      <c r="A262" s="103"/>
      <c r="B262" s="103"/>
      <c r="C262" s="103"/>
      <c r="D262" s="103"/>
      <c r="E262" s="103"/>
      <c r="F262" s="103"/>
      <c r="G262" s="103"/>
      <c r="H262" s="103"/>
      <c r="I262" s="103"/>
      <c r="J262" s="103"/>
      <c r="K262" s="103"/>
      <c r="L262" s="103"/>
      <c r="M262" s="103"/>
      <c r="N262" s="103"/>
      <c r="O262" s="103"/>
      <c r="P262" s="103"/>
      <c r="Q262" s="103"/>
      <c r="R262" s="103"/>
      <c r="S262" s="103"/>
      <c r="T262" s="103"/>
      <c r="U262" s="103"/>
      <c r="V262" s="103"/>
      <c r="W262" s="103"/>
      <c r="X262" s="103"/>
      <c r="Y262" s="103"/>
      <c r="Z262" s="103"/>
    </row>
    <row r="263" spans="1:26" ht="14.25" customHeight="1">
      <c r="A263" s="103"/>
      <c r="B263" s="103"/>
      <c r="C263" s="103"/>
      <c r="D263" s="103"/>
      <c r="E263" s="103"/>
      <c r="F263" s="103"/>
      <c r="G263" s="103"/>
      <c r="H263" s="103"/>
      <c r="I263" s="103"/>
      <c r="J263" s="103"/>
      <c r="K263" s="103"/>
      <c r="L263" s="103"/>
      <c r="M263" s="103"/>
      <c r="N263" s="103"/>
      <c r="O263" s="103"/>
      <c r="P263" s="103"/>
      <c r="Q263" s="103"/>
      <c r="R263" s="103"/>
      <c r="S263" s="103"/>
      <c r="T263" s="103"/>
      <c r="U263" s="103"/>
      <c r="V263" s="103"/>
      <c r="W263" s="103"/>
      <c r="X263" s="103"/>
      <c r="Y263" s="103"/>
      <c r="Z263" s="103"/>
    </row>
    <row r="264" spans="1:26" ht="14.25" customHeight="1">
      <c r="A264" s="103"/>
      <c r="B264" s="103"/>
      <c r="C264" s="103"/>
      <c r="D264" s="103"/>
      <c r="E264" s="103"/>
      <c r="F264" s="103"/>
      <c r="G264" s="103"/>
      <c r="H264" s="103"/>
      <c r="I264" s="103"/>
      <c r="J264" s="103"/>
      <c r="K264" s="103"/>
      <c r="L264" s="103"/>
      <c r="M264" s="103"/>
      <c r="N264" s="103"/>
      <c r="O264" s="103"/>
      <c r="P264" s="103"/>
      <c r="Q264" s="103"/>
      <c r="R264" s="103"/>
      <c r="S264" s="103"/>
      <c r="T264" s="103"/>
      <c r="U264" s="103"/>
      <c r="V264" s="103"/>
      <c r="W264" s="103"/>
      <c r="X264" s="103"/>
      <c r="Y264" s="103"/>
      <c r="Z264" s="103"/>
    </row>
    <row r="265" spans="1:26" ht="14.25" customHeight="1">
      <c r="A265" s="103"/>
      <c r="B265" s="103"/>
      <c r="C265" s="103"/>
      <c r="D265" s="103"/>
      <c r="E265" s="103"/>
      <c r="F265" s="103"/>
      <c r="G265" s="103"/>
      <c r="H265" s="103"/>
      <c r="I265" s="103"/>
      <c r="J265" s="103"/>
      <c r="K265" s="103"/>
      <c r="L265" s="103"/>
      <c r="M265" s="103"/>
      <c r="N265" s="103"/>
      <c r="O265" s="103"/>
      <c r="P265" s="103"/>
      <c r="Q265" s="103"/>
      <c r="R265" s="103"/>
      <c r="S265" s="103"/>
      <c r="T265" s="103"/>
      <c r="U265" s="103"/>
      <c r="V265" s="103"/>
      <c r="W265" s="103"/>
      <c r="X265" s="103"/>
      <c r="Y265" s="103"/>
      <c r="Z265" s="103"/>
    </row>
    <row r="266" spans="1:26" ht="14.25" customHeight="1">
      <c r="A266" s="103"/>
      <c r="B266" s="103"/>
      <c r="C266" s="103"/>
      <c r="D266" s="103"/>
      <c r="E266" s="103"/>
      <c r="F266" s="103"/>
      <c r="G266" s="103"/>
      <c r="H266" s="103"/>
      <c r="I266" s="103"/>
      <c r="J266" s="103"/>
      <c r="K266" s="103"/>
      <c r="L266" s="103"/>
      <c r="M266" s="103"/>
      <c r="N266" s="103"/>
      <c r="O266" s="103"/>
      <c r="P266" s="103"/>
      <c r="Q266" s="103"/>
      <c r="R266" s="103"/>
      <c r="S266" s="103"/>
      <c r="T266" s="103"/>
      <c r="U266" s="103"/>
      <c r="V266" s="103"/>
      <c r="W266" s="103"/>
      <c r="X266" s="103"/>
      <c r="Y266" s="103"/>
      <c r="Z266" s="103"/>
    </row>
    <row r="267" spans="1:26" ht="14.25" customHeight="1">
      <c r="A267" s="103"/>
      <c r="B267" s="103"/>
      <c r="C267" s="103"/>
      <c r="D267" s="103"/>
      <c r="E267" s="103"/>
      <c r="F267" s="103"/>
      <c r="G267" s="103"/>
      <c r="H267" s="103"/>
      <c r="I267" s="103"/>
      <c r="J267" s="103"/>
      <c r="K267" s="103"/>
      <c r="L267" s="103"/>
      <c r="M267" s="103"/>
      <c r="N267" s="103"/>
      <c r="O267" s="103"/>
      <c r="P267" s="103"/>
      <c r="Q267" s="103"/>
      <c r="R267" s="103"/>
      <c r="S267" s="103"/>
      <c r="T267" s="103"/>
      <c r="U267" s="103"/>
      <c r="V267" s="103"/>
      <c r="W267" s="103"/>
      <c r="X267" s="103"/>
      <c r="Y267" s="103"/>
      <c r="Z267" s="103"/>
    </row>
    <row r="268" spans="1:26" ht="14.25" customHeight="1">
      <c r="A268" s="103"/>
      <c r="B268" s="103"/>
      <c r="C268" s="103"/>
      <c r="D268" s="103"/>
      <c r="E268" s="103"/>
      <c r="F268" s="103"/>
      <c r="G268" s="103"/>
      <c r="H268" s="103"/>
      <c r="I268" s="103"/>
      <c r="J268" s="103"/>
      <c r="K268" s="103"/>
      <c r="L268" s="103"/>
      <c r="M268" s="103"/>
      <c r="N268" s="103"/>
      <c r="O268" s="103"/>
      <c r="P268" s="103"/>
      <c r="Q268" s="103"/>
      <c r="R268" s="103"/>
      <c r="S268" s="103"/>
      <c r="T268" s="103"/>
      <c r="U268" s="103"/>
      <c r="V268" s="103"/>
      <c r="W268" s="103"/>
      <c r="X268" s="103"/>
      <c r="Y268" s="103"/>
      <c r="Z268" s="103"/>
    </row>
    <row r="269" spans="1:26" ht="14.25" customHeight="1">
      <c r="A269" s="103"/>
      <c r="B269" s="103"/>
      <c r="C269" s="103"/>
      <c r="D269" s="103"/>
      <c r="E269" s="103"/>
      <c r="F269" s="103"/>
      <c r="G269" s="103"/>
      <c r="H269" s="103"/>
      <c r="I269" s="103"/>
      <c r="J269" s="103"/>
      <c r="K269" s="103"/>
      <c r="L269" s="103"/>
      <c r="M269" s="103"/>
      <c r="N269" s="103"/>
      <c r="O269" s="103"/>
      <c r="P269" s="103"/>
      <c r="Q269" s="103"/>
      <c r="R269" s="103"/>
      <c r="S269" s="103"/>
      <c r="T269" s="103"/>
      <c r="U269" s="103"/>
      <c r="V269" s="103"/>
      <c r="W269" s="103"/>
      <c r="X269" s="103"/>
      <c r="Y269" s="103"/>
      <c r="Z269" s="103"/>
    </row>
    <row r="270" spans="1:26" ht="14.25" customHeight="1">
      <c r="A270" s="103"/>
      <c r="B270" s="103"/>
      <c r="C270" s="103"/>
      <c r="D270" s="103"/>
      <c r="E270" s="103"/>
      <c r="F270" s="103"/>
      <c r="G270" s="103"/>
      <c r="H270" s="103"/>
      <c r="I270" s="103"/>
      <c r="J270" s="103"/>
      <c r="K270" s="103"/>
      <c r="L270" s="103"/>
      <c r="M270" s="103"/>
      <c r="N270" s="103"/>
      <c r="O270" s="103"/>
      <c r="P270" s="103"/>
      <c r="Q270" s="103"/>
      <c r="R270" s="103"/>
      <c r="S270" s="103"/>
      <c r="T270" s="103"/>
      <c r="U270" s="103"/>
      <c r="V270" s="103"/>
      <c r="W270" s="103"/>
      <c r="X270" s="103"/>
      <c r="Y270" s="103"/>
      <c r="Z270" s="103"/>
    </row>
    <row r="271" spans="1:26" ht="14.25" customHeight="1">
      <c r="A271" s="103"/>
      <c r="B271" s="103"/>
      <c r="C271" s="103"/>
      <c r="D271" s="103"/>
      <c r="E271" s="103"/>
      <c r="F271" s="103"/>
      <c r="G271" s="103"/>
      <c r="H271" s="103"/>
      <c r="I271" s="103"/>
      <c r="J271" s="103"/>
      <c r="K271" s="103"/>
      <c r="L271" s="103"/>
      <c r="M271" s="103"/>
      <c r="N271" s="103"/>
      <c r="O271" s="103"/>
      <c r="P271" s="103"/>
      <c r="Q271" s="103"/>
      <c r="R271" s="103"/>
      <c r="S271" s="103"/>
      <c r="T271" s="103"/>
      <c r="U271" s="103"/>
      <c r="V271" s="103"/>
      <c r="W271" s="103"/>
      <c r="X271" s="103"/>
      <c r="Y271" s="103"/>
      <c r="Z271" s="103"/>
    </row>
    <row r="272" spans="1:26" ht="14.25" customHeight="1">
      <c r="A272" s="103"/>
      <c r="B272" s="103"/>
      <c r="C272" s="103"/>
      <c r="D272" s="103"/>
      <c r="E272" s="103"/>
      <c r="F272" s="103"/>
      <c r="G272" s="103"/>
      <c r="H272" s="103"/>
      <c r="I272" s="103"/>
      <c r="J272" s="103"/>
      <c r="K272" s="103"/>
      <c r="L272" s="103"/>
      <c r="M272" s="103"/>
      <c r="N272" s="103"/>
      <c r="O272" s="103"/>
      <c r="P272" s="103"/>
      <c r="Q272" s="103"/>
      <c r="R272" s="103"/>
      <c r="S272" s="103"/>
      <c r="T272" s="103"/>
      <c r="U272" s="103"/>
      <c r="V272" s="103"/>
      <c r="W272" s="103"/>
      <c r="X272" s="103"/>
      <c r="Y272" s="103"/>
      <c r="Z272" s="103"/>
    </row>
    <row r="273" spans="1:26" ht="14.25" customHeight="1">
      <c r="A273" s="103"/>
      <c r="B273" s="103"/>
      <c r="C273" s="103"/>
      <c r="D273" s="103"/>
      <c r="E273" s="103"/>
      <c r="F273" s="103"/>
      <c r="G273" s="103"/>
      <c r="H273" s="103"/>
      <c r="I273" s="103"/>
      <c r="J273" s="103"/>
      <c r="K273" s="103"/>
      <c r="L273" s="103"/>
      <c r="M273" s="103"/>
      <c r="N273" s="103"/>
      <c r="O273" s="103"/>
      <c r="P273" s="103"/>
      <c r="Q273" s="103"/>
      <c r="R273" s="103"/>
      <c r="S273" s="103"/>
      <c r="T273" s="103"/>
      <c r="U273" s="103"/>
      <c r="V273" s="103"/>
      <c r="W273" s="103"/>
      <c r="X273" s="103"/>
      <c r="Y273" s="103"/>
      <c r="Z273" s="103"/>
    </row>
    <row r="274" spans="1:26" ht="14.25" customHeight="1">
      <c r="A274" s="103"/>
      <c r="B274" s="103"/>
      <c r="C274" s="103"/>
      <c r="D274" s="103"/>
      <c r="E274" s="103"/>
      <c r="F274" s="103"/>
      <c r="G274" s="103"/>
      <c r="H274" s="103"/>
      <c r="I274" s="103"/>
      <c r="J274" s="103"/>
      <c r="K274" s="103"/>
      <c r="L274" s="103"/>
      <c r="M274" s="103"/>
      <c r="N274" s="103"/>
      <c r="O274" s="103"/>
      <c r="P274" s="103"/>
      <c r="Q274" s="103"/>
      <c r="R274" s="103"/>
      <c r="S274" s="103"/>
      <c r="T274" s="103"/>
      <c r="U274" s="103"/>
      <c r="V274" s="103"/>
      <c r="W274" s="103"/>
      <c r="X274" s="103"/>
      <c r="Y274" s="103"/>
      <c r="Z274" s="103"/>
    </row>
    <row r="275" spans="1:26" ht="14.25" customHeight="1">
      <c r="A275" s="103"/>
      <c r="B275" s="103"/>
      <c r="C275" s="103"/>
      <c r="D275" s="103"/>
      <c r="E275" s="103"/>
      <c r="F275" s="103"/>
      <c r="G275" s="103"/>
      <c r="H275" s="103"/>
      <c r="I275" s="103"/>
      <c r="J275" s="103"/>
      <c r="K275" s="103"/>
      <c r="L275" s="103"/>
      <c r="M275" s="103"/>
      <c r="N275" s="103"/>
      <c r="O275" s="103"/>
      <c r="P275" s="103"/>
      <c r="Q275" s="103"/>
      <c r="R275" s="103"/>
      <c r="S275" s="103"/>
      <c r="T275" s="103"/>
      <c r="U275" s="103"/>
      <c r="V275" s="103"/>
      <c r="W275" s="103"/>
      <c r="X275" s="103"/>
      <c r="Y275" s="103"/>
      <c r="Z275" s="103"/>
    </row>
    <row r="276" spans="1:26" ht="14.25" customHeight="1">
      <c r="A276" s="103"/>
      <c r="B276" s="103"/>
      <c r="C276" s="103"/>
      <c r="D276" s="103"/>
      <c r="E276" s="103"/>
      <c r="F276" s="103"/>
      <c r="G276" s="103"/>
      <c r="H276" s="103"/>
      <c r="I276" s="103"/>
      <c r="J276" s="103"/>
      <c r="K276" s="103"/>
      <c r="L276" s="103"/>
      <c r="M276" s="103"/>
      <c r="N276" s="103"/>
      <c r="O276" s="103"/>
      <c r="P276" s="103"/>
      <c r="Q276" s="103"/>
      <c r="R276" s="103"/>
      <c r="S276" s="103"/>
      <c r="T276" s="103"/>
      <c r="U276" s="103"/>
      <c r="V276" s="103"/>
      <c r="W276" s="103"/>
      <c r="X276" s="103"/>
      <c r="Y276" s="103"/>
      <c r="Z276" s="103"/>
    </row>
    <row r="277" spans="1:26" ht="14.25" customHeight="1">
      <c r="A277" s="103"/>
      <c r="B277" s="103"/>
      <c r="C277" s="103"/>
      <c r="D277" s="103"/>
      <c r="E277" s="103"/>
      <c r="F277" s="103"/>
      <c r="G277" s="103"/>
      <c r="H277" s="103"/>
      <c r="I277" s="103"/>
      <c r="J277" s="103"/>
      <c r="K277" s="103"/>
      <c r="L277" s="103"/>
      <c r="M277" s="103"/>
      <c r="N277" s="103"/>
      <c r="O277" s="103"/>
      <c r="P277" s="103"/>
      <c r="Q277" s="103"/>
      <c r="R277" s="103"/>
      <c r="S277" s="103"/>
      <c r="T277" s="103"/>
      <c r="U277" s="103"/>
      <c r="V277" s="103"/>
      <c r="W277" s="103"/>
      <c r="X277" s="103"/>
      <c r="Y277" s="103"/>
      <c r="Z277" s="103"/>
    </row>
    <row r="278" spans="1:26" ht="14.25" customHeight="1">
      <c r="A278" s="103"/>
      <c r="B278" s="103"/>
      <c r="C278" s="103"/>
      <c r="D278" s="103"/>
      <c r="E278" s="103"/>
      <c r="F278" s="103"/>
      <c r="G278" s="103"/>
      <c r="H278" s="103"/>
      <c r="I278" s="103"/>
      <c r="J278" s="103"/>
      <c r="K278" s="103"/>
      <c r="L278" s="103"/>
      <c r="M278" s="103"/>
      <c r="N278" s="103"/>
      <c r="O278" s="103"/>
      <c r="P278" s="103"/>
      <c r="Q278" s="103"/>
      <c r="R278" s="103"/>
      <c r="S278" s="103"/>
      <c r="T278" s="103"/>
      <c r="U278" s="103"/>
      <c r="V278" s="103"/>
      <c r="W278" s="103"/>
      <c r="X278" s="103"/>
      <c r="Y278" s="103"/>
      <c r="Z278" s="103"/>
    </row>
    <row r="279" spans="1:26" ht="14.25" customHeight="1">
      <c r="A279" s="103"/>
      <c r="B279" s="103"/>
      <c r="C279" s="103"/>
      <c r="D279" s="103"/>
      <c r="E279" s="103"/>
      <c r="F279" s="103"/>
      <c r="G279" s="103"/>
      <c r="H279" s="103"/>
      <c r="I279" s="103"/>
      <c r="J279" s="103"/>
      <c r="K279" s="103"/>
      <c r="L279" s="103"/>
      <c r="M279" s="103"/>
      <c r="N279" s="103"/>
      <c r="O279" s="103"/>
      <c r="P279" s="103"/>
      <c r="Q279" s="103"/>
      <c r="R279" s="103"/>
      <c r="S279" s="103"/>
      <c r="T279" s="103"/>
      <c r="U279" s="103"/>
      <c r="V279" s="103"/>
      <c r="W279" s="103"/>
      <c r="X279" s="103"/>
      <c r="Y279" s="103"/>
      <c r="Z279" s="103"/>
    </row>
    <row r="280" spans="1:26" ht="14.25" customHeight="1">
      <c r="A280" s="103"/>
      <c r="B280" s="103"/>
      <c r="C280" s="103"/>
      <c r="D280" s="103"/>
      <c r="E280" s="103"/>
      <c r="F280" s="103"/>
      <c r="G280" s="103"/>
      <c r="H280" s="103"/>
      <c r="I280" s="103"/>
      <c r="J280" s="103"/>
      <c r="K280" s="103"/>
      <c r="L280" s="103"/>
      <c r="M280" s="103"/>
      <c r="N280" s="103"/>
      <c r="O280" s="103"/>
      <c r="P280" s="103"/>
      <c r="Q280" s="103"/>
      <c r="R280" s="103"/>
      <c r="S280" s="103"/>
      <c r="T280" s="103"/>
      <c r="U280" s="103"/>
      <c r="V280" s="103"/>
      <c r="W280" s="103"/>
      <c r="X280" s="103"/>
      <c r="Y280" s="103"/>
      <c r="Z280" s="103"/>
    </row>
    <row r="281" spans="1:26" ht="14.25" customHeight="1">
      <c r="A281" s="103"/>
      <c r="B281" s="103"/>
      <c r="C281" s="103"/>
      <c r="D281" s="103"/>
      <c r="E281" s="103"/>
      <c r="F281" s="103"/>
      <c r="G281" s="103"/>
      <c r="H281" s="103"/>
      <c r="I281" s="103"/>
      <c r="J281" s="103"/>
      <c r="K281" s="103"/>
      <c r="L281" s="103"/>
      <c r="M281" s="103"/>
      <c r="N281" s="103"/>
      <c r="O281" s="103"/>
      <c r="P281" s="103"/>
      <c r="Q281" s="103"/>
      <c r="R281" s="103"/>
      <c r="S281" s="103"/>
      <c r="T281" s="103"/>
      <c r="U281" s="103"/>
      <c r="V281" s="103"/>
      <c r="W281" s="103"/>
      <c r="X281" s="103"/>
      <c r="Y281" s="103"/>
      <c r="Z281" s="103"/>
    </row>
    <row r="282" spans="1:26" ht="14.25" customHeight="1">
      <c r="A282" s="103"/>
      <c r="B282" s="103"/>
      <c r="C282" s="103"/>
      <c r="D282" s="103"/>
      <c r="E282" s="103"/>
      <c r="F282" s="103"/>
      <c r="G282" s="103"/>
      <c r="H282" s="103"/>
      <c r="I282" s="103"/>
      <c r="J282" s="103"/>
      <c r="K282" s="103"/>
      <c r="L282" s="103"/>
      <c r="M282" s="103"/>
      <c r="N282" s="103"/>
      <c r="O282" s="103"/>
      <c r="P282" s="103"/>
      <c r="Q282" s="103"/>
      <c r="R282" s="103"/>
      <c r="S282" s="103"/>
      <c r="T282" s="103"/>
      <c r="U282" s="103"/>
      <c r="V282" s="103"/>
      <c r="W282" s="103"/>
      <c r="X282" s="103"/>
      <c r="Y282" s="103"/>
      <c r="Z282" s="103"/>
    </row>
    <row r="283" spans="1:26" ht="14.25" customHeight="1">
      <c r="A283" s="103"/>
      <c r="B283" s="103"/>
      <c r="C283" s="103"/>
      <c r="D283" s="103"/>
      <c r="E283" s="103"/>
      <c r="F283" s="103"/>
      <c r="G283" s="103"/>
      <c r="H283" s="103"/>
      <c r="I283" s="103"/>
      <c r="J283" s="103"/>
      <c r="K283" s="103"/>
      <c r="L283" s="103"/>
      <c r="M283" s="103"/>
      <c r="N283" s="103"/>
      <c r="O283" s="103"/>
      <c r="P283" s="103"/>
      <c r="Q283" s="103"/>
      <c r="R283" s="103"/>
      <c r="S283" s="103"/>
      <c r="T283" s="103"/>
      <c r="U283" s="103"/>
      <c r="V283" s="103"/>
      <c r="W283" s="103"/>
      <c r="X283" s="103"/>
      <c r="Y283" s="103"/>
      <c r="Z283" s="103"/>
    </row>
    <row r="284" spans="1:26" ht="14.25" customHeight="1">
      <c r="A284" s="103"/>
      <c r="B284" s="103"/>
      <c r="C284" s="103"/>
      <c r="D284" s="103"/>
      <c r="E284" s="103"/>
      <c r="F284" s="103"/>
      <c r="G284" s="103"/>
      <c r="H284" s="103"/>
      <c r="I284" s="103"/>
      <c r="J284" s="103"/>
      <c r="K284" s="103"/>
      <c r="L284" s="103"/>
      <c r="M284" s="103"/>
      <c r="N284" s="103"/>
      <c r="O284" s="103"/>
      <c r="P284" s="103"/>
      <c r="Q284" s="103"/>
      <c r="R284" s="103"/>
      <c r="S284" s="103"/>
      <c r="T284" s="103"/>
      <c r="U284" s="103"/>
      <c r="V284" s="103"/>
      <c r="W284" s="103"/>
      <c r="X284" s="103"/>
      <c r="Y284" s="103"/>
      <c r="Z284" s="103"/>
    </row>
    <row r="285" spans="1:26" ht="14.25" customHeight="1">
      <c r="A285" s="103"/>
      <c r="B285" s="103"/>
      <c r="C285" s="103"/>
      <c r="D285" s="103"/>
      <c r="E285" s="103"/>
      <c r="F285" s="103"/>
      <c r="G285" s="103"/>
      <c r="H285" s="103"/>
      <c r="I285" s="103"/>
      <c r="J285" s="103"/>
      <c r="K285" s="103"/>
      <c r="L285" s="103"/>
      <c r="M285" s="103"/>
      <c r="N285" s="103"/>
      <c r="O285" s="103"/>
      <c r="P285" s="103"/>
      <c r="Q285" s="103"/>
      <c r="R285" s="103"/>
      <c r="S285" s="103"/>
      <c r="T285" s="103"/>
      <c r="U285" s="103"/>
      <c r="V285" s="103"/>
      <c r="W285" s="103"/>
      <c r="X285" s="103"/>
      <c r="Y285" s="103"/>
      <c r="Z285" s="103"/>
    </row>
    <row r="286" spans="1:26" ht="14.25" customHeight="1">
      <c r="A286" s="103"/>
      <c r="B286" s="103"/>
      <c r="C286" s="103"/>
      <c r="D286" s="103"/>
      <c r="E286" s="103"/>
      <c r="F286" s="103"/>
      <c r="G286" s="103"/>
      <c r="H286" s="103"/>
      <c r="I286" s="103"/>
      <c r="J286" s="103"/>
      <c r="K286" s="103"/>
      <c r="L286" s="103"/>
      <c r="M286" s="103"/>
      <c r="N286" s="103"/>
      <c r="O286" s="103"/>
      <c r="P286" s="103"/>
      <c r="Q286" s="103"/>
      <c r="R286" s="103"/>
      <c r="S286" s="103"/>
      <c r="T286" s="103"/>
      <c r="U286" s="103"/>
      <c r="V286" s="103"/>
      <c r="W286" s="103"/>
      <c r="X286" s="103"/>
      <c r="Y286" s="103"/>
      <c r="Z286" s="103"/>
    </row>
    <row r="287" spans="1:26" ht="14.25" customHeight="1">
      <c r="A287" s="103"/>
      <c r="B287" s="103"/>
      <c r="C287" s="103"/>
      <c r="D287" s="103"/>
      <c r="E287" s="103"/>
      <c r="F287" s="103"/>
      <c r="G287" s="103"/>
      <c r="H287" s="103"/>
      <c r="I287" s="103"/>
      <c r="J287" s="103"/>
      <c r="K287" s="103"/>
      <c r="L287" s="103"/>
      <c r="M287" s="103"/>
      <c r="N287" s="103"/>
      <c r="O287" s="103"/>
      <c r="P287" s="103"/>
      <c r="Q287" s="103"/>
      <c r="R287" s="103"/>
      <c r="S287" s="103"/>
      <c r="T287" s="103"/>
      <c r="U287" s="103"/>
      <c r="V287" s="103"/>
      <c r="W287" s="103"/>
      <c r="X287" s="103"/>
      <c r="Y287" s="103"/>
      <c r="Z287" s="103"/>
    </row>
    <row r="288" spans="1:26" ht="14.25" customHeight="1">
      <c r="A288" s="103"/>
      <c r="B288" s="103"/>
      <c r="C288" s="103"/>
      <c r="D288" s="103"/>
      <c r="E288" s="103"/>
      <c r="F288" s="103"/>
      <c r="G288" s="103"/>
      <c r="H288" s="103"/>
      <c r="I288" s="103"/>
      <c r="J288" s="103"/>
      <c r="K288" s="103"/>
      <c r="L288" s="103"/>
      <c r="M288" s="103"/>
      <c r="N288" s="103"/>
      <c r="O288" s="103"/>
      <c r="P288" s="103"/>
      <c r="Q288" s="103"/>
      <c r="R288" s="103"/>
      <c r="S288" s="103"/>
      <c r="T288" s="103"/>
      <c r="U288" s="103"/>
      <c r="V288" s="103"/>
      <c r="W288" s="103"/>
      <c r="X288" s="103"/>
      <c r="Y288" s="103"/>
      <c r="Z288" s="103"/>
    </row>
    <row r="289" spans="1:26" ht="14.25" customHeight="1">
      <c r="A289" s="103"/>
      <c r="B289" s="103"/>
      <c r="C289" s="103"/>
      <c r="D289" s="103"/>
      <c r="E289" s="103"/>
      <c r="F289" s="103"/>
      <c r="G289" s="103"/>
      <c r="H289" s="103"/>
      <c r="I289" s="103"/>
      <c r="J289" s="103"/>
      <c r="K289" s="103"/>
      <c r="L289" s="103"/>
      <c r="M289" s="103"/>
      <c r="N289" s="103"/>
      <c r="O289" s="103"/>
      <c r="P289" s="103"/>
      <c r="Q289" s="103"/>
      <c r="R289" s="103"/>
      <c r="S289" s="103"/>
      <c r="T289" s="103"/>
      <c r="U289" s="103"/>
      <c r="V289" s="103"/>
      <c r="W289" s="103"/>
      <c r="X289" s="103"/>
      <c r="Y289" s="103"/>
      <c r="Z289" s="103"/>
    </row>
    <row r="290" spans="1:26" ht="14.25" customHeight="1">
      <c r="A290" s="103"/>
      <c r="B290" s="103"/>
      <c r="C290" s="103"/>
      <c r="D290" s="103"/>
      <c r="E290" s="103"/>
      <c r="F290" s="103"/>
      <c r="G290" s="103"/>
      <c r="H290" s="103"/>
      <c r="I290" s="103"/>
      <c r="J290" s="103"/>
      <c r="K290" s="103"/>
      <c r="L290" s="103"/>
      <c r="M290" s="103"/>
      <c r="N290" s="103"/>
      <c r="O290" s="103"/>
      <c r="P290" s="103"/>
      <c r="Q290" s="103"/>
      <c r="R290" s="103"/>
      <c r="S290" s="103"/>
      <c r="T290" s="103"/>
      <c r="U290" s="103"/>
      <c r="V290" s="103"/>
      <c r="W290" s="103"/>
      <c r="X290" s="103"/>
      <c r="Y290" s="103"/>
      <c r="Z290" s="103"/>
    </row>
    <row r="291" spans="1:26" ht="14.25" customHeight="1">
      <c r="A291" s="103"/>
      <c r="B291" s="103"/>
      <c r="C291" s="103"/>
      <c r="D291" s="103"/>
      <c r="E291" s="103"/>
      <c r="F291" s="103"/>
      <c r="G291" s="103"/>
      <c r="H291" s="103"/>
      <c r="I291" s="103"/>
      <c r="J291" s="103"/>
      <c r="K291" s="103"/>
      <c r="L291" s="103"/>
      <c r="M291" s="103"/>
      <c r="N291" s="103"/>
      <c r="O291" s="103"/>
      <c r="P291" s="103"/>
      <c r="Q291" s="103"/>
      <c r="R291" s="103"/>
      <c r="S291" s="103"/>
      <c r="T291" s="103"/>
      <c r="U291" s="103"/>
      <c r="V291" s="103"/>
      <c r="W291" s="103"/>
      <c r="X291" s="103"/>
      <c r="Y291" s="103"/>
      <c r="Z291" s="103"/>
    </row>
    <row r="292" spans="1:26" ht="14.25" customHeight="1">
      <c r="A292" s="103"/>
      <c r="B292" s="103"/>
      <c r="C292" s="103"/>
      <c r="D292" s="103"/>
      <c r="E292" s="103"/>
      <c r="F292" s="103"/>
      <c r="G292" s="103"/>
      <c r="H292" s="103"/>
      <c r="I292" s="103"/>
      <c r="J292" s="103"/>
      <c r="K292" s="103"/>
      <c r="L292" s="103"/>
      <c r="M292" s="103"/>
      <c r="N292" s="103"/>
      <c r="O292" s="103"/>
      <c r="P292" s="103"/>
      <c r="Q292" s="103"/>
      <c r="R292" s="103"/>
      <c r="S292" s="103"/>
      <c r="T292" s="103"/>
      <c r="U292" s="103"/>
      <c r="V292" s="103"/>
      <c r="W292" s="103"/>
      <c r="X292" s="103"/>
      <c r="Y292" s="103"/>
      <c r="Z292" s="103"/>
    </row>
    <row r="293" spans="1:26" ht="14.25" customHeight="1">
      <c r="A293" s="103"/>
      <c r="B293" s="103"/>
      <c r="C293" s="103"/>
      <c r="D293" s="103"/>
      <c r="E293" s="103"/>
      <c r="F293" s="103"/>
      <c r="G293" s="103"/>
      <c r="H293" s="103"/>
      <c r="I293" s="103"/>
      <c r="J293" s="103"/>
      <c r="K293" s="103"/>
      <c r="L293" s="103"/>
      <c r="M293" s="103"/>
      <c r="N293" s="103"/>
      <c r="O293" s="103"/>
      <c r="P293" s="103"/>
      <c r="Q293" s="103"/>
      <c r="R293" s="103"/>
      <c r="S293" s="103"/>
      <c r="T293" s="103"/>
      <c r="U293" s="103"/>
      <c r="V293" s="103"/>
      <c r="W293" s="103"/>
      <c r="X293" s="103"/>
      <c r="Y293" s="103"/>
      <c r="Z293" s="103"/>
    </row>
    <row r="294" spans="1:26" ht="14.25" customHeight="1">
      <c r="A294" s="103"/>
      <c r="B294" s="103"/>
      <c r="C294" s="103"/>
      <c r="D294" s="103"/>
      <c r="E294" s="103"/>
      <c r="F294" s="103"/>
      <c r="G294" s="103"/>
      <c r="H294" s="103"/>
      <c r="I294" s="103"/>
      <c r="J294" s="103"/>
      <c r="K294" s="103"/>
      <c r="L294" s="103"/>
      <c r="M294" s="103"/>
      <c r="N294" s="103"/>
      <c r="O294" s="103"/>
      <c r="P294" s="103"/>
      <c r="Q294" s="103"/>
      <c r="R294" s="103"/>
      <c r="S294" s="103"/>
      <c r="T294" s="103"/>
      <c r="U294" s="103"/>
      <c r="V294" s="103"/>
      <c r="W294" s="103"/>
      <c r="X294" s="103"/>
      <c r="Y294" s="103"/>
      <c r="Z294" s="103"/>
    </row>
    <row r="295" spans="1:26" ht="14.25" customHeight="1">
      <c r="A295" s="103"/>
      <c r="B295" s="103"/>
      <c r="C295" s="103"/>
      <c r="D295" s="103"/>
      <c r="E295" s="103"/>
      <c r="F295" s="103"/>
      <c r="G295" s="103"/>
      <c r="H295" s="103"/>
      <c r="I295" s="103"/>
      <c r="J295" s="103"/>
      <c r="K295" s="103"/>
      <c r="L295" s="103"/>
      <c r="M295" s="103"/>
      <c r="N295" s="103"/>
      <c r="O295" s="103"/>
      <c r="P295" s="103"/>
      <c r="Q295" s="103"/>
      <c r="R295" s="103"/>
      <c r="S295" s="103"/>
      <c r="T295" s="103"/>
      <c r="U295" s="103"/>
      <c r="V295" s="103"/>
      <c r="W295" s="103"/>
      <c r="X295" s="103"/>
      <c r="Y295" s="103"/>
      <c r="Z295" s="103"/>
    </row>
    <row r="296" spans="1:26" ht="14.25" customHeight="1">
      <c r="A296" s="103"/>
      <c r="B296" s="103"/>
      <c r="C296" s="103"/>
      <c r="D296" s="103"/>
      <c r="E296" s="103"/>
      <c r="F296" s="103"/>
      <c r="G296" s="103"/>
      <c r="H296" s="103"/>
      <c r="I296" s="103"/>
      <c r="J296" s="103"/>
      <c r="K296" s="103"/>
      <c r="L296" s="103"/>
      <c r="M296" s="103"/>
      <c r="N296" s="103"/>
      <c r="O296" s="103"/>
      <c r="P296" s="103"/>
      <c r="Q296" s="103"/>
      <c r="R296" s="103"/>
      <c r="S296" s="103"/>
      <c r="T296" s="103"/>
      <c r="U296" s="103"/>
      <c r="V296" s="103"/>
      <c r="W296" s="103"/>
      <c r="X296" s="103"/>
      <c r="Y296" s="103"/>
      <c r="Z296" s="103"/>
    </row>
    <row r="297" spans="1:26" ht="14.25" customHeight="1">
      <c r="A297" s="103"/>
      <c r="B297" s="103"/>
      <c r="C297" s="103"/>
      <c r="D297" s="103"/>
      <c r="E297" s="103"/>
      <c r="F297" s="103"/>
      <c r="G297" s="103"/>
      <c r="H297" s="103"/>
      <c r="I297" s="103"/>
      <c r="J297" s="103"/>
      <c r="K297" s="103"/>
      <c r="L297" s="103"/>
      <c r="M297" s="103"/>
      <c r="N297" s="103"/>
      <c r="O297" s="103"/>
      <c r="P297" s="103"/>
      <c r="Q297" s="103"/>
      <c r="R297" s="103"/>
      <c r="S297" s="103"/>
      <c r="T297" s="103"/>
      <c r="U297" s="103"/>
      <c r="V297" s="103"/>
      <c r="W297" s="103"/>
      <c r="X297" s="103"/>
      <c r="Y297" s="103"/>
      <c r="Z297" s="103"/>
    </row>
    <row r="298" spans="1:26" ht="14.25" customHeight="1">
      <c r="A298" s="103"/>
      <c r="B298" s="103"/>
      <c r="C298" s="103"/>
      <c r="D298" s="103"/>
      <c r="E298" s="103"/>
      <c r="F298" s="103"/>
      <c r="G298" s="103"/>
      <c r="H298" s="103"/>
      <c r="I298" s="103"/>
      <c r="J298" s="103"/>
      <c r="K298" s="103"/>
      <c r="L298" s="103"/>
      <c r="M298" s="103"/>
      <c r="N298" s="103"/>
      <c r="O298" s="103"/>
      <c r="P298" s="103"/>
      <c r="Q298" s="103"/>
      <c r="R298" s="103"/>
      <c r="S298" s="103"/>
      <c r="T298" s="103"/>
      <c r="U298" s="103"/>
      <c r="V298" s="103"/>
      <c r="W298" s="103"/>
      <c r="X298" s="103"/>
      <c r="Y298" s="103"/>
      <c r="Z298" s="103"/>
    </row>
    <row r="299" spans="1:26" ht="14.25" customHeight="1">
      <c r="A299" s="103"/>
      <c r="B299" s="103"/>
      <c r="C299" s="103"/>
      <c r="D299" s="103"/>
      <c r="E299" s="103"/>
      <c r="F299" s="103"/>
      <c r="G299" s="103"/>
      <c r="H299" s="103"/>
      <c r="I299" s="103"/>
      <c r="J299" s="103"/>
      <c r="K299" s="103"/>
      <c r="L299" s="103"/>
      <c r="M299" s="103"/>
      <c r="N299" s="103"/>
      <c r="O299" s="103"/>
      <c r="P299" s="103"/>
      <c r="Q299" s="103"/>
      <c r="R299" s="103"/>
      <c r="S299" s="103"/>
      <c r="T299" s="103"/>
      <c r="U299" s="103"/>
      <c r="V299" s="103"/>
      <c r="W299" s="103"/>
      <c r="X299" s="103"/>
      <c r="Y299" s="103"/>
      <c r="Z299" s="103"/>
    </row>
    <row r="300" spans="1:26" ht="14.25" customHeight="1">
      <c r="A300" s="103"/>
      <c r="B300" s="103"/>
      <c r="C300" s="103"/>
      <c r="D300" s="103"/>
      <c r="E300" s="103"/>
      <c r="F300" s="103"/>
      <c r="G300" s="103"/>
      <c r="H300" s="103"/>
      <c r="I300" s="103"/>
      <c r="J300" s="103"/>
      <c r="K300" s="103"/>
      <c r="L300" s="103"/>
      <c r="M300" s="103"/>
      <c r="N300" s="103"/>
      <c r="O300" s="103"/>
      <c r="P300" s="103"/>
      <c r="Q300" s="103"/>
      <c r="R300" s="103"/>
      <c r="S300" s="103"/>
      <c r="T300" s="103"/>
      <c r="U300" s="103"/>
      <c r="V300" s="103"/>
      <c r="W300" s="103"/>
      <c r="X300" s="103"/>
      <c r="Y300" s="103"/>
      <c r="Z300" s="103"/>
    </row>
    <row r="301" spans="1:26" ht="14.25" customHeight="1">
      <c r="A301" s="103"/>
      <c r="B301" s="103"/>
      <c r="C301" s="103"/>
      <c r="D301" s="103"/>
      <c r="E301" s="103"/>
      <c r="F301" s="103"/>
      <c r="G301" s="103"/>
      <c r="H301" s="103"/>
      <c r="I301" s="103"/>
      <c r="J301" s="103"/>
      <c r="K301" s="103"/>
      <c r="L301" s="103"/>
      <c r="M301" s="103"/>
      <c r="N301" s="103"/>
      <c r="O301" s="103"/>
      <c r="P301" s="103"/>
      <c r="Q301" s="103"/>
      <c r="R301" s="103"/>
      <c r="S301" s="103"/>
      <c r="T301" s="103"/>
      <c r="U301" s="103"/>
      <c r="V301" s="103"/>
      <c r="W301" s="103"/>
      <c r="X301" s="103"/>
      <c r="Y301" s="103"/>
      <c r="Z301" s="103"/>
    </row>
    <row r="302" spans="1:26" ht="14.25" customHeight="1">
      <c r="A302" s="103"/>
      <c r="B302" s="103"/>
      <c r="C302" s="103"/>
      <c r="D302" s="103"/>
      <c r="E302" s="103"/>
      <c r="F302" s="103"/>
      <c r="G302" s="103"/>
      <c r="H302" s="103"/>
      <c r="I302" s="103"/>
      <c r="J302" s="103"/>
      <c r="K302" s="103"/>
      <c r="L302" s="103"/>
      <c r="M302" s="103"/>
      <c r="N302" s="103"/>
      <c r="O302" s="103"/>
      <c r="P302" s="103"/>
      <c r="Q302" s="103"/>
      <c r="R302" s="103"/>
      <c r="S302" s="103"/>
      <c r="T302" s="103"/>
      <c r="U302" s="103"/>
      <c r="V302" s="103"/>
      <c r="W302" s="103"/>
      <c r="X302" s="103"/>
      <c r="Y302" s="103"/>
      <c r="Z302" s="103"/>
    </row>
    <row r="303" spans="1:26" ht="14.25" customHeight="1">
      <c r="A303" s="103"/>
      <c r="B303" s="103"/>
      <c r="C303" s="103"/>
      <c r="D303" s="103"/>
      <c r="E303" s="103"/>
      <c r="F303" s="103"/>
      <c r="G303" s="103"/>
      <c r="H303" s="103"/>
      <c r="I303" s="103"/>
      <c r="J303" s="103"/>
      <c r="K303" s="103"/>
      <c r="L303" s="103"/>
      <c r="M303" s="103"/>
      <c r="N303" s="103"/>
      <c r="O303" s="103"/>
      <c r="P303" s="103"/>
      <c r="Q303" s="103"/>
      <c r="R303" s="103"/>
      <c r="S303" s="103"/>
      <c r="T303" s="103"/>
      <c r="U303" s="103"/>
      <c r="V303" s="103"/>
      <c r="W303" s="103"/>
      <c r="X303" s="103"/>
      <c r="Y303" s="103"/>
      <c r="Z303" s="103"/>
    </row>
    <row r="304" spans="1:26" ht="14.25" customHeight="1">
      <c r="A304" s="103"/>
      <c r="B304" s="103"/>
      <c r="C304" s="103"/>
      <c r="D304" s="103"/>
      <c r="E304" s="103"/>
      <c r="F304" s="103"/>
      <c r="G304" s="103"/>
      <c r="H304" s="103"/>
      <c r="I304" s="103"/>
      <c r="J304" s="103"/>
      <c r="K304" s="103"/>
      <c r="L304" s="103"/>
      <c r="M304" s="103"/>
      <c r="N304" s="103"/>
      <c r="O304" s="103"/>
      <c r="P304" s="103"/>
      <c r="Q304" s="103"/>
      <c r="R304" s="103"/>
      <c r="S304" s="103"/>
      <c r="T304" s="103"/>
      <c r="U304" s="103"/>
      <c r="V304" s="103"/>
      <c r="W304" s="103"/>
      <c r="X304" s="103"/>
      <c r="Y304" s="103"/>
      <c r="Z304" s="103"/>
    </row>
    <row r="305" spans="1:26" ht="14.25" customHeight="1">
      <c r="A305" s="103"/>
      <c r="B305" s="103"/>
      <c r="C305" s="103"/>
      <c r="D305" s="103"/>
      <c r="E305" s="103"/>
      <c r="F305" s="103"/>
      <c r="G305" s="103"/>
      <c r="H305" s="103"/>
      <c r="I305" s="103"/>
      <c r="J305" s="103"/>
      <c r="K305" s="103"/>
      <c r="L305" s="103"/>
      <c r="M305" s="103"/>
      <c r="N305" s="103"/>
      <c r="O305" s="103"/>
      <c r="P305" s="103"/>
      <c r="Q305" s="103"/>
      <c r="R305" s="103"/>
      <c r="S305" s="103"/>
      <c r="T305" s="103"/>
      <c r="U305" s="103"/>
      <c r="V305" s="103"/>
      <c r="W305" s="103"/>
      <c r="X305" s="103"/>
      <c r="Y305" s="103"/>
      <c r="Z305" s="103"/>
    </row>
    <row r="306" spans="1:26" ht="14.25" customHeight="1">
      <c r="A306" s="103"/>
      <c r="B306" s="103"/>
      <c r="C306" s="103"/>
      <c r="D306" s="103"/>
      <c r="E306" s="103"/>
      <c r="F306" s="103"/>
      <c r="G306" s="103"/>
      <c r="H306" s="103"/>
      <c r="I306" s="103"/>
      <c r="J306" s="103"/>
      <c r="K306" s="103"/>
      <c r="L306" s="103"/>
      <c r="M306" s="103"/>
      <c r="N306" s="103"/>
      <c r="O306" s="103"/>
      <c r="P306" s="103"/>
      <c r="Q306" s="103"/>
      <c r="R306" s="103"/>
      <c r="S306" s="103"/>
      <c r="T306" s="103"/>
      <c r="U306" s="103"/>
      <c r="V306" s="103"/>
      <c r="W306" s="103"/>
      <c r="X306" s="103"/>
      <c r="Y306" s="103"/>
      <c r="Z306" s="103"/>
    </row>
    <row r="307" spans="1:26" ht="14.25" customHeight="1">
      <c r="A307" s="103"/>
      <c r="B307" s="103"/>
      <c r="C307" s="103"/>
      <c r="D307" s="103"/>
      <c r="E307" s="103"/>
      <c r="F307" s="103"/>
      <c r="G307" s="103"/>
      <c r="H307" s="103"/>
      <c r="I307" s="103"/>
      <c r="J307" s="103"/>
      <c r="K307" s="103"/>
      <c r="L307" s="103"/>
      <c r="M307" s="103"/>
      <c r="N307" s="103"/>
      <c r="O307" s="103"/>
      <c r="P307" s="103"/>
      <c r="Q307" s="103"/>
      <c r="R307" s="103"/>
      <c r="S307" s="103"/>
      <c r="T307" s="103"/>
      <c r="U307" s="103"/>
      <c r="V307" s="103"/>
      <c r="W307" s="103"/>
      <c r="X307" s="103"/>
      <c r="Y307" s="103"/>
      <c r="Z307" s="103"/>
    </row>
    <row r="308" spans="1:26" ht="14.25" customHeight="1">
      <c r="A308" s="103"/>
      <c r="B308" s="103"/>
      <c r="C308" s="103"/>
      <c r="D308" s="103"/>
      <c r="E308" s="103"/>
      <c r="F308" s="103"/>
      <c r="G308" s="103"/>
      <c r="H308" s="103"/>
      <c r="I308" s="103"/>
      <c r="J308" s="103"/>
      <c r="K308" s="103"/>
      <c r="L308" s="103"/>
      <c r="M308" s="103"/>
      <c r="N308" s="103"/>
      <c r="O308" s="103"/>
      <c r="P308" s="103"/>
      <c r="Q308" s="103"/>
      <c r="R308" s="103"/>
      <c r="S308" s="103"/>
      <c r="T308" s="103"/>
      <c r="U308" s="103"/>
      <c r="V308" s="103"/>
      <c r="W308" s="103"/>
      <c r="X308" s="103"/>
      <c r="Y308" s="103"/>
      <c r="Z308" s="103"/>
    </row>
    <row r="309" spans="1:26" ht="14.25" customHeight="1">
      <c r="A309" s="103"/>
      <c r="B309" s="103"/>
      <c r="C309" s="103"/>
      <c r="D309" s="103"/>
      <c r="E309" s="103"/>
      <c r="F309" s="103"/>
      <c r="G309" s="103"/>
      <c r="H309" s="103"/>
      <c r="I309" s="103"/>
      <c r="J309" s="103"/>
      <c r="K309" s="103"/>
      <c r="L309" s="103"/>
      <c r="M309" s="103"/>
      <c r="N309" s="103"/>
      <c r="O309" s="103"/>
      <c r="P309" s="103"/>
      <c r="Q309" s="103"/>
      <c r="R309" s="103"/>
      <c r="S309" s="103"/>
      <c r="T309" s="103"/>
      <c r="U309" s="103"/>
      <c r="V309" s="103"/>
      <c r="W309" s="103"/>
      <c r="X309" s="103"/>
      <c r="Y309" s="103"/>
      <c r="Z309" s="103"/>
    </row>
    <row r="310" spans="1:26" ht="14.25" customHeight="1">
      <c r="A310" s="103"/>
      <c r="B310" s="103"/>
      <c r="C310" s="103"/>
      <c r="D310" s="103"/>
      <c r="E310" s="103"/>
      <c r="F310" s="103"/>
      <c r="G310" s="103"/>
      <c r="H310" s="103"/>
      <c r="I310" s="103"/>
      <c r="J310" s="103"/>
      <c r="K310" s="103"/>
      <c r="L310" s="103"/>
      <c r="M310" s="103"/>
      <c r="N310" s="103"/>
      <c r="O310" s="103"/>
      <c r="P310" s="103"/>
      <c r="Q310" s="103"/>
      <c r="R310" s="103"/>
      <c r="S310" s="103"/>
      <c r="T310" s="103"/>
      <c r="U310" s="103"/>
      <c r="V310" s="103"/>
      <c r="W310" s="103"/>
      <c r="X310" s="103"/>
      <c r="Y310" s="103"/>
      <c r="Z310" s="103"/>
    </row>
    <row r="311" spans="1:26" ht="14.25" customHeight="1">
      <c r="A311" s="103"/>
      <c r="B311" s="103"/>
      <c r="C311" s="103"/>
      <c r="D311" s="103"/>
      <c r="E311" s="103"/>
      <c r="F311" s="103"/>
      <c r="G311" s="103"/>
      <c r="H311" s="103"/>
      <c r="I311" s="103"/>
      <c r="J311" s="103"/>
      <c r="K311" s="103"/>
      <c r="L311" s="103"/>
      <c r="M311" s="103"/>
      <c r="N311" s="103"/>
      <c r="O311" s="103"/>
      <c r="P311" s="103"/>
      <c r="Q311" s="103"/>
      <c r="R311" s="103"/>
      <c r="S311" s="103"/>
      <c r="T311" s="103"/>
      <c r="U311" s="103"/>
      <c r="V311" s="103"/>
      <c r="W311" s="103"/>
      <c r="X311" s="103"/>
      <c r="Y311" s="103"/>
      <c r="Z311" s="103"/>
    </row>
    <row r="312" spans="1:26" ht="14.25" customHeight="1">
      <c r="A312" s="103"/>
      <c r="B312" s="103"/>
      <c r="C312" s="103"/>
      <c r="D312" s="103"/>
      <c r="E312" s="103"/>
      <c r="F312" s="103"/>
      <c r="G312" s="103"/>
      <c r="H312" s="103"/>
      <c r="I312" s="103"/>
      <c r="J312" s="103"/>
      <c r="K312" s="103"/>
      <c r="L312" s="103"/>
      <c r="M312" s="103"/>
      <c r="N312" s="103"/>
      <c r="O312" s="103"/>
      <c r="P312" s="103"/>
      <c r="Q312" s="103"/>
      <c r="R312" s="103"/>
      <c r="S312" s="103"/>
      <c r="T312" s="103"/>
      <c r="U312" s="103"/>
      <c r="V312" s="103"/>
      <c r="W312" s="103"/>
      <c r="X312" s="103"/>
      <c r="Y312" s="103"/>
      <c r="Z312" s="103"/>
    </row>
    <row r="313" spans="1:26" ht="14.25" customHeight="1">
      <c r="A313" s="103"/>
      <c r="B313" s="103"/>
      <c r="C313" s="103"/>
      <c r="D313" s="103"/>
      <c r="E313" s="103"/>
      <c r="F313" s="103"/>
      <c r="G313" s="103"/>
      <c r="H313" s="103"/>
      <c r="I313" s="103"/>
      <c r="J313" s="103"/>
      <c r="K313" s="103"/>
      <c r="L313" s="103"/>
      <c r="M313" s="103"/>
      <c r="N313" s="103"/>
      <c r="O313" s="103"/>
      <c r="P313" s="103"/>
      <c r="Q313" s="103"/>
      <c r="R313" s="103"/>
      <c r="S313" s="103"/>
      <c r="T313" s="103"/>
      <c r="U313" s="103"/>
      <c r="V313" s="103"/>
      <c r="W313" s="103"/>
      <c r="X313" s="103"/>
      <c r="Y313" s="103"/>
      <c r="Z313" s="103"/>
    </row>
    <row r="314" spans="1:26" ht="14.25" customHeight="1">
      <c r="A314" s="103"/>
      <c r="B314" s="103"/>
      <c r="C314" s="103"/>
      <c r="D314" s="103"/>
      <c r="E314" s="103"/>
      <c r="F314" s="103"/>
      <c r="G314" s="103"/>
      <c r="H314" s="103"/>
      <c r="I314" s="103"/>
      <c r="J314" s="103"/>
      <c r="K314" s="103"/>
      <c r="L314" s="103"/>
      <c r="M314" s="103"/>
      <c r="N314" s="103"/>
      <c r="O314" s="103"/>
      <c r="P314" s="103"/>
      <c r="Q314" s="103"/>
      <c r="R314" s="103"/>
      <c r="S314" s="103"/>
      <c r="T314" s="103"/>
      <c r="U314" s="103"/>
      <c r="V314" s="103"/>
      <c r="W314" s="103"/>
      <c r="X314" s="103"/>
      <c r="Y314" s="103"/>
      <c r="Z314" s="103"/>
    </row>
    <row r="315" spans="1:26" ht="14.25" customHeight="1">
      <c r="A315" s="103"/>
      <c r="B315" s="103"/>
      <c r="C315" s="103"/>
      <c r="D315" s="103"/>
      <c r="E315" s="103"/>
      <c r="F315" s="103"/>
      <c r="G315" s="103"/>
      <c r="H315" s="103"/>
      <c r="I315" s="103"/>
      <c r="J315" s="103"/>
      <c r="K315" s="103"/>
      <c r="L315" s="103"/>
      <c r="M315" s="103"/>
      <c r="N315" s="103"/>
      <c r="O315" s="103"/>
      <c r="P315" s="103"/>
      <c r="Q315" s="103"/>
      <c r="R315" s="103"/>
      <c r="S315" s="103"/>
      <c r="T315" s="103"/>
      <c r="U315" s="103"/>
      <c r="V315" s="103"/>
      <c r="W315" s="103"/>
      <c r="X315" s="103"/>
      <c r="Y315" s="103"/>
      <c r="Z315" s="103"/>
    </row>
    <row r="316" spans="1:26" ht="14.25" customHeight="1">
      <c r="A316" s="103"/>
      <c r="B316" s="103"/>
      <c r="C316" s="103"/>
      <c r="D316" s="103"/>
      <c r="E316" s="103"/>
      <c r="F316" s="103"/>
      <c r="G316" s="103"/>
      <c r="H316" s="103"/>
      <c r="I316" s="103"/>
      <c r="J316" s="103"/>
      <c r="K316" s="103"/>
      <c r="L316" s="103"/>
      <c r="M316" s="103"/>
      <c r="N316" s="103"/>
      <c r="O316" s="103"/>
      <c r="P316" s="103"/>
      <c r="Q316" s="103"/>
      <c r="R316" s="103"/>
      <c r="S316" s="103"/>
      <c r="T316" s="103"/>
      <c r="U316" s="103"/>
      <c r="V316" s="103"/>
      <c r="W316" s="103"/>
      <c r="X316" s="103"/>
      <c r="Y316" s="103"/>
      <c r="Z316" s="103"/>
    </row>
    <row r="317" spans="1:26" ht="14.25" customHeight="1">
      <c r="A317" s="103"/>
      <c r="B317" s="103"/>
      <c r="C317" s="103"/>
      <c r="D317" s="103"/>
      <c r="E317" s="103"/>
      <c r="F317" s="103"/>
      <c r="G317" s="103"/>
      <c r="H317" s="103"/>
      <c r="I317" s="103"/>
      <c r="J317" s="103"/>
      <c r="K317" s="103"/>
      <c r="L317" s="103"/>
      <c r="M317" s="103"/>
      <c r="N317" s="103"/>
      <c r="O317" s="103"/>
      <c r="P317" s="103"/>
      <c r="Q317" s="103"/>
      <c r="R317" s="103"/>
      <c r="S317" s="103"/>
      <c r="T317" s="103"/>
      <c r="U317" s="103"/>
      <c r="V317" s="103"/>
      <c r="W317" s="103"/>
      <c r="X317" s="103"/>
      <c r="Y317" s="103"/>
      <c r="Z317" s="103"/>
    </row>
    <row r="318" spans="1:26" ht="14.25" customHeight="1">
      <c r="A318" s="103"/>
      <c r="B318" s="103"/>
      <c r="C318" s="103"/>
      <c r="D318" s="103"/>
      <c r="E318" s="103"/>
      <c r="F318" s="103"/>
      <c r="G318" s="103"/>
      <c r="H318" s="103"/>
      <c r="I318" s="103"/>
      <c r="J318" s="103"/>
      <c r="K318" s="103"/>
      <c r="L318" s="103"/>
      <c r="M318" s="103"/>
      <c r="N318" s="103"/>
      <c r="O318" s="103"/>
      <c r="P318" s="103"/>
      <c r="Q318" s="103"/>
      <c r="R318" s="103"/>
      <c r="S318" s="103"/>
      <c r="T318" s="103"/>
      <c r="U318" s="103"/>
      <c r="V318" s="103"/>
      <c r="W318" s="103"/>
      <c r="X318" s="103"/>
      <c r="Y318" s="103"/>
      <c r="Z318" s="103"/>
    </row>
    <row r="319" spans="1:26" ht="14.25" customHeight="1">
      <c r="A319" s="103"/>
      <c r="B319" s="103"/>
      <c r="C319" s="103"/>
      <c r="D319" s="103"/>
      <c r="E319" s="103"/>
      <c r="F319" s="103"/>
      <c r="G319" s="103"/>
      <c r="H319" s="103"/>
      <c r="I319" s="103"/>
      <c r="J319" s="103"/>
      <c r="K319" s="103"/>
      <c r="L319" s="103"/>
      <c r="M319" s="103"/>
      <c r="N319" s="103"/>
      <c r="O319" s="103"/>
      <c r="P319" s="103"/>
      <c r="Q319" s="103"/>
      <c r="R319" s="103"/>
      <c r="S319" s="103"/>
      <c r="T319" s="103"/>
      <c r="U319" s="103"/>
      <c r="V319" s="103"/>
      <c r="W319" s="103"/>
      <c r="X319" s="103"/>
      <c r="Y319" s="103"/>
      <c r="Z319" s="103"/>
    </row>
    <row r="320" spans="1:26" ht="14.25" customHeight="1">
      <c r="A320" s="103"/>
      <c r="B320" s="103"/>
      <c r="C320" s="103"/>
      <c r="D320" s="103"/>
      <c r="E320" s="103"/>
      <c r="F320" s="103"/>
      <c r="G320" s="103"/>
      <c r="H320" s="103"/>
      <c r="I320" s="103"/>
      <c r="J320" s="103"/>
      <c r="K320" s="103"/>
      <c r="L320" s="103"/>
      <c r="M320" s="103"/>
      <c r="N320" s="103"/>
      <c r="O320" s="103"/>
      <c r="P320" s="103"/>
      <c r="Q320" s="103"/>
      <c r="R320" s="103"/>
      <c r="S320" s="103"/>
      <c r="T320" s="103"/>
      <c r="U320" s="103"/>
      <c r="V320" s="103"/>
      <c r="W320" s="103"/>
      <c r="X320" s="103"/>
      <c r="Y320" s="103"/>
      <c r="Z320" s="103"/>
    </row>
    <row r="321" spans="1:26" ht="14.25" customHeight="1">
      <c r="A321" s="103"/>
      <c r="B321" s="103"/>
      <c r="C321" s="103"/>
      <c r="D321" s="103"/>
      <c r="E321" s="103"/>
      <c r="F321" s="103"/>
      <c r="G321" s="103"/>
      <c r="H321" s="103"/>
      <c r="I321" s="103"/>
      <c r="J321" s="103"/>
      <c r="K321" s="103"/>
      <c r="L321" s="103"/>
      <c r="M321" s="103"/>
      <c r="N321" s="103"/>
      <c r="O321" s="103"/>
      <c r="P321" s="103"/>
      <c r="Q321" s="103"/>
      <c r="R321" s="103"/>
      <c r="S321" s="103"/>
      <c r="T321" s="103"/>
      <c r="U321" s="103"/>
      <c r="V321" s="103"/>
      <c r="W321" s="103"/>
      <c r="X321" s="103"/>
      <c r="Y321" s="103"/>
      <c r="Z321" s="103"/>
    </row>
    <row r="322" spans="1:26" ht="14.25" customHeight="1">
      <c r="A322" s="103"/>
      <c r="B322" s="103"/>
      <c r="C322" s="103"/>
      <c r="D322" s="103"/>
      <c r="E322" s="103"/>
      <c r="F322" s="103"/>
      <c r="G322" s="103"/>
      <c r="H322" s="103"/>
      <c r="I322" s="103"/>
      <c r="J322" s="103"/>
      <c r="K322" s="103"/>
      <c r="L322" s="103"/>
      <c r="M322" s="103"/>
      <c r="N322" s="103"/>
      <c r="O322" s="103"/>
      <c r="P322" s="103"/>
      <c r="Q322" s="103"/>
      <c r="R322" s="103"/>
      <c r="S322" s="103"/>
      <c r="T322" s="103"/>
      <c r="U322" s="103"/>
      <c r="V322" s="103"/>
      <c r="W322" s="103"/>
      <c r="X322" s="103"/>
      <c r="Y322" s="103"/>
      <c r="Z322" s="103"/>
    </row>
    <row r="323" spans="1:26" ht="14.25" customHeight="1">
      <c r="A323" s="103"/>
      <c r="B323" s="103"/>
      <c r="C323" s="103"/>
      <c r="D323" s="103"/>
      <c r="E323" s="103"/>
      <c r="F323" s="103"/>
      <c r="G323" s="103"/>
      <c r="H323" s="103"/>
      <c r="I323" s="103"/>
      <c r="J323" s="103"/>
      <c r="K323" s="103"/>
      <c r="L323" s="103"/>
      <c r="M323" s="103"/>
      <c r="N323" s="103"/>
      <c r="O323" s="103"/>
      <c r="P323" s="103"/>
      <c r="Q323" s="103"/>
      <c r="R323" s="103"/>
      <c r="S323" s="103"/>
      <c r="T323" s="103"/>
      <c r="U323" s="103"/>
      <c r="V323" s="103"/>
      <c r="W323" s="103"/>
      <c r="X323" s="103"/>
      <c r="Y323" s="103"/>
      <c r="Z323" s="103"/>
    </row>
    <row r="324" spans="1:26" ht="14.25" customHeight="1">
      <c r="A324" s="103"/>
      <c r="B324" s="103"/>
      <c r="C324" s="103"/>
      <c r="D324" s="103"/>
      <c r="E324" s="103"/>
      <c r="F324" s="103"/>
      <c r="G324" s="103"/>
      <c r="H324" s="103"/>
      <c r="I324" s="103"/>
      <c r="J324" s="103"/>
      <c r="K324" s="103"/>
      <c r="L324" s="103"/>
      <c r="M324" s="103"/>
      <c r="N324" s="103"/>
      <c r="O324" s="103"/>
      <c r="P324" s="103"/>
      <c r="Q324" s="103"/>
      <c r="R324" s="103"/>
      <c r="S324" s="103"/>
      <c r="T324" s="103"/>
      <c r="U324" s="103"/>
      <c r="V324" s="103"/>
      <c r="W324" s="103"/>
      <c r="X324" s="103"/>
      <c r="Y324" s="103"/>
      <c r="Z324" s="103"/>
    </row>
    <row r="325" spans="1:26" ht="14.25" customHeight="1">
      <c r="A325" s="103"/>
      <c r="B325" s="103"/>
      <c r="C325" s="103"/>
      <c r="D325" s="103"/>
      <c r="E325" s="103"/>
      <c r="F325" s="103"/>
      <c r="G325" s="103"/>
      <c r="H325" s="103"/>
      <c r="I325" s="103"/>
      <c r="J325" s="103"/>
      <c r="K325" s="103"/>
      <c r="L325" s="103"/>
      <c r="M325" s="103"/>
      <c r="N325" s="103"/>
      <c r="O325" s="103"/>
      <c r="P325" s="103"/>
      <c r="Q325" s="103"/>
      <c r="R325" s="103"/>
      <c r="S325" s="103"/>
      <c r="T325" s="103"/>
      <c r="U325" s="103"/>
      <c r="V325" s="103"/>
      <c r="W325" s="103"/>
      <c r="X325" s="103"/>
      <c r="Y325" s="103"/>
      <c r="Z325" s="103"/>
    </row>
    <row r="326" spans="1:26" ht="14.25" customHeight="1">
      <c r="A326" s="103"/>
      <c r="B326" s="103"/>
      <c r="C326" s="103"/>
      <c r="D326" s="103"/>
      <c r="E326" s="103"/>
      <c r="F326" s="103"/>
      <c r="G326" s="103"/>
      <c r="H326" s="103"/>
      <c r="I326" s="103"/>
      <c r="J326" s="103"/>
      <c r="K326" s="103"/>
      <c r="L326" s="103"/>
      <c r="M326" s="103"/>
      <c r="N326" s="103"/>
      <c r="O326" s="103"/>
      <c r="P326" s="103"/>
      <c r="Q326" s="103"/>
      <c r="R326" s="103"/>
      <c r="S326" s="103"/>
      <c r="T326" s="103"/>
      <c r="U326" s="103"/>
      <c r="V326" s="103"/>
      <c r="W326" s="103"/>
      <c r="X326" s="103"/>
      <c r="Y326" s="103"/>
      <c r="Z326" s="103"/>
    </row>
    <row r="327" spans="1:26" ht="14.25" customHeight="1">
      <c r="A327" s="103"/>
      <c r="B327" s="103"/>
      <c r="C327" s="103"/>
      <c r="D327" s="103"/>
      <c r="E327" s="103"/>
      <c r="F327" s="103"/>
      <c r="G327" s="103"/>
      <c r="H327" s="103"/>
      <c r="I327" s="103"/>
      <c r="J327" s="103"/>
      <c r="K327" s="103"/>
      <c r="L327" s="103"/>
      <c r="M327" s="103"/>
      <c r="N327" s="103"/>
      <c r="O327" s="103"/>
      <c r="P327" s="103"/>
      <c r="Q327" s="103"/>
      <c r="R327" s="103"/>
      <c r="S327" s="103"/>
      <c r="T327" s="103"/>
      <c r="U327" s="103"/>
      <c r="V327" s="103"/>
      <c r="W327" s="103"/>
      <c r="X327" s="103"/>
      <c r="Y327" s="103"/>
      <c r="Z327" s="103"/>
    </row>
    <row r="328" spans="1:26" ht="14.25" customHeight="1">
      <c r="A328" s="103"/>
      <c r="B328" s="103"/>
      <c r="C328" s="103"/>
      <c r="D328" s="103"/>
      <c r="E328" s="103"/>
      <c r="F328" s="103"/>
      <c r="G328" s="103"/>
      <c r="H328" s="103"/>
      <c r="I328" s="103"/>
      <c r="J328" s="103"/>
      <c r="K328" s="103"/>
      <c r="L328" s="103"/>
      <c r="M328" s="103"/>
      <c r="N328" s="103"/>
      <c r="O328" s="103"/>
      <c r="P328" s="103"/>
      <c r="Q328" s="103"/>
      <c r="R328" s="103"/>
      <c r="S328" s="103"/>
      <c r="T328" s="103"/>
      <c r="U328" s="103"/>
      <c r="V328" s="103"/>
      <c r="W328" s="103"/>
      <c r="X328" s="103"/>
      <c r="Y328" s="103"/>
      <c r="Z328" s="103"/>
    </row>
    <row r="329" spans="1:26" ht="14.25" customHeight="1">
      <c r="A329" s="103"/>
      <c r="B329" s="103"/>
      <c r="C329" s="103"/>
      <c r="D329" s="103"/>
      <c r="E329" s="103"/>
      <c r="F329" s="103"/>
      <c r="G329" s="103"/>
      <c r="H329" s="103"/>
      <c r="I329" s="103"/>
      <c r="J329" s="103"/>
      <c r="K329" s="103"/>
      <c r="L329" s="103"/>
      <c r="M329" s="103"/>
      <c r="N329" s="103"/>
      <c r="O329" s="103"/>
      <c r="P329" s="103"/>
      <c r="Q329" s="103"/>
      <c r="R329" s="103"/>
      <c r="S329" s="103"/>
      <c r="T329" s="103"/>
      <c r="U329" s="103"/>
      <c r="V329" s="103"/>
      <c r="W329" s="103"/>
      <c r="X329" s="103"/>
      <c r="Y329" s="103"/>
      <c r="Z329" s="103"/>
    </row>
    <row r="330" spans="1:26" ht="14.25" customHeight="1">
      <c r="A330" s="103"/>
      <c r="B330" s="103"/>
      <c r="C330" s="103"/>
      <c r="D330" s="103"/>
      <c r="E330" s="103"/>
      <c r="F330" s="103"/>
      <c r="G330" s="103"/>
      <c r="H330" s="103"/>
      <c r="I330" s="103"/>
      <c r="J330" s="103"/>
      <c r="K330" s="103"/>
      <c r="L330" s="103"/>
      <c r="M330" s="103"/>
      <c r="N330" s="103"/>
      <c r="O330" s="103"/>
      <c r="P330" s="103"/>
      <c r="Q330" s="103"/>
      <c r="R330" s="103"/>
      <c r="S330" s="103"/>
      <c r="T330" s="103"/>
      <c r="U330" s="103"/>
      <c r="V330" s="103"/>
      <c r="W330" s="103"/>
      <c r="X330" s="103"/>
      <c r="Y330" s="103"/>
      <c r="Z330" s="103"/>
    </row>
    <row r="331" spans="1:26" ht="14.25" customHeight="1">
      <c r="A331" s="103"/>
      <c r="B331" s="103"/>
      <c r="C331" s="103"/>
      <c r="D331" s="103"/>
      <c r="E331" s="103"/>
      <c r="F331" s="103"/>
      <c r="G331" s="103"/>
      <c r="H331" s="103"/>
      <c r="I331" s="103"/>
      <c r="J331" s="103"/>
      <c r="K331" s="103"/>
      <c r="L331" s="103"/>
      <c r="M331" s="103"/>
      <c r="N331" s="103"/>
      <c r="O331" s="103"/>
      <c r="P331" s="103"/>
      <c r="Q331" s="103"/>
      <c r="R331" s="103"/>
      <c r="S331" s="103"/>
      <c r="T331" s="103"/>
      <c r="U331" s="103"/>
      <c r="V331" s="103"/>
      <c r="W331" s="103"/>
      <c r="X331" s="103"/>
      <c r="Y331" s="103"/>
      <c r="Z331" s="103"/>
    </row>
    <row r="332" spans="1:26" ht="14.25" customHeight="1">
      <c r="A332" s="103"/>
      <c r="B332" s="103"/>
      <c r="C332" s="103"/>
      <c r="D332" s="103"/>
      <c r="E332" s="103"/>
      <c r="F332" s="103"/>
      <c r="G332" s="103"/>
      <c r="H332" s="103"/>
      <c r="I332" s="103"/>
      <c r="J332" s="103"/>
      <c r="K332" s="103"/>
      <c r="L332" s="103"/>
      <c r="M332" s="103"/>
      <c r="N332" s="103"/>
      <c r="O332" s="103"/>
      <c r="P332" s="103"/>
      <c r="Q332" s="103"/>
      <c r="R332" s="103"/>
      <c r="S332" s="103"/>
      <c r="T332" s="103"/>
      <c r="U332" s="103"/>
      <c r="V332" s="103"/>
      <c r="W332" s="103"/>
      <c r="X332" s="103"/>
      <c r="Y332" s="103"/>
      <c r="Z332" s="103"/>
    </row>
    <row r="333" spans="1:26" ht="14.25" customHeight="1">
      <c r="A333" s="103"/>
      <c r="B333" s="103"/>
      <c r="C333" s="103"/>
      <c r="D333" s="103"/>
      <c r="E333" s="103"/>
      <c r="F333" s="103"/>
      <c r="G333" s="103"/>
      <c r="H333" s="103"/>
      <c r="I333" s="103"/>
      <c r="J333" s="103"/>
      <c r="K333" s="103"/>
      <c r="L333" s="103"/>
      <c r="M333" s="103"/>
      <c r="N333" s="103"/>
      <c r="O333" s="103"/>
      <c r="P333" s="103"/>
      <c r="Q333" s="103"/>
      <c r="R333" s="103"/>
      <c r="S333" s="103"/>
      <c r="T333" s="103"/>
      <c r="U333" s="103"/>
      <c r="V333" s="103"/>
      <c r="W333" s="103"/>
      <c r="X333" s="103"/>
      <c r="Y333" s="103"/>
      <c r="Z333" s="103"/>
    </row>
    <row r="334" spans="1:26" ht="14.25" customHeight="1">
      <c r="A334" s="103"/>
      <c r="B334" s="103"/>
      <c r="C334" s="103"/>
      <c r="D334" s="103"/>
      <c r="E334" s="103"/>
      <c r="F334" s="103"/>
      <c r="G334" s="103"/>
      <c r="H334" s="103"/>
      <c r="I334" s="103"/>
      <c r="J334" s="103"/>
      <c r="K334" s="103"/>
      <c r="L334" s="103"/>
      <c r="M334" s="103"/>
      <c r="N334" s="103"/>
      <c r="O334" s="103"/>
      <c r="P334" s="103"/>
      <c r="Q334" s="103"/>
      <c r="R334" s="103"/>
      <c r="S334" s="103"/>
      <c r="T334" s="103"/>
      <c r="U334" s="103"/>
      <c r="V334" s="103"/>
      <c r="W334" s="103"/>
      <c r="X334" s="103"/>
      <c r="Y334" s="103"/>
      <c r="Z334" s="103"/>
    </row>
    <row r="335" spans="1:26" ht="14.25" customHeight="1">
      <c r="A335" s="103"/>
      <c r="B335" s="103"/>
      <c r="C335" s="103"/>
      <c r="D335" s="103"/>
      <c r="E335" s="103"/>
      <c r="F335" s="103"/>
      <c r="G335" s="103"/>
      <c r="H335" s="103"/>
      <c r="I335" s="103"/>
      <c r="J335" s="103"/>
      <c r="K335" s="103"/>
      <c r="L335" s="103"/>
      <c r="M335" s="103"/>
      <c r="N335" s="103"/>
      <c r="O335" s="103"/>
      <c r="P335" s="103"/>
      <c r="Q335" s="103"/>
      <c r="R335" s="103"/>
      <c r="S335" s="103"/>
      <c r="T335" s="103"/>
      <c r="U335" s="103"/>
      <c r="V335" s="103"/>
      <c r="W335" s="103"/>
      <c r="X335" s="103"/>
      <c r="Y335" s="103"/>
      <c r="Z335" s="103"/>
    </row>
    <row r="336" spans="1:26" ht="14.25" customHeight="1">
      <c r="A336" s="103"/>
      <c r="B336" s="103"/>
      <c r="C336" s="103"/>
      <c r="D336" s="103"/>
      <c r="E336" s="103"/>
      <c r="F336" s="103"/>
      <c r="G336" s="103"/>
      <c r="H336" s="103"/>
      <c r="I336" s="103"/>
      <c r="J336" s="103"/>
      <c r="K336" s="103"/>
      <c r="L336" s="103"/>
      <c r="M336" s="103"/>
      <c r="N336" s="103"/>
      <c r="O336" s="103"/>
      <c r="P336" s="103"/>
      <c r="Q336" s="103"/>
      <c r="R336" s="103"/>
      <c r="S336" s="103"/>
      <c r="T336" s="103"/>
      <c r="U336" s="103"/>
      <c r="V336" s="103"/>
      <c r="W336" s="103"/>
      <c r="X336" s="103"/>
      <c r="Y336" s="103"/>
      <c r="Z336" s="103"/>
    </row>
    <row r="337" spans="1:26" ht="14.25" customHeight="1">
      <c r="A337" s="103"/>
      <c r="B337" s="103"/>
      <c r="C337" s="103"/>
      <c r="D337" s="103"/>
      <c r="E337" s="103"/>
      <c r="F337" s="103"/>
      <c r="G337" s="103"/>
      <c r="H337" s="103"/>
      <c r="I337" s="103"/>
      <c r="J337" s="103"/>
      <c r="K337" s="103"/>
      <c r="L337" s="103"/>
      <c r="M337" s="103"/>
      <c r="N337" s="103"/>
      <c r="O337" s="103"/>
      <c r="P337" s="103"/>
      <c r="Q337" s="103"/>
      <c r="R337" s="103"/>
      <c r="S337" s="103"/>
      <c r="T337" s="103"/>
      <c r="U337" s="103"/>
      <c r="V337" s="103"/>
      <c r="W337" s="103"/>
      <c r="X337" s="103"/>
      <c r="Y337" s="103"/>
      <c r="Z337" s="103"/>
    </row>
    <row r="338" spans="1:26" ht="14.25" customHeight="1">
      <c r="A338" s="103"/>
      <c r="B338" s="103"/>
      <c r="C338" s="103"/>
      <c r="D338" s="103"/>
      <c r="E338" s="103"/>
      <c r="F338" s="103"/>
      <c r="G338" s="103"/>
      <c r="H338" s="103"/>
      <c r="I338" s="103"/>
      <c r="J338" s="103"/>
      <c r="K338" s="103"/>
      <c r="L338" s="103"/>
      <c r="M338" s="103"/>
      <c r="N338" s="103"/>
      <c r="O338" s="103"/>
      <c r="P338" s="103"/>
      <c r="Q338" s="103"/>
      <c r="R338" s="103"/>
      <c r="S338" s="103"/>
      <c r="T338" s="103"/>
      <c r="U338" s="103"/>
      <c r="V338" s="103"/>
      <c r="W338" s="103"/>
      <c r="X338" s="103"/>
      <c r="Y338" s="103"/>
      <c r="Z338" s="103"/>
    </row>
    <row r="339" spans="1:26" ht="14.25" customHeight="1">
      <c r="A339" s="103"/>
      <c r="B339" s="103"/>
      <c r="C339" s="103"/>
      <c r="D339" s="103"/>
      <c r="E339" s="103"/>
      <c r="F339" s="103"/>
      <c r="G339" s="103"/>
      <c r="H339" s="103"/>
      <c r="I339" s="103"/>
      <c r="J339" s="103"/>
      <c r="K339" s="103"/>
      <c r="L339" s="103"/>
      <c r="M339" s="103"/>
      <c r="N339" s="103"/>
      <c r="O339" s="103"/>
      <c r="P339" s="103"/>
      <c r="Q339" s="103"/>
      <c r="R339" s="103"/>
      <c r="S339" s="103"/>
      <c r="T339" s="103"/>
      <c r="U339" s="103"/>
      <c r="V339" s="103"/>
      <c r="W339" s="103"/>
      <c r="X339" s="103"/>
      <c r="Y339" s="103"/>
      <c r="Z339" s="103"/>
    </row>
    <row r="340" spans="1:26" ht="14.25" customHeight="1">
      <c r="A340" s="103"/>
      <c r="B340" s="103"/>
      <c r="C340" s="103"/>
      <c r="D340" s="103"/>
      <c r="E340" s="103"/>
      <c r="F340" s="103"/>
      <c r="G340" s="103"/>
      <c r="H340" s="103"/>
      <c r="I340" s="103"/>
      <c r="J340" s="103"/>
      <c r="K340" s="103"/>
      <c r="L340" s="103"/>
      <c r="M340" s="103"/>
      <c r="N340" s="103"/>
      <c r="O340" s="103"/>
      <c r="P340" s="103"/>
      <c r="Q340" s="103"/>
      <c r="R340" s="103"/>
      <c r="S340" s="103"/>
      <c r="T340" s="103"/>
      <c r="U340" s="103"/>
      <c r="V340" s="103"/>
      <c r="W340" s="103"/>
      <c r="X340" s="103"/>
      <c r="Y340" s="103"/>
      <c r="Z340" s="103"/>
    </row>
    <row r="341" spans="1:26" ht="14.25" customHeight="1">
      <c r="A341" s="103"/>
      <c r="B341" s="103"/>
      <c r="C341" s="103"/>
      <c r="D341" s="103"/>
      <c r="E341" s="103"/>
      <c r="F341" s="103"/>
      <c r="G341" s="103"/>
      <c r="H341" s="103"/>
      <c r="I341" s="103"/>
      <c r="J341" s="103"/>
      <c r="K341" s="103"/>
      <c r="L341" s="103"/>
      <c r="M341" s="103"/>
      <c r="N341" s="103"/>
      <c r="O341" s="103"/>
      <c r="P341" s="103"/>
      <c r="Q341" s="103"/>
      <c r="R341" s="103"/>
      <c r="S341" s="103"/>
      <c r="T341" s="103"/>
      <c r="U341" s="103"/>
      <c r="V341" s="103"/>
      <c r="W341" s="103"/>
      <c r="X341" s="103"/>
      <c r="Y341" s="103"/>
      <c r="Z341" s="103"/>
    </row>
    <row r="342" spans="1:26" ht="14.25" customHeight="1">
      <c r="A342" s="103"/>
      <c r="B342" s="103"/>
      <c r="C342" s="103"/>
      <c r="D342" s="103"/>
      <c r="E342" s="103"/>
      <c r="F342" s="103"/>
      <c r="G342" s="103"/>
      <c r="H342" s="103"/>
      <c r="I342" s="103"/>
      <c r="J342" s="103"/>
      <c r="K342" s="103"/>
      <c r="L342" s="103"/>
      <c r="M342" s="103"/>
      <c r="N342" s="103"/>
      <c r="O342" s="103"/>
      <c r="P342" s="103"/>
      <c r="Q342" s="103"/>
      <c r="R342" s="103"/>
      <c r="S342" s="103"/>
      <c r="T342" s="103"/>
      <c r="U342" s="103"/>
      <c r="V342" s="103"/>
      <c r="W342" s="103"/>
      <c r="X342" s="103"/>
      <c r="Y342" s="103"/>
      <c r="Z342" s="103"/>
    </row>
    <row r="343" spans="1:26" ht="14.25" customHeight="1">
      <c r="A343" s="103"/>
      <c r="B343" s="103"/>
      <c r="C343" s="103"/>
      <c r="D343" s="103"/>
      <c r="E343" s="103"/>
      <c r="F343" s="103"/>
      <c r="G343" s="103"/>
      <c r="H343" s="103"/>
      <c r="I343" s="103"/>
      <c r="J343" s="103"/>
      <c r="K343" s="103"/>
      <c r="L343" s="103"/>
      <c r="M343" s="103"/>
      <c r="N343" s="103"/>
      <c r="O343" s="103"/>
      <c r="P343" s="103"/>
      <c r="Q343" s="103"/>
      <c r="R343" s="103"/>
      <c r="S343" s="103"/>
      <c r="T343" s="103"/>
      <c r="U343" s="103"/>
      <c r="V343" s="103"/>
      <c r="W343" s="103"/>
      <c r="X343" s="103"/>
      <c r="Y343" s="103"/>
      <c r="Z343" s="103"/>
    </row>
    <row r="344" spans="1:26" ht="14.25" customHeight="1">
      <c r="A344" s="103"/>
      <c r="B344" s="103"/>
      <c r="C344" s="103"/>
      <c r="D344" s="103"/>
      <c r="E344" s="103"/>
      <c r="F344" s="103"/>
      <c r="G344" s="103"/>
      <c r="H344" s="103"/>
      <c r="I344" s="103"/>
      <c r="J344" s="103"/>
      <c r="K344" s="103"/>
      <c r="L344" s="103"/>
      <c r="M344" s="103"/>
      <c r="N344" s="103"/>
      <c r="O344" s="103"/>
      <c r="P344" s="103"/>
      <c r="Q344" s="103"/>
      <c r="R344" s="103"/>
      <c r="S344" s="103"/>
      <c r="T344" s="103"/>
      <c r="U344" s="103"/>
      <c r="V344" s="103"/>
      <c r="W344" s="103"/>
      <c r="X344" s="103"/>
      <c r="Y344" s="103"/>
      <c r="Z344" s="103"/>
    </row>
    <row r="345" spans="1:26" ht="14.25" customHeight="1">
      <c r="A345" s="103"/>
      <c r="B345" s="103"/>
      <c r="C345" s="103"/>
      <c r="D345" s="103"/>
      <c r="E345" s="103"/>
      <c r="F345" s="103"/>
      <c r="G345" s="103"/>
      <c r="H345" s="103"/>
      <c r="I345" s="103"/>
      <c r="J345" s="103"/>
      <c r="K345" s="103"/>
      <c r="L345" s="103"/>
      <c r="M345" s="103"/>
      <c r="N345" s="103"/>
      <c r="O345" s="103"/>
      <c r="P345" s="103"/>
      <c r="Q345" s="103"/>
      <c r="R345" s="103"/>
      <c r="S345" s="103"/>
      <c r="T345" s="103"/>
      <c r="U345" s="103"/>
      <c r="V345" s="103"/>
      <c r="W345" s="103"/>
      <c r="X345" s="103"/>
      <c r="Y345" s="103"/>
      <c r="Z345" s="103"/>
    </row>
    <row r="346" spans="1:26" ht="14.25" customHeight="1">
      <c r="A346" s="103"/>
      <c r="B346" s="103"/>
      <c r="C346" s="103"/>
      <c r="D346" s="103"/>
      <c r="E346" s="103"/>
      <c r="F346" s="103"/>
      <c r="G346" s="103"/>
      <c r="H346" s="103"/>
      <c r="I346" s="103"/>
      <c r="J346" s="103"/>
      <c r="K346" s="103"/>
      <c r="L346" s="103"/>
      <c r="M346" s="103"/>
      <c r="N346" s="103"/>
      <c r="O346" s="103"/>
      <c r="P346" s="103"/>
      <c r="Q346" s="103"/>
      <c r="R346" s="103"/>
      <c r="S346" s="103"/>
      <c r="T346" s="103"/>
      <c r="U346" s="103"/>
      <c r="V346" s="103"/>
      <c r="W346" s="103"/>
      <c r="X346" s="103"/>
      <c r="Y346" s="103"/>
      <c r="Z346" s="103"/>
    </row>
    <row r="347" spans="1:26" ht="14.25" customHeight="1">
      <c r="A347" s="103"/>
      <c r="B347" s="103"/>
      <c r="C347" s="103"/>
      <c r="D347" s="103"/>
      <c r="E347" s="103"/>
      <c r="F347" s="103"/>
      <c r="G347" s="103"/>
      <c r="H347" s="103"/>
      <c r="I347" s="103"/>
      <c r="J347" s="103"/>
      <c r="K347" s="103"/>
      <c r="L347" s="103"/>
      <c r="M347" s="103"/>
      <c r="N347" s="103"/>
      <c r="O347" s="103"/>
      <c r="P347" s="103"/>
      <c r="Q347" s="103"/>
      <c r="R347" s="103"/>
      <c r="S347" s="103"/>
      <c r="T347" s="103"/>
      <c r="U347" s="103"/>
      <c r="V347" s="103"/>
      <c r="W347" s="103"/>
      <c r="X347" s="103"/>
      <c r="Y347" s="103"/>
      <c r="Z347" s="103"/>
    </row>
    <row r="348" spans="1:26" ht="14.25" customHeight="1">
      <c r="A348" s="103"/>
      <c r="B348" s="103"/>
      <c r="C348" s="103"/>
      <c r="D348" s="103"/>
      <c r="E348" s="103"/>
      <c r="F348" s="103"/>
      <c r="G348" s="103"/>
      <c r="H348" s="103"/>
      <c r="I348" s="103"/>
      <c r="J348" s="103"/>
      <c r="K348" s="103"/>
      <c r="L348" s="103"/>
      <c r="M348" s="103"/>
      <c r="N348" s="103"/>
      <c r="O348" s="103"/>
      <c r="P348" s="103"/>
      <c r="Q348" s="103"/>
      <c r="R348" s="103"/>
      <c r="S348" s="103"/>
      <c r="T348" s="103"/>
      <c r="U348" s="103"/>
      <c r="V348" s="103"/>
      <c r="W348" s="103"/>
      <c r="X348" s="103"/>
      <c r="Y348" s="103"/>
      <c r="Z348" s="103"/>
    </row>
    <row r="349" spans="1:26" ht="14.25" customHeight="1">
      <c r="A349" s="103"/>
      <c r="B349" s="103"/>
      <c r="C349" s="103"/>
      <c r="D349" s="103"/>
      <c r="E349" s="103"/>
      <c r="F349" s="103"/>
      <c r="G349" s="103"/>
      <c r="H349" s="103"/>
      <c r="I349" s="103"/>
      <c r="J349" s="103"/>
      <c r="K349" s="103"/>
      <c r="L349" s="103"/>
      <c r="M349" s="103"/>
      <c r="N349" s="103"/>
      <c r="O349" s="103"/>
      <c r="P349" s="103"/>
      <c r="Q349" s="103"/>
      <c r="R349" s="103"/>
      <c r="S349" s="103"/>
      <c r="T349" s="103"/>
      <c r="U349" s="103"/>
      <c r="V349" s="103"/>
      <c r="W349" s="103"/>
      <c r="X349" s="103"/>
      <c r="Y349" s="103"/>
      <c r="Z349" s="103"/>
    </row>
    <row r="350" spans="1:26" ht="14.25" customHeight="1">
      <c r="A350" s="103"/>
      <c r="B350" s="103"/>
      <c r="C350" s="103"/>
      <c r="D350" s="103"/>
      <c r="E350" s="103"/>
      <c r="F350" s="103"/>
      <c r="G350" s="103"/>
      <c r="H350" s="103"/>
      <c r="I350" s="103"/>
      <c r="J350" s="103"/>
      <c r="K350" s="103"/>
      <c r="L350" s="103"/>
      <c r="M350" s="103"/>
      <c r="N350" s="103"/>
      <c r="O350" s="103"/>
      <c r="P350" s="103"/>
      <c r="Q350" s="103"/>
      <c r="R350" s="103"/>
      <c r="S350" s="103"/>
      <c r="T350" s="103"/>
      <c r="U350" s="103"/>
      <c r="V350" s="103"/>
      <c r="W350" s="103"/>
      <c r="X350" s="103"/>
      <c r="Y350" s="103"/>
      <c r="Z350" s="103"/>
    </row>
    <row r="351" spans="1:26" ht="14.25" customHeight="1">
      <c r="A351" s="103"/>
      <c r="B351" s="103"/>
      <c r="C351" s="103"/>
      <c r="D351" s="103"/>
      <c r="E351" s="103"/>
      <c r="F351" s="103"/>
      <c r="G351" s="103"/>
      <c r="H351" s="103"/>
      <c r="I351" s="103"/>
      <c r="J351" s="103"/>
      <c r="K351" s="103"/>
      <c r="L351" s="103"/>
      <c r="M351" s="103"/>
      <c r="N351" s="103"/>
      <c r="O351" s="103"/>
      <c r="P351" s="103"/>
      <c r="Q351" s="103"/>
      <c r="R351" s="103"/>
      <c r="S351" s="103"/>
      <c r="T351" s="103"/>
      <c r="U351" s="103"/>
      <c r="V351" s="103"/>
      <c r="W351" s="103"/>
      <c r="X351" s="103"/>
      <c r="Y351" s="103"/>
      <c r="Z351" s="103"/>
    </row>
    <row r="352" spans="1:26" ht="14.25" customHeight="1">
      <c r="A352" s="103"/>
      <c r="B352" s="103"/>
      <c r="C352" s="103"/>
      <c r="D352" s="103"/>
      <c r="E352" s="103"/>
      <c r="F352" s="103"/>
      <c r="G352" s="103"/>
      <c r="H352" s="103"/>
      <c r="I352" s="103"/>
      <c r="J352" s="103"/>
      <c r="K352" s="103"/>
      <c r="L352" s="103"/>
      <c r="M352" s="103"/>
      <c r="N352" s="103"/>
      <c r="O352" s="103"/>
      <c r="P352" s="103"/>
      <c r="Q352" s="103"/>
      <c r="R352" s="103"/>
      <c r="S352" s="103"/>
      <c r="T352" s="103"/>
      <c r="U352" s="103"/>
      <c r="V352" s="103"/>
      <c r="W352" s="103"/>
      <c r="X352" s="103"/>
      <c r="Y352" s="103"/>
      <c r="Z352" s="103"/>
    </row>
    <row r="353" spans="1:26" ht="14.25" customHeight="1">
      <c r="A353" s="103"/>
      <c r="B353" s="103"/>
      <c r="C353" s="103"/>
      <c r="D353" s="103"/>
      <c r="E353" s="103"/>
      <c r="F353" s="103"/>
      <c r="G353" s="103"/>
      <c r="H353" s="103"/>
      <c r="I353" s="103"/>
      <c r="J353" s="103"/>
      <c r="K353" s="103"/>
      <c r="L353" s="103"/>
      <c r="M353" s="103"/>
      <c r="N353" s="103"/>
      <c r="O353" s="103"/>
      <c r="P353" s="103"/>
      <c r="Q353" s="103"/>
      <c r="R353" s="103"/>
      <c r="S353" s="103"/>
      <c r="T353" s="103"/>
      <c r="U353" s="103"/>
      <c r="V353" s="103"/>
      <c r="W353" s="103"/>
      <c r="X353" s="103"/>
      <c r="Y353" s="103"/>
      <c r="Z353" s="103"/>
    </row>
    <row r="354" spans="1:26" ht="14.25" customHeight="1">
      <c r="A354" s="103"/>
      <c r="B354" s="103"/>
      <c r="C354" s="103"/>
      <c r="D354" s="103"/>
      <c r="E354" s="103"/>
      <c r="F354" s="103"/>
      <c r="G354" s="103"/>
      <c r="H354" s="103"/>
      <c r="I354" s="103"/>
      <c r="J354" s="103"/>
      <c r="K354" s="103"/>
      <c r="L354" s="103"/>
      <c r="M354" s="103"/>
      <c r="N354" s="103"/>
      <c r="O354" s="103"/>
      <c r="P354" s="103"/>
      <c r="Q354" s="103"/>
      <c r="R354" s="103"/>
      <c r="S354" s="103"/>
      <c r="T354" s="103"/>
      <c r="U354" s="103"/>
      <c r="V354" s="103"/>
      <c r="W354" s="103"/>
      <c r="X354" s="103"/>
      <c r="Y354" s="103"/>
      <c r="Z354" s="103"/>
    </row>
    <row r="355" spans="1:26" ht="14.25" customHeight="1">
      <c r="A355" s="103"/>
      <c r="B355" s="103"/>
      <c r="C355" s="103"/>
      <c r="D355" s="103"/>
      <c r="E355" s="103"/>
      <c r="F355" s="103"/>
      <c r="G355" s="103"/>
      <c r="H355" s="103"/>
      <c r="I355" s="103"/>
      <c r="J355" s="103"/>
      <c r="K355" s="103"/>
      <c r="L355" s="103"/>
      <c r="M355" s="103"/>
      <c r="N355" s="103"/>
      <c r="O355" s="103"/>
      <c r="P355" s="103"/>
      <c r="Q355" s="103"/>
      <c r="R355" s="103"/>
      <c r="S355" s="103"/>
      <c r="T355" s="103"/>
      <c r="U355" s="103"/>
      <c r="V355" s="103"/>
      <c r="W355" s="103"/>
      <c r="X355" s="103"/>
      <c r="Y355" s="103"/>
      <c r="Z355" s="103"/>
    </row>
    <row r="356" spans="1:26" ht="14.25" customHeight="1">
      <c r="A356" s="103"/>
      <c r="B356" s="103"/>
      <c r="C356" s="103"/>
      <c r="D356" s="103"/>
      <c r="E356" s="103"/>
      <c r="F356" s="103"/>
      <c r="G356" s="103"/>
      <c r="H356" s="103"/>
      <c r="I356" s="103"/>
      <c r="J356" s="103"/>
      <c r="K356" s="103"/>
      <c r="L356" s="103"/>
      <c r="M356" s="103"/>
      <c r="N356" s="103"/>
      <c r="O356" s="103"/>
      <c r="P356" s="103"/>
      <c r="Q356" s="103"/>
      <c r="R356" s="103"/>
      <c r="S356" s="103"/>
      <c r="T356" s="103"/>
      <c r="U356" s="103"/>
      <c r="V356" s="103"/>
      <c r="W356" s="103"/>
      <c r="X356" s="103"/>
      <c r="Y356" s="103"/>
      <c r="Z356" s="103"/>
    </row>
    <row r="357" spans="1:26" ht="14.25" customHeight="1">
      <c r="A357" s="103"/>
      <c r="B357" s="103"/>
      <c r="C357" s="103"/>
      <c r="D357" s="103"/>
      <c r="E357" s="103"/>
      <c r="F357" s="103"/>
      <c r="G357" s="103"/>
      <c r="H357" s="103"/>
      <c r="I357" s="103"/>
      <c r="J357" s="103"/>
      <c r="K357" s="103"/>
      <c r="L357" s="103"/>
      <c r="M357" s="103"/>
      <c r="N357" s="103"/>
      <c r="O357" s="103"/>
      <c r="P357" s="103"/>
      <c r="Q357" s="103"/>
      <c r="R357" s="103"/>
      <c r="S357" s="103"/>
      <c r="T357" s="103"/>
      <c r="U357" s="103"/>
      <c r="V357" s="103"/>
      <c r="W357" s="103"/>
      <c r="X357" s="103"/>
      <c r="Y357" s="103"/>
      <c r="Z357" s="103"/>
    </row>
    <row r="358" spans="1:26" ht="14.25" customHeight="1">
      <c r="A358" s="103"/>
      <c r="B358" s="103"/>
      <c r="C358" s="103"/>
      <c r="D358" s="103"/>
      <c r="E358" s="103"/>
      <c r="F358" s="103"/>
      <c r="G358" s="103"/>
      <c r="H358" s="103"/>
      <c r="I358" s="103"/>
      <c r="J358" s="103"/>
      <c r="K358" s="103"/>
      <c r="L358" s="103"/>
      <c r="M358" s="103"/>
      <c r="N358" s="103"/>
      <c r="O358" s="103"/>
      <c r="P358" s="103"/>
      <c r="Q358" s="103"/>
      <c r="R358" s="103"/>
      <c r="S358" s="103"/>
      <c r="T358" s="103"/>
      <c r="U358" s="103"/>
      <c r="V358" s="103"/>
      <c r="W358" s="103"/>
      <c r="X358" s="103"/>
      <c r="Y358" s="103"/>
      <c r="Z358" s="103"/>
    </row>
    <row r="359" spans="1:26" ht="14.25" customHeight="1">
      <c r="A359" s="103"/>
      <c r="B359" s="103"/>
      <c r="C359" s="103"/>
      <c r="D359" s="103"/>
      <c r="E359" s="103"/>
      <c r="F359" s="103"/>
      <c r="G359" s="103"/>
      <c r="H359" s="103"/>
      <c r="I359" s="103"/>
      <c r="J359" s="103"/>
      <c r="K359" s="103"/>
      <c r="L359" s="103"/>
      <c r="M359" s="103"/>
      <c r="N359" s="103"/>
      <c r="O359" s="103"/>
      <c r="P359" s="103"/>
      <c r="Q359" s="103"/>
      <c r="R359" s="103"/>
      <c r="S359" s="103"/>
      <c r="T359" s="103"/>
      <c r="U359" s="103"/>
      <c r="V359" s="103"/>
      <c r="W359" s="103"/>
      <c r="X359" s="103"/>
      <c r="Y359" s="103"/>
      <c r="Z359" s="103"/>
    </row>
    <row r="360" spans="1:26" ht="14.25" customHeight="1">
      <c r="A360" s="103"/>
      <c r="B360" s="103"/>
      <c r="C360" s="103"/>
      <c r="D360" s="103"/>
      <c r="E360" s="103"/>
      <c r="F360" s="103"/>
      <c r="G360" s="103"/>
      <c r="H360" s="103"/>
      <c r="I360" s="103"/>
      <c r="J360" s="103"/>
      <c r="K360" s="103"/>
      <c r="L360" s="103"/>
      <c r="M360" s="103"/>
      <c r="N360" s="103"/>
      <c r="O360" s="103"/>
      <c r="P360" s="103"/>
      <c r="Q360" s="103"/>
      <c r="R360" s="103"/>
      <c r="S360" s="103"/>
      <c r="T360" s="103"/>
      <c r="U360" s="103"/>
      <c r="V360" s="103"/>
      <c r="W360" s="103"/>
      <c r="X360" s="103"/>
      <c r="Y360" s="103"/>
      <c r="Z360" s="103"/>
    </row>
    <row r="361" spans="1:26" ht="14.25" customHeight="1">
      <c r="A361" s="103"/>
      <c r="B361" s="103"/>
      <c r="C361" s="103"/>
      <c r="D361" s="103"/>
      <c r="E361" s="103"/>
      <c r="F361" s="103"/>
      <c r="G361" s="103"/>
      <c r="H361" s="103"/>
      <c r="I361" s="103"/>
      <c r="J361" s="103"/>
      <c r="K361" s="103"/>
      <c r="L361" s="103"/>
      <c r="M361" s="103"/>
      <c r="N361" s="103"/>
      <c r="O361" s="103"/>
      <c r="P361" s="103"/>
      <c r="Q361" s="103"/>
      <c r="R361" s="103"/>
      <c r="S361" s="103"/>
      <c r="T361" s="103"/>
      <c r="U361" s="103"/>
      <c r="V361" s="103"/>
      <c r="W361" s="103"/>
      <c r="X361" s="103"/>
      <c r="Y361" s="103"/>
      <c r="Z361" s="103"/>
    </row>
    <row r="362" spans="1:26" ht="14.25" customHeight="1">
      <c r="A362" s="103"/>
      <c r="B362" s="103"/>
      <c r="C362" s="103"/>
      <c r="D362" s="103"/>
      <c r="E362" s="103"/>
      <c r="F362" s="103"/>
      <c r="G362" s="103"/>
      <c r="H362" s="103"/>
      <c r="I362" s="103"/>
      <c r="J362" s="103"/>
      <c r="K362" s="103"/>
      <c r="L362" s="103"/>
      <c r="M362" s="103"/>
      <c r="N362" s="103"/>
      <c r="O362" s="103"/>
      <c r="P362" s="103"/>
      <c r="Q362" s="103"/>
      <c r="R362" s="103"/>
      <c r="S362" s="103"/>
      <c r="T362" s="103"/>
      <c r="U362" s="103"/>
      <c r="V362" s="103"/>
      <c r="W362" s="103"/>
      <c r="X362" s="103"/>
      <c r="Y362" s="103"/>
      <c r="Z362" s="103"/>
    </row>
    <row r="363" spans="1:26" ht="14.25" customHeight="1">
      <c r="A363" s="103"/>
      <c r="B363" s="103"/>
      <c r="C363" s="103"/>
      <c r="D363" s="103"/>
      <c r="E363" s="103"/>
      <c r="F363" s="103"/>
      <c r="G363" s="103"/>
      <c r="H363" s="103"/>
      <c r="I363" s="103"/>
      <c r="J363" s="103"/>
      <c r="K363" s="103"/>
      <c r="L363" s="103"/>
      <c r="M363" s="103"/>
      <c r="N363" s="103"/>
      <c r="O363" s="103"/>
      <c r="P363" s="103"/>
      <c r="Q363" s="103"/>
      <c r="R363" s="103"/>
      <c r="S363" s="103"/>
      <c r="T363" s="103"/>
      <c r="U363" s="103"/>
      <c r="V363" s="103"/>
      <c r="W363" s="103"/>
      <c r="X363" s="103"/>
      <c r="Y363" s="103"/>
      <c r="Z363" s="103"/>
    </row>
    <row r="364" spans="1:26" ht="14.25" customHeight="1">
      <c r="A364" s="103"/>
      <c r="B364" s="103"/>
      <c r="C364" s="103"/>
      <c r="D364" s="103"/>
      <c r="E364" s="103"/>
      <c r="F364" s="103"/>
      <c r="G364" s="103"/>
      <c r="H364" s="103"/>
      <c r="I364" s="103"/>
      <c r="J364" s="103"/>
      <c r="K364" s="103"/>
      <c r="L364" s="103"/>
      <c r="M364" s="103"/>
      <c r="N364" s="103"/>
      <c r="O364" s="103"/>
      <c r="P364" s="103"/>
      <c r="Q364" s="103"/>
      <c r="R364" s="103"/>
      <c r="S364" s="103"/>
      <c r="T364" s="103"/>
      <c r="U364" s="103"/>
      <c r="V364" s="103"/>
      <c r="W364" s="103"/>
      <c r="X364" s="103"/>
      <c r="Y364" s="103"/>
      <c r="Z364" s="103"/>
    </row>
    <row r="365" spans="1:26" ht="14.25" customHeight="1">
      <c r="A365" s="103"/>
      <c r="B365" s="103"/>
      <c r="C365" s="103"/>
      <c r="D365" s="103"/>
      <c r="E365" s="103"/>
      <c r="F365" s="103"/>
      <c r="G365" s="103"/>
      <c r="H365" s="103"/>
      <c r="I365" s="103"/>
      <c r="J365" s="103"/>
      <c r="K365" s="103"/>
      <c r="L365" s="103"/>
      <c r="M365" s="103"/>
      <c r="N365" s="103"/>
      <c r="O365" s="103"/>
      <c r="P365" s="103"/>
      <c r="Q365" s="103"/>
      <c r="R365" s="103"/>
      <c r="S365" s="103"/>
      <c r="T365" s="103"/>
      <c r="U365" s="103"/>
      <c r="V365" s="103"/>
      <c r="W365" s="103"/>
      <c r="X365" s="103"/>
      <c r="Y365" s="103"/>
      <c r="Z365" s="103"/>
    </row>
    <row r="366" spans="1:26" ht="14.25" customHeight="1">
      <c r="A366" s="103"/>
      <c r="B366" s="103"/>
      <c r="C366" s="103"/>
      <c r="D366" s="103"/>
      <c r="E366" s="103"/>
      <c r="F366" s="103"/>
      <c r="G366" s="103"/>
      <c r="H366" s="103"/>
      <c r="I366" s="103"/>
      <c r="J366" s="103"/>
      <c r="K366" s="103"/>
      <c r="L366" s="103"/>
      <c r="M366" s="103"/>
      <c r="N366" s="103"/>
      <c r="O366" s="103"/>
      <c r="P366" s="103"/>
      <c r="Q366" s="103"/>
      <c r="R366" s="103"/>
      <c r="S366" s="103"/>
      <c r="T366" s="103"/>
      <c r="U366" s="103"/>
      <c r="V366" s="103"/>
      <c r="W366" s="103"/>
      <c r="X366" s="103"/>
      <c r="Y366" s="103"/>
      <c r="Z366" s="103"/>
    </row>
    <row r="367" spans="1:26" ht="14.25" customHeight="1">
      <c r="A367" s="103"/>
      <c r="B367" s="103"/>
      <c r="C367" s="103"/>
      <c r="D367" s="103"/>
      <c r="E367" s="103"/>
      <c r="F367" s="103"/>
      <c r="G367" s="103"/>
      <c r="H367" s="103"/>
      <c r="I367" s="103"/>
      <c r="J367" s="103"/>
      <c r="K367" s="103"/>
      <c r="L367" s="103"/>
      <c r="M367" s="103"/>
      <c r="N367" s="103"/>
      <c r="O367" s="103"/>
      <c r="P367" s="103"/>
      <c r="Q367" s="103"/>
      <c r="R367" s="103"/>
      <c r="S367" s="103"/>
      <c r="T367" s="103"/>
      <c r="U367" s="103"/>
      <c r="V367" s="103"/>
      <c r="W367" s="103"/>
      <c r="X367" s="103"/>
      <c r="Y367" s="103"/>
      <c r="Z367" s="103"/>
    </row>
    <row r="368" spans="1:26" ht="14.25" customHeight="1">
      <c r="A368" s="103"/>
      <c r="B368" s="103"/>
      <c r="C368" s="103"/>
      <c r="D368" s="103"/>
      <c r="E368" s="103"/>
      <c r="F368" s="103"/>
      <c r="G368" s="103"/>
      <c r="H368" s="103"/>
      <c r="I368" s="103"/>
      <c r="J368" s="103"/>
      <c r="K368" s="103"/>
      <c r="L368" s="103"/>
      <c r="M368" s="103"/>
      <c r="N368" s="103"/>
      <c r="O368" s="103"/>
      <c r="P368" s="103"/>
      <c r="Q368" s="103"/>
      <c r="R368" s="103"/>
      <c r="S368" s="103"/>
      <c r="T368" s="103"/>
      <c r="U368" s="103"/>
      <c r="V368" s="103"/>
      <c r="W368" s="103"/>
      <c r="X368" s="103"/>
      <c r="Y368" s="103"/>
      <c r="Z368" s="103"/>
    </row>
    <row r="369" spans="1:26" ht="14.25" customHeight="1">
      <c r="A369" s="103"/>
      <c r="B369" s="103"/>
      <c r="C369" s="103"/>
      <c r="D369" s="103"/>
      <c r="E369" s="103"/>
      <c r="F369" s="103"/>
      <c r="G369" s="103"/>
      <c r="H369" s="103"/>
      <c r="I369" s="103"/>
      <c r="J369" s="103"/>
      <c r="K369" s="103"/>
      <c r="L369" s="103"/>
      <c r="M369" s="103"/>
      <c r="N369" s="103"/>
      <c r="O369" s="103"/>
      <c r="P369" s="103"/>
      <c r="Q369" s="103"/>
      <c r="R369" s="103"/>
      <c r="S369" s="103"/>
      <c r="T369" s="103"/>
      <c r="U369" s="103"/>
      <c r="V369" s="103"/>
      <c r="W369" s="103"/>
      <c r="X369" s="103"/>
      <c r="Y369" s="103"/>
      <c r="Z369" s="103"/>
    </row>
    <row r="370" spans="1:26" ht="14.25" customHeight="1">
      <c r="A370" s="103"/>
      <c r="B370" s="103"/>
      <c r="C370" s="103"/>
      <c r="D370" s="103"/>
      <c r="E370" s="103"/>
      <c r="F370" s="103"/>
      <c r="G370" s="103"/>
      <c r="H370" s="103"/>
      <c r="I370" s="103"/>
      <c r="J370" s="103"/>
      <c r="K370" s="103"/>
      <c r="L370" s="103"/>
      <c r="M370" s="103"/>
      <c r="N370" s="103"/>
      <c r="O370" s="103"/>
      <c r="P370" s="103"/>
      <c r="Q370" s="103"/>
      <c r="R370" s="103"/>
      <c r="S370" s="103"/>
      <c r="T370" s="103"/>
      <c r="U370" s="103"/>
      <c r="V370" s="103"/>
      <c r="W370" s="103"/>
      <c r="X370" s="103"/>
      <c r="Y370" s="103"/>
      <c r="Z370" s="103"/>
    </row>
    <row r="371" spans="1:26" ht="14.25" customHeight="1">
      <c r="A371" s="103"/>
      <c r="B371" s="103"/>
      <c r="C371" s="103"/>
      <c r="D371" s="103"/>
      <c r="E371" s="103"/>
      <c r="F371" s="103"/>
      <c r="G371" s="103"/>
      <c r="H371" s="103"/>
      <c r="I371" s="103"/>
      <c r="J371" s="103"/>
      <c r="K371" s="103"/>
      <c r="L371" s="103"/>
      <c r="M371" s="103"/>
      <c r="N371" s="103"/>
      <c r="O371" s="103"/>
      <c r="P371" s="103"/>
      <c r="Q371" s="103"/>
      <c r="R371" s="103"/>
      <c r="S371" s="103"/>
      <c r="T371" s="103"/>
      <c r="U371" s="103"/>
      <c r="V371" s="103"/>
      <c r="W371" s="103"/>
      <c r="X371" s="103"/>
      <c r="Y371" s="103"/>
      <c r="Z371" s="103"/>
    </row>
    <row r="372" spans="1:26" ht="14.25" customHeight="1">
      <c r="A372" s="103"/>
      <c r="B372" s="103"/>
      <c r="C372" s="103"/>
      <c r="D372" s="103"/>
      <c r="E372" s="103"/>
      <c r="F372" s="103"/>
      <c r="G372" s="103"/>
      <c r="H372" s="103"/>
      <c r="I372" s="103"/>
      <c r="J372" s="103"/>
      <c r="K372" s="103"/>
      <c r="L372" s="103"/>
      <c r="M372" s="103"/>
      <c r="N372" s="103"/>
      <c r="O372" s="103"/>
      <c r="P372" s="103"/>
      <c r="Q372" s="103"/>
      <c r="R372" s="103"/>
      <c r="S372" s="103"/>
      <c r="T372" s="103"/>
      <c r="U372" s="103"/>
      <c r="V372" s="103"/>
      <c r="W372" s="103"/>
      <c r="X372" s="103"/>
      <c r="Y372" s="103"/>
      <c r="Z372" s="103"/>
    </row>
    <row r="373" spans="1:26" ht="14.25" customHeight="1">
      <c r="A373" s="103"/>
      <c r="B373" s="103"/>
      <c r="C373" s="103"/>
      <c r="D373" s="103"/>
      <c r="E373" s="103"/>
      <c r="F373" s="103"/>
      <c r="G373" s="103"/>
      <c r="H373" s="103"/>
      <c r="I373" s="103"/>
      <c r="J373" s="103"/>
      <c r="K373" s="103"/>
      <c r="L373" s="103"/>
      <c r="M373" s="103"/>
      <c r="N373" s="103"/>
      <c r="O373" s="103"/>
      <c r="P373" s="103"/>
      <c r="Q373" s="103"/>
      <c r="R373" s="103"/>
      <c r="S373" s="103"/>
      <c r="T373" s="103"/>
      <c r="U373" s="103"/>
      <c r="V373" s="103"/>
      <c r="W373" s="103"/>
      <c r="X373" s="103"/>
      <c r="Y373" s="103"/>
      <c r="Z373" s="103"/>
    </row>
    <row r="374" spans="1:26" ht="14.25" customHeight="1">
      <c r="A374" s="103"/>
      <c r="B374" s="103"/>
      <c r="C374" s="103"/>
      <c r="D374" s="103"/>
      <c r="E374" s="103"/>
      <c r="F374" s="103"/>
      <c r="G374" s="103"/>
      <c r="H374" s="103"/>
      <c r="I374" s="103"/>
      <c r="J374" s="103"/>
      <c r="K374" s="103"/>
      <c r="L374" s="103"/>
      <c r="M374" s="103"/>
      <c r="N374" s="103"/>
      <c r="O374" s="103"/>
      <c r="P374" s="103"/>
      <c r="Q374" s="103"/>
      <c r="R374" s="103"/>
      <c r="S374" s="103"/>
      <c r="T374" s="103"/>
      <c r="U374" s="103"/>
      <c r="V374" s="103"/>
      <c r="W374" s="103"/>
      <c r="X374" s="103"/>
      <c r="Y374" s="103"/>
      <c r="Z374" s="103"/>
    </row>
    <row r="375" spans="1:26" ht="14.25" customHeight="1">
      <c r="A375" s="103"/>
      <c r="B375" s="103"/>
      <c r="C375" s="103"/>
      <c r="D375" s="103"/>
      <c r="E375" s="103"/>
      <c r="F375" s="103"/>
      <c r="G375" s="103"/>
      <c r="H375" s="103"/>
      <c r="I375" s="103"/>
      <c r="J375" s="103"/>
      <c r="K375" s="103"/>
      <c r="L375" s="103"/>
      <c r="M375" s="103"/>
      <c r="N375" s="103"/>
      <c r="O375" s="103"/>
      <c r="P375" s="103"/>
      <c r="Q375" s="103"/>
      <c r="R375" s="103"/>
      <c r="S375" s="103"/>
      <c r="T375" s="103"/>
      <c r="U375" s="103"/>
      <c r="V375" s="103"/>
      <c r="W375" s="103"/>
      <c r="X375" s="103"/>
      <c r="Y375" s="103"/>
      <c r="Z375" s="103"/>
    </row>
    <row r="376" spans="1:26" ht="14.25" customHeight="1">
      <c r="A376" s="103"/>
      <c r="B376" s="103"/>
      <c r="C376" s="103"/>
      <c r="D376" s="103"/>
      <c r="E376" s="103"/>
      <c r="F376" s="103"/>
      <c r="G376" s="103"/>
      <c r="H376" s="103"/>
      <c r="I376" s="103"/>
      <c r="J376" s="103"/>
      <c r="K376" s="103"/>
      <c r="L376" s="103"/>
      <c r="M376" s="103"/>
      <c r="N376" s="103"/>
      <c r="O376" s="103"/>
      <c r="P376" s="103"/>
      <c r="Q376" s="103"/>
      <c r="R376" s="103"/>
      <c r="S376" s="103"/>
      <c r="T376" s="103"/>
      <c r="U376" s="103"/>
      <c r="V376" s="103"/>
      <c r="W376" s="103"/>
      <c r="X376" s="103"/>
      <c r="Y376" s="103"/>
      <c r="Z376" s="103"/>
    </row>
    <row r="377" spans="1:26" ht="14.25" customHeight="1">
      <c r="A377" s="103"/>
      <c r="B377" s="103"/>
      <c r="C377" s="103"/>
      <c r="D377" s="103"/>
      <c r="E377" s="103"/>
      <c r="F377" s="103"/>
      <c r="G377" s="103"/>
      <c r="H377" s="103"/>
      <c r="I377" s="103"/>
      <c r="J377" s="103"/>
      <c r="K377" s="103"/>
      <c r="L377" s="103"/>
      <c r="M377" s="103"/>
      <c r="N377" s="103"/>
      <c r="O377" s="103"/>
      <c r="P377" s="103"/>
      <c r="Q377" s="103"/>
      <c r="R377" s="103"/>
      <c r="S377" s="103"/>
      <c r="T377" s="103"/>
      <c r="U377" s="103"/>
      <c r="V377" s="103"/>
      <c r="W377" s="103"/>
      <c r="X377" s="103"/>
      <c r="Y377" s="103"/>
      <c r="Z377" s="103"/>
    </row>
    <row r="378" spans="1:26" ht="14.25" customHeight="1">
      <c r="A378" s="103"/>
      <c r="B378" s="103"/>
      <c r="C378" s="103"/>
      <c r="D378" s="103"/>
      <c r="E378" s="103"/>
      <c r="F378" s="103"/>
      <c r="G378" s="103"/>
      <c r="H378" s="103"/>
      <c r="I378" s="103"/>
      <c r="J378" s="103"/>
      <c r="K378" s="103"/>
      <c r="L378" s="103"/>
      <c r="M378" s="103"/>
      <c r="N378" s="103"/>
      <c r="O378" s="103"/>
      <c r="P378" s="103"/>
      <c r="Q378" s="103"/>
      <c r="R378" s="103"/>
      <c r="S378" s="103"/>
      <c r="T378" s="103"/>
      <c r="U378" s="103"/>
      <c r="V378" s="103"/>
      <c r="W378" s="103"/>
      <c r="X378" s="103"/>
      <c r="Y378" s="103"/>
      <c r="Z378" s="103"/>
    </row>
    <row r="379" spans="1:26" ht="14.25" customHeight="1">
      <c r="A379" s="103"/>
      <c r="B379" s="103"/>
      <c r="C379" s="103"/>
      <c r="D379" s="103"/>
      <c r="E379" s="103"/>
      <c r="F379" s="103"/>
      <c r="G379" s="103"/>
      <c r="H379" s="103"/>
      <c r="I379" s="103"/>
      <c r="J379" s="103"/>
      <c r="K379" s="103"/>
      <c r="L379" s="103"/>
      <c r="M379" s="103"/>
      <c r="N379" s="103"/>
      <c r="O379" s="103"/>
      <c r="P379" s="103"/>
      <c r="Q379" s="103"/>
      <c r="R379" s="103"/>
      <c r="S379" s="103"/>
      <c r="T379" s="103"/>
      <c r="U379" s="103"/>
      <c r="V379" s="103"/>
      <c r="W379" s="103"/>
      <c r="X379" s="103"/>
      <c r="Y379" s="103"/>
      <c r="Z379" s="103"/>
    </row>
    <row r="380" spans="1:26" ht="14.25" customHeight="1">
      <c r="A380" s="103"/>
      <c r="B380" s="103"/>
      <c r="C380" s="103"/>
      <c r="D380" s="103"/>
      <c r="E380" s="103"/>
      <c r="F380" s="103"/>
      <c r="G380" s="103"/>
      <c r="H380" s="103"/>
      <c r="I380" s="103"/>
      <c r="J380" s="103"/>
      <c r="K380" s="103"/>
      <c r="L380" s="103"/>
      <c r="M380" s="103"/>
      <c r="N380" s="103"/>
      <c r="O380" s="103"/>
      <c r="P380" s="103"/>
      <c r="Q380" s="103"/>
      <c r="R380" s="103"/>
      <c r="S380" s="103"/>
      <c r="T380" s="103"/>
      <c r="U380" s="103"/>
      <c r="V380" s="103"/>
      <c r="W380" s="103"/>
      <c r="X380" s="103"/>
      <c r="Y380" s="103"/>
      <c r="Z380" s="103"/>
    </row>
    <row r="381" spans="1:26" ht="14.25" customHeight="1">
      <c r="A381" s="103"/>
      <c r="B381" s="103"/>
      <c r="C381" s="103"/>
      <c r="D381" s="103"/>
      <c r="E381" s="103"/>
      <c r="F381" s="103"/>
      <c r="G381" s="103"/>
      <c r="H381" s="103"/>
      <c r="I381" s="103"/>
      <c r="J381" s="103"/>
      <c r="K381" s="103"/>
      <c r="L381" s="103"/>
      <c r="M381" s="103"/>
      <c r="N381" s="103"/>
      <c r="O381" s="103"/>
      <c r="P381" s="103"/>
      <c r="Q381" s="103"/>
      <c r="R381" s="103"/>
      <c r="S381" s="103"/>
      <c r="T381" s="103"/>
      <c r="U381" s="103"/>
      <c r="V381" s="103"/>
      <c r="W381" s="103"/>
      <c r="X381" s="103"/>
      <c r="Y381" s="103"/>
      <c r="Z381" s="103"/>
    </row>
    <row r="382" spans="1:26" ht="14.25" customHeight="1">
      <c r="A382" s="103"/>
      <c r="B382" s="103"/>
      <c r="C382" s="103"/>
      <c r="D382" s="103"/>
      <c r="E382" s="103"/>
      <c r="F382" s="103"/>
      <c r="G382" s="103"/>
      <c r="H382" s="103"/>
      <c r="I382" s="103"/>
      <c r="J382" s="103"/>
      <c r="K382" s="103"/>
      <c r="L382" s="103"/>
      <c r="M382" s="103"/>
      <c r="N382" s="103"/>
      <c r="O382" s="103"/>
      <c r="P382" s="103"/>
      <c r="Q382" s="103"/>
      <c r="R382" s="103"/>
      <c r="S382" s="103"/>
      <c r="T382" s="103"/>
      <c r="U382" s="103"/>
      <c r="V382" s="103"/>
      <c r="W382" s="103"/>
      <c r="X382" s="103"/>
      <c r="Y382" s="103"/>
      <c r="Z382" s="103"/>
    </row>
    <row r="383" spans="1:26" ht="14.25" customHeight="1">
      <c r="A383" s="103"/>
      <c r="B383" s="103"/>
      <c r="C383" s="103"/>
      <c r="D383" s="103"/>
      <c r="E383" s="103"/>
      <c r="F383" s="103"/>
      <c r="G383" s="103"/>
      <c r="H383" s="103"/>
      <c r="I383" s="103"/>
      <c r="J383" s="103"/>
      <c r="K383" s="103"/>
      <c r="L383" s="103"/>
      <c r="M383" s="103"/>
      <c r="N383" s="103"/>
      <c r="O383" s="103"/>
      <c r="P383" s="103"/>
      <c r="Q383" s="103"/>
      <c r="R383" s="103"/>
      <c r="S383" s="103"/>
      <c r="T383" s="103"/>
      <c r="U383" s="103"/>
      <c r="V383" s="103"/>
      <c r="W383" s="103"/>
      <c r="X383" s="103"/>
      <c r="Y383" s="103"/>
      <c r="Z383" s="103"/>
    </row>
    <row r="384" spans="1:26" ht="14.25" customHeight="1">
      <c r="A384" s="103"/>
      <c r="B384" s="103"/>
      <c r="C384" s="103"/>
      <c r="D384" s="103"/>
      <c r="E384" s="103"/>
      <c r="F384" s="103"/>
      <c r="G384" s="103"/>
      <c r="H384" s="103"/>
      <c r="I384" s="103"/>
      <c r="J384" s="103"/>
      <c r="K384" s="103"/>
      <c r="L384" s="103"/>
      <c r="M384" s="103"/>
      <c r="N384" s="103"/>
      <c r="O384" s="103"/>
      <c r="P384" s="103"/>
      <c r="Q384" s="103"/>
      <c r="R384" s="103"/>
      <c r="S384" s="103"/>
      <c r="T384" s="103"/>
      <c r="U384" s="103"/>
      <c r="V384" s="103"/>
      <c r="W384" s="103"/>
      <c r="X384" s="103"/>
      <c r="Y384" s="103"/>
      <c r="Z384" s="103"/>
    </row>
    <row r="385" spans="1:26" ht="14.25" customHeight="1">
      <c r="A385" s="103"/>
      <c r="B385" s="103"/>
      <c r="C385" s="103"/>
      <c r="D385" s="103"/>
      <c r="E385" s="103"/>
      <c r="F385" s="103"/>
      <c r="G385" s="103"/>
      <c r="H385" s="103"/>
      <c r="I385" s="103"/>
      <c r="J385" s="103"/>
      <c r="K385" s="103"/>
      <c r="L385" s="103"/>
      <c r="M385" s="103"/>
      <c r="N385" s="103"/>
      <c r="O385" s="103"/>
      <c r="P385" s="103"/>
      <c r="Q385" s="103"/>
      <c r="R385" s="103"/>
      <c r="S385" s="103"/>
      <c r="T385" s="103"/>
      <c r="U385" s="103"/>
      <c r="V385" s="103"/>
      <c r="W385" s="103"/>
      <c r="X385" s="103"/>
      <c r="Y385" s="103"/>
      <c r="Z385" s="103"/>
    </row>
    <row r="386" spans="1:26" ht="14.25" customHeight="1">
      <c r="A386" s="103"/>
      <c r="B386" s="103"/>
      <c r="C386" s="103"/>
      <c r="D386" s="103"/>
      <c r="E386" s="103"/>
      <c r="F386" s="103"/>
      <c r="G386" s="103"/>
      <c r="H386" s="103"/>
      <c r="I386" s="103"/>
      <c r="J386" s="103"/>
      <c r="K386" s="103"/>
      <c r="L386" s="103"/>
      <c r="M386" s="103"/>
      <c r="N386" s="103"/>
      <c r="O386" s="103"/>
      <c r="P386" s="103"/>
      <c r="Q386" s="103"/>
      <c r="R386" s="103"/>
      <c r="S386" s="103"/>
      <c r="T386" s="103"/>
      <c r="U386" s="103"/>
      <c r="V386" s="103"/>
      <c r="W386" s="103"/>
      <c r="X386" s="103"/>
      <c r="Y386" s="103"/>
      <c r="Z386" s="103"/>
    </row>
    <row r="387" spans="1:26" ht="14.25" customHeight="1">
      <c r="A387" s="103"/>
      <c r="B387" s="103"/>
      <c r="C387" s="103"/>
      <c r="D387" s="103"/>
      <c r="E387" s="103"/>
      <c r="F387" s="103"/>
      <c r="G387" s="103"/>
      <c r="H387" s="103"/>
      <c r="I387" s="103"/>
      <c r="J387" s="103"/>
      <c r="K387" s="103"/>
      <c r="L387" s="103"/>
      <c r="M387" s="103"/>
      <c r="N387" s="103"/>
      <c r="O387" s="103"/>
      <c r="P387" s="103"/>
      <c r="Q387" s="103"/>
      <c r="R387" s="103"/>
      <c r="S387" s="103"/>
      <c r="T387" s="103"/>
      <c r="U387" s="103"/>
      <c r="V387" s="103"/>
      <c r="W387" s="103"/>
      <c r="X387" s="103"/>
      <c r="Y387" s="103"/>
      <c r="Z387" s="103"/>
    </row>
    <row r="388" spans="1:26" ht="14.25" customHeight="1">
      <c r="A388" s="103"/>
      <c r="B388" s="103"/>
      <c r="C388" s="103"/>
      <c r="D388" s="103"/>
      <c r="E388" s="103"/>
      <c r="F388" s="103"/>
      <c r="G388" s="103"/>
      <c r="H388" s="103"/>
      <c r="I388" s="103"/>
      <c r="J388" s="103"/>
      <c r="K388" s="103"/>
      <c r="L388" s="103"/>
      <c r="M388" s="103"/>
      <c r="N388" s="103"/>
      <c r="O388" s="103"/>
      <c r="P388" s="103"/>
      <c r="Q388" s="103"/>
      <c r="R388" s="103"/>
      <c r="S388" s="103"/>
      <c r="T388" s="103"/>
      <c r="U388" s="103"/>
      <c r="V388" s="103"/>
      <c r="W388" s="103"/>
      <c r="X388" s="103"/>
      <c r="Y388" s="103"/>
      <c r="Z388" s="103"/>
    </row>
    <row r="389" spans="1:26" ht="14.25" customHeight="1">
      <c r="A389" s="103"/>
      <c r="B389" s="103"/>
      <c r="C389" s="103"/>
      <c r="D389" s="103"/>
      <c r="E389" s="103"/>
      <c r="F389" s="103"/>
      <c r="G389" s="103"/>
      <c r="H389" s="103"/>
      <c r="I389" s="103"/>
      <c r="J389" s="103"/>
      <c r="K389" s="103"/>
      <c r="L389" s="103"/>
      <c r="M389" s="103"/>
      <c r="N389" s="103"/>
      <c r="O389" s="103"/>
      <c r="P389" s="103"/>
      <c r="Q389" s="103"/>
      <c r="R389" s="103"/>
      <c r="S389" s="103"/>
      <c r="T389" s="103"/>
      <c r="U389" s="103"/>
      <c r="V389" s="103"/>
      <c r="W389" s="103"/>
      <c r="X389" s="103"/>
      <c r="Y389" s="103"/>
      <c r="Z389" s="103"/>
    </row>
    <row r="390" spans="1:26" ht="14.25" customHeight="1">
      <c r="A390" s="103"/>
      <c r="B390" s="103"/>
      <c r="C390" s="103"/>
      <c r="D390" s="103"/>
      <c r="E390" s="103"/>
      <c r="F390" s="103"/>
      <c r="G390" s="103"/>
      <c r="H390" s="103"/>
      <c r="I390" s="103"/>
      <c r="J390" s="103"/>
      <c r="K390" s="103"/>
      <c r="L390" s="103"/>
      <c r="M390" s="103"/>
      <c r="N390" s="103"/>
      <c r="O390" s="103"/>
      <c r="P390" s="103"/>
      <c r="Q390" s="103"/>
      <c r="R390" s="103"/>
      <c r="S390" s="103"/>
      <c r="T390" s="103"/>
      <c r="U390" s="103"/>
      <c r="V390" s="103"/>
      <c r="W390" s="103"/>
      <c r="X390" s="103"/>
      <c r="Y390" s="103"/>
      <c r="Z390" s="103"/>
    </row>
    <row r="391" spans="1:26" ht="14.25" customHeight="1">
      <c r="A391" s="103"/>
      <c r="B391" s="103"/>
      <c r="C391" s="103"/>
      <c r="D391" s="103"/>
      <c r="E391" s="103"/>
      <c r="F391" s="103"/>
      <c r="G391" s="103"/>
      <c r="H391" s="103"/>
      <c r="I391" s="103"/>
      <c r="J391" s="103"/>
      <c r="K391" s="103"/>
      <c r="L391" s="103"/>
      <c r="M391" s="103"/>
      <c r="N391" s="103"/>
      <c r="O391" s="103"/>
      <c r="P391" s="103"/>
      <c r="Q391" s="103"/>
      <c r="R391" s="103"/>
      <c r="S391" s="103"/>
      <c r="T391" s="103"/>
      <c r="U391" s="103"/>
      <c r="V391" s="103"/>
      <c r="W391" s="103"/>
      <c r="X391" s="103"/>
      <c r="Y391" s="103"/>
      <c r="Z391" s="103"/>
    </row>
    <row r="392" spans="1:26" ht="14.25" customHeight="1">
      <c r="A392" s="103"/>
      <c r="B392" s="103"/>
      <c r="C392" s="103"/>
      <c r="D392" s="103"/>
      <c r="E392" s="103"/>
      <c r="F392" s="103"/>
      <c r="G392" s="103"/>
      <c r="H392" s="103"/>
      <c r="I392" s="103"/>
      <c r="J392" s="103"/>
      <c r="K392" s="103"/>
      <c r="L392" s="103"/>
      <c r="M392" s="103"/>
      <c r="N392" s="103"/>
      <c r="O392" s="103"/>
      <c r="P392" s="103"/>
      <c r="Q392" s="103"/>
      <c r="R392" s="103"/>
      <c r="S392" s="103"/>
      <c r="T392" s="103"/>
      <c r="U392" s="103"/>
      <c r="V392" s="103"/>
      <c r="W392" s="103"/>
      <c r="X392" s="103"/>
      <c r="Y392" s="103"/>
      <c r="Z392" s="103"/>
    </row>
    <row r="393" spans="1:26" ht="14.25" customHeight="1">
      <c r="A393" s="103"/>
      <c r="B393" s="103"/>
      <c r="C393" s="103"/>
      <c r="D393" s="103"/>
      <c r="E393" s="103"/>
      <c r="F393" s="103"/>
      <c r="G393" s="103"/>
      <c r="H393" s="103"/>
      <c r="I393" s="103"/>
      <c r="J393" s="103"/>
      <c r="K393" s="103"/>
      <c r="L393" s="103"/>
      <c r="M393" s="103"/>
      <c r="N393" s="103"/>
      <c r="O393" s="103"/>
      <c r="P393" s="103"/>
      <c r="Q393" s="103"/>
      <c r="R393" s="103"/>
      <c r="S393" s="103"/>
      <c r="T393" s="103"/>
      <c r="U393" s="103"/>
      <c r="V393" s="103"/>
      <c r="W393" s="103"/>
      <c r="X393" s="103"/>
      <c r="Y393" s="103"/>
      <c r="Z393" s="103"/>
    </row>
    <row r="394" spans="1:26" ht="14.25" customHeight="1">
      <c r="A394" s="103"/>
      <c r="B394" s="103"/>
      <c r="C394" s="103"/>
      <c r="D394" s="103"/>
      <c r="E394" s="103"/>
      <c r="F394" s="103"/>
      <c r="G394" s="103"/>
      <c r="H394" s="103"/>
      <c r="I394" s="103"/>
      <c r="J394" s="103"/>
      <c r="K394" s="103"/>
      <c r="L394" s="103"/>
      <c r="M394" s="103"/>
      <c r="N394" s="103"/>
      <c r="O394" s="103"/>
      <c r="P394" s="103"/>
      <c r="Q394" s="103"/>
      <c r="R394" s="103"/>
      <c r="S394" s="103"/>
      <c r="T394" s="103"/>
      <c r="U394" s="103"/>
      <c r="V394" s="103"/>
      <c r="W394" s="103"/>
      <c r="X394" s="103"/>
      <c r="Y394" s="103"/>
      <c r="Z394" s="103"/>
    </row>
    <row r="395" spans="1:26" ht="14.25" customHeight="1">
      <c r="A395" s="103"/>
      <c r="B395" s="103"/>
      <c r="C395" s="103"/>
      <c r="D395" s="103"/>
      <c r="E395" s="103"/>
      <c r="F395" s="103"/>
      <c r="G395" s="103"/>
      <c r="H395" s="103"/>
      <c r="I395" s="103"/>
      <c r="J395" s="103"/>
      <c r="K395" s="103"/>
      <c r="L395" s="103"/>
      <c r="M395" s="103"/>
      <c r="N395" s="103"/>
      <c r="O395" s="103"/>
      <c r="P395" s="103"/>
      <c r="Q395" s="103"/>
      <c r="R395" s="103"/>
      <c r="S395" s="103"/>
      <c r="T395" s="103"/>
      <c r="U395" s="103"/>
      <c r="V395" s="103"/>
      <c r="W395" s="103"/>
      <c r="X395" s="103"/>
      <c r="Y395" s="103"/>
      <c r="Z395" s="103"/>
    </row>
    <row r="396" spans="1:26" ht="14.25" customHeight="1">
      <c r="A396" s="103"/>
      <c r="B396" s="103"/>
      <c r="C396" s="103"/>
      <c r="D396" s="103"/>
      <c r="E396" s="103"/>
      <c r="F396" s="103"/>
      <c r="G396" s="103"/>
      <c r="H396" s="103"/>
      <c r="I396" s="103"/>
      <c r="J396" s="103"/>
      <c r="K396" s="103"/>
      <c r="L396" s="103"/>
      <c r="M396" s="103"/>
      <c r="N396" s="103"/>
      <c r="O396" s="103"/>
      <c r="P396" s="103"/>
      <c r="Q396" s="103"/>
      <c r="R396" s="103"/>
      <c r="S396" s="103"/>
      <c r="T396" s="103"/>
      <c r="U396" s="103"/>
      <c r="V396" s="103"/>
      <c r="W396" s="103"/>
      <c r="X396" s="103"/>
      <c r="Y396" s="103"/>
      <c r="Z396" s="103"/>
    </row>
    <row r="397" spans="1:26" ht="14.25" customHeight="1">
      <c r="A397" s="103"/>
      <c r="B397" s="103"/>
      <c r="C397" s="103"/>
      <c r="D397" s="103"/>
      <c r="E397" s="103"/>
      <c r="F397" s="103"/>
      <c r="G397" s="103"/>
      <c r="H397" s="103"/>
      <c r="I397" s="103"/>
      <c r="J397" s="103"/>
      <c r="K397" s="103"/>
      <c r="L397" s="103"/>
      <c r="M397" s="103"/>
      <c r="N397" s="103"/>
      <c r="O397" s="103"/>
      <c r="P397" s="103"/>
      <c r="Q397" s="103"/>
      <c r="R397" s="103"/>
      <c r="S397" s="103"/>
      <c r="T397" s="103"/>
      <c r="U397" s="103"/>
      <c r="V397" s="103"/>
      <c r="W397" s="103"/>
      <c r="X397" s="103"/>
      <c r="Y397" s="103"/>
      <c r="Z397" s="103"/>
    </row>
    <row r="398" spans="1:26" ht="14.25" customHeight="1">
      <c r="A398" s="103"/>
      <c r="B398" s="103"/>
      <c r="C398" s="103"/>
      <c r="D398" s="103"/>
      <c r="E398" s="103"/>
      <c r="F398" s="103"/>
      <c r="G398" s="103"/>
      <c r="H398" s="103"/>
      <c r="I398" s="103"/>
      <c r="J398" s="103"/>
      <c r="K398" s="103"/>
      <c r="L398" s="103"/>
      <c r="M398" s="103"/>
      <c r="N398" s="103"/>
      <c r="O398" s="103"/>
      <c r="P398" s="103"/>
      <c r="Q398" s="103"/>
      <c r="R398" s="103"/>
      <c r="S398" s="103"/>
      <c r="T398" s="103"/>
      <c r="U398" s="103"/>
      <c r="V398" s="103"/>
      <c r="W398" s="103"/>
      <c r="X398" s="103"/>
      <c r="Y398" s="103"/>
      <c r="Z398" s="103"/>
    </row>
    <row r="399" spans="1:26" ht="14.25" customHeight="1">
      <c r="A399" s="103"/>
      <c r="B399" s="103"/>
      <c r="C399" s="103"/>
      <c r="D399" s="103"/>
      <c r="E399" s="103"/>
      <c r="F399" s="103"/>
      <c r="G399" s="103"/>
      <c r="H399" s="103"/>
      <c r="I399" s="103"/>
      <c r="J399" s="103"/>
      <c r="K399" s="103"/>
      <c r="L399" s="103"/>
      <c r="M399" s="103"/>
      <c r="N399" s="103"/>
      <c r="O399" s="103"/>
      <c r="P399" s="103"/>
      <c r="Q399" s="103"/>
      <c r="R399" s="103"/>
      <c r="S399" s="103"/>
      <c r="T399" s="103"/>
      <c r="U399" s="103"/>
      <c r="V399" s="103"/>
      <c r="W399" s="103"/>
      <c r="X399" s="103"/>
      <c r="Y399" s="103"/>
      <c r="Z399" s="103"/>
    </row>
    <row r="400" spans="1:26" ht="14.25" customHeight="1">
      <c r="A400" s="103"/>
      <c r="B400" s="103"/>
      <c r="C400" s="103"/>
      <c r="D400" s="103"/>
      <c r="E400" s="103"/>
      <c r="F400" s="103"/>
      <c r="G400" s="103"/>
      <c r="H400" s="103"/>
      <c r="I400" s="103"/>
      <c r="J400" s="103"/>
      <c r="K400" s="103"/>
      <c r="L400" s="103"/>
      <c r="M400" s="103"/>
      <c r="N400" s="103"/>
      <c r="O400" s="103"/>
      <c r="P400" s="103"/>
      <c r="Q400" s="103"/>
      <c r="R400" s="103"/>
      <c r="S400" s="103"/>
      <c r="T400" s="103"/>
      <c r="U400" s="103"/>
      <c r="V400" s="103"/>
      <c r="W400" s="103"/>
      <c r="X400" s="103"/>
      <c r="Y400" s="103"/>
      <c r="Z400" s="103"/>
    </row>
    <row r="401" spans="1:26" ht="14.25" customHeight="1">
      <c r="A401" s="103"/>
      <c r="B401" s="103"/>
      <c r="C401" s="103"/>
      <c r="D401" s="103"/>
      <c r="E401" s="103"/>
      <c r="F401" s="103"/>
      <c r="G401" s="103"/>
      <c r="H401" s="103"/>
      <c r="I401" s="103"/>
      <c r="J401" s="103"/>
      <c r="K401" s="103"/>
      <c r="L401" s="103"/>
      <c r="M401" s="103"/>
      <c r="N401" s="103"/>
      <c r="O401" s="103"/>
      <c r="P401" s="103"/>
      <c r="Q401" s="103"/>
      <c r="R401" s="103"/>
      <c r="S401" s="103"/>
      <c r="T401" s="103"/>
      <c r="U401" s="103"/>
      <c r="V401" s="103"/>
      <c r="W401" s="103"/>
      <c r="X401" s="103"/>
      <c r="Y401" s="103"/>
      <c r="Z401" s="103"/>
    </row>
    <row r="402" spans="1:26" ht="14.25" customHeight="1">
      <c r="A402" s="103"/>
      <c r="B402" s="103"/>
      <c r="C402" s="103"/>
      <c r="D402" s="103"/>
      <c r="E402" s="103"/>
      <c r="F402" s="103"/>
      <c r="G402" s="103"/>
      <c r="H402" s="103"/>
      <c r="I402" s="103"/>
      <c r="J402" s="103"/>
      <c r="K402" s="103"/>
      <c r="L402" s="103"/>
      <c r="M402" s="103"/>
      <c r="N402" s="103"/>
      <c r="O402" s="103"/>
      <c r="P402" s="103"/>
      <c r="Q402" s="103"/>
      <c r="R402" s="103"/>
      <c r="S402" s="103"/>
      <c r="T402" s="103"/>
      <c r="U402" s="103"/>
      <c r="V402" s="103"/>
      <c r="W402" s="103"/>
      <c r="X402" s="103"/>
      <c r="Y402" s="103"/>
      <c r="Z402" s="103"/>
    </row>
    <row r="403" spans="1:26" ht="14.25" customHeight="1">
      <c r="A403" s="103"/>
      <c r="B403" s="103"/>
      <c r="C403" s="103"/>
      <c r="D403" s="103"/>
      <c r="E403" s="103"/>
      <c r="F403" s="103"/>
      <c r="G403" s="103"/>
      <c r="H403" s="103"/>
      <c r="I403" s="103"/>
      <c r="J403" s="103"/>
      <c r="K403" s="103"/>
      <c r="L403" s="103"/>
      <c r="M403" s="103"/>
      <c r="N403" s="103"/>
      <c r="O403" s="103"/>
      <c r="P403" s="103"/>
      <c r="Q403" s="103"/>
      <c r="R403" s="103"/>
      <c r="S403" s="103"/>
      <c r="T403" s="103"/>
      <c r="U403" s="103"/>
      <c r="V403" s="103"/>
      <c r="W403" s="103"/>
      <c r="X403" s="103"/>
      <c r="Y403" s="103"/>
      <c r="Z403" s="103"/>
    </row>
    <row r="404" spans="1:26" ht="14.25" customHeight="1">
      <c r="A404" s="103"/>
      <c r="B404" s="103"/>
      <c r="C404" s="103"/>
      <c r="D404" s="103"/>
      <c r="E404" s="103"/>
      <c r="F404" s="103"/>
      <c r="G404" s="103"/>
      <c r="H404" s="103"/>
      <c r="I404" s="103"/>
      <c r="J404" s="103"/>
      <c r="K404" s="103"/>
      <c r="L404" s="103"/>
      <c r="M404" s="103"/>
      <c r="N404" s="103"/>
      <c r="O404" s="103"/>
      <c r="P404" s="103"/>
      <c r="Q404" s="103"/>
      <c r="R404" s="103"/>
      <c r="S404" s="103"/>
      <c r="T404" s="103"/>
      <c r="U404" s="103"/>
      <c r="V404" s="103"/>
      <c r="W404" s="103"/>
      <c r="X404" s="103"/>
      <c r="Y404" s="103"/>
      <c r="Z404" s="103"/>
    </row>
    <row r="405" spans="1:26" ht="14.25" customHeight="1">
      <c r="A405" s="103"/>
      <c r="B405" s="103"/>
      <c r="C405" s="103"/>
      <c r="D405" s="103"/>
      <c r="E405" s="103"/>
      <c r="F405" s="103"/>
      <c r="G405" s="103"/>
      <c r="H405" s="103"/>
      <c r="I405" s="103"/>
      <c r="J405" s="103"/>
      <c r="K405" s="103"/>
      <c r="L405" s="103"/>
      <c r="M405" s="103"/>
      <c r="N405" s="103"/>
      <c r="O405" s="103"/>
      <c r="P405" s="103"/>
      <c r="Q405" s="103"/>
      <c r="R405" s="103"/>
      <c r="S405" s="103"/>
      <c r="T405" s="103"/>
      <c r="U405" s="103"/>
      <c r="V405" s="103"/>
      <c r="W405" s="103"/>
      <c r="X405" s="103"/>
      <c r="Y405" s="103"/>
      <c r="Z405" s="103"/>
    </row>
    <row r="406" spans="1:26" ht="14.25" customHeight="1">
      <c r="A406" s="103"/>
      <c r="B406" s="103"/>
      <c r="C406" s="103"/>
      <c r="D406" s="103"/>
      <c r="E406" s="103"/>
      <c r="F406" s="103"/>
      <c r="G406" s="103"/>
      <c r="H406" s="103"/>
      <c r="I406" s="103"/>
      <c r="J406" s="103"/>
      <c r="K406" s="103"/>
      <c r="L406" s="103"/>
      <c r="M406" s="103"/>
      <c r="N406" s="103"/>
      <c r="O406" s="103"/>
      <c r="P406" s="103"/>
      <c r="Q406" s="103"/>
      <c r="R406" s="103"/>
      <c r="S406" s="103"/>
      <c r="T406" s="103"/>
      <c r="U406" s="103"/>
      <c r="V406" s="103"/>
      <c r="W406" s="103"/>
      <c r="X406" s="103"/>
      <c r="Y406" s="103"/>
      <c r="Z406" s="103"/>
    </row>
    <row r="407" spans="1:26" ht="14.25" customHeight="1">
      <c r="A407" s="103"/>
      <c r="B407" s="103"/>
      <c r="C407" s="103"/>
      <c r="D407" s="103"/>
      <c r="E407" s="103"/>
      <c r="F407" s="103"/>
      <c r="G407" s="103"/>
      <c r="H407" s="103"/>
      <c r="I407" s="103"/>
      <c r="J407" s="103"/>
      <c r="K407" s="103"/>
      <c r="L407" s="103"/>
      <c r="M407" s="103"/>
      <c r="N407" s="103"/>
      <c r="O407" s="103"/>
      <c r="P407" s="103"/>
      <c r="Q407" s="103"/>
      <c r="R407" s="103"/>
      <c r="S407" s="103"/>
      <c r="T407" s="103"/>
      <c r="U407" s="103"/>
      <c r="V407" s="103"/>
      <c r="W407" s="103"/>
      <c r="X407" s="103"/>
      <c r="Y407" s="103"/>
      <c r="Z407" s="103"/>
    </row>
    <row r="408" spans="1:26" ht="14.25" customHeight="1">
      <c r="A408" s="103"/>
      <c r="B408" s="103"/>
      <c r="C408" s="103"/>
      <c r="D408" s="103"/>
      <c r="E408" s="103"/>
      <c r="F408" s="103"/>
      <c r="G408" s="103"/>
      <c r="H408" s="103"/>
      <c r="I408" s="103"/>
      <c r="J408" s="103"/>
      <c r="K408" s="103"/>
      <c r="L408" s="103"/>
      <c r="M408" s="103"/>
      <c r="N408" s="103"/>
      <c r="O408" s="103"/>
      <c r="P408" s="103"/>
      <c r="Q408" s="103"/>
      <c r="R408" s="103"/>
      <c r="S408" s="103"/>
      <c r="T408" s="103"/>
      <c r="U408" s="103"/>
      <c r="V408" s="103"/>
      <c r="W408" s="103"/>
      <c r="X408" s="103"/>
      <c r="Y408" s="103"/>
      <c r="Z408" s="103"/>
    </row>
    <row r="409" spans="1:26" ht="14.25" customHeight="1">
      <c r="A409" s="103"/>
      <c r="B409" s="103"/>
      <c r="C409" s="103"/>
      <c r="D409" s="103"/>
      <c r="E409" s="103"/>
      <c r="F409" s="103"/>
      <c r="G409" s="103"/>
      <c r="H409" s="103"/>
      <c r="I409" s="103"/>
      <c r="J409" s="103"/>
      <c r="K409" s="103"/>
      <c r="L409" s="103"/>
      <c r="M409" s="103"/>
      <c r="N409" s="103"/>
      <c r="O409" s="103"/>
      <c r="P409" s="103"/>
      <c r="Q409" s="103"/>
      <c r="R409" s="103"/>
      <c r="S409" s="103"/>
      <c r="T409" s="103"/>
      <c r="U409" s="103"/>
      <c r="V409" s="103"/>
      <c r="W409" s="103"/>
      <c r="X409" s="103"/>
      <c r="Y409" s="103"/>
      <c r="Z409" s="103"/>
    </row>
    <row r="410" spans="1:26" ht="14.25" customHeight="1">
      <c r="A410" s="103"/>
      <c r="B410" s="103"/>
      <c r="C410" s="103"/>
      <c r="D410" s="103"/>
      <c r="E410" s="103"/>
      <c r="F410" s="103"/>
      <c r="G410" s="103"/>
      <c r="H410" s="103"/>
      <c r="I410" s="103"/>
      <c r="J410" s="103"/>
      <c r="K410" s="103"/>
      <c r="L410" s="103"/>
      <c r="M410" s="103"/>
      <c r="N410" s="103"/>
      <c r="O410" s="103"/>
      <c r="P410" s="103"/>
      <c r="Q410" s="103"/>
      <c r="R410" s="103"/>
      <c r="S410" s="103"/>
      <c r="T410" s="103"/>
      <c r="U410" s="103"/>
      <c r="V410" s="103"/>
      <c r="W410" s="103"/>
      <c r="X410" s="103"/>
      <c r="Y410" s="103"/>
      <c r="Z410" s="103"/>
    </row>
    <row r="411" spans="1:26" ht="14.25" customHeight="1">
      <c r="A411" s="103"/>
      <c r="B411" s="103"/>
      <c r="C411" s="103"/>
      <c r="D411" s="103"/>
      <c r="E411" s="103"/>
      <c r="F411" s="103"/>
      <c r="G411" s="103"/>
      <c r="H411" s="103"/>
      <c r="I411" s="103"/>
      <c r="J411" s="103"/>
      <c r="K411" s="103"/>
      <c r="L411" s="103"/>
      <c r="M411" s="103"/>
      <c r="N411" s="103"/>
      <c r="O411" s="103"/>
      <c r="P411" s="103"/>
      <c r="Q411" s="103"/>
      <c r="R411" s="103"/>
      <c r="S411" s="103"/>
      <c r="T411" s="103"/>
      <c r="U411" s="103"/>
      <c r="V411" s="103"/>
      <c r="W411" s="103"/>
      <c r="X411" s="103"/>
      <c r="Y411" s="103"/>
      <c r="Z411" s="103"/>
    </row>
    <row r="412" spans="1:26" ht="14.25" customHeight="1">
      <c r="A412" s="103"/>
      <c r="B412" s="103"/>
      <c r="C412" s="103"/>
      <c r="D412" s="103"/>
      <c r="E412" s="103"/>
      <c r="F412" s="103"/>
      <c r="G412" s="103"/>
      <c r="H412" s="103"/>
      <c r="I412" s="103"/>
      <c r="J412" s="103"/>
      <c r="K412" s="103"/>
      <c r="L412" s="103"/>
      <c r="M412" s="103"/>
      <c r="N412" s="103"/>
      <c r="O412" s="103"/>
      <c r="P412" s="103"/>
      <c r="Q412" s="103"/>
      <c r="R412" s="103"/>
      <c r="S412" s="103"/>
      <c r="T412" s="103"/>
      <c r="U412" s="103"/>
      <c r="V412" s="103"/>
      <c r="W412" s="103"/>
      <c r="X412" s="103"/>
      <c r="Y412" s="103"/>
      <c r="Z412" s="103"/>
    </row>
    <row r="413" spans="1:26" ht="14.25" customHeight="1">
      <c r="A413" s="103"/>
      <c r="B413" s="103"/>
      <c r="C413" s="103"/>
      <c r="D413" s="103"/>
      <c r="E413" s="103"/>
      <c r="F413" s="103"/>
      <c r="G413" s="103"/>
      <c r="H413" s="103"/>
      <c r="I413" s="103"/>
      <c r="J413" s="103"/>
      <c r="K413" s="103"/>
      <c r="L413" s="103"/>
      <c r="M413" s="103"/>
      <c r="N413" s="103"/>
      <c r="O413" s="103"/>
      <c r="P413" s="103"/>
      <c r="Q413" s="103"/>
      <c r="R413" s="103"/>
      <c r="S413" s="103"/>
      <c r="T413" s="103"/>
      <c r="U413" s="103"/>
      <c r="V413" s="103"/>
      <c r="W413" s="103"/>
      <c r="X413" s="103"/>
      <c r="Y413" s="103"/>
      <c r="Z413" s="103"/>
    </row>
    <row r="414" spans="1:26" ht="14.25" customHeight="1">
      <c r="A414" s="103"/>
      <c r="B414" s="103"/>
      <c r="C414" s="103"/>
      <c r="D414" s="103"/>
      <c r="E414" s="103"/>
      <c r="F414" s="103"/>
      <c r="G414" s="103"/>
      <c r="H414" s="103"/>
      <c r="I414" s="103"/>
      <c r="J414" s="103"/>
      <c r="K414" s="103"/>
      <c r="L414" s="103"/>
      <c r="M414" s="103"/>
      <c r="N414" s="103"/>
      <c r="O414" s="103"/>
      <c r="P414" s="103"/>
      <c r="Q414" s="103"/>
      <c r="R414" s="103"/>
      <c r="S414" s="103"/>
      <c r="T414" s="103"/>
      <c r="U414" s="103"/>
      <c r="V414" s="103"/>
      <c r="W414" s="103"/>
      <c r="X414" s="103"/>
      <c r="Y414" s="103"/>
      <c r="Z414" s="103"/>
    </row>
    <row r="415" spans="1:26" ht="14.25" customHeight="1">
      <c r="A415" s="103"/>
      <c r="B415" s="103"/>
      <c r="C415" s="103"/>
      <c r="D415" s="103"/>
      <c r="E415" s="103"/>
      <c r="F415" s="103"/>
      <c r="G415" s="103"/>
      <c r="H415" s="103"/>
      <c r="I415" s="103"/>
      <c r="J415" s="103"/>
      <c r="K415" s="103"/>
      <c r="L415" s="103"/>
      <c r="M415" s="103"/>
      <c r="N415" s="103"/>
      <c r="O415" s="103"/>
      <c r="P415" s="103"/>
      <c r="Q415" s="103"/>
      <c r="R415" s="103"/>
      <c r="S415" s="103"/>
      <c r="T415" s="103"/>
      <c r="U415" s="103"/>
      <c r="V415" s="103"/>
      <c r="W415" s="103"/>
      <c r="X415" s="103"/>
      <c r="Y415" s="103"/>
      <c r="Z415" s="103"/>
    </row>
    <row r="416" spans="1:26" ht="14.25" customHeight="1">
      <c r="A416" s="103"/>
      <c r="B416" s="103"/>
      <c r="C416" s="103"/>
      <c r="D416" s="103"/>
      <c r="E416" s="103"/>
      <c r="F416" s="103"/>
      <c r="G416" s="103"/>
      <c r="H416" s="103"/>
      <c r="I416" s="103"/>
      <c r="J416" s="103"/>
      <c r="K416" s="103"/>
      <c r="L416" s="103"/>
      <c r="M416" s="103"/>
      <c r="N416" s="103"/>
      <c r="O416" s="103"/>
      <c r="P416" s="103"/>
      <c r="Q416" s="103"/>
      <c r="R416" s="103"/>
      <c r="S416" s="103"/>
      <c r="T416" s="103"/>
      <c r="U416" s="103"/>
      <c r="V416" s="103"/>
      <c r="W416" s="103"/>
      <c r="X416" s="103"/>
      <c r="Y416" s="103"/>
      <c r="Z416" s="103"/>
    </row>
    <row r="417" spans="1:26" ht="14.25" customHeight="1">
      <c r="A417" s="103"/>
      <c r="B417" s="103"/>
      <c r="C417" s="103"/>
      <c r="D417" s="103"/>
      <c r="E417" s="103"/>
      <c r="F417" s="103"/>
      <c r="G417" s="103"/>
      <c r="H417" s="103"/>
      <c r="I417" s="103"/>
      <c r="J417" s="103"/>
      <c r="K417" s="103"/>
      <c r="L417" s="103"/>
      <c r="M417" s="103"/>
      <c r="N417" s="103"/>
      <c r="O417" s="103"/>
      <c r="P417" s="103"/>
      <c r="Q417" s="103"/>
      <c r="R417" s="103"/>
      <c r="S417" s="103"/>
      <c r="T417" s="103"/>
      <c r="U417" s="103"/>
      <c r="V417" s="103"/>
      <c r="W417" s="103"/>
      <c r="X417" s="103"/>
      <c r="Y417" s="103"/>
      <c r="Z417" s="103"/>
    </row>
    <row r="418" spans="1:26" ht="14.25" customHeight="1">
      <c r="A418" s="103"/>
      <c r="B418" s="103"/>
      <c r="C418" s="103"/>
      <c r="D418" s="103"/>
      <c r="E418" s="103"/>
      <c r="F418" s="103"/>
      <c r="G418" s="103"/>
      <c r="H418" s="103"/>
      <c r="I418" s="103"/>
      <c r="J418" s="103"/>
      <c r="K418" s="103"/>
      <c r="L418" s="103"/>
      <c r="M418" s="103"/>
      <c r="N418" s="103"/>
      <c r="O418" s="103"/>
      <c r="P418" s="103"/>
      <c r="Q418" s="103"/>
      <c r="R418" s="103"/>
      <c r="S418" s="103"/>
      <c r="T418" s="103"/>
      <c r="U418" s="103"/>
      <c r="V418" s="103"/>
      <c r="W418" s="103"/>
      <c r="X418" s="103"/>
      <c r="Y418" s="103"/>
      <c r="Z418" s="103"/>
    </row>
    <row r="419" spans="1:26" ht="14.25" customHeight="1">
      <c r="A419" s="103"/>
      <c r="B419" s="103"/>
      <c r="C419" s="103"/>
      <c r="D419" s="103"/>
      <c r="E419" s="103"/>
      <c r="F419" s="103"/>
      <c r="G419" s="103"/>
      <c r="H419" s="103"/>
      <c r="I419" s="103"/>
      <c r="J419" s="103"/>
      <c r="K419" s="103"/>
      <c r="L419" s="103"/>
      <c r="M419" s="103"/>
      <c r="N419" s="103"/>
      <c r="O419" s="103"/>
      <c r="P419" s="103"/>
      <c r="Q419" s="103"/>
      <c r="R419" s="103"/>
      <c r="S419" s="103"/>
      <c r="T419" s="103"/>
      <c r="U419" s="103"/>
      <c r="V419" s="103"/>
      <c r="W419" s="103"/>
      <c r="X419" s="103"/>
      <c r="Y419" s="103"/>
      <c r="Z419" s="103"/>
    </row>
    <row r="420" spans="1:26" ht="14.25" customHeight="1">
      <c r="A420" s="103"/>
      <c r="B420" s="103"/>
      <c r="C420" s="103"/>
      <c r="D420" s="103"/>
      <c r="E420" s="103"/>
      <c r="F420" s="103"/>
      <c r="G420" s="103"/>
      <c r="H420" s="103"/>
      <c r="I420" s="103"/>
      <c r="J420" s="103"/>
      <c r="K420" s="103"/>
      <c r="L420" s="103"/>
      <c r="M420" s="103"/>
      <c r="N420" s="103"/>
      <c r="O420" s="103"/>
      <c r="P420" s="103"/>
      <c r="Q420" s="103"/>
      <c r="R420" s="103"/>
      <c r="S420" s="103"/>
      <c r="T420" s="103"/>
      <c r="U420" s="103"/>
      <c r="V420" s="103"/>
      <c r="W420" s="103"/>
      <c r="X420" s="103"/>
      <c r="Y420" s="103"/>
      <c r="Z420" s="103"/>
    </row>
    <row r="421" spans="1:26" ht="14.25" customHeight="1">
      <c r="A421" s="103"/>
      <c r="B421" s="103"/>
      <c r="C421" s="103"/>
      <c r="D421" s="103"/>
      <c r="E421" s="103"/>
      <c r="F421" s="103"/>
      <c r="G421" s="103"/>
      <c r="H421" s="103"/>
      <c r="I421" s="103"/>
      <c r="J421" s="103"/>
      <c r="K421" s="103"/>
      <c r="L421" s="103"/>
      <c r="M421" s="103"/>
      <c r="N421" s="103"/>
      <c r="O421" s="103"/>
      <c r="P421" s="103"/>
      <c r="Q421" s="103"/>
      <c r="R421" s="103"/>
      <c r="S421" s="103"/>
      <c r="T421" s="103"/>
      <c r="U421" s="103"/>
      <c r="V421" s="103"/>
      <c r="W421" s="103"/>
      <c r="X421" s="103"/>
      <c r="Y421" s="103"/>
      <c r="Z421" s="103"/>
    </row>
    <row r="422" spans="1:26" ht="14.25" customHeight="1">
      <c r="A422" s="103"/>
      <c r="B422" s="103"/>
      <c r="C422" s="103"/>
      <c r="D422" s="103"/>
      <c r="E422" s="103"/>
      <c r="F422" s="103"/>
      <c r="G422" s="103"/>
      <c r="H422" s="103"/>
      <c r="I422" s="103"/>
      <c r="J422" s="103"/>
      <c r="K422" s="103"/>
      <c r="L422" s="103"/>
      <c r="M422" s="103"/>
      <c r="N422" s="103"/>
      <c r="O422" s="103"/>
      <c r="P422" s="103"/>
      <c r="Q422" s="103"/>
      <c r="R422" s="103"/>
      <c r="S422" s="103"/>
      <c r="T422" s="103"/>
      <c r="U422" s="103"/>
      <c r="V422" s="103"/>
      <c r="W422" s="103"/>
      <c r="X422" s="103"/>
      <c r="Y422" s="103"/>
      <c r="Z422" s="103"/>
    </row>
    <row r="423" spans="1:26" ht="14.25" customHeight="1">
      <c r="A423" s="103"/>
      <c r="B423" s="103"/>
      <c r="C423" s="103"/>
      <c r="D423" s="103"/>
      <c r="E423" s="103"/>
      <c r="F423" s="103"/>
      <c r="G423" s="103"/>
      <c r="H423" s="103"/>
      <c r="I423" s="103"/>
      <c r="J423" s="103"/>
      <c r="K423" s="103"/>
      <c r="L423" s="103"/>
      <c r="M423" s="103"/>
      <c r="N423" s="103"/>
      <c r="O423" s="103"/>
      <c r="P423" s="103"/>
      <c r="Q423" s="103"/>
      <c r="R423" s="103"/>
      <c r="S423" s="103"/>
      <c r="T423" s="103"/>
      <c r="U423" s="103"/>
      <c r="V423" s="103"/>
      <c r="W423" s="103"/>
      <c r="X423" s="103"/>
      <c r="Y423" s="103"/>
      <c r="Z423" s="103"/>
    </row>
    <row r="424" spans="1:26" ht="14.25" customHeight="1">
      <c r="A424" s="103"/>
      <c r="B424" s="103"/>
      <c r="C424" s="103"/>
      <c r="D424" s="103"/>
      <c r="E424" s="103"/>
      <c r="F424" s="103"/>
      <c r="G424" s="103"/>
      <c r="H424" s="103"/>
      <c r="I424" s="103"/>
      <c r="J424" s="103"/>
      <c r="K424" s="103"/>
      <c r="L424" s="103"/>
      <c r="M424" s="103"/>
      <c r="N424" s="103"/>
      <c r="O424" s="103"/>
      <c r="P424" s="103"/>
      <c r="Q424" s="103"/>
      <c r="R424" s="103"/>
      <c r="S424" s="103"/>
      <c r="T424" s="103"/>
      <c r="U424" s="103"/>
      <c r="V424" s="103"/>
      <c r="W424" s="103"/>
      <c r="X424" s="103"/>
      <c r="Y424" s="103"/>
      <c r="Z424" s="103"/>
    </row>
    <row r="425" spans="1:26" ht="14.25" customHeight="1">
      <c r="A425" s="103"/>
      <c r="B425" s="103"/>
      <c r="C425" s="103"/>
      <c r="D425" s="103"/>
      <c r="E425" s="103"/>
      <c r="F425" s="103"/>
      <c r="G425" s="103"/>
      <c r="H425" s="103"/>
      <c r="I425" s="103"/>
      <c r="J425" s="103"/>
      <c r="K425" s="103"/>
      <c r="L425" s="103"/>
      <c r="M425" s="103"/>
      <c r="N425" s="103"/>
      <c r="O425" s="103"/>
      <c r="P425" s="103"/>
      <c r="Q425" s="103"/>
      <c r="R425" s="103"/>
      <c r="S425" s="103"/>
      <c r="T425" s="103"/>
      <c r="U425" s="103"/>
      <c r="V425" s="103"/>
      <c r="W425" s="103"/>
      <c r="X425" s="103"/>
      <c r="Y425" s="103"/>
      <c r="Z425" s="103"/>
    </row>
    <row r="426" spans="1:26" ht="14.25" customHeight="1">
      <c r="A426" s="103"/>
      <c r="B426" s="103"/>
      <c r="C426" s="103"/>
      <c r="D426" s="103"/>
      <c r="E426" s="103"/>
      <c r="F426" s="103"/>
      <c r="G426" s="103"/>
      <c r="H426" s="103"/>
      <c r="I426" s="103"/>
      <c r="J426" s="103"/>
      <c r="K426" s="103"/>
      <c r="L426" s="103"/>
      <c r="M426" s="103"/>
      <c r="N426" s="103"/>
      <c r="O426" s="103"/>
      <c r="P426" s="103"/>
      <c r="Q426" s="103"/>
      <c r="R426" s="103"/>
      <c r="S426" s="103"/>
      <c r="T426" s="103"/>
      <c r="U426" s="103"/>
      <c r="V426" s="103"/>
      <c r="W426" s="103"/>
      <c r="X426" s="103"/>
      <c r="Y426" s="103"/>
      <c r="Z426" s="103"/>
    </row>
    <row r="427" spans="1:26" ht="14.25" customHeight="1">
      <c r="A427" s="103"/>
      <c r="B427" s="103"/>
      <c r="C427" s="103"/>
      <c r="D427" s="103"/>
      <c r="E427" s="103"/>
      <c r="F427" s="103"/>
      <c r="G427" s="103"/>
      <c r="H427" s="103"/>
      <c r="I427" s="103"/>
      <c r="J427" s="103"/>
      <c r="K427" s="103"/>
      <c r="L427" s="103"/>
      <c r="M427" s="103"/>
      <c r="N427" s="103"/>
      <c r="O427" s="103"/>
      <c r="P427" s="103"/>
      <c r="Q427" s="103"/>
      <c r="R427" s="103"/>
      <c r="S427" s="103"/>
      <c r="T427" s="103"/>
      <c r="U427" s="103"/>
      <c r="V427" s="103"/>
      <c r="W427" s="103"/>
      <c r="X427" s="103"/>
      <c r="Y427" s="103"/>
      <c r="Z427" s="103"/>
    </row>
    <row r="428" spans="1:26" ht="14.25" customHeight="1">
      <c r="A428" s="103"/>
      <c r="B428" s="103"/>
      <c r="C428" s="103"/>
      <c r="D428" s="103"/>
      <c r="E428" s="103"/>
      <c r="F428" s="103"/>
      <c r="G428" s="103"/>
      <c r="H428" s="103"/>
      <c r="I428" s="103"/>
      <c r="J428" s="103"/>
      <c r="K428" s="103"/>
      <c r="L428" s="103"/>
      <c r="M428" s="103"/>
      <c r="N428" s="103"/>
      <c r="O428" s="103"/>
      <c r="P428" s="103"/>
      <c r="Q428" s="103"/>
      <c r="R428" s="103"/>
      <c r="S428" s="103"/>
      <c r="T428" s="103"/>
      <c r="U428" s="103"/>
      <c r="V428" s="103"/>
      <c r="W428" s="103"/>
      <c r="X428" s="103"/>
      <c r="Y428" s="103"/>
      <c r="Z428" s="103"/>
    </row>
    <row r="429" spans="1:26" ht="14.25" customHeight="1">
      <c r="A429" s="103"/>
      <c r="B429" s="103"/>
      <c r="C429" s="103"/>
      <c r="D429" s="103"/>
      <c r="E429" s="103"/>
      <c r="F429" s="103"/>
      <c r="G429" s="103"/>
      <c r="H429" s="103"/>
      <c r="I429" s="103"/>
      <c r="J429" s="103"/>
      <c r="K429" s="103"/>
      <c r="L429" s="103"/>
      <c r="M429" s="103"/>
      <c r="N429" s="103"/>
      <c r="O429" s="103"/>
      <c r="P429" s="103"/>
      <c r="Q429" s="103"/>
      <c r="R429" s="103"/>
      <c r="S429" s="103"/>
      <c r="T429" s="103"/>
      <c r="U429" s="103"/>
      <c r="V429" s="103"/>
      <c r="W429" s="103"/>
      <c r="X429" s="103"/>
      <c r="Y429" s="103"/>
      <c r="Z429" s="103"/>
    </row>
    <row r="430" spans="1:26" ht="14.25" customHeight="1">
      <c r="A430" s="103"/>
      <c r="B430" s="103"/>
      <c r="C430" s="103"/>
      <c r="D430" s="103"/>
      <c r="E430" s="103"/>
      <c r="F430" s="103"/>
      <c r="G430" s="103"/>
      <c r="H430" s="103"/>
      <c r="I430" s="103"/>
      <c r="J430" s="103"/>
      <c r="K430" s="103"/>
      <c r="L430" s="103"/>
      <c r="M430" s="103"/>
      <c r="N430" s="103"/>
      <c r="O430" s="103"/>
      <c r="P430" s="103"/>
      <c r="Q430" s="103"/>
      <c r="R430" s="103"/>
      <c r="S430" s="103"/>
      <c r="T430" s="103"/>
      <c r="U430" s="103"/>
      <c r="V430" s="103"/>
      <c r="W430" s="103"/>
      <c r="X430" s="103"/>
      <c r="Y430" s="103"/>
      <c r="Z430" s="103"/>
    </row>
    <row r="431" spans="1:26" ht="14.25" customHeight="1">
      <c r="A431" s="103"/>
      <c r="B431" s="103"/>
      <c r="C431" s="103"/>
      <c r="D431" s="103"/>
      <c r="E431" s="103"/>
      <c r="F431" s="103"/>
      <c r="G431" s="103"/>
      <c r="H431" s="103"/>
      <c r="I431" s="103"/>
      <c r="J431" s="103"/>
      <c r="K431" s="103"/>
      <c r="L431" s="103"/>
      <c r="M431" s="103"/>
      <c r="N431" s="103"/>
      <c r="O431" s="103"/>
      <c r="P431" s="103"/>
      <c r="Q431" s="103"/>
      <c r="R431" s="103"/>
      <c r="S431" s="103"/>
      <c r="T431" s="103"/>
      <c r="U431" s="103"/>
      <c r="V431" s="103"/>
      <c r="W431" s="103"/>
      <c r="X431" s="103"/>
      <c r="Y431" s="103"/>
      <c r="Z431" s="103"/>
    </row>
    <row r="432" spans="1:26" ht="14.25" customHeight="1">
      <c r="A432" s="103"/>
      <c r="B432" s="103"/>
      <c r="C432" s="103"/>
      <c r="D432" s="103"/>
      <c r="E432" s="103"/>
      <c r="F432" s="103"/>
      <c r="G432" s="103"/>
      <c r="H432" s="103"/>
      <c r="I432" s="103"/>
      <c r="J432" s="103"/>
      <c r="K432" s="103"/>
      <c r="L432" s="103"/>
      <c r="M432" s="103"/>
      <c r="N432" s="103"/>
      <c r="O432" s="103"/>
      <c r="P432" s="103"/>
      <c r="Q432" s="103"/>
      <c r="R432" s="103"/>
      <c r="S432" s="103"/>
      <c r="T432" s="103"/>
      <c r="U432" s="103"/>
      <c r="V432" s="103"/>
      <c r="W432" s="103"/>
      <c r="X432" s="103"/>
      <c r="Y432" s="103"/>
      <c r="Z432" s="103"/>
    </row>
    <row r="433" spans="1:26" ht="14.25" customHeight="1">
      <c r="A433" s="103"/>
      <c r="B433" s="103"/>
      <c r="C433" s="103"/>
      <c r="D433" s="103"/>
      <c r="E433" s="103"/>
      <c r="F433" s="103"/>
      <c r="G433" s="103"/>
      <c r="H433" s="103"/>
      <c r="I433" s="103"/>
      <c r="J433" s="103"/>
      <c r="K433" s="103"/>
      <c r="L433" s="103"/>
      <c r="M433" s="103"/>
      <c r="N433" s="103"/>
      <c r="O433" s="103"/>
      <c r="P433" s="103"/>
      <c r="Q433" s="103"/>
      <c r="R433" s="103"/>
      <c r="S433" s="103"/>
      <c r="T433" s="103"/>
      <c r="U433" s="103"/>
      <c r="V433" s="103"/>
      <c r="W433" s="103"/>
      <c r="X433" s="103"/>
      <c r="Y433" s="103"/>
      <c r="Z433" s="103"/>
    </row>
    <row r="434" spans="1:26" ht="14.25" customHeight="1">
      <c r="A434" s="103"/>
      <c r="B434" s="103"/>
      <c r="C434" s="103"/>
      <c r="D434" s="103"/>
      <c r="E434" s="103"/>
      <c r="F434" s="103"/>
      <c r="G434" s="103"/>
      <c r="H434" s="103"/>
      <c r="I434" s="103"/>
      <c r="J434" s="103"/>
      <c r="K434" s="103"/>
      <c r="L434" s="103"/>
      <c r="M434" s="103"/>
      <c r="N434" s="103"/>
      <c r="O434" s="103"/>
      <c r="P434" s="103"/>
      <c r="Q434" s="103"/>
      <c r="R434" s="103"/>
      <c r="S434" s="103"/>
      <c r="T434" s="103"/>
      <c r="U434" s="103"/>
      <c r="V434" s="103"/>
      <c r="W434" s="103"/>
      <c r="X434" s="103"/>
      <c r="Y434" s="103"/>
      <c r="Z434" s="103"/>
    </row>
    <row r="435" spans="1:26" ht="14.25" customHeight="1">
      <c r="A435" s="103"/>
      <c r="B435" s="103"/>
      <c r="C435" s="103"/>
      <c r="D435" s="103"/>
      <c r="E435" s="103"/>
      <c r="F435" s="103"/>
      <c r="G435" s="103"/>
      <c r="H435" s="103"/>
      <c r="I435" s="103"/>
      <c r="J435" s="103"/>
      <c r="K435" s="103"/>
      <c r="L435" s="103"/>
      <c r="M435" s="103"/>
      <c r="N435" s="103"/>
      <c r="O435" s="103"/>
      <c r="P435" s="103"/>
      <c r="Q435" s="103"/>
      <c r="R435" s="103"/>
      <c r="S435" s="103"/>
      <c r="T435" s="103"/>
      <c r="U435" s="103"/>
      <c r="V435" s="103"/>
      <c r="W435" s="103"/>
      <c r="X435" s="103"/>
      <c r="Y435" s="103"/>
      <c r="Z435" s="103"/>
    </row>
    <row r="436" spans="1:26" ht="14.25" customHeight="1">
      <c r="A436" s="103"/>
      <c r="B436" s="103"/>
      <c r="C436" s="103"/>
      <c r="D436" s="103"/>
      <c r="E436" s="103"/>
      <c r="F436" s="103"/>
      <c r="G436" s="103"/>
      <c r="H436" s="103"/>
      <c r="I436" s="103"/>
      <c r="J436" s="103"/>
      <c r="K436" s="103"/>
      <c r="L436" s="103"/>
      <c r="M436" s="103"/>
      <c r="N436" s="103"/>
      <c r="O436" s="103"/>
      <c r="P436" s="103"/>
      <c r="Q436" s="103"/>
      <c r="R436" s="103"/>
      <c r="S436" s="103"/>
      <c r="T436" s="103"/>
      <c r="U436" s="103"/>
      <c r="V436" s="103"/>
      <c r="W436" s="103"/>
      <c r="X436" s="103"/>
      <c r="Y436" s="103"/>
      <c r="Z436" s="103"/>
    </row>
    <row r="437" spans="1:26" ht="14.25" customHeight="1">
      <c r="A437" s="103"/>
      <c r="B437" s="103"/>
      <c r="C437" s="103"/>
      <c r="D437" s="103"/>
      <c r="E437" s="103"/>
      <c r="F437" s="103"/>
      <c r="G437" s="103"/>
      <c r="H437" s="103"/>
      <c r="I437" s="103"/>
      <c r="J437" s="103"/>
      <c r="K437" s="103"/>
      <c r="L437" s="103"/>
      <c r="M437" s="103"/>
      <c r="N437" s="103"/>
      <c r="O437" s="103"/>
      <c r="P437" s="103"/>
      <c r="Q437" s="103"/>
      <c r="R437" s="103"/>
      <c r="S437" s="103"/>
      <c r="T437" s="103"/>
      <c r="U437" s="103"/>
      <c r="V437" s="103"/>
      <c r="W437" s="103"/>
      <c r="X437" s="103"/>
      <c r="Y437" s="103"/>
      <c r="Z437" s="103"/>
    </row>
    <row r="438" spans="1:26" ht="14.25" customHeight="1">
      <c r="A438" s="103"/>
      <c r="B438" s="103"/>
      <c r="C438" s="103"/>
      <c r="D438" s="103"/>
      <c r="E438" s="103"/>
      <c r="F438" s="103"/>
      <c r="G438" s="103"/>
      <c r="H438" s="103"/>
      <c r="I438" s="103"/>
      <c r="J438" s="103"/>
      <c r="K438" s="103"/>
      <c r="L438" s="103"/>
      <c r="M438" s="103"/>
      <c r="N438" s="103"/>
      <c r="O438" s="103"/>
      <c r="P438" s="103"/>
      <c r="Q438" s="103"/>
      <c r="R438" s="103"/>
      <c r="S438" s="103"/>
      <c r="T438" s="103"/>
      <c r="U438" s="103"/>
      <c r="V438" s="103"/>
      <c r="W438" s="103"/>
      <c r="X438" s="103"/>
      <c r="Y438" s="103"/>
      <c r="Z438" s="103"/>
    </row>
    <row r="439" spans="1:26" ht="14.25" customHeight="1">
      <c r="A439" s="103"/>
      <c r="B439" s="103"/>
      <c r="C439" s="103"/>
      <c r="D439" s="103"/>
      <c r="E439" s="103"/>
      <c r="F439" s="103"/>
      <c r="G439" s="103"/>
      <c r="H439" s="103"/>
      <c r="I439" s="103"/>
      <c r="J439" s="103"/>
      <c r="K439" s="103"/>
      <c r="L439" s="103"/>
      <c r="M439" s="103"/>
      <c r="N439" s="103"/>
      <c r="O439" s="103"/>
      <c r="P439" s="103"/>
      <c r="Q439" s="103"/>
      <c r="R439" s="103"/>
      <c r="S439" s="103"/>
      <c r="T439" s="103"/>
      <c r="U439" s="103"/>
      <c r="V439" s="103"/>
      <c r="W439" s="103"/>
      <c r="X439" s="103"/>
      <c r="Y439" s="103"/>
      <c r="Z439" s="103"/>
    </row>
    <row r="440" spans="1:26" ht="14.25" customHeight="1">
      <c r="A440" s="103"/>
      <c r="B440" s="103"/>
      <c r="C440" s="103"/>
      <c r="D440" s="103"/>
      <c r="E440" s="103"/>
      <c r="F440" s="103"/>
      <c r="G440" s="103"/>
      <c r="H440" s="103"/>
      <c r="I440" s="103"/>
      <c r="J440" s="103"/>
      <c r="K440" s="103"/>
      <c r="L440" s="103"/>
      <c r="M440" s="103"/>
      <c r="N440" s="103"/>
      <c r="O440" s="103"/>
      <c r="P440" s="103"/>
      <c r="Q440" s="103"/>
      <c r="R440" s="103"/>
      <c r="S440" s="103"/>
      <c r="T440" s="103"/>
      <c r="U440" s="103"/>
      <c r="V440" s="103"/>
      <c r="W440" s="103"/>
      <c r="X440" s="103"/>
      <c r="Y440" s="103"/>
      <c r="Z440" s="103"/>
    </row>
    <row r="441" spans="1:26" ht="14.25" customHeight="1">
      <c r="A441" s="103"/>
      <c r="B441" s="103"/>
      <c r="C441" s="103"/>
      <c r="D441" s="103"/>
      <c r="E441" s="103"/>
      <c r="F441" s="103"/>
      <c r="G441" s="103"/>
      <c r="H441" s="103"/>
      <c r="I441" s="103"/>
      <c r="J441" s="103"/>
      <c r="K441" s="103"/>
      <c r="L441" s="103"/>
      <c r="M441" s="103"/>
      <c r="N441" s="103"/>
      <c r="O441" s="103"/>
      <c r="P441" s="103"/>
      <c r="Q441" s="103"/>
      <c r="R441" s="103"/>
      <c r="S441" s="103"/>
      <c r="T441" s="103"/>
      <c r="U441" s="103"/>
      <c r="V441" s="103"/>
      <c r="W441" s="103"/>
      <c r="X441" s="103"/>
      <c r="Y441" s="103"/>
      <c r="Z441" s="103"/>
    </row>
    <row r="442" spans="1:26" ht="14.25" customHeight="1">
      <c r="A442" s="103"/>
      <c r="B442" s="103"/>
      <c r="C442" s="103"/>
      <c r="D442" s="103"/>
      <c r="E442" s="103"/>
      <c r="F442" s="103"/>
      <c r="G442" s="103"/>
      <c r="H442" s="103"/>
      <c r="I442" s="103"/>
      <c r="J442" s="103"/>
      <c r="K442" s="103"/>
      <c r="L442" s="103"/>
      <c r="M442" s="103"/>
      <c r="N442" s="103"/>
      <c r="O442" s="103"/>
      <c r="P442" s="103"/>
      <c r="Q442" s="103"/>
      <c r="R442" s="103"/>
      <c r="S442" s="103"/>
      <c r="T442" s="103"/>
      <c r="U442" s="103"/>
      <c r="V442" s="103"/>
      <c r="W442" s="103"/>
      <c r="X442" s="103"/>
      <c r="Y442" s="103"/>
      <c r="Z442" s="103"/>
    </row>
    <row r="443" spans="1:26" ht="14.25" customHeight="1">
      <c r="A443" s="103"/>
      <c r="B443" s="103"/>
      <c r="C443" s="103"/>
      <c r="D443" s="103"/>
      <c r="E443" s="103"/>
      <c r="F443" s="103"/>
      <c r="G443" s="103"/>
      <c r="H443" s="103"/>
      <c r="I443" s="103"/>
      <c r="J443" s="103"/>
      <c r="K443" s="103"/>
      <c r="L443" s="103"/>
      <c r="M443" s="103"/>
      <c r="N443" s="103"/>
      <c r="O443" s="103"/>
      <c r="P443" s="103"/>
      <c r="Q443" s="103"/>
      <c r="R443" s="103"/>
      <c r="S443" s="103"/>
      <c r="T443" s="103"/>
      <c r="U443" s="103"/>
      <c r="V443" s="103"/>
      <c r="W443" s="103"/>
      <c r="X443" s="103"/>
      <c r="Y443" s="103"/>
      <c r="Z443" s="103"/>
    </row>
    <row r="444" spans="1:26" ht="14.25" customHeight="1">
      <c r="A444" s="103"/>
      <c r="B444" s="103"/>
      <c r="C444" s="103"/>
      <c r="D444" s="103"/>
      <c r="E444" s="103"/>
      <c r="F444" s="103"/>
      <c r="G444" s="103"/>
      <c r="H444" s="103"/>
      <c r="I444" s="103"/>
      <c r="J444" s="103"/>
      <c r="K444" s="103"/>
      <c r="L444" s="103"/>
      <c r="M444" s="103"/>
      <c r="N444" s="103"/>
      <c r="O444" s="103"/>
      <c r="P444" s="103"/>
      <c r="Q444" s="103"/>
      <c r="R444" s="103"/>
      <c r="S444" s="103"/>
      <c r="T444" s="103"/>
      <c r="U444" s="103"/>
      <c r="V444" s="103"/>
      <c r="W444" s="103"/>
      <c r="X444" s="103"/>
      <c r="Y444" s="103"/>
      <c r="Z444" s="103"/>
    </row>
    <row r="445" spans="1:26" ht="14.25" customHeight="1">
      <c r="A445" s="103"/>
      <c r="B445" s="103"/>
      <c r="C445" s="103"/>
      <c r="D445" s="103"/>
      <c r="E445" s="103"/>
      <c r="F445" s="103"/>
      <c r="G445" s="103"/>
      <c r="H445" s="103"/>
      <c r="I445" s="103"/>
      <c r="J445" s="103"/>
      <c r="K445" s="103"/>
      <c r="L445" s="103"/>
      <c r="M445" s="103"/>
      <c r="N445" s="103"/>
      <c r="O445" s="103"/>
      <c r="P445" s="103"/>
      <c r="Q445" s="103"/>
      <c r="R445" s="103"/>
      <c r="S445" s="103"/>
      <c r="T445" s="103"/>
      <c r="U445" s="103"/>
      <c r="V445" s="103"/>
      <c r="W445" s="103"/>
      <c r="X445" s="103"/>
      <c r="Y445" s="103"/>
      <c r="Z445" s="103"/>
    </row>
    <row r="446" spans="1:26" ht="14.25" customHeight="1">
      <c r="A446" s="103"/>
      <c r="B446" s="103"/>
      <c r="C446" s="103"/>
      <c r="D446" s="103"/>
      <c r="E446" s="103"/>
      <c r="F446" s="103"/>
      <c r="G446" s="103"/>
      <c r="H446" s="103"/>
      <c r="I446" s="103"/>
      <c r="J446" s="103"/>
      <c r="K446" s="103"/>
      <c r="L446" s="103"/>
      <c r="M446" s="103"/>
      <c r="N446" s="103"/>
      <c r="O446" s="103"/>
      <c r="P446" s="103"/>
      <c r="Q446" s="103"/>
      <c r="R446" s="103"/>
      <c r="S446" s="103"/>
      <c r="T446" s="103"/>
      <c r="U446" s="103"/>
      <c r="V446" s="103"/>
      <c r="W446" s="103"/>
      <c r="X446" s="103"/>
      <c r="Y446" s="103"/>
      <c r="Z446" s="103"/>
    </row>
    <row r="447" spans="1:26" ht="14.25" customHeight="1">
      <c r="A447" s="103"/>
      <c r="B447" s="103"/>
      <c r="C447" s="103"/>
      <c r="D447" s="103"/>
      <c r="E447" s="103"/>
      <c r="F447" s="103"/>
      <c r="G447" s="103"/>
      <c r="H447" s="103"/>
      <c r="I447" s="103"/>
      <c r="J447" s="103"/>
      <c r="K447" s="103"/>
      <c r="L447" s="103"/>
      <c r="M447" s="103"/>
      <c r="N447" s="103"/>
      <c r="O447" s="103"/>
      <c r="P447" s="103"/>
      <c r="Q447" s="103"/>
      <c r="R447" s="103"/>
      <c r="S447" s="103"/>
      <c r="T447" s="103"/>
      <c r="U447" s="103"/>
      <c r="V447" s="103"/>
      <c r="W447" s="103"/>
      <c r="X447" s="103"/>
      <c r="Y447" s="103"/>
      <c r="Z447" s="103"/>
    </row>
    <row r="448" spans="1:26" ht="14.25" customHeight="1">
      <c r="A448" s="103"/>
      <c r="B448" s="103"/>
      <c r="C448" s="103"/>
      <c r="D448" s="103"/>
      <c r="E448" s="103"/>
      <c r="F448" s="103"/>
      <c r="G448" s="103"/>
      <c r="H448" s="103"/>
      <c r="I448" s="103"/>
      <c r="J448" s="103"/>
      <c r="K448" s="103"/>
      <c r="L448" s="103"/>
      <c r="M448" s="103"/>
      <c r="N448" s="103"/>
      <c r="O448" s="103"/>
      <c r="P448" s="103"/>
      <c r="Q448" s="103"/>
      <c r="R448" s="103"/>
      <c r="S448" s="103"/>
      <c r="T448" s="103"/>
      <c r="U448" s="103"/>
      <c r="V448" s="103"/>
      <c r="W448" s="103"/>
      <c r="X448" s="103"/>
      <c r="Y448" s="103"/>
      <c r="Z448" s="103"/>
    </row>
    <row r="449" spans="1:26" ht="14.25" customHeight="1">
      <c r="A449" s="103"/>
      <c r="B449" s="103"/>
      <c r="C449" s="103"/>
      <c r="D449" s="103"/>
      <c r="E449" s="103"/>
      <c r="F449" s="103"/>
      <c r="G449" s="103"/>
      <c r="H449" s="103"/>
      <c r="I449" s="103"/>
      <c r="J449" s="103"/>
      <c r="K449" s="103"/>
      <c r="L449" s="103"/>
      <c r="M449" s="103"/>
      <c r="N449" s="103"/>
      <c r="O449" s="103"/>
      <c r="P449" s="103"/>
      <c r="Q449" s="103"/>
      <c r="R449" s="103"/>
      <c r="S449" s="103"/>
      <c r="T449" s="103"/>
      <c r="U449" s="103"/>
      <c r="V449" s="103"/>
      <c r="W449" s="103"/>
      <c r="X449" s="103"/>
      <c r="Y449" s="103"/>
      <c r="Z449" s="103"/>
    </row>
    <row r="450" spans="1:26" ht="14.25" customHeight="1">
      <c r="A450" s="103"/>
      <c r="B450" s="103"/>
      <c r="C450" s="103"/>
      <c r="D450" s="103"/>
      <c r="E450" s="103"/>
      <c r="F450" s="103"/>
      <c r="G450" s="103"/>
      <c r="H450" s="103"/>
      <c r="I450" s="103"/>
      <c r="J450" s="103"/>
      <c r="K450" s="103"/>
      <c r="L450" s="103"/>
      <c r="M450" s="103"/>
      <c r="N450" s="103"/>
      <c r="O450" s="103"/>
      <c r="P450" s="103"/>
      <c r="Q450" s="103"/>
      <c r="R450" s="103"/>
      <c r="S450" s="103"/>
      <c r="T450" s="103"/>
      <c r="U450" s="103"/>
      <c r="V450" s="103"/>
      <c r="W450" s="103"/>
      <c r="X450" s="103"/>
      <c r="Y450" s="103"/>
      <c r="Z450" s="103"/>
    </row>
    <row r="451" spans="1:26" ht="14.25" customHeight="1">
      <c r="A451" s="103"/>
      <c r="B451" s="103"/>
      <c r="C451" s="103"/>
      <c r="D451" s="103"/>
      <c r="E451" s="103"/>
      <c r="F451" s="103"/>
      <c r="G451" s="103"/>
      <c r="H451" s="103"/>
      <c r="I451" s="103"/>
      <c r="J451" s="103"/>
      <c r="K451" s="103"/>
      <c r="L451" s="103"/>
      <c r="M451" s="103"/>
      <c r="N451" s="103"/>
      <c r="O451" s="103"/>
      <c r="P451" s="103"/>
      <c r="Q451" s="103"/>
      <c r="R451" s="103"/>
      <c r="S451" s="103"/>
      <c r="T451" s="103"/>
      <c r="U451" s="103"/>
      <c r="V451" s="103"/>
      <c r="W451" s="103"/>
      <c r="X451" s="103"/>
      <c r="Y451" s="103"/>
      <c r="Z451" s="103"/>
    </row>
    <row r="452" spans="1:26" ht="14.25" customHeight="1">
      <c r="A452" s="103"/>
      <c r="B452" s="103"/>
      <c r="C452" s="103"/>
      <c r="D452" s="103"/>
      <c r="E452" s="103"/>
      <c r="F452" s="103"/>
      <c r="G452" s="103"/>
      <c r="H452" s="103"/>
      <c r="I452" s="103"/>
      <c r="J452" s="103"/>
      <c r="K452" s="103"/>
      <c r="L452" s="103"/>
      <c r="M452" s="103"/>
      <c r="N452" s="103"/>
      <c r="O452" s="103"/>
      <c r="P452" s="103"/>
      <c r="Q452" s="103"/>
      <c r="R452" s="103"/>
      <c r="S452" s="103"/>
      <c r="T452" s="103"/>
      <c r="U452" s="103"/>
      <c r="V452" s="103"/>
      <c r="W452" s="103"/>
      <c r="X452" s="103"/>
      <c r="Y452" s="103"/>
      <c r="Z452" s="103"/>
    </row>
    <row r="453" spans="1:26" ht="14.25" customHeight="1">
      <c r="A453" s="103"/>
      <c r="B453" s="103"/>
      <c r="C453" s="103"/>
      <c r="D453" s="103"/>
      <c r="E453" s="103"/>
      <c r="F453" s="103"/>
      <c r="G453" s="103"/>
      <c r="H453" s="103"/>
      <c r="I453" s="103"/>
      <c r="J453" s="103"/>
      <c r="K453" s="103"/>
      <c r="L453" s="103"/>
      <c r="M453" s="103"/>
      <c r="N453" s="103"/>
      <c r="O453" s="103"/>
      <c r="P453" s="103"/>
      <c r="Q453" s="103"/>
      <c r="R453" s="103"/>
      <c r="S453" s="103"/>
      <c r="T453" s="103"/>
      <c r="U453" s="103"/>
      <c r="V453" s="103"/>
      <c r="W453" s="103"/>
      <c r="X453" s="103"/>
      <c r="Y453" s="103"/>
      <c r="Z453" s="103"/>
    </row>
    <row r="454" spans="1:26" ht="14.25" customHeight="1">
      <c r="A454" s="103"/>
      <c r="B454" s="103"/>
      <c r="C454" s="103"/>
      <c r="D454" s="103"/>
      <c r="E454" s="103"/>
      <c r="F454" s="103"/>
      <c r="G454" s="103"/>
      <c r="H454" s="103"/>
      <c r="I454" s="103"/>
      <c r="J454" s="103"/>
      <c r="K454" s="103"/>
      <c r="L454" s="103"/>
      <c r="M454" s="103"/>
      <c r="N454" s="103"/>
      <c r="O454" s="103"/>
      <c r="P454" s="103"/>
      <c r="Q454" s="103"/>
      <c r="R454" s="103"/>
      <c r="S454" s="103"/>
      <c r="T454" s="103"/>
      <c r="U454" s="103"/>
      <c r="V454" s="103"/>
      <c r="W454" s="103"/>
      <c r="X454" s="103"/>
      <c r="Y454" s="103"/>
      <c r="Z454" s="103"/>
    </row>
    <row r="455" spans="1:26" ht="14.25" customHeight="1">
      <c r="A455" s="103"/>
      <c r="B455" s="103"/>
      <c r="C455" s="103"/>
      <c r="D455" s="103"/>
      <c r="E455" s="103"/>
      <c r="F455" s="103"/>
      <c r="G455" s="103"/>
      <c r="H455" s="103"/>
      <c r="I455" s="103"/>
      <c r="J455" s="103"/>
      <c r="K455" s="103"/>
      <c r="L455" s="103"/>
      <c r="M455" s="103"/>
      <c r="N455" s="103"/>
      <c r="O455" s="103"/>
      <c r="P455" s="103"/>
      <c r="Q455" s="103"/>
      <c r="R455" s="103"/>
      <c r="S455" s="103"/>
      <c r="T455" s="103"/>
      <c r="U455" s="103"/>
      <c r="V455" s="103"/>
      <c r="W455" s="103"/>
      <c r="X455" s="103"/>
      <c r="Y455" s="103"/>
      <c r="Z455" s="103"/>
    </row>
    <row r="456" spans="1:26" ht="14.25" customHeight="1">
      <c r="A456" s="103"/>
      <c r="B456" s="103"/>
      <c r="C456" s="103"/>
      <c r="D456" s="103"/>
      <c r="E456" s="103"/>
      <c r="F456" s="103"/>
      <c r="G456" s="103"/>
      <c r="H456" s="103"/>
      <c r="I456" s="103"/>
      <c r="J456" s="103"/>
      <c r="K456" s="103"/>
      <c r="L456" s="103"/>
      <c r="M456" s="103"/>
      <c r="N456" s="103"/>
      <c r="O456" s="103"/>
      <c r="P456" s="103"/>
      <c r="Q456" s="103"/>
      <c r="R456" s="103"/>
      <c r="S456" s="103"/>
      <c r="T456" s="103"/>
      <c r="U456" s="103"/>
      <c r="V456" s="103"/>
      <c r="W456" s="103"/>
      <c r="X456" s="103"/>
      <c r="Y456" s="103"/>
      <c r="Z456" s="103"/>
    </row>
    <row r="457" spans="1:26" ht="14.25" customHeight="1">
      <c r="A457" s="103"/>
      <c r="B457" s="103"/>
      <c r="C457" s="103"/>
      <c r="D457" s="103"/>
      <c r="E457" s="103"/>
      <c r="F457" s="103"/>
      <c r="G457" s="103"/>
      <c r="H457" s="103"/>
      <c r="I457" s="103"/>
      <c r="J457" s="103"/>
      <c r="K457" s="103"/>
      <c r="L457" s="103"/>
      <c r="M457" s="103"/>
      <c r="N457" s="103"/>
      <c r="O457" s="103"/>
      <c r="P457" s="103"/>
      <c r="Q457" s="103"/>
      <c r="R457" s="103"/>
      <c r="S457" s="103"/>
      <c r="T457" s="103"/>
      <c r="U457" s="103"/>
      <c r="V457" s="103"/>
      <c r="W457" s="103"/>
      <c r="X457" s="103"/>
      <c r="Y457" s="103"/>
      <c r="Z457" s="103"/>
    </row>
    <row r="458" spans="1:26" ht="14.25" customHeight="1">
      <c r="A458" s="103"/>
      <c r="B458" s="103"/>
      <c r="C458" s="103"/>
      <c r="D458" s="103"/>
      <c r="E458" s="103"/>
      <c r="F458" s="103"/>
      <c r="G458" s="103"/>
      <c r="H458" s="103"/>
      <c r="I458" s="103"/>
      <c r="J458" s="103"/>
      <c r="K458" s="103"/>
      <c r="L458" s="103"/>
      <c r="M458" s="103"/>
      <c r="N458" s="103"/>
      <c r="O458" s="103"/>
      <c r="P458" s="103"/>
      <c r="Q458" s="103"/>
      <c r="R458" s="103"/>
      <c r="S458" s="103"/>
      <c r="T458" s="103"/>
      <c r="U458" s="103"/>
      <c r="V458" s="103"/>
      <c r="W458" s="103"/>
      <c r="X458" s="103"/>
      <c r="Y458" s="103"/>
      <c r="Z458" s="103"/>
    </row>
    <row r="459" spans="1:26" ht="14.25" customHeight="1">
      <c r="A459" s="103"/>
      <c r="B459" s="103"/>
      <c r="C459" s="103"/>
      <c r="D459" s="103"/>
      <c r="E459" s="103"/>
      <c r="F459" s="103"/>
      <c r="G459" s="103"/>
      <c r="H459" s="103"/>
      <c r="I459" s="103"/>
      <c r="J459" s="103"/>
      <c r="K459" s="103"/>
      <c r="L459" s="103"/>
      <c r="M459" s="103"/>
      <c r="N459" s="103"/>
      <c r="O459" s="103"/>
      <c r="P459" s="103"/>
      <c r="Q459" s="103"/>
      <c r="R459" s="103"/>
      <c r="S459" s="103"/>
      <c r="T459" s="103"/>
      <c r="U459" s="103"/>
      <c r="V459" s="103"/>
      <c r="W459" s="103"/>
      <c r="X459" s="103"/>
      <c r="Y459" s="103"/>
      <c r="Z459" s="103"/>
    </row>
    <row r="460" spans="1:26" ht="14.25" customHeight="1">
      <c r="A460" s="103"/>
      <c r="B460" s="103"/>
      <c r="C460" s="103"/>
      <c r="D460" s="103"/>
      <c r="E460" s="103"/>
      <c r="F460" s="103"/>
      <c r="G460" s="103"/>
      <c r="H460" s="103"/>
      <c r="I460" s="103"/>
      <c r="J460" s="103"/>
      <c r="K460" s="103"/>
      <c r="L460" s="103"/>
      <c r="M460" s="103"/>
      <c r="N460" s="103"/>
      <c r="O460" s="103"/>
      <c r="P460" s="103"/>
      <c r="Q460" s="103"/>
      <c r="R460" s="103"/>
      <c r="S460" s="103"/>
      <c r="T460" s="103"/>
      <c r="U460" s="103"/>
      <c r="V460" s="103"/>
      <c r="W460" s="103"/>
      <c r="X460" s="103"/>
      <c r="Y460" s="103"/>
      <c r="Z460" s="103"/>
    </row>
    <row r="461" spans="1:26" ht="14.25" customHeight="1">
      <c r="A461" s="103"/>
      <c r="B461" s="103"/>
      <c r="C461" s="103"/>
      <c r="D461" s="103"/>
      <c r="E461" s="103"/>
      <c r="F461" s="103"/>
      <c r="G461" s="103"/>
      <c r="H461" s="103"/>
      <c r="I461" s="103"/>
      <c r="J461" s="103"/>
      <c r="K461" s="103"/>
      <c r="L461" s="103"/>
      <c r="M461" s="103"/>
      <c r="N461" s="103"/>
      <c r="O461" s="103"/>
      <c r="P461" s="103"/>
      <c r="Q461" s="103"/>
      <c r="R461" s="103"/>
      <c r="S461" s="103"/>
      <c r="T461" s="103"/>
      <c r="U461" s="103"/>
      <c r="V461" s="103"/>
      <c r="W461" s="103"/>
      <c r="X461" s="103"/>
      <c r="Y461" s="103"/>
      <c r="Z461" s="103"/>
    </row>
    <row r="462" spans="1:26" ht="14.25" customHeight="1">
      <c r="A462" s="103"/>
      <c r="B462" s="103"/>
      <c r="C462" s="103"/>
      <c r="D462" s="103"/>
      <c r="E462" s="103"/>
      <c r="F462" s="103"/>
      <c r="G462" s="103"/>
      <c r="H462" s="103"/>
      <c r="I462" s="103"/>
      <c r="J462" s="103"/>
      <c r="K462" s="103"/>
      <c r="L462" s="103"/>
      <c r="M462" s="103"/>
      <c r="N462" s="103"/>
      <c r="O462" s="103"/>
      <c r="P462" s="103"/>
      <c r="Q462" s="103"/>
      <c r="R462" s="103"/>
      <c r="S462" s="103"/>
      <c r="T462" s="103"/>
      <c r="U462" s="103"/>
      <c r="V462" s="103"/>
      <c r="W462" s="103"/>
      <c r="X462" s="103"/>
      <c r="Y462" s="103"/>
      <c r="Z462" s="103"/>
    </row>
    <row r="463" spans="1:26" ht="14.25" customHeight="1">
      <c r="A463" s="103"/>
      <c r="B463" s="103"/>
      <c r="C463" s="103"/>
      <c r="D463" s="103"/>
      <c r="E463" s="103"/>
      <c r="F463" s="103"/>
      <c r="G463" s="103"/>
      <c r="H463" s="103"/>
      <c r="I463" s="103"/>
      <c r="J463" s="103"/>
      <c r="K463" s="103"/>
      <c r="L463" s="103"/>
      <c r="M463" s="103"/>
      <c r="N463" s="103"/>
      <c r="O463" s="103"/>
      <c r="P463" s="103"/>
      <c r="Q463" s="103"/>
      <c r="R463" s="103"/>
      <c r="S463" s="103"/>
      <c r="T463" s="103"/>
      <c r="U463" s="103"/>
      <c r="V463" s="103"/>
      <c r="W463" s="103"/>
      <c r="X463" s="103"/>
      <c r="Y463" s="103"/>
      <c r="Z463" s="103"/>
    </row>
    <row r="464" spans="1:26" ht="14.25" customHeight="1">
      <c r="A464" s="103"/>
      <c r="B464" s="103"/>
      <c r="C464" s="103"/>
      <c r="D464" s="103"/>
      <c r="E464" s="103"/>
      <c r="F464" s="103"/>
      <c r="G464" s="103"/>
      <c r="H464" s="103"/>
      <c r="I464" s="103"/>
      <c r="J464" s="103"/>
      <c r="K464" s="103"/>
      <c r="L464" s="103"/>
      <c r="M464" s="103"/>
      <c r="N464" s="103"/>
      <c r="O464" s="103"/>
      <c r="P464" s="103"/>
      <c r="Q464" s="103"/>
      <c r="R464" s="103"/>
      <c r="S464" s="103"/>
      <c r="T464" s="103"/>
      <c r="U464" s="103"/>
      <c r="V464" s="103"/>
      <c r="W464" s="103"/>
      <c r="X464" s="103"/>
      <c r="Y464" s="103"/>
      <c r="Z464" s="103"/>
    </row>
    <row r="465" spans="1:26" ht="14.25" customHeight="1">
      <c r="A465" s="103"/>
      <c r="B465" s="103"/>
      <c r="C465" s="103"/>
      <c r="D465" s="103"/>
      <c r="E465" s="103"/>
      <c r="F465" s="103"/>
      <c r="G465" s="103"/>
      <c r="H465" s="103"/>
      <c r="I465" s="103"/>
      <c r="J465" s="103"/>
      <c r="K465" s="103"/>
      <c r="L465" s="103"/>
      <c r="M465" s="103"/>
      <c r="N465" s="103"/>
      <c r="O465" s="103"/>
      <c r="P465" s="103"/>
      <c r="Q465" s="103"/>
      <c r="R465" s="103"/>
      <c r="S465" s="103"/>
      <c r="T465" s="103"/>
      <c r="U465" s="103"/>
      <c r="V465" s="103"/>
      <c r="W465" s="103"/>
      <c r="X465" s="103"/>
      <c r="Y465" s="103"/>
      <c r="Z465" s="103"/>
    </row>
    <row r="466" spans="1:26" ht="14.25" customHeight="1">
      <c r="A466" s="103"/>
      <c r="B466" s="103"/>
      <c r="C466" s="103"/>
      <c r="D466" s="103"/>
      <c r="E466" s="103"/>
      <c r="F466" s="103"/>
      <c r="G466" s="103"/>
      <c r="H466" s="103"/>
      <c r="I466" s="103"/>
      <c r="J466" s="103"/>
      <c r="K466" s="103"/>
      <c r="L466" s="103"/>
      <c r="M466" s="103"/>
      <c r="N466" s="103"/>
      <c r="O466" s="103"/>
      <c r="P466" s="103"/>
      <c r="Q466" s="103"/>
      <c r="R466" s="103"/>
      <c r="S466" s="103"/>
      <c r="T466" s="103"/>
      <c r="U466" s="103"/>
      <c r="V466" s="103"/>
      <c r="W466" s="103"/>
      <c r="X466" s="103"/>
      <c r="Y466" s="103"/>
      <c r="Z466" s="103"/>
    </row>
    <row r="467" spans="1:26" ht="14.25" customHeight="1">
      <c r="A467" s="103"/>
      <c r="B467" s="103"/>
      <c r="C467" s="103"/>
      <c r="D467" s="103"/>
      <c r="E467" s="103"/>
      <c r="F467" s="103"/>
      <c r="G467" s="103"/>
      <c r="H467" s="103"/>
      <c r="I467" s="103"/>
      <c r="J467" s="103"/>
      <c r="K467" s="103"/>
      <c r="L467" s="103"/>
      <c r="M467" s="103"/>
      <c r="N467" s="103"/>
      <c r="O467" s="103"/>
      <c r="P467" s="103"/>
      <c r="Q467" s="103"/>
      <c r="R467" s="103"/>
      <c r="S467" s="103"/>
      <c r="T467" s="103"/>
      <c r="U467" s="103"/>
      <c r="V467" s="103"/>
      <c r="W467" s="103"/>
      <c r="X467" s="103"/>
      <c r="Y467" s="103"/>
      <c r="Z467" s="103"/>
    </row>
    <row r="468" spans="1:26" ht="14.25" customHeight="1">
      <c r="A468" s="103"/>
      <c r="B468" s="103"/>
      <c r="C468" s="103"/>
      <c r="D468" s="103"/>
      <c r="E468" s="103"/>
      <c r="F468" s="103"/>
      <c r="G468" s="103"/>
      <c r="H468" s="103"/>
      <c r="I468" s="103"/>
      <c r="J468" s="103"/>
      <c r="K468" s="103"/>
      <c r="L468" s="103"/>
      <c r="M468" s="103"/>
      <c r="N468" s="103"/>
      <c r="O468" s="103"/>
      <c r="P468" s="103"/>
      <c r="Q468" s="103"/>
      <c r="R468" s="103"/>
      <c r="S468" s="103"/>
      <c r="T468" s="103"/>
      <c r="U468" s="103"/>
      <c r="V468" s="103"/>
      <c r="W468" s="103"/>
      <c r="X468" s="103"/>
      <c r="Y468" s="103"/>
      <c r="Z468" s="103"/>
    </row>
    <row r="469" spans="1:26" ht="14.25" customHeight="1">
      <c r="A469" s="103"/>
      <c r="B469" s="103"/>
      <c r="C469" s="103"/>
      <c r="D469" s="103"/>
      <c r="E469" s="103"/>
      <c r="F469" s="103"/>
      <c r="G469" s="103"/>
      <c r="H469" s="103"/>
      <c r="I469" s="103"/>
      <c r="J469" s="103"/>
      <c r="K469" s="103"/>
      <c r="L469" s="103"/>
      <c r="M469" s="103"/>
      <c r="N469" s="103"/>
      <c r="O469" s="103"/>
      <c r="P469" s="103"/>
      <c r="Q469" s="103"/>
      <c r="R469" s="103"/>
      <c r="S469" s="103"/>
      <c r="T469" s="103"/>
      <c r="U469" s="103"/>
      <c r="V469" s="103"/>
      <c r="W469" s="103"/>
      <c r="X469" s="103"/>
      <c r="Y469" s="103"/>
      <c r="Z469" s="103"/>
    </row>
    <row r="470" spans="1:26" ht="14.25" customHeight="1">
      <c r="A470" s="103"/>
      <c r="B470" s="103"/>
      <c r="C470" s="103"/>
      <c r="D470" s="103"/>
      <c r="E470" s="103"/>
      <c r="F470" s="103"/>
      <c r="G470" s="103"/>
      <c r="H470" s="103"/>
      <c r="I470" s="103"/>
      <c r="J470" s="103"/>
      <c r="K470" s="103"/>
      <c r="L470" s="103"/>
      <c r="M470" s="103"/>
      <c r="N470" s="103"/>
      <c r="O470" s="103"/>
      <c r="P470" s="103"/>
      <c r="Q470" s="103"/>
      <c r="R470" s="103"/>
      <c r="S470" s="103"/>
      <c r="T470" s="103"/>
      <c r="U470" s="103"/>
      <c r="V470" s="103"/>
      <c r="W470" s="103"/>
      <c r="X470" s="103"/>
      <c r="Y470" s="103"/>
      <c r="Z470" s="103"/>
    </row>
    <row r="471" spans="1:26" ht="14.25" customHeight="1">
      <c r="A471" s="103"/>
      <c r="B471" s="103"/>
      <c r="C471" s="103"/>
      <c r="D471" s="103"/>
      <c r="E471" s="103"/>
      <c r="F471" s="103"/>
      <c r="G471" s="103"/>
      <c r="H471" s="103"/>
      <c r="I471" s="103"/>
      <c r="J471" s="103"/>
      <c r="K471" s="103"/>
      <c r="L471" s="103"/>
      <c r="M471" s="103"/>
      <c r="N471" s="103"/>
      <c r="O471" s="103"/>
      <c r="P471" s="103"/>
      <c r="Q471" s="103"/>
      <c r="R471" s="103"/>
      <c r="S471" s="103"/>
      <c r="T471" s="103"/>
      <c r="U471" s="103"/>
      <c r="V471" s="103"/>
      <c r="W471" s="103"/>
      <c r="X471" s="103"/>
      <c r="Y471" s="103"/>
      <c r="Z471" s="103"/>
    </row>
    <row r="472" spans="1:26" ht="14.25" customHeight="1">
      <c r="A472" s="103"/>
      <c r="B472" s="103"/>
      <c r="C472" s="103"/>
      <c r="D472" s="103"/>
      <c r="E472" s="103"/>
      <c r="F472" s="103"/>
      <c r="G472" s="103"/>
      <c r="H472" s="103"/>
      <c r="I472" s="103"/>
      <c r="J472" s="103"/>
      <c r="K472" s="103"/>
      <c r="L472" s="103"/>
      <c r="M472" s="103"/>
      <c r="N472" s="103"/>
      <c r="O472" s="103"/>
      <c r="P472" s="103"/>
      <c r="Q472" s="103"/>
      <c r="R472" s="103"/>
      <c r="S472" s="103"/>
      <c r="T472" s="103"/>
      <c r="U472" s="103"/>
      <c r="V472" s="103"/>
      <c r="W472" s="103"/>
      <c r="X472" s="103"/>
      <c r="Y472" s="103"/>
      <c r="Z472" s="103"/>
    </row>
    <row r="473" spans="1:26" ht="14.25" customHeight="1">
      <c r="A473" s="103"/>
      <c r="B473" s="103"/>
      <c r="C473" s="103"/>
      <c r="D473" s="103"/>
      <c r="E473" s="103"/>
      <c r="F473" s="103"/>
      <c r="G473" s="103"/>
      <c r="H473" s="103"/>
      <c r="I473" s="103"/>
      <c r="J473" s="103"/>
      <c r="K473" s="103"/>
      <c r="L473" s="103"/>
      <c r="M473" s="103"/>
      <c r="N473" s="103"/>
      <c r="O473" s="103"/>
      <c r="P473" s="103"/>
      <c r="Q473" s="103"/>
      <c r="R473" s="103"/>
      <c r="S473" s="103"/>
      <c r="T473" s="103"/>
      <c r="U473" s="103"/>
      <c r="V473" s="103"/>
      <c r="W473" s="103"/>
      <c r="X473" s="103"/>
      <c r="Y473" s="103"/>
      <c r="Z473" s="103"/>
    </row>
    <row r="474" spans="1:26" ht="14.25" customHeight="1">
      <c r="A474" s="103"/>
      <c r="B474" s="103"/>
      <c r="C474" s="103"/>
      <c r="D474" s="103"/>
      <c r="E474" s="103"/>
      <c r="F474" s="103"/>
      <c r="G474" s="103"/>
      <c r="H474" s="103"/>
      <c r="I474" s="103"/>
      <c r="J474" s="103"/>
      <c r="K474" s="103"/>
      <c r="L474" s="103"/>
      <c r="M474" s="103"/>
      <c r="N474" s="103"/>
      <c r="O474" s="103"/>
      <c r="P474" s="103"/>
      <c r="Q474" s="103"/>
      <c r="R474" s="103"/>
      <c r="S474" s="103"/>
      <c r="T474" s="103"/>
      <c r="U474" s="103"/>
      <c r="V474" s="103"/>
      <c r="W474" s="103"/>
      <c r="X474" s="103"/>
      <c r="Y474" s="103"/>
      <c r="Z474" s="103"/>
    </row>
    <row r="475" spans="1:26" ht="14.25" customHeight="1">
      <c r="A475" s="103"/>
      <c r="B475" s="103"/>
      <c r="C475" s="103"/>
      <c r="D475" s="103"/>
      <c r="E475" s="103"/>
      <c r="F475" s="103"/>
      <c r="G475" s="103"/>
      <c r="H475" s="103"/>
      <c r="I475" s="103"/>
      <c r="J475" s="103"/>
      <c r="K475" s="103"/>
      <c r="L475" s="103"/>
      <c r="M475" s="103"/>
      <c r="N475" s="103"/>
      <c r="O475" s="103"/>
      <c r="P475" s="103"/>
      <c r="Q475" s="103"/>
      <c r="R475" s="103"/>
      <c r="S475" s="103"/>
      <c r="T475" s="103"/>
      <c r="U475" s="103"/>
      <c r="V475" s="103"/>
      <c r="W475" s="103"/>
      <c r="X475" s="103"/>
      <c r="Y475" s="103"/>
      <c r="Z475" s="103"/>
    </row>
    <row r="476" spans="1:26" ht="14.25" customHeight="1">
      <c r="A476" s="103"/>
      <c r="B476" s="103"/>
      <c r="C476" s="103"/>
      <c r="D476" s="103"/>
      <c r="E476" s="103"/>
      <c r="F476" s="103"/>
      <c r="G476" s="103"/>
      <c r="H476" s="103"/>
      <c r="I476" s="103"/>
      <c r="J476" s="103"/>
      <c r="K476" s="103"/>
      <c r="L476" s="103"/>
      <c r="M476" s="103"/>
      <c r="N476" s="103"/>
      <c r="O476" s="103"/>
      <c r="P476" s="103"/>
      <c r="Q476" s="103"/>
      <c r="R476" s="103"/>
      <c r="S476" s="103"/>
      <c r="T476" s="103"/>
      <c r="U476" s="103"/>
      <c r="V476" s="103"/>
      <c r="W476" s="103"/>
      <c r="X476" s="103"/>
      <c r="Y476" s="103"/>
      <c r="Z476" s="103"/>
    </row>
    <row r="477" spans="1:26" ht="14.25" customHeight="1">
      <c r="A477" s="103"/>
      <c r="B477" s="103"/>
      <c r="C477" s="103"/>
      <c r="D477" s="103"/>
      <c r="E477" s="103"/>
      <c r="F477" s="103"/>
      <c r="G477" s="103"/>
      <c r="H477" s="103"/>
      <c r="I477" s="103"/>
      <c r="J477" s="103"/>
      <c r="K477" s="103"/>
      <c r="L477" s="103"/>
      <c r="M477" s="103"/>
      <c r="N477" s="103"/>
      <c r="O477" s="103"/>
      <c r="P477" s="103"/>
      <c r="Q477" s="103"/>
      <c r="R477" s="103"/>
      <c r="S477" s="103"/>
      <c r="T477" s="103"/>
      <c r="U477" s="103"/>
      <c r="V477" s="103"/>
      <c r="W477" s="103"/>
      <c r="X477" s="103"/>
      <c r="Y477" s="103"/>
      <c r="Z477" s="103"/>
    </row>
    <row r="478" spans="1:26" ht="14.25" customHeight="1">
      <c r="A478" s="103"/>
      <c r="B478" s="103"/>
      <c r="C478" s="103"/>
      <c r="D478" s="103"/>
      <c r="E478" s="103"/>
      <c r="F478" s="103"/>
      <c r="G478" s="103"/>
      <c r="H478" s="103"/>
      <c r="I478" s="103"/>
      <c r="J478" s="103"/>
      <c r="K478" s="103"/>
      <c r="L478" s="103"/>
      <c r="M478" s="103"/>
      <c r="N478" s="103"/>
      <c r="O478" s="103"/>
      <c r="P478" s="103"/>
      <c r="Q478" s="103"/>
      <c r="R478" s="103"/>
      <c r="S478" s="103"/>
      <c r="T478" s="103"/>
      <c r="U478" s="103"/>
      <c r="V478" s="103"/>
      <c r="W478" s="103"/>
      <c r="X478" s="103"/>
      <c r="Y478" s="103"/>
      <c r="Z478" s="103"/>
    </row>
    <row r="479" spans="1:26" ht="14.25" customHeight="1">
      <c r="A479" s="103"/>
      <c r="B479" s="103"/>
      <c r="C479" s="103"/>
      <c r="D479" s="103"/>
      <c r="E479" s="103"/>
      <c r="F479" s="103"/>
      <c r="G479" s="103"/>
      <c r="H479" s="103"/>
      <c r="I479" s="103"/>
      <c r="J479" s="103"/>
      <c r="K479" s="103"/>
      <c r="L479" s="103"/>
      <c r="M479" s="103"/>
      <c r="N479" s="103"/>
      <c r="O479" s="103"/>
      <c r="P479" s="103"/>
      <c r="Q479" s="103"/>
      <c r="R479" s="103"/>
      <c r="S479" s="103"/>
      <c r="T479" s="103"/>
      <c r="U479" s="103"/>
      <c r="V479" s="103"/>
      <c r="W479" s="103"/>
      <c r="X479" s="103"/>
      <c r="Y479" s="103"/>
      <c r="Z479" s="103"/>
    </row>
    <row r="480" spans="1:26" ht="14.25" customHeight="1">
      <c r="A480" s="103"/>
      <c r="B480" s="103"/>
      <c r="C480" s="103"/>
      <c r="D480" s="103"/>
      <c r="E480" s="103"/>
      <c r="F480" s="103"/>
      <c r="G480" s="103"/>
      <c r="H480" s="103"/>
      <c r="I480" s="103"/>
      <c r="J480" s="103"/>
      <c r="K480" s="103"/>
      <c r="L480" s="103"/>
      <c r="M480" s="103"/>
      <c r="N480" s="103"/>
      <c r="O480" s="103"/>
      <c r="P480" s="103"/>
      <c r="Q480" s="103"/>
      <c r="R480" s="103"/>
      <c r="S480" s="103"/>
      <c r="T480" s="103"/>
      <c r="U480" s="103"/>
      <c r="V480" s="103"/>
      <c r="W480" s="103"/>
      <c r="X480" s="103"/>
      <c r="Y480" s="103"/>
      <c r="Z480" s="103"/>
    </row>
    <row r="481" spans="1:26" ht="14.25" customHeight="1">
      <c r="A481" s="103"/>
      <c r="B481" s="103"/>
      <c r="C481" s="103"/>
      <c r="D481" s="103"/>
      <c r="E481" s="103"/>
      <c r="F481" s="103"/>
      <c r="G481" s="103"/>
      <c r="H481" s="103"/>
      <c r="I481" s="103"/>
      <c r="J481" s="103"/>
      <c r="K481" s="103"/>
      <c r="L481" s="103"/>
      <c r="M481" s="103"/>
      <c r="N481" s="103"/>
      <c r="O481" s="103"/>
      <c r="P481" s="103"/>
      <c r="Q481" s="103"/>
      <c r="R481" s="103"/>
      <c r="S481" s="103"/>
      <c r="T481" s="103"/>
      <c r="U481" s="103"/>
      <c r="V481" s="103"/>
      <c r="W481" s="103"/>
      <c r="X481" s="103"/>
      <c r="Y481" s="103"/>
      <c r="Z481" s="103"/>
    </row>
    <row r="482" spans="1:26" ht="14.25" customHeight="1">
      <c r="A482" s="103"/>
      <c r="B482" s="103"/>
      <c r="C482" s="103"/>
      <c r="D482" s="103"/>
      <c r="E482" s="103"/>
      <c r="F482" s="103"/>
      <c r="G482" s="103"/>
      <c r="H482" s="103"/>
      <c r="I482" s="103"/>
      <c r="J482" s="103"/>
      <c r="K482" s="103"/>
      <c r="L482" s="103"/>
      <c r="M482" s="103"/>
      <c r="N482" s="103"/>
      <c r="O482" s="103"/>
      <c r="P482" s="103"/>
      <c r="Q482" s="103"/>
      <c r="R482" s="103"/>
      <c r="S482" s="103"/>
      <c r="T482" s="103"/>
      <c r="U482" s="103"/>
      <c r="V482" s="103"/>
      <c r="W482" s="103"/>
      <c r="X482" s="103"/>
      <c r="Y482" s="103"/>
      <c r="Z482" s="103"/>
    </row>
    <row r="483" spans="1:26" ht="14.25" customHeight="1">
      <c r="A483" s="103"/>
      <c r="B483" s="103"/>
      <c r="C483" s="103"/>
      <c r="D483" s="103"/>
      <c r="E483" s="103"/>
      <c r="F483" s="103"/>
      <c r="G483" s="103"/>
      <c r="H483" s="103"/>
      <c r="I483" s="103"/>
      <c r="J483" s="103"/>
      <c r="K483" s="103"/>
      <c r="L483" s="103"/>
      <c r="M483" s="103"/>
      <c r="N483" s="103"/>
      <c r="O483" s="103"/>
      <c r="P483" s="103"/>
      <c r="Q483" s="103"/>
      <c r="R483" s="103"/>
      <c r="S483" s="103"/>
      <c r="T483" s="103"/>
      <c r="U483" s="103"/>
      <c r="V483" s="103"/>
      <c r="W483" s="103"/>
      <c r="X483" s="103"/>
      <c r="Y483" s="103"/>
      <c r="Z483" s="103"/>
    </row>
    <row r="484" spans="1:26" ht="14.25" customHeight="1">
      <c r="A484" s="103"/>
      <c r="B484" s="103"/>
      <c r="C484" s="103"/>
      <c r="D484" s="103"/>
      <c r="E484" s="103"/>
      <c r="F484" s="103"/>
      <c r="G484" s="103"/>
      <c r="H484" s="103"/>
      <c r="I484" s="103"/>
      <c r="J484" s="103"/>
      <c r="K484" s="103"/>
      <c r="L484" s="103"/>
      <c r="M484" s="103"/>
      <c r="N484" s="103"/>
      <c r="O484" s="103"/>
      <c r="P484" s="103"/>
      <c r="Q484" s="103"/>
      <c r="R484" s="103"/>
      <c r="S484" s="103"/>
      <c r="T484" s="103"/>
      <c r="U484" s="103"/>
      <c r="V484" s="103"/>
      <c r="W484" s="103"/>
      <c r="X484" s="103"/>
      <c r="Y484" s="103"/>
      <c r="Z484" s="103"/>
    </row>
    <row r="485" spans="1:26" ht="14.25" customHeight="1">
      <c r="A485" s="103"/>
      <c r="B485" s="103"/>
      <c r="C485" s="103"/>
      <c r="D485" s="103"/>
      <c r="E485" s="103"/>
      <c r="F485" s="103"/>
      <c r="G485" s="103"/>
      <c r="H485" s="103"/>
      <c r="I485" s="103"/>
      <c r="J485" s="103"/>
      <c r="K485" s="103"/>
      <c r="L485" s="103"/>
      <c r="M485" s="103"/>
      <c r="N485" s="103"/>
      <c r="O485" s="103"/>
      <c r="P485" s="103"/>
      <c r="Q485" s="103"/>
      <c r="R485" s="103"/>
      <c r="S485" s="103"/>
      <c r="T485" s="103"/>
      <c r="U485" s="103"/>
      <c r="V485" s="103"/>
      <c r="W485" s="103"/>
      <c r="X485" s="103"/>
      <c r="Y485" s="103"/>
      <c r="Z485" s="103"/>
    </row>
    <row r="486" spans="1:26" ht="14.25" customHeight="1">
      <c r="A486" s="103"/>
      <c r="B486" s="103"/>
      <c r="C486" s="103"/>
      <c r="D486" s="103"/>
      <c r="E486" s="103"/>
      <c r="F486" s="103"/>
      <c r="G486" s="103"/>
      <c r="H486" s="103"/>
      <c r="I486" s="103"/>
      <c r="J486" s="103"/>
      <c r="K486" s="103"/>
      <c r="L486" s="103"/>
      <c r="M486" s="103"/>
      <c r="N486" s="103"/>
      <c r="O486" s="103"/>
      <c r="P486" s="103"/>
      <c r="Q486" s="103"/>
      <c r="R486" s="103"/>
      <c r="S486" s="103"/>
      <c r="T486" s="103"/>
      <c r="U486" s="103"/>
      <c r="V486" s="103"/>
      <c r="W486" s="103"/>
      <c r="X486" s="103"/>
      <c r="Y486" s="103"/>
      <c r="Z486" s="103"/>
    </row>
    <row r="487" spans="1:26" ht="14.25" customHeight="1">
      <c r="A487" s="103"/>
      <c r="B487" s="103"/>
      <c r="C487" s="103"/>
      <c r="D487" s="103"/>
      <c r="E487" s="103"/>
      <c r="F487" s="103"/>
      <c r="G487" s="103"/>
      <c r="H487" s="103"/>
      <c r="I487" s="103"/>
      <c r="J487" s="103"/>
      <c r="K487" s="103"/>
      <c r="L487" s="103"/>
      <c r="M487" s="103"/>
      <c r="N487" s="103"/>
      <c r="O487" s="103"/>
      <c r="P487" s="103"/>
      <c r="Q487" s="103"/>
      <c r="R487" s="103"/>
      <c r="S487" s="103"/>
      <c r="T487" s="103"/>
      <c r="U487" s="103"/>
      <c r="V487" s="103"/>
      <c r="W487" s="103"/>
      <c r="X487" s="103"/>
      <c r="Y487" s="103"/>
      <c r="Z487" s="103"/>
    </row>
    <row r="488" spans="1:26" ht="14.25" customHeight="1">
      <c r="A488" s="103"/>
      <c r="B488" s="103"/>
      <c r="C488" s="103"/>
      <c r="D488" s="103"/>
      <c r="E488" s="103"/>
      <c r="F488" s="103"/>
      <c r="G488" s="103"/>
      <c r="H488" s="103"/>
      <c r="I488" s="103"/>
      <c r="J488" s="103"/>
      <c r="K488" s="103"/>
      <c r="L488" s="103"/>
      <c r="M488" s="103"/>
      <c r="N488" s="103"/>
      <c r="O488" s="103"/>
      <c r="P488" s="103"/>
      <c r="Q488" s="103"/>
      <c r="R488" s="103"/>
      <c r="S488" s="103"/>
      <c r="T488" s="103"/>
      <c r="U488" s="103"/>
      <c r="V488" s="103"/>
      <c r="W488" s="103"/>
      <c r="X488" s="103"/>
      <c r="Y488" s="103"/>
      <c r="Z488" s="103"/>
    </row>
    <row r="489" spans="1:26" ht="14.25" customHeight="1">
      <c r="A489" s="103"/>
      <c r="B489" s="103"/>
      <c r="C489" s="103"/>
      <c r="D489" s="103"/>
      <c r="E489" s="103"/>
      <c r="F489" s="103"/>
      <c r="G489" s="103"/>
      <c r="H489" s="103"/>
      <c r="I489" s="103"/>
      <c r="J489" s="103"/>
      <c r="K489" s="103"/>
      <c r="L489" s="103"/>
      <c r="M489" s="103"/>
      <c r="N489" s="103"/>
      <c r="O489" s="103"/>
      <c r="P489" s="103"/>
      <c r="Q489" s="103"/>
      <c r="R489" s="103"/>
      <c r="S489" s="103"/>
      <c r="T489" s="103"/>
      <c r="U489" s="103"/>
      <c r="V489" s="103"/>
      <c r="W489" s="103"/>
      <c r="X489" s="103"/>
      <c r="Y489" s="103"/>
      <c r="Z489" s="103"/>
    </row>
    <row r="490" spans="1:26" ht="14.25" customHeight="1">
      <c r="A490" s="103"/>
      <c r="B490" s="103"/>
      <c r="C490" s="103"/>
      <c r="D490" s="103"/>
      <c r="E490" s="103"/>
      <c r="F490" s="103"/>
      <c r="G490" s="103"/>
      <c r="H490" s="103"/>
      <c r="I490" s="103"/>
      <c r="J490" s="103"/>
      <c r="K490" s="103"/>
      <c r="L490" s="103"/>
      <c r="M490" s="103"/>
      <c r="N490" s="103"/>
      <c r="O490" s="103"/>
      <c r="P490" s="103"/>
      <c r="Q490" s="103"/>
      <c r="R490" s="103"/>
      <c r="S490" s="103"/>
      <c r="T490" s="103"/>
      <c r="U490" s="103"/>
      <c r="V490" s="103"/>
      <c r="W490" s="103"/>
      <c r="X490" s="103"/>
      <c r="Y490" s="103"/>
      <c r="Z490" s="103"/>
    </row>
    <row r="491" spans="1:26" ht="14.25" customHeight="1">
      <c r="A491" s="103"/>
      <c r="B491" s="103"/>
      <c r="C491" s="103"/>
      <c r="D491" s="103"/>
      <c r="E491" s="103"/>
      <c r="F491" s="103"/>
      <c r="G491" s="103"/>
      <c r="H491" s="103"/>
      <c r="I491" s="103"/>
      <c r="J491" s="103"/>
      <c r="K491" s="103"/>
      <c r="L491" s="103"/>
      <c r="M491" s="103"/>
      <c r="N491" s="103"/>
      <c r="O491" s="103"/>
      <c r="P491" s="103"/>
      <c r="Q491" s="103"/>
      <c r="R491" s="103"/>
      <c r="S491" s="103"/>
      <c r="T491" s="103"/>
      <c r="U491" s="103"/>
      <c r="V491" s="103"/>
      <c r="W491" s="103"/>
      <c r="X491" s="103"/>
      <c r="Y491" s="103"/>
      <c r="Z491" s="103"/>
    </row>
    <row r="492" spans="1:26" ht="14.25" customHeight="1">
      <c r="A492" s="103"/>
      <c r="B492" s="103"/>
      <c r="C492" s="103"/>
      <c r="D492" s="103"/>
      <c r="E492" s="103"/>
      <c r="F492" s="103"/>
      <c r="G492" s="103"/>
      <c r="H492" s="103"/>
      <c r="I492" s="103"/>
      <c r="J492" s="103"/>
      <c r="K492" s="103"/>
      <c r="L492" s="103"/>
      <c r="M492" s="103"/>
      <c r="N492" s="103"/>
      <c r="O492" s="103"/>
      <c r="P492" s="103"/>
      <c r="Q492" s="103"/>
      <c r="R492" s="103"/>
      <c r="S492" s="103"/>
      <c r="T492" s="103"/>
      <c r="U492" s="103"/>
      <c r="V492" s="103"/>
      <c r="W492" s="103"/>
      <c r="X492" s="103"/>
      <c r="Y492" s="103"/>
      <c r="Z492" s="103"/>
    </row>
    <row r="493" spans="1:26" ht="14.25" customHeight="1">
      <c r="A493" s="103"/>
      <c r="B493" s="103"/>
      <c r="C493" s="103"/>
      <c r="D493" s="103"/>
      <c r="E493" s="103"/>
      <c r="F493" s="103"/>
      <c r="G493" s="103"/>
      <c r="H493" s="103"/>
      <c r="I493" s="103"/>
      <c r="J493" s="103"/>
      <c r="K493" s="103"/>
      <c r="L493" s="103"/>
      <c r="M493" s="103"/>
      <c r="N493" s="103"/>
      <c r="O493" s="103"/>
      <c r="P493" s="103"/>
      <c r="Q493" s="103"/>
      <c r="R493" s="103"/>
      <c r="S493" s="103"/>
      <c r="T493" s="103"/>
      <c r="U493" s="103"/>
      <c r="V493" s="103"/>
      <c r="W493" s="103"/>
      <c r="X493" s="103"/>
      <c r="Y493" s="103"/>
      <c r="Z493" s="103"/>
    </row>
    <row r="494" spans="1:26" ht="14.25" customHeight="1">
      <c r="A494" s="103"/>
      <c r="B494" s="103"/>
      <c r="C494" s="103"/>
      <c r="D494" s="103"/>
      <c r="E494" s="103"/>
      <c r="F494" s="103"/>
      <c r="G494" s="103"/>
      <c r="H494" s="103"/>
      <c r="I494" s="103"/>
      <c r="J494" s="103"/>
      <c r="K494" s="103"/>
      <c r="L494" s="103"/>
      <c r="M494" s="103"/>
      <c r="N494" s="103"/>
      <c r="O494" s="103"/>
      <c r="P494" s="103"/>
      <c r="Q494" s="103"/>
      <c r="R494" s="103"/>
      <c r="S494" s="103"/>
      <c r="T494" s="103"/>
      <c r="U494" s="103"/>
      <c r="V494" s="103"/>
      <c r="W494" s="103"/>
      <c r="X494" s="103"/>
      <c r="Y494" s="103"/>
      <c r="Z494" s="103"/>
    </row>
    <row r="495" spans="1:26" ht="14.25" customHeight="1">
      <c r="A495" s="103"/>
      <c r="B495" s="103"/>
      <c r="C495" s="103"/>
      <c r="D495" s="103"/>
      <c r="E495" s="103"/>
      <c r="F495" s="103"/>
      <c r="G495" s="103"/>
      <c r="H495" s="103"/>
      <c r="I495" s="103"/>
      <c r="J495" s="103"/>
      <c r="K495" s="103"/>
      <c r="L495" s="103"/>
      <c r="M495" s="103"/>
      <c r="N495" s="103"/>
      <c r="O495" s="103"/>
      <c r="P495" s="103"/>
      <c r="Q495" s="103"/>
      <c r="R495" s="103"/>
      <c r="S495" s="103"/>
      <c r="T495" s="103"/>
      <c r="U495" s="103"/>
      <c r="V495" s="103"/>
      <c r="W495" s="103"/>
      <c r="X495" s="103"/>
      <c r="Y495" s="103"/>
      <c r="Z495" s="103"/>
    </row>
    <row r="496" spans="1:26" ht="14.25" customHeight="1">
      <c r="A496" s="103"/>
      <c r="B496" s="103"/>
      <c r="C496" s="103"/>
      <c r="D496" s="103"/>
      <c r="E496" s="103"/>
      <c r="F496" s="103"/>
      <c r="G496" s="103"/>
      <c r="H496" s="103"/>
      <c r="I496" s="103"/>
      <c r="J496" s="103"/>
      <c r="K496" s="103"/>
      <c r="L496" s="103"/>
      <c r="M496" s="103"/>
      <c r="N496" s="103"/>
      <c r="O496" s="103"/>
      <c r="P496" s="103"/>
      <c r="Q496" s="103"/>
      <c r="R496" s="103"/>
      <c r="S496" s="103"/>
      <c r="T496" s="103"/>
      <c r="U496" s="103"/>
      <c r="V496" s="103"/>
      <c r="W496" s="103"/>
      <c r="X496" s="103"/>
      <c r="Y496" s="103"/>
      <c r="Z496" s="103"/>
    </row>
    <row r="497" spans="1:26" ht="14.25" customHeight="1">
      <c r="A497" s="103"/>
      <c r="B497" s="103"/>
      <c r="C497" s="103"/>
      <c r="D497" s="103"/>
      <c r="E497" s="103"/>
      <c r="F497" s="103"/>
      <c r="G497" s="103"/>
      <c r="H497" s="103"/>
      <c r="I497" s="103"/>
      <c r="J497" s="103"/>
      <c r="K497" s="103"/>
      <c r="L497" s="103"/>
      <c r="M497" s="103"/>
      <c r="N497" s="103"/>
      <c r="O497" s="103"/>
      <c r="P497" s="103"/>
      <c r="Q497" s="103"/>
      <c r="R497" s="103"/>
      <c r="S497" s="103"/>
      <c r="T497" s="103"/>
      <c r="U497" s="103"/>
      <c r="V497" s="103"/>
      <c r="W497" s="103"/>
      <c r="X497" s="103"/>
      <c r="Y497" s="103"/>
      <c r="Z497" s="103"/>
    </row>
    <row r="498" spans="1:26" ht="14.25" customHeight="1">
      <c r="A498" s="103"/>
      <c r="B498" s="103"/>
      <c r="C498" s="103"/>
      <c r="D498" s="103"/>
      <c r="E498" s="103"/>
      <c r="F498" s="103"/>
      <c r="G498" s="103"/>
      <c r="H498" s="103"/>
      <c r="I498" s="103"/>
      <c r="J498" s="103"/>
      <c r="K498" s="103"/>
      <c r="L498" s="103"/>
      <c r="M498" s="103"/>
      <c r="N498" s="103"/>
      <c r="O498" s="103"/>
      <c r="P498" s="103"/>
      <c r="Q498" s="103"/>
      <c r="R498" s="103"/>
      <c r="S498" s="103"/>
      <c r="T498" s="103"/>
      <c r="U498" s="103"/>
      <c r="V498" s="103"/>
      <c r="W498" s="103"/>
      <c r="X498" s="103"/>
      <c r="Y498" s="103"/>
      <c r="Z498" s="103"/>
    </row>
    <row r="499" spans="1:26" ht="14.25" customHeight="1">
      <c r="A499" s="103"/>
      <c r="B499" s="103"/>
      <c r="C499" s="103"/>
      <c r="D499" s="103"/>
      <c r="E499" s="103"/>
      <c r="F499" s="103"/>
      <c r="G499" s="103"/>
      <c r="H499" s="103"/>
      <c r="I499" s="103"/>
      <c r="J499" s="103"/>
      <c r="K499" s="103"/>
      <c r="L499" s="103"/>
      <c r="M499" s="103"/>
      <c r="N499" s="103"/>
      <c r="O499" s="103"/>
      <c r="P499" s="103"/>
      <c r="Q499" s="103"/>
      <c r="R499" s="103"/>
      <c r="S499" s="103"/>
      <c r="T499" s="103"/>
      <c r="U499" s="103"/>
      <c r="V499" s="103"/>
      <c r="W499" s="103"/>
      <c r="X499" s="103"/>
      <c r="Y499" s="103"/>
      <c r="Z499" s="103"/>
    </row>
    <row r="500" spans="1:26" ht="14.25" customHeight="1">
      <c r="A500" s="103"/>
      <c r="B500" s="103"/>
      <c r="C500" s="103"/>
      <c r="D500" s="103"/>
      <c r="E500" s="103"/>
      <c r="F500" s="103"/>
      <c r="G500" s="103"/>
      <c r="H500" s="103"/>
      <c r="I500" s="103"/>
      <c r="J500" s="103"/>
      <c r="K500" s="103"/>
      <c r="L500" s="103"/>
      <c r="M500" s="103"/>
      <c r="N500" s="103"/>
      <c r="O500" s="103"/>
      <c r="P500" s="103"/>
      <c r="Q500" s="103"/>
      <c r="R500" s="103"/>
      <c r="S500" s="103"/>
      <c r="T500" s="103"/>
      <c r="U500" s="103"/>
      <c r="V500" s="103"/>
      <c r="W500" s="103"/>
      <c r="X500" s="103"/>
      <c r="Y500" s="103"/>
      <c r="Z500" s="103"/>
    </row>
    <row r="501" spans="1:26" ht="14.25" customHeight="1">
      <c r="A501" s="103"/>
      <c r="B501" s="103"/>
      <c r="C501" s="103"/>
      <c r="D501" s="103"/>
      <c r="E501" s="103"/>
      <c r="F501" s="103"/>
      <c r="G501" s="103"/>
      <c r="H501" s="103"/>
      <c r="I501" s="103"/>
      <c r="J501" s="103"/>
      <c r="K501" s="103"/>
      <c r="L501" s="103"/>
      <c r="M501" s="103"/>
      <c r="N501" s="103"/>
      <c r="O501" s="103"/>
      <c r="P501" s="103"/>
      <c r="Q501" s="103"/>
      <c r="R501" s="103"/>
      <c r="S501" s="103"/>
      <c r="T501" s="103"/>
      <c r="U501" s="103"/>
      <c r="V501" s="103"/>
      <c r="W501" s="103"/>
      <c r="X501" s="103"/>
      <c r="Y501" s="103"/>
      <c r="Z501" s="103"/>
    </row>
    <row r="502" spans="1:26" ht="14.25" customHeight="1">
      <c r="A502" s="103"/>
      <c r="B502" s="103"/>
      <c r="C502" s="103"/>
      <c r="D502" s="103"/>
      <c r="E502" s="103"/>
      <c r="F502" s="103"/>
      <c r="G502" s="103"/>
      <c r="H502" s="103"/>
      <c r="I502" s="103"/>
      <c r="J502" s="103"/>
      <c r="K502" s="103"/>
      <c r="L502" s="103"/>
      <c r="M502" s="103"/>
      <c r="N502" s="103"/>
      <c r="O502" s="103"/>
      <c r="P502" s="103"/>
      <c r="Q502" s="103"/>
      <c r="R502" s="103"/>
      <c r="S502" s="103"/>
      <c r="T502" s="103"/>
      <c r="U502" s="103"/>
      <c r="V502" s="103"/>
      <c r="W502" s="103"/>
      <c r="X502" s="103"/>
      <c r="Y502" s="103"/>
      <c r="Z502" s="103"/>
    </row>
    <row r="503" spans="1:26" ht="14.25" customHeight="1">
      <c r="A503" s="103"/>
      <c r="B503" s="103"/>
      <c r="C503" s="103"/>
      <c r="D503" s="103"/>
      <c r="E503" s="103"/>
      <c r="F503" s="103"/>
      <c r="G503" s="103"/>
      <c r="H503" s="103"/>
      <c r="I503" s="103"/>
      <c r="J503" s="103"/>
      <c r="K503" s="103"/>
      <c r="L503" s="103"/>
      <c r="M503" s="103"/>
      <c r="N503" s="103"/>
      <c r="O503" s="103"/>
      <c r="P503" s="103"/>
      <c r="Q503" s="103"/>
      <c r="R503" s="103"/>
      <c r="S503" s="103"/>
      <c r="T503" s="103"/>
      <c r="U503" s="103"/>
      <c r="V503" s="103"/>
      <c r="W503" s="103"/>
      <c r="X503" s="103"/>
      <c r="Y503" s="103"/>
      <c r="Z503" s="103"/>
    </row>
    <row r="504" spans="1:26" ht="14.25" customHeight="1">
      <c r="A504" s="103"/>
      <c r="B504" s="103"/>
      <c r="C504" s="103"/>
      <c r="D504" s="103"/>
      <c r="E504" s="103"/>
      <c r="F504" s="103"/>
      <c r="G504" s="103"/>
      <c r="H504" s="103"/>
      <c r="I504" s="103"/>
      <c r="J504" s="103"/>
      <c r="K504" s="103"/>
      <c r="L504" s="103"/>
      <c r="M504" s="103"/>
      <c r="N504" s="103"/>
      <c r="O504" s="103"/>
      <c r="P504" s="103"/>
      <c r="Q504" s="103"/>
      <c r="R504" s="103"/>
      <c r="S504" s="103"/>
      <c r="T504" s="103"/>
      <c r="U504" s="103"/>
      <c r="V504" s="103"/>
      <c r="W504" s="103"/>
      <c r="X504" s="103"/>
      <c r="Y504" s="103"/>
      <c r="Z504" s="103"/>
    </row>
    <row r="505" spans="1:26" ht="14.25" customHeight="1">
      <c r="A505" s="103"/>
      <c r="B505" s="103"/>
      <c r="C505" s="103"/>
      <c r="D505" s="103"/>
      <c r="E505" s="103"/>
      <c r="F505" s="103"/>
      <c r="G505" s="103"/>
      <c r="H505" s="103"/>
      <c r="I505" s="103"/>
      <c r="J505" s="103"/>
      <c r="K505" s="103"/>
      <c r="L505" s="103"/>
      <c r="M505" s="103"/>
      <c r="N505" s="103"/>
      <c r="O505" s="103"/>
      <c r="P505" s="103"/>
      <c r="Q505" s="103"/>
      <c r="R505" s="103"/>
      <c r="S505" s="103"/>
      <c r="T505" s="103"/>
      <c r="U505" s="103"/>
      <c r="V505" s="103"/>
      <c r="W505" s="103"/>
      <c r="X505" s="103"/>
      <c r="Y505" s="103"/>
      <c r="Z505" s="103"/>
    </row>
    <row r="506" spans="1:26" ht="14.25" customHeight="1">
      <c r="A506" s="103"/>
      <c r="B506" s="103"/>
      <c r="C506" s="103"/>
      <c r="D506" s="103"/>
      <c r="E506" s="103"/>
      <c r="F506" s="103"/>
      <c r="G506" s="103"/>
      <c r="H506" s="103"/>
      <c r="I506" s="103"/>
      <c r="J506" s="103"/>
      <c r="K506" s="103"/>
      <c r="L506" s="103"/>
      <c r="M506" s="103"/>
      <c r="N506" s="103"/>
      <c r="O506" s="103"/>
      <c r="P506" s="103"/>
      <c r="Q506" s="103"/>
      <c r="R506" s="103"/>
      <c r="S506" s="103"/>
      <c r="T506" s="103"/>
      <c r="U506" s="103"/>
      <c r="V506" s="103"/>
      <c r="W506" s="103"/>
      <c r="X506" s="103"/>
      <c r="Y506" s="103"/>
      <c r="Z506" s="103"/>
    </row>
    <row r="507" spans="1:26" ht="14.25" customHeight="1">
      <c r="A507" s="103"/>
      <c r="B507" s="103"/>
      <c r="C507" s="103"/>
      <c r="D507" s="103"/>
      <c r="E507" s="103"/>
      <c r="F507" s="103"/>
      <c r="G507" s="103"/>
      <c r="H507" s="103"/>
      <c r="I507" s="103"/>
      <c r="J507" s="103"/>
      <c r="K507" s="103"/>
      <c r="L507" s="103"/>
      <c r="M507" s="103"/>
      <c r="N507" s="103"/>
      <c r="O507" s="103"/>
      <c r="P507" s="103"/>
      <c r="Q507" s="103"/>
      <c r="R507" s="103"/>
      <c r="S507" s="103"/>
      <c r="T507" s="103"/>
      <c r="U507" s="103"/>
      <c r="V507" s="103"/>
      <c r="W507" s="103"/>
      <c r="X507" s="103"/>
      <c r="Y507" s="103"/>
      <c r="Z507" s="103"/>
    </row>
    <row r="508" spans="1:26" ht="14.25" customHeight="1">
      <c r="A508" s="103"/>
      <c r="B508" s="103"/>
      <c r="C508" s="103"/>
      <c r="D508" s="103"/>
      <c r="E508" s="103"/>
      <c r="F508" s="103"/>
      <c r="G508" s="103"/>
      <c r="H508" s="103"/>
      <c r="I508" s="103"/>
      <c r="J508" s="103"/>
      <c r="K508" s="103"/>
      <c r="L508" s="103"/>
      <c r="M508" s="103"/>
      <c r="N508" s="103"/>
      <c r="O508" s="103"/>
      <c r="P508" s="103"/>
      <c r="Q508" s="103"/>
      <c r="R508" s="103"/>
      <c r="S508" s="103"/>
      <c r="T508" s="103"/>
      <c r="U508" s="103"/>
      <c r="V508" s="103"/>
      <c r="W508" s="103"/>
      <c r="X508" s="103"/>
      <c r="Y508" s="103"/>
      <c r="Z508" s="103"/>
    </row>
    <row r="509" spans="1:26" ht="14.25" customHeight="1">
      <c r="A509" s="103"/>
      <c r="B509" s="103"/>
      <c r="C509" s="103"/>
      <c r="D509" s="103"/>
      <c r="E509" s="103"/>
      <c r="F509" s="103"/>
      <c r="G509" s="103"/>
      <c r="H509" s="103"/>
      <c r="I509" s="103"/>
      <c r="J509" s="103"/>
      <c r="K509" s="103"/>
      <c r="L509" s="103"/>
      <c r="M509" s="103"/>
      <c r="N509" s="103"/>
      <c r="O509" s="103"/>
      <c r="P509" s="103"/>
      <c r="Q509" s="103"/>
      <c r="R509" s="103"/>
      <c r="S509" s="103"/>
      <c r="T509" s="103"/>
      <c r="U509" s="103"/>
      <c r="V509" s="103"/>
      <c r="W509" s="103"/>
      <c r="X509" s="103"/>
      <c r="Y509" s="103"/>
      <c r="Z509" s="103"/>
    </row>
    <row r="510" spans="1:26" ht="14.25" customHeight="1">
      <c r="A510" s="103"/>
      <c r="B510" s="103"/>
      <c r="C510" s="103"/>
      <c r="D510" s="103"/>
      <c r="E510" s="103"/>
      <c r="F510" s="103"/>
      <c r="G510" s="103"/>
      <c r="H510" s="103"/>
      <c r="I510" s="103"/>
      <c r="J510" s="103"/>
      <c r="K510" s="103"/>
      <c r="L510" s="103"/>
      <c r="M510" s="103"/>
      <c r="N510" s="103"/>
      <c r="O510" s="103"/>
      <c r="P510" s="103"/>
      <c r="Q510" s="103"/>
      <c r="R510" s="103"/>
      <c r="S510" s="103"/>
      <c r="T510" s="103"/>
      <c r="U510" s="103"/>
      <c r="V510" s="103"/>
      <c r="W510" s="103"/>
      <c r="X510" s="103"/>
      <c r="Y510" s="103"/>
      <c r="Z510" s="103"/>
    </row>
    <row r="511" spans="1:26" ht="14.25" customHeight="1">
      <c r="A511" s="103"/>
      <c r="B511" s="103"/>
      <c r="C511" s="103"/>
      <c r="D511" s="103"/>
      <c r="E511" s="103"/>
      <c r="F511" s="103"/>
      <c r="G511" s="103"/>
      <c r="H511" s="103"/>
      <c r="I511" s="103"/>
      <c r="J511" s="103"/>
      <c r="K511" s="103"/>
      <c r="L511" s="103"/>
      <c r="M511" s="103"/>
      <c r="N511" s="103"/>
      <c r="O511" s="103"/>
      <c r="P511" s="103"/>
      <c r="Q511" s="103"/>
      <c r="R511" s="103"/>
      <c r="S511" s="103"/>
      <c r="T511" s="103"/>
      <c r="U511" s="103"/>
      <c r="V511" s="103"/>
      <c r="W511" s="103"/>
      <c r="X511" s="103"/>
      <c r="Y511" s="103"/>
      <c r="Z511" s="103"/>
    </row>
    <row r="512" spans="1:26" ht="14.25" customHeight="1">
      <c r="A512" s="103"/>
      <c r="B512" s="103"/>
      <c r="C512" s="103"/>
      <c r="D512" s="103"/>
      <c r="E512" s="103"/>
      <c r="F512" s="103"/>
      <c r="G512" s="103"/>
      <c r="H512" s="103"/>
      <c r="I512" s="103"/>
      <c r="J512" s="103"/>
      <c r="K512" s="103"/>
      <c r="L512" s="103"/>
      <c r="M512" s="103"/>
      <c r="N512" s="103"/>
      <c r="O512" s="103"/>
      <c r="P512" s="103"/>
      <c r="Q512" s="103"/>
      <c r="R512" s="103"/>
      <c r="S512" s="103"/>
      <c r="T512" s="103"/>
      <c r="U512" s="103"/>
      <c r="V512" s="103"/>
      <c r="W512" s="103"/>
      <c r="X512" s="103"/>
      <c r="Y512" s="103"/>
      <c r="Z512" s="103"/>
    </row>
    <row r="513" spans="1:26" ht="14.25" customHeight="1">
      <c r="A513" s="103"/>
      <c r="B513" s="103"/>
      <c r="C513" s="103"/>
      <c r="D513" s="103"/>
      <c r="E513" s="103"/>
      <c r="F513" s="103"/>
      <c r="G513" s="103"/>
      <c r="H513" s="103"/>
      <c r="I513" s="103"/>
      <c r="J513" s="103"/>
      <c r="K513" s="103"/>
      <c r="L513" s="103"/>
      <c r="M513" s="103"/>
      <c r="N513" s="103"/>
      <c r="O513" s="103"/>
      <c r="P513" s="103"/>
      <c r="Q513" s="103"/>
      <c r="R513" s="103"/>
      <c r="S513" s="103"/>
      <c r="T513" s="103"/>
      <c r="U513" s="103"/>
      <c r="V513" s="103"/>
      <c r="W513" s="103"/>
      <c r="X513" s="103"/>
      <c r="Y513" s="103"/>
      <c r="Z513" s="103"/>
    </row>
    <row r="514" spans="1:26" ht="14.25" customHeight="1">
      <c r="A514" s="103"/>
      <c r="B514" s="103"/>
      <c r="C514" s="103"/>
      <c r="D514" s="103"/>
      <c r="E514" s="103"/>
      <c r="F514" s="103"/>
      <c r="G514" s="103"/>
      <c r="H514" s="103"/>
      <c r="I514" s="103"/>
      <c r="J514" s="103"/>
      <c r="K514" s="103"/>
      <c r="L514" s="103"/>
      <c r="M514" s="103"/>
      <c r="N514" s="103"/>
      <c r="O514" s="103"/>
      <c r="P514" s="103"/>
      <c r="Q514" s="103"/>
      <c r="R514" s="103"/>
      <c r="S514" s="103"/>
      <c r="T514" s="103"/>
      <c r="U514" s="103"/>
      <c r="V514" s="103"/>
      <c r="W514" s="103"/>
      <c r="X514" s="103"/>
      <c r="Y514" s="103"/>
      <c r="Z514" s="103"/>
    </row>
    <row r="515" spans="1:26" ht="14.25" customHeight="1">
      <c r="A515" s="103"/>
      <c r="B515" s="103"/>
      <c r="C515" s="103"/>
      <c r="D515" s="103"/>
      <c r="E515" s="103"/>
      <c r="F515" s="103"/>
      <c r="G515" s="103"/>
      <c r="H515" s="103"/>
      <c r="I515" s="103"/>
      <c r="J515" s="103"/>
      <c r="K515" s="103"/>
      <c r="L515" s="103"/>
      <c r="M515" s="103"/>
      <c r="N515" s="103"/>
      <c r="O515" s="103"/>
      <c r="P515" s="103"/>
      <c r="Q515" s="103"/>
      <c r="R515" s="103"/>
      <c r="S515" s="103"/>
      <c r="T515" s="103"/>
      <c r="U515" s="103"/>
      <c r="V515" s="103"/>
      <c r="W515" s="103"/>
      <c r="X515" s="103"/>
      <c r="Y515" s="103"/>
      <c r="Z515" s="103"/>
    </row>
    <row r="516" spans="1:26" ht="14.25" customHeight="1">
      <c r="A516" s="103"/>
      <c r="B516" s="103"/>
      <c r="C516" s="103"/>
      <c r="D516" s="103"/>
      <c r="E516" s="103"/>
      <c r="F516" s="103"/>
      <c r="G516" s="103"/>
      <c r="H516" s="103"/>
      <c r="I516" s="103"/>
      <c r="J516" s="103"/>
      <c r="K516" s="103"/>
      <c r="L516" s="103"/>
      <c r="M516" s="103"/>
      <c r="N516" s="103"/>
      <c r="O516" s="103"/>
      <c r="P516" s="103"/>
      <c r="Q516" s="103"/>
      <c r="R516" s="103"/>
      <c r="S516" s="103"/>
      <c r="T516" s="103"/>
      <c r="U516" s="103"/>
      <c r="V516" s="103"/>
      <c r="W516" s="103"/>
      <c r="X516" s="103"/>
      <c r="Y516" s="103"/>
      <c r="Z516" s="103"/>
    </row>
    <row r="517" spans="1:26" ht="14.25" customHeight="1">
      <c r="A517" s="103"/>
      <c r="B517" s="103"/>
      <c r="C517" s="103"/>
      <c r="D517" s="103"/>
      <c r="E517" s="103"/>
      <c r="F517" s="103"/>
      <c r="G517" s="103"/>
      <c r="H517" s="103"/>
      <c r="I517" s="103"/>
      <c r="J517" s="103"/>
      <c r="K517" s="103"/>
      <c r="L517" s="103"/>
      <c r="M517" s="103"/>
      <c r="N517" s="103"/>
      <c r="O517" s="103"/>
      <c r="P517" s="103"/>
      <c r="Q517" s="103"/>
      <c r="R517" s="103"/>
      <c r="S517" s="103"/>
      <c r="T517" s="103"/>
      <c r="U517" s="103"/>
      <c r="V517" s="103"/>
      <c r="W517" s="103"/>
      <c r="X517" s="103"/>
      <c r="Y517" s="103"/>
      <c r="Z517" s="103"/>
    </row>
    <row r="518" spans="1:26" ht="14.25" customHeight="1">
      <c r="A518" s="103"/>
      <c r="B518" s="103"/>
      <c r="C518" s="103"/>
      <c r="D518" s="103"/>
      <c r="E518" s="103"/>
      <c r="F518" s="103"/>
      <c r="G518" s="103"/>
      <c r="H518" s="103"/>
      <c r="I518" s="103"/>
      <c r="J518" s="103"/>
      <c r="K518" s="103"/>
      <c r="L518" s="103"/>
      <c r="M518" s="103"/>
      <c r="N518" s="103"/>
      <c r="O518" s="103"/>
      <c r="P518" s="103"/>
      <c r="Q518" s="103"/>
      <c r="R518" s="103"/>
      <c r="S518" s="103"/>
      <c r="T518" s="103"/>
      <c r="U518" s="103"/>
      <c r="V518" s="103"/>
      <c r="W518" s="103"/>
      <c r="X518" s="103"/>
      <c r="Y518" s="103"/>
      <c r="Z518" s="103"/>
    </row>
    <row r="519" spans="1:26" ht="14.25" customHeight="1">
      <c r="A519" s="103"/>
      <c r="B519" s="103"/>
      <c r="C519" s="103"/>
      <c r="D519" s="103"/>
      <c r="E519" s="103"/>
      <c r="F519" s="103"/>
      <c r="G519" s="103"/>
      <c r="H519" s="103"/>
      <c r="I519" s="103"/>
      <c r="J519" s="103"/>
      <c r="K519" s="103"/>
      <c r="L519" s="103"/>
      <c r="M519" s="103"/>
      <c r="N519" s="103"/>
      <c r="O519" s="103"/>
      <c r="P519" s="103"/>
      <c r="Q519" s="103"/>
      <c r="R519" s="103"/>
      <c r="S519" s="103"/>
      <c r="T519" s="103"/>
      <c r="U519" s="103"/>
      <c r="V519" s="103"/>
      <c r="W519" s="103"/>
      <c r="X519" s="103"/>
      <c r="Y519" s="103"/>
      <c r="Z519" s="103"/>
    </row>
    <row r="520" spans="1:26" ht="14.25" customHeight="1">
      <c r="A520" s="103"/>
      <c r="B520" s="103"/>
      <c r="C520" s="103"/>
      <c r="D520" s="103"/>
      <c r="E520" s="103"/>
      <c r="F520" s="103"/>
      <c r="G520" s="103"/>
      <c r="H520" s="103"/>
      <c r="I520" s="103"/>
      <c r="J520" s="103"/>
      <c r="K520" s="103"/>
      <c r="L520" s="103"/>
      <c r="M520" s="103"/>
      <c r="N520" s="103"/>
      <c r="O520" s="103"/>
      <c r="P520" s="103"/>
      <c r="Q520" s="103"/>
      <c r="R520" s="103"/>
      <c r="S520" s="103"/>
      <c r="T520" s="103"/>
      <c r="U520" s="103"/>
      <c r="V520" s="103"/>
      <c r="W520" s="103"/>
      <c r="X520" s="103"/>
      <c r="Y520" s="103"/>
      <c r="Z520" s="103"/>
    </row>
    <row r="521" spans="1:26" ht="14.25" customHeight="1">
      <c r="A521" s="103"/>
      <c r="B521" s="103"/>
      <c r="C521" s="103"/>
      <c r="D521" s="103"/>
      <c r="E521" s="103"/>
      <c r="F521" s="103"/>
      <c r="G521" s="103"/>
      <c r="H521" s="103"/>
      <c r="I521" s="103"/>
      <c r="J521" s="103"/>
      <c r="K521" s="103"/>
      <c r="L521" s="103"/>
      <c r="M521" s="103"/>
      <c r="N521" s="103"/>
      <c r="O521" s="103"/>
      <c r="P521" s="103"/>
      <c r="Q521" s="103"/>
      <c r="R521" s="103"/>
      <c r="S521" s="103"/>
      <c r="T521" s="103"/>
      <c r="U521" s="103"/>
      <c r="V521" s="103"/>
      <c r="W521" s="103"/>
      <c r="X521" s="103"/>
      <c r="Y521" s="103"/>
      <c r="Z521" s="103"/>
    </row>
    <row r="522" spans="1:26" ht="14.25" customHeight="1">
      <c r="A522" s="103"/>
      <c r="B522" s="103"/>
      <c r="C522" s="103"/>
      <c r="D522" s="103"/>
      <c r="E522" s="103"/>
      <c r="F522" s="103"/>
      <c r="G522" s="103"/>
      <c r="H522" s="103"/>
      <c r="I522" s="103"/>
      <c r="J522" s="103"/>
      <c r="K522" s="103"/>
      <c r="L522" s="103"/>
      <c r="M522" s="103"/>
      <c r="N522" s="103"/>
      <c r="O522" s="103"/>
      <c r="P522" s="103"/>
      <c r="Q522" s="103"/>
      <c r="R522" s="103"/>
      <c r="S522" s="103"/>
      <c r="T522" s="103"/>
      <c r="U522" s="103"/>
      <c r="V522" s="103"/>
      <c r="W522" s="103"/>
      <c r="X522" s="103"/>
      <c r="Y522" s="103"/>
      <c r="Z522" s="103"/>
    </row>
    <row r="523" spans="1:26" ht="14.25" customHeight="1">
      <c r="A523" s="103"/>
      <c r="B523" s="103"/>
      <c r="C523" s="103"/>
      <c r="D523" s="103"/>
      <c r="E523" s="103"/>
      <c r="F523" s="103"/>
      <c r="G523" s="103"/>
      <c r="H523" s="103"/>
      <c r="I523" s="103"/>
      <c r="J523" s="103"/>
      <c r="K523" s="103"/>
      <c r="L523" s="103"/>
      <c r="M523" s="103"/>
      <c r="N523" s="103"/>
      <c r="O523" s="103"/>
      <c r="P523" s="103"/>
      <c r="Q523" s="103"/>
      <c r="R523" s="103"/>
      <c r="S523" s="103"/>
      <c r="T523" s="103"/>
      <c r="U523" s="103"/>
      <c r="V523" s="103"/>
      <c r="W523" s="103"/>
      <c r="X523" s="103"/>
      <c r="Y523" s="103"/>
      <c r="Z523" s="103"/>
    </row>
    <row r="524" spans="1:26" ht="14.25" customHeight="1">
      <c r="A524" s="103"/>
      <c r="B524" s="103"/>
      <c r="C524" s="103"/>
      <c r="D524" s="103"/>
      <c r="E524" s="103"/>
      <c r="F524" s="103"/>
      <c r="G524" s="103"/>
      <c r="H524" s="103"/>
      <c r="I524" s="103"/>
      <c r="J524" s="103"/>
      <c r="K524" s="103"/>
      <c r="L524" s="103"/>
      <c r="M524" s="103"/>
      <c r="N524" s="103"/>
      <c r="O524" s="103"/>
      <c r="P524" s="103"/>
      <c r="Q524" s="103"/>
      <c r="R524" s="103"/>
      <c r="S524" s="103"/>
      <c r="T524" s="103"/>
      <c r="U524" s="103"/>
      <c r="V524" s="103"/>
      <c r="W524" s="103"/>
      <c r="X524" s="103"/>
      <c r="Y524" s="103"/>
      <c r="Z524" s="103"/>
    </row>
    <row r="525" spans="1:26" ht="14.25" customHeight="1">
      <c r="A525" s="103"/>
      <c r="B525" s="103"/>
      <c r="C525" s="103"/>
      <c r="D525" s="103"/>
      <c r="E525" s="103"/>
      <c r="F525" s="103"/>
      <c r="G525" s="103"/>
      <c r="H525" s="103"/>
      <c r="I525" s="103"/>
      <c r="J525" s="103"/>
      <c r="K525" s="103"/>
      <c r="L525" s="103"/>
      <c r="M525" s="103"/>
      <c r="N525" s="103"/>
      <c r="O525" s="103"/>
      <c r="P525" s="103"/>
      <c r="Q525" s="103"/>
      <c r="R525" s="103"/>
      <c r="S525" s="103"/>
      <c r="T525" s="103"/>
      <c r="U525" s="103"/>
      <c r="V525" s="103"/>
      <c r="W525" s="103"/>
      <c r="X525" s="103"/>
      <c r="Y525" s="103"/>
      <c r="Z525" s="103"/>
    </row>
    <row r="526" spans="1:26" ht="14.25" customHeight="1">
      <c r="A526" s="103"/>
      <c r="B526" s="103"/>
      <c r="C526" s="103"/>
      <c r="D526" s="103"/>
      <c r="E526" s="103"/>
      <c r="F526" s="103"/>
      <c r="G526" s="103"/>
      <c r="H526" s="103"/>
      <c r="I526" s="103"/>
      <c r="J526" s="103"/>
      <c r="K526" s="103"/>
      <c r="L526" s="103"/>
      <c r="M526" s="103"/>
      <c r="N526" s="103"/>
      <c r="O526" s="103"/>
      <c r="P526" s="103"/>
      <c r="Q526" s="103"/>
      <c r="R526" s="103"/>
      <c r="S526" s="103"/>
      <c r="T526" s="103"/>
      <c r="U526" s="103"/>
      <c r="V526" s="103"/>
      <c r="W526" s="103"/>
      <c r="X526" s="103"/>
      <c r="Y526" s="103"/>
      <c r="Z526" s="103"/>
    </row>
    <row r="527" spans="1:26" ht="14.25" customHeight="1">
      <c r="A527" s="103"/>
      <c r="B527" s="103"/>
      <c r="C527" s="103"/>
      <c r="D527" s="103"/>
      <c r="E527" s="103"/>
      <c r="F527" s="103"/>
      <c r="G527" s="103"/>
      <c r="H527" s="103"/>
      <c r="I527" s="103"/>
      <c r="J527" s="103"/>
      <c r="K527" s="103"/>
      <c r="L527" s="103"/>
      <c r="M527" s="103"/>
      <c r="N527" s="103"/>
      <c r="O527" s="103"/>
      <c r="P527" s="103"/>
      <c r="Q527" s="103"/>
      <c r="R527" s="103"/>
      <c r="S527" s="103"/>
      <c r="T527" s="103"/>
      <c r="U527" s="103"/>
      <c r="V527" s="103"/>
      <c r="W527" s="103"/>
      <c r="X527" s="103"/>
      <c r="Y527" s="103"/>
      <c r="Z527" s="103"/>
    </row>
    <row r="528" spans="1:26" ht="14.25" customHeight="1">
      <c r="A528" s="103"/>
      <c r="B528" s="103"/>
      <c r="C528" s="103"/>
      <c r="D528" s="103"/>
      <c r="E528" s="103"/>
      <c r="F528" s="103"/>
      <c r="G528" s="103"/>
      <c r="H528" s="103"/>
      <c r="I528" s="103"/>
      <c r="J528" s="103"/>
      <c r="K528" s="103"/>
      <c r="L528" s="103"/>
      <c r="M528" s="103"/>
      <c r="N528" s="103"/>
      <c r="O528" s="103"/>
      <c r="P528" s="103"/>
      <c r="Q528" s="103"/>
      <c r="R528" s="103"/>
      <c r="S528" s="103"/>
      <c r="T528" s="103"/>
      <c r="U528" s="103"/>
      <c r="V528" s="103"/>
      <c r="W528" s="103"/>
      <c r="X528" s="103"/>
      <c r="Y528" s="103"/>
      <c r="Z528" s="103"/>
    </row>
    <row r="529" spans="1:26" ht="14.25" customHeight="1">
      <c r="A529" s="103"/>
      <c r="B529" s="103"/>
      <c r="C529" s="103"/>
      <c r="D529" s="103"/>
      <c r="E529" s="103"/>
      <c r="F529" s="103"/>
      <c r="G529" s="103"/>
      <c r="H529" s="103"/>
      <c r="I529" s="103"/>
      <c r="J529" s="103"/>
      <c r="K529" s="103"/>
      <c r="L529" s="103"/>
      <c r="M529" s="103"/>
      <c r="N529" s="103"/>
      <c r="O529" s="103"/>
      <c r="P529" s="103"/>
      <c r="Q529" s="103"/>
      <c r="R529" s="103"/>
      <c r="S529" s="103"/>
      <c r="T529" s="103"/>
      <c r="U529" s="103"/>
      <c r="V529" s="103"/>
      <c r="W529" s="103"/>
      <c r="X529" s="103"/>
      <c r="Y529" s="103"/>
      <c r="Z529" s="103"/>
    </row>
    <row r="530" spans="1:26" ht="14.25" customHeight="1">
      <c r="A530" s="103"/>
      <c r="B530" s="103"/>
      <c r="C530" s="103"/>
      <c r="D530" s="103"/>
      <c r="E530" s="103"/>
      <c r="F530" s="103"/>
      <c r="G530" s="103"/>
      <c r="H530" s="103"/>
      <c r="I530" s="103"/>
      <c r="J530" s="103"/>
      <c r="K530" s="103"/>
      <c r="L530" s="103"/>
      <c r="M530" s="103"/>
      <c r="N530" s="103"/>
      <c r="O530" s="103"/>
      <c r="P530" s="103"/>
      <c r="Q530" s="103"/>
      <c r="R530" s="103"/>
      <c r="S530" s="103"/>
      <c r="T530" s="103"/>
      <c r="U530" s="103"/>
      <c r="V530" s="103"/>
      <c r="W530" s="103"/>
      <c r="X530" s="103"/>
      <c r="Y530" s="103"/>
      <c r="Z530" s="103"/>
    </row>
    <row r="531" spans="1:26" ht="14.25" customHeight="1">
      <c r="A531" s="103"/>
      <c r="B531" s="103"/>
      <c r="C531" s="103"/>
      <c r="D531" s="103"/>
      <c r="E531" s="103"/>
      <c r="F531" s="103"/>
      <c r="G531" s="103"/>
      <c r="H531" s="103"/>
      <c r="I531" s="103"/>
      <c r="J531" s="103"/>
      <c r="K531" s="103"/>
      <c r="L531" s="103"/>
      <c r="M531" s="103"/>
      <c r="N531" s="103"/>
      <c r="O531" s="103"/>
      <c r="P531" s="103"/>
      <c r="Q531" s="103"/>
      <c r="R531" s="103"/>
      <c r="S531" s="103"/>
      <c r="T531" s="103"/>
      <c r="U531" s="103"/>
      <c r="V531" s="103"/>
      <c r="W531" s="103"/>
      <c r="X531" s="103"/>
      <c r="Y531" s="103"/>
      <c r="Z531" s="103"/>
    </row>
    <row r="532" spans="1:26" ht="14.25" customHeight="1">
      <c r="A532" s="103"/>
      <c r="B532" s="103"/>
      <c r="C532" s="103"/>
      <c r="D532" s="103"/>
      <c r="E532" s="103"/>
      <c r="F532" s="103"/>
      <c r="G532" s="103"/>
      <c r="H532" s="103"/>
      <c r="I532" s="103"/>
      <c r="J532" s="103"/>
      <c r="K532" s="103"/>
      <c r="L532" s="103"/>
      <c r="M532" s="103"/>
      <c r="N532" s="103"/>
      <c r="O532" s="103"/>
      <c r="P532" s="103"/>
      <c r="Q532" s="103"/>
      <c r="R532" s="103"/>
      <c r="S532" s="103"/>
      <c r="T532" s="103"/>
      <c r="U532" s="103"/>
      <c r="V532" s="103"/>
      <c r="W532" s="103"/>
      <c r="X532" s="103"/>
      <c r="Y532" s="103"/>
      <c r="Z532" s="103"/>
    </row>
    <row r="533" spans="1:26" ht="14.25" customHeight="1">
      <c r="A533" s="103"/>
      <c r="B533" s="103"/>
      <c r="C533" s="103"/>
      <c r="D533" s="103"/>
      <c r="E533" s="103"/>
      <c r="F533" s="103"/>
      <c r="G533" s="103"/>
      <c r="H533" s="103"/>
      <c r="I533" s="103"/>
      <c r="J533" s="103"/>
      <c r="K533" s="103"/>
      <c r="L533" s="103"/>
      <c r="M533" s="103"/>
      <c r="N533" s="103"/>
      <c r="O533" s="103"/>
      <c r="P533" s="103"/>
      <c r="Q533" s="103"/>
      <c r="R533" s="103"/>
      <c r="S533" s="103"/>
      <c r="T533" s="103"/>
      <c r="U533" s="103"/>
      <c r="V533" s="103"/>
      <c r="W533" s="103"/>
      <c r="X533" s="103"/>
      <c r="Y533" s="103"/>
      <c r="Z533" s="103"/>
    </row>
    <row r="534" spans="1:26" ht="14.25" customHeight="1">
      <c r="A534" s="103"/>
      <c r="B534" s="103"/>
      <c r="C534" s="103"/>
      <c r="D534" s="103"/>
      <c r="E534" s="103"/>
      <c r="F534" s="103"/>
      <c r="G534" s="103"/>
      <c r="H534" s="103"/>
      <c r="I534" s="103"/>
      <c r="J534" s="103"/>
      <c r="K534" s="103"/>
      <c r="L534" s="103"/>
      <c r="M534" s="103"/>
      <c r="N534" s="103"/>
      <c r="O534" s="103"/>
      <c r="P534" s="103"/>
      <c r="Q534" s="103"/>
      <c r="R534" s="103"/>
      <c r="S534" s="103"/>
      <c r="T534" s="103"/>
      <c r="U534" s="103"/>
      <c r="V534" s="103"/>
      <c r="W534" s="103"/>
      <c r="X534" s="103"/>
      <c r="Y534" s="103"/>
      <c r="Z534" s="103"/>
    </row>
    <row r="535" spans="1:26" ht="14.25" customHeight="1">
      <c r="A535" s="103"/>
      <c r="B535" s="103"/>
      <c r="C535" s="103"/>
      <c r="D535" s="103"/>
      <c r="E535" s="103"/>
      <c r="F535" s="103"/>
      <c r="G535" s="103"/>
      <c r="H535" s="103"/>
      <c r="I535" s="103"/>
      <c r="J535" s="103"/>
      <c r="K535" s="103"/>
      <c r="L535" s="103"/>
      <c r="M535" s="103"/>
      <c r="N535" s="103"/>
      <c r="O535" s="103"/>
      <c r="P535" s="103"/>
      <c r="Q535" s="103"/>
      <c r="R535" s="103"/>
      <c r="S535" s="103"/>
      <c r="T535" s="103"/>
      <c r="U535" s="103"/>
      <c r="V535" s="103"/>
      <c r="W535" s="103"/>
      <c r="X535" s="103"/>
      <c r="Y535" s="103"/>
      <c r="Z535" s="103"/>
    </row>
    <row r="536" spans="1:26" ht="14.25" customHeight="1">
      <c r="A536" s="103"/>
      <c r="B536" s="103"/>
      <c r="C536" s="103"/>
      <c r="D536" s="103"/>
      <c r="E536" s="103"/>
      <c r="F536" s="103"/>
      <c r="G536" s="103"/>
      <c r="H536" s="103"/>
      <c r="I536" s="103"/>
      <c r="J536" s="103"/>
      <c r="K536" s="103"/>
      <c r="L536" s="103"/>
      <c r="M536" s="103"/>
      <c r="N536" s="103"/>
      <c r="O536" s="103"/>
      <c r="P536" s="103"/>
      <c r="Q536" s="103"/>
      <c r="R536" s="103"/>
      <c r="S536" s="103"/>
      <c r="T536" s="103"/>
      <c r="U536" s="103"/>
      <c r="V536" s="103"/>
      <c r="W536" s="103"/>
      <c r="X536" s="103"/>
      <c r="Y536" s="103"/>
      <c r="Z536" s="103"/>
    </row>
    <row r="537" spans="1:26" ht="14.25" customHeight="1">
      <c r="A537" s="103"/>
      <c r="B537" s="103"/>
      <c r="C537" s="103"/>
      <c r="D537" s="103"/>
      <c r="E537" s="103"/>
      <c r="F537" s="103"/>
      <c r="G537" s="103"/>
      <c r="H537" s="103"/>
      <c r="I537" s="103"/>
      <c r="J537" s="103"/>
      <c r="K537" s="103"/>
      <c r="L537" s="103"/>
      <c r="M537" s="103"/>
      <c r="N537" s="103"/>
      <c r="O537" s="103"/>
      <c r="P537" s="103"/>
      <c r="Q537" s="103"/>
      <c r="R537" s="103"/>
      <c r="S537" s="103"/>
      <c r="T537" s="103"/>
      <c r="U537" s="103"/>
      <c r="V537" s="103"/>
      <c r="W537" s="103"/>
      <c r="X537" s="103"/>
      <c r="Y537" s="103"/>
      <c r="Z537" s="103"/>
    </row>
    <row r="538" spans="1:26" ht="14.25" customHeight="1">
      <c r="A538" s="103"/>
      <c r="B538" s="103"/>
      <c r="C538" s="103"/>
      <c r="D538" s="103"/>
      <c r="E538" s="103"/>
      <c r="F538" s="103"/>
      <c r="G538" s="103"/>
      <c r="H538" s="103"/>
      <c r="I538" s="103"/>
      <c r="J538" s="103"/>
      <c r="K538" s="103"/>
      <c r="L538" s="103"/>
      <c r="M538" s="103"/>
      <c r="N538" s="103"/>
      <c r="O538" s="103"/>
      <c r="P538" s="103"/>
      <c r="Q538" s="103"/>
      <c r="R538" s="103"/>
      <c r="S538" s="103"/>
      <c r="T538" s="103"/>
      <c r="U538" s="103"/>
      <c r="V538" s="103"/>
      <c r="W538" s="103"/>
      <c r="X538" s="103"/>
      <c r="Y538" s="103"/>
      <c r="Z538" s="103"/>
    </row>
    <row r="539" spans="1:26" ht="14.25" customHeight="1">
      <c r="A539" s="103"/>
      <c r="B539" s="103"/>
      <c r="C539" s="103"/>
      <c r="D539" s="103"/>
      <c r="E539" s="103"/>
      <c r="F539" s="103"/>
      <c r="G539" s="103"/>
      <c r="H539" s="103"/>
      <c r="I539" s="103"/>
      <c r="J539" s="103"/>
      <c r="K539" s="103"/>
      <c r="L539" s="103"/>
      <c r="M539" s="103"/>
      <c r="N539" s="103"/>
      <c r="O539" s="103"/>
      <c r="P539" s="103"/>
      <c r="Q539" s="103"/>
      <c r="R539" s="103"/>
      <c r="S539" s="103"/>
      <c r="T539" s="103"/>
      <c r="U539" s="103"/>
      <c r="V539" s="103"/>
      <c r="W539" s="103"/>
      <c r="X539" s="103"/>
      <c r="Y539" s="103"/>
      <c r="Z539" s="103"/>
    </row>
    <row r="540" spans="1:26" ht="14.25" customHeight="1">
      <c r="A540" s="103"/>
      <c r="B540" s="103"/>
      <c r="C540" s="103"/>
      <c r="D540" s="103"/>
      <c r="E540" s="103"/>
      <c r="F540" s="103"/>
      <c r="G540" s="103"/>
      <c r="H540" s="103"/>
      <c r="I540" s="103"/>
      <c r="J540" s="103"/>
      <c r="K540" s="103"/>
      <c r="L540" s="103"/>
      <c r="M540" s="103"/>
      <c r="N540" s="103"/>
      <c r="O540" s="103"/>
      <c r="P540" s="103"/>
      <c r="Q540" s="103"/>
      <c r="R540" s="103"/>
      <c r="S540" s="103"/>
      <c r="T540" s="103"/>
      <c r="U540" s="103"/>
      <c r="V540" s="103"/>
      <c r="W540" s="103"/>
      <c r="X540" s="103"/>
      <c r="Y540" s="103"/>
      <c r="Z540" s="103"/>
    </row>
    <row r="541" spans="1:26" ht="14.25" customHeight="1">
      <c r="A541" s="103"/>
      <c r="B541" s="103"/>
      <c r="C541" s="103"/>
      <c r="D541" s="103"/>
      <c r="E541" s="103"/>
      <c r="F541" s="103"/>
      <c r="G541" s="103"/>
      <c r="H541" s="103"/>
      <c r="I541" s="103"/>
      <c r="J541" s="103"/>
      <c r="K541" s="103"/>
      <c r="L541" s="103"/>
      <c r="M541" s="103"/>
      <c r="N541" s="103"/>
      <c r="O541" s="103"/>
      <c r="P541" s="103"/>
      <c r="Q541" s="103"/>
      <c r="R541" s="103"/>
      <c r="S541" s="103"/>
      <c r="T541" s="103"/>
      <c r="U541" s="103"/>
      <c r="V541" s="103"/>
      <c r="W541" s="103"/>
      <c r="X541" s="103"/>
      <c r="Y541" s="103"/>
      <c r="Z541" s="103"/>
    </row>
    <row r="542" spans="1:26" ht="14.25" customHeight="1">
      <c r="A542" s="103"/>
      <c r="B542" s="103"/>
      <c r="C542" s="103"/>
      <c r="D542" s="103"/>
      <c r="E542" s="103"/>
      <c r="F542" s="103"/>
      <c r="G542" s="103"/>
      <c r="H542" s="103"/>
      <c r="I542" s="103"/>
      <c r="J542" s="103"/>
      <c r="K542" s="103"/>
      <c r="L542" s="103"/>
      <c r="M542" s="103"/>
      <c r="N542" s="103"/>
      <c r="O542" s="103"/>
      <c r="P542" s="103"/>
      <c r="Q542" s="103"/>
      <c r="R542" s="103"/>
      <c r="S542" s="103"/>
      <c r="T542" s="103"/>
      <c r="U542" s="103"/>
      <c r="V542" s="103"/>
      <c r="W542" s="103"/>
      <c r="X542" s="103"/>
      <c r="Y542" s="103"/>
      <c r="Z542" s="103"/>
    </row>
    <row r="543" spans="1:26" ht="14.25" customHeight="1">
      <c r="A543" s="103"/>
      <c r="B543" s="103"/>
      <c r="C543" s="103"/>
      <c r="D543" s="103"/>
      <c r="E543" s="103"/>
      <c r="F543" s="103"/>
      <c r="G543" s="103"/>
      <c r="H543" s="103"/>
      <c r="I543" s="103"/>
      <c r="J543" s="103"/>
      <c r="K543" s="103"/>
      <c r="L543" s="103"/>
      <c r="M543" s="103"/>
      <c r="N543" s="103"/>
      <c r="O543" s="103"/>
      <c r="P543" s="103"/>
      <c r="Q543" s="103"/>
      <c r="R543" s="103"/>
      <c r="S543" s="103"/>
      <c r="T543" s="103"/>
      <c r="U543" s="103"/>
      <c r="V543" s="103"/>
      <c r="W543" s="103"/>
      <c r="X543" s="103"/>
      <c r="Y543" s="103"/>
      <c r="Z543" s="103"/>
    </row>
    <row r="544" spans="1:26" ht="14.25" customHeight="1">
      <c r="A544" s="103"/>
      <c r="B544" s="103"/>
      <c r="C544" s="103"/>
      <c r="D544" s="103"/>
      <c r="E544" s="103"/>
      <c r="F544" s="103"/>
      <c r="G544" s="103"/>
      <c r="H544" s="103"/>
      <c r="I544" s="103"/>
      <c r="J544" s="103"/>
      <c r="K544" s="103"/>
      <c r="L544" s="103"/>
      <c r="M544" s="103"/>
      <c r="N544" s="103"/>
      <c r="O544" s="103"/>
      <c r="P544" s="103"/>
      <c r="Q544" s="103"/>
      <c r="R544" s="103"/>
      <c r="S544" s="103"/>
      <c r="T544" s="103"/>
      <c r="U544" s="103"/>
      <c r="V544" s="103"/>
      <c r="W544" s="103"/>
      <c r="X544" s="103"/>
      <c r="Y544" s="103"/>
      <c r="Z544" s="103"/>
    </row>
    <row r="545" spans="1:26" ht="14.25" customHeight="1">
      <c r="A545" s="103"/>
      <c r="B545" s="103"/>
      <c r="C545" s="103"/>
      <c r="D545" s="103"/>
      <c r="E545" s="103"/>
      <c r="F545" s="103"/>
      <c r="G545" s="103"/>
      <c r="H545" s="103"/>
      <c r="I545" s="103"/>
      <c r="J545" s="103"/>
      <c r="K545" s="103"/>
      <c r="L545" s="103"/>
      <c r="M545" s="103"/>
      <c r="N545" s="103"/>
      <c r="O545" s="103"/>
      <c r="P545" s="103"/>
      <c r="Q545" s="103"/>
      <c r="R545" s="103"/>
      <c r="S545" s="103"/>
      <c r="T545" s="103"/>
      <c r="U545" s="103"/>
      <c r="V545" s="103"/>
      <c r="W545" s="103"/>
      <c r="X545" s="103"/>
      <c r="Y545" s="103"/>
      <c r="Z545" s="103"/>
    </row>
    <row r="546" spans="1:26" ht="14.25" customHeight="1">
      <c r="A546" s="103"/>
      <c r="B546" s="103"/>
      <c r="C546" s="103"/>
      <c r="D546" s="103"/>
      <c r="E546" s="103"/>
      <c r="F546" s="103"/>
      <c r="G546" s="103"/>
      <c r="H546" s="103"/>
      <c r="I546" s="103"/>
      <c r="J546" s="103"/>
      <c r="K546" s="103"/>
      <c r="L546" s="103"/>
      <c r="M546" s="103"/>
      <c r="N546" s="103"/>
      <c r="O546" s="103"/>
      <c r="P546" s="103"/>
      <c r="Q546" s="103"/>
      <c r="R546" s="103"/>
      <c r="S546" s="103"/>
      <c r="T546" s="103"/>
      <c r="U546" s="103"/>
      <c r="V546" s="103"/>
      <c r="W546" s="103"/>
      <c r="X546" s="103"/>
      <c r="Y546" s="103"/>
      <c r="Z546" s="103"/>
    </row>
    <row r="547" spans="1:26" ht="14.25" customHeight="1">
      <c r="A547" s="103"/>
      <c r="B547" s="103"/>
      <c r="C547" s="103"/>
      <c r="D547" s="103"/>
      <c r="E547" s="103"/>
      <c r="F547" s="103"/>
      <c r="G547" s="103"/>
      <c r="H547" s="103"/>
      <c r="I547" s="103"/>
      <c r="J547" s="103"/>
      <c r="K547" s="103"/>
      <c r="L547" s="103"/>
      <c r="M547" s="103"/>
      <c r="N547" s="103"/>
      <c r="O547" s="103"/>
      <c r="P547" s="103"/>
      <c r="Q547" s="103"/>
      <c r="R547" s="103"/>
      <c r="S547" s="103"/>
      <c r="T547" s="103"/>
      <c r="U547" s="103"/>
      <c r="V547" s="103"/>
      <c r="W547" s="103"/>
      <c r="X547" s="103"/>
      <c r="Y547" s="103"/>
      <c r="Z547" s="103"/>
    </row>
    <row r="548" spans="1:26" ht="14.25" customHeight="1">
      <c r="A548" s="103"/>
      <c r="B548" s="103"/>
      <c r="C548" s="103"/>
      <c r="D548" s="103"/>
      <c r="E548" s="103"/>
      <c r="F548" s="103"/>
      <c r="G548" s="103"/>
      <c r="H548" s="103"/>
      <c r="I548" s="103"/>
      <c r="J548" s="103"/>
      <c r="K548" s="103"/>
      <c r="L548" s="103"/>
      <c r="M548" s="103"/>
      <c r="N548" s="103"/>
      <c r="O548" s="103"/>
      <c r="P548" s="103"/>
      <c r="Q548" s="103"/>
      <c r="R548" s="103"/>
      <c r="S548" s="103"/>
      <c r="T548" s="103"/>
      <c r="U548" s="103"/>
      <c r="V548" s="103"/>
      <c r="W548" s="103"/>
      <c r="X548" s="103"/>
      <c r="Y548" s="103"/>
      <c r="Z548" s="103"/>
    </row>
    <row r="549" spans="1:26" ht="14.25" customHeight="1">
      <c r="A549" s="103"/>
      <c r="B549" s="103"/>
      <c r="C549" s="103"/>
      <c r="D549" s="103"/>
      <c r="E549" s="103"/>
      <c r="F549" s="103"/>
      <c r="G549" s="103"/>
      <c r="H549" s="103"/>
      <c r="I549" s="103"/>
      <c r="J549" s="103"/>
      <c r="K549" s="103"/>
      <c r="L549" s="103"/>
      <c r="M549" s="103"/>
      <c r="N549" s="103"/>
      <c r="O549" s="103"/>
      <c r="P549" s="103"/>
      <c r="Q549" s="103"/>
      <c r="R549" s="103"/>
      <c r="S549" s="103"/>
      <c r="T549" s="103"/>
      <c r="U549" s="103"/>
      <c r="V549" s="103"/>
      <c r="W549" s="103"/>
      <c r="X549" s="103"/>
      <c r="Y549" s="103"/>
      <c r="Z549" s="103"/>
    </row>
    <row r="550" spans="1:26" ht="14.25" customHeight="1">
      <c r="A550" s="103"/>
      <c r="B550" s="103"/>
      <c r="C550" s="103"/>
      <c r="D550" s="103"/>
      <c r="E550" s="103"/>
      <c r="F550" s="103"/>
      <c r="G550" s="103"/>
      <c r="H550" s="103"/>
      <c r="I550" s="103"/>
      <c r="J550" s="103"/>
      <c r="K550" s="103"/>
      <c r="L550" s="103"/>
      <c r="M550" s="103"/>
      <c r="N550" s="103"/>
      <c r="O550" s="103"/>
      <c r="P550" s="103"/>
      <c r="Q550" s="103"/>
      <c r="R550" s="103"/>
      <c r="S550" s="103"/>
      <c r="T550" s="103"/>
      <c r="U550" s="103"/>
      <c r="V550" s="103"/>
      <c r="W550" s="103"/>
      <c r="X550" s="103"/>
      <c r="Y550" s="103"/>
      <c r="Z550" s="103"/>
    </row>
    <row r="551" spans="1:26" ht="14.25" customHeight="1">
      <c r="A551" s="103"/>
      <c r="B551" s="103"/>
      <c r="C551" s="103"/>
      <c r="D551" s="103"/>
      <c r="E551" s="103"/>
      <c r="F551" s="103"/>
      <c r="G551" s="103"/>
      <c r="H551" s="103"/>
      <c r="I551" s="103"/>
      <c r="J551" s="103"/>
      <c r="K551" s="103"/>
      <c r="L551" s="103"/>
      <c r="M551" s="103"/>
      <c r="N551" s="103"/>
      <c r="O551" s="103"/>
      <c r="P551" s="103"/>
      <c r="Q551" s="103"/>
      <c r="R551" s="103"/>
      <c r="S551" s="103"/>
      <c r="T551" s="103"/>
      <c r="U551" s="103"/>
      <c r="V551" s="103"/>
      <c r="W551" s="103"/>
      <c r="X551" s="103"/>
      <c r="Y551" s="103"/>
      <c r="Z551" s="103"/>
    </row>
    <row r="552" spans="1:26" ht="14.25" customHeight="1">
      <c r="A552" s="103"/>
      <c r="B552" s="103"/>
      <c r="C552" s="103"/>
      <c r="D552" s="103"/>
      <c r="E552" s="103"/>
      <c r="F552" s="103"/>
      <c r="G552" s="103"/>
      <c r="H552" s="103"/>
      <c r="I552" s="103"/>
      <c r="J552" s="103"/>
      <c r="K552" s="103"/>
      <c r="L552" s="103"/>
      <c r="M552" s="103"/>
      <c r="N552" s="103"/>
      <c r="O552" s="103"/>
      <c r="P552" s="103"/>
      <c r="Q552" s="103"/>
      <c r="R552" s="103"/>
      <c r="S552" s="103"/>
      <c r="T552" s="103"/>
      <c r="U552" s="103"/>
      <c r="V552" s="103"/>
      <c r="W552" s="103"/>
      <c r="X552" s="103"/>
      <c r="Y552" s="103"/>
      <c r="Z552" s="103"/>
    </row>
    <row r="553" spans="1:26" ht="14.25" customHeight="1">
      <c r="A553" s="103"/>
      <c r="B553" s="103"/>
      <c r="C553" s="103"/>
      <c r="D553" s="103"/>
      <c r="E553" s="103"/>
      <c r="F553" s="103"/>
      <c r="G553" s="103"/>
      <c r="H553" s="103"/>
      <c r="I553" s="103"/>
      <c r="J553" s="103"/>
      <c r="K553" s="103"/>
      <c r="L553" s="103"/>
      <c r="M553" s="103"/>
      <c r="N553" s="103"/>
      <c r="O553" s="103"/>
      <c r="P553" s="103"/>
      <c r="Q553" s="103"/>
      <c r="R553" s="103"/>
      <c r="S553" s="103"/>
      <c r="T553" s="103"/>
      <c r="U553" s="103"/>
      <c r="V553" s="103"/>
      <c r="W553" s="103"/>
      <c r="X553" s="103"/>
      <c r="Y553" s="103"/>
      <c r="Z553" s="103"/>
    </row>
    <row r="554" spans="1:26" ht="14.25" customHeight="1">
      <c r="A554" s="103"/>
      <c r="B554" s="103"/>
      <c r="C554" s="103"/>
      <c r="D554" s="103"/>
      <c r="E554" s="103"/>
      <c r="F554" s="103"/>
      <c r="G554" s="103"/>
      <c r="H554" s="103"/>
      <c r="I554" s="103"/>
      <c r="J554" s="103"/>
      <c r="K554" s="103"/>
      <c r="L554" s="103"/>
      <c r="M554" s="103"/>
      <c r="N554" s="103"/>
      <c r="O554" s="103"/>
      <c r="P554" s="103"/>
      <c r="Q554" s="103"/>
      <c r="R554" s="103"/>
      <c r="S554" s="103"/>
      <c r="T554" s="103"/>
      <c r="U554" s="103"/>
      <c r="V554" s="103"/>
      <c r="W554" s="103"/>
      <c r="X554" s="103"/>
      <c r="Y554" s="103"/>
      <c r="Z554" s="103"/>
    </row>
    <row r="555" spans="1:26" ht="14.25" customHeight="1">
      <c r="A555" s="103"/>
      <c r="B555" s="103"/>
      <c r="C555" s="103"/>
      <c r="D555" s="103"/>
      <c r="E555" s="103"/>
      <c r="F555" s="103"/>
      <c r="G555" s="103"/>
      <c r="H555" s="103"/>
      <c r="I555" s="103"/>
      <c r="J555" s="103"/>
      <c r="K555" s="103"/>
      <c r="L555" s="103"/>
      <c r="M555" s="103"/>
      <c r="N555" s="103"/>
      <c r="O555" s="103"/>
      <c r="P555" s="103"/>
      <c r="Q555" s="103"/>
      <c r="R555" s="103"/>
      <c r="S555" s="103"/>
      <c r="T555" s="103"/>
      <c r="U555" s="103"/>
      <c r="V555" s="103"/>
      <c r="W555" s="103"/>
      <c r="X555" s="103"/>
      <c r="Y555" s="103"/>
      <c r="Z555" s="103"/>
    </row>
    <row r="556" spans="1:26" ht="14.25" customHeight="1">
      <c r="A556" s="103"/>
      <c r="B556" s="103"/>
      <c r="C556" s="103"/>
      <c r="D556" s="103"/>
      <c r="E556" s="103"/>
      <c r="F556" s="103"/>
      <c r="G556" s="103"/>
      <c r="H556" s="103"/>
      <c r="I556" s="103"/>
      <c r="J556" s="103"/>
      <c r="K556" s="103"/>
      <c r="L556" s="103"/>
      <c r="M556" s="103"/>
      <c r="N556" s="103"/>
      <c r="O556" s="103"/>
      <c r="P556" s="103"/>
      <c r="Q556" s="103"/>
      <c r="R556" s="103"/>
      <c r="S556" s="103"/>
      <c r="T556" s="103"/>
      <c r="U556" s="103"/>
      <c r="V556" s="103"/>
      <c r="W556" s="103"/>
      <c r="X556" s="103"/>
      <c r="Y556" s="103"/>
      <c r="Z556" s="103"/>
    </row>
    <row r="557" spans="1:26" ht="14.25" customHeight="1">
      <c r="A557" s="103"/>
      <c r="B557" s="103"/>
      <c r="C557" s="103"/>
      <c r="D557" s="103"/>
      <c r="E557" s="103"/>
      <c r="F557" s="103"/>
      <c r="G557" s="103"/>
      <c r="H557" s="103"/>
      <c r="I557" s="103"/>
      <c r="J557" s="103"/>
      <c r="K557" s="103"/>
      <c r="L557" s="103"/>
      <c r="M557" s="103"/>
      <c r="N557" s="103"/>
      <c r="O557" s="103"/>
      <c r="P557" s="103"/>
      <c r="Q557" s="103"/>
      <c r="R557" s="103"/>
      <c r="S557" s="103"/>
      <c r="T557" s="103"/>
      <c r="U557" s="103"/>
      <c r="V557" s="103"/>
      <c r="W557" s="103"/>
      <c r="X557" s="103"/>
      <c r="Y557" s="103"/>
      <c r="Z557" s="103"/>
    </row>
    <row r="558" spans="1:26" ht="14.25" customHeight="1">
      <c r="A558" s="103"/>
      <c r="B558" s="103"/>
      <c r="C558" s="103"/>
      <c r="D558" s="103"/>
      <c r="E558" s="103"/>
      <c r="F558" s="103"/>
      <c r="G558" s="103"/>
      <c r="H558" s="103"/>
      <c r="I558" s="103"/>
      <c r="J558" s="103"/>
      <c r="K558" s="103"/>
      <c r="L558" s="103"/>
      <c r="M558" s="103"/>
      <c r="N558" s="103"/>
      <c r="O558" s="103"/>
      <c r="P558" s="103"/>
      <c r="Q558" s="103"/>
      <c r="R558" s="103"/>
      <c r="S558" s="103"/>
      <c r="T558" s="103"/>
      <c r="U558" s="103"/>
      <c r="V558" s="103"/>
      <c r="W558" s="103"/>
      <c r="X558" s="103"/>
      <c r="Y558" s="103"/>
      <c r="Z558" s="103"/>
    </row>
    <row r="559" spans="1:26" ht="14.25" customHeight="1">
      <c r="A559" s="103"/>
      <c r="B559" s="103"/>
      <c r="C559" s="103"/>
      <c r="D559" s="103"/>
      <c r="E559" s="103"/>
      <c r="F559" s="103"/>
      <c r="G559" s="103"/>
      <c r="H559" s="103"/>
      <c r="I559" s="103"/>
      <c r="J559" s="103"/>
      <c r="K559" s="103"/>
      <c r="L559" s="103"/>
      <c r="M559" s="103"/>
      <c r="N559" s="103"/>
      <c r="O559" s="103"/>
      <c r="P559" s="103"/>
      <c r="Q559" s="103"/>
      <c r="R559" s="103"/>
      <c r="S559" s="103"/>
      <c r="T559" s="103"/>
      <c r="U559" s="103"/>
      <c r="V559" s="103"/>
      <c r="W559" s="103"/>
      <c r="X559" s="103"/>
      <c r="Y559" s="103"/>
      <c r="Z559" s="103"/>
    </row>
    <row r="560" spans="1:26" ht="14.25" customHeight="1">
      <c r="A560" s="103"/>
      <c r="B560" s="103"/>
      <c r="C560" s="103"/>
      <c r="D560" s="103"/>
      <c r="E560" s="103"/>
      <c r="F560" s="103"/>
      <c r="G560" s="103"/>
      <c r="H560" s="103"/>
      <c r="I560" s="103"/>
      <c r="J560" s="103"/>
      <c r="K560" s="103"/>
      <c r="L560" s="103"/>
      <c r="M560" s="103"/>
      <c r="N560" s="103"/>
      <c r="O560" s="103"/>
      <c r="P560" s="103"/>
      <c r="Q560" s="103"/>
      <c r="R560" s="103"/>
      <c r="S560" s="103"/>
      <c r="T560" s="103"/>
      <c r="U560" s="103"/>
      <c r="V560" s="103"/>
      <c r="W560" s="103"/>
      <c r="X560" s="103"/>
      <c r="Y560" s="103"/>
      <c r="Z560" s="103"/>
    </row>
    <row r="561" spans="1:26" ht="14.25" customHeight="1">
      <c r="A561" s="103"/>
      <c r="B561" s="103"/>
      <c r="C561" s="103"/>
      <c r="D561" s="103"/>
      <c r="E561" s="103"/>
      <c r="F561" s="103"/>
      <c r="G561" s="103"/>
      <c r="H561" s="103"/>
      <c r="I561" s="103"/>
      <c r="J561" s="103"/>
      <c r="K561" s="103"/>
      <c r="L561" s="103"/>
      <c r="M561" s="103"/>
      <c r="N561" s="103"/>
      <c r="O561" s="103"/>
      <c r="P561" s="103"/>
      <c r="Q561" s="103"/>
      <c r="R561" s="103"/>
      <c r="S561" s="103"/>
      <c r="T561" s="103"/>
      <c r="U561" s="103"/>
      <c r="V561" s="103"/>
      <c r="W561" s="103"/>
      <c r="X561" s="103"/>
      <c r="Y561" s="103"/>
      <c r="Z561" s="103"/>
    </row>
    <row r="562" spans="1:26" ht="14.25" customHeight="1">
      <c r="A562" s="103"/>
      <c r="B562" s="103"/>
      <c r="C562" s="103"/>
      <c r="D562" s="103"/>
      <c r="E562" s="103"/>
      <c r="F562" s="103"/>
      <c r="G562" s="103"/>
      <c r="H562" s="103"/>
      <c r="I562" s="103"/>
      <c r="J562" s="103"/>
      <c r="K562" s="103"/>
      <c r="L562" s="103"/>
      <c r="M562" s="103"/>
      <c r="N562" s="103"/>
      <c r="O562" s="103"/>
      <c r="P562" s="103"/>
      <c r="Q562" s="103"/>
      <c r="R562" s="103"/>
      <c r="S562" s="103"/>
      <c r="T562" s="103"/>
      <c r="U562" s="103"/>
      <c r="V562" s="103"/>
      <c r="W562" s="103"/>
      <c r="X562" s="103"/>
      <c r="Y562" s="103"/>
      <c r="Z562" s="103"/>
    </row>
    <row r="563" spans="1:26" ht="14.25" customHeight="1">
      <c r="A563" s="103"/>
      <c r="B563" s="103"/>
      <c r="C563" s="103"/>
      <c r="D563" s="103"/>
      <c r="E563" s="103"/>
      <c r="F563" s="103"/>
      <c r="G563" s="103"/>
      <c r="H563" s="103"/>
      <c r="I563" s="103"/>
      <c r="J563" s="103"/>
      <c r="K563" s="103"/>
      <c r="L563" s="103"/>
      <c r="M563" s="103"/>
      <c r="N563" s="103"/>
      <c r="O563" s="103"/>
      <c r="P563" s="103"/>
      <c r="Q563" s="103"/>
      <c r="R563" s="103"/>
      <c r="S563" s="103"/>
      <c r="T563" s="103"/>
      <c r="U563" s="103"/>
      <c r="V563" s="103"/>
      <c r="W563" s="103"/>
      <c r="X563" s="103"/>
      <c r="Y563" s="103"/>
      <c r="Z563" s="103"/>
    </row>
    <row r="564" spans="1:26" ht="14.25" customHeight="1">
      <c r="A564" s="103"/>
      <c r="B564" s="103"/>
      <c r="C564" s="103"/>
      <c r="D564" s="103"/>
      <c r="E564" s="103"/>
      <c r="F564" s="103"/>
      <c r="G564" s="103"/>
      <c r="H564" s="103"/>
      <c r="I564" s="103"/>
      <c r="J564" s="103"/>
      <c r="K564" s="103"/>
      <c r="L564" s="103"/>
      <c r="M564" s="103"/>
      <c r="N564" s="103"/>
      <c r="O564" s="103"/>
      <c r="P564" s="103"/>
      <c r="Q564" s="103"/>
      <c r="R564" s="103"/>
      <c r="S564" s="103"/>
      <c r="T564" s="103"/>
      <c r="U564" s="103"/>
      <c r="V564" s="103"/>
      <c r="W564" s="103"/>
      <c r="X564" s="103"/>
      <c r="Y564" s="103"/>
      <c r="Z564" s="103"/>
    </row>
    <row r="565" spans="1:26" ht="14.25" customHeight="1">
      <c r="A565" s="103"/>
      <c r="B565" s="103"/>
      <c r="C565" s="103"/>
      <c r="D565" s="103"/>
      <c r="E565" s="103"/>
      <c r="F565" s="103"/>
      <c r="G565" s="103"/>
      <c r="H565" s="103"/>
      <c r="I565" s="103"/>
      <c r="J565" s="103"/>
      <c r="K565" s="103"/>
      <c r="L565" s="103"/>
      <c r="M565" s="103"/>
      <c r="N565" s="103"/>
      <c r="O565" s="103"/>
      <c r="P565" s="103"/>
      <c r="Q565" s="103"/>
      <c r="R565" s="103"/>
      <c r="S565" s="103"/>
      <c r="T565" s="103"/>
      <c r="U565" s="103"/>
      <c r="V565" s="103"/>
      <c r="W565" s="103"/>
      <c r="X565" s="103"/>
      <c r="Y565" s="103"/>
      <c r="Z565" s="103"/>
    </row>
    <row r="566" spans="1:26" ht="14.25" customHeight="1">
      <c r="A566" s="103"/>
      <c r="B566" s="103"/>
      <c r="C566" s="103"/>
      <c r="D566" s="103"/>
      <c r="E566" s="103"/>
      <c r="F566" s="103"/>
      <c r="G566" s="103"/>
      <c r="H566" s="103"/>
      <c r="I566" s="103"/>
      <c r="J566" s="103"/>
      <c r="K566" s="103"/>
      <c r="L566" s="103"/>
      <c r="M566" s="103"/>
      <c r="N566" s="103"/>
      <c r="O566" s="103"/>
      <c r="P566" s="103"/>
      <c r="Q566" s="103"/>
      <c r="R566" s="103"/>
      <c r="S566" s="103"/>
      <c r="T566" s="103"/>
      <c r="U566" s="103"/>
      <c r="V566" s="103"/>
      <c r="W566" s="103"/>
      <c r="X566" s="103"/>
      <c r="Y566" s="103"/>
      <c r="Z566" s="103"/>
    </row>
    <row r="567" spans="1:26" ht="14.25" customHeight="1">
      <c r="A567" s="103"/>
      <c r="B567" s="103"/>
      <c r="C567" s="103"/>
      <c r="D567" s="103"/>
      <c r="E567" s="103"/>
      <c r="F567" s="103"/>
      <c r="G567" s="103"/>
      <c r="H567" s="103"/>
      <c r="I567" s="103"/>
      <c r="J567" s="103"/>
      <c r="K567" s="103"/>
      <c r="L567" s="103"/>
      <c r="M567" s="103"/>
      <c r="N567" s="103"/>
      <c r="O567" s="103"/>
      <c r="P567" s="103"/>
      <c r="Q567" s="103"/>
      <c r="R567" s="103"/>
      <c r="S567" s="103"/>
      <c r="T567" s="103"/>
      <c r="U567" s="103"/>
      <c r="V567" s="103"/>
      <c r="W567" s="103"/>
      <c r="X567" s="103"/>
      <c r="Y567" s="103"/>
      <c r="Z567" s="103"/>
    </row>
    <row r="568" spans="1:26" ht="14.25" customHeight="1">
      <c r="A568" s="103"/>
      <c r="B568" s="103"/>
      <c r="C568" s="103"/>
      <c r="D568" s="103"/>
      <c r="E568" s="103"/>
      <c r="F568" s="103"/>
      <c r="G568" s="103"/>
      <c r="H568" s="103"/>
      <c r="I568" s="103"/>
      <c r="J568" s="103"/>
      <c r="K568" s="103"/>
      <c r="L568" s="103"/>
      <c r="M568" s="103"/>
      <c r="N568" s="103"/>
      <c r="O568" s="103"/>
      <c r="P568" s="103"/>
      <c r="Q568" s="103"/>
      <c r="R568" s="103"/>
      <c r="S568" s="103"/>
      <c r="T568" s="103"/>
      <c r="U568" s="103"/>
      <c r="V568" s="103"/>
      <c r="W568" s="103"/>
      <c r="X568" s="103"/>
      <c r="Y568" s="103"/>
      <c r="Z568" s="103"/>
    </row>
    <row r="569" spans="1:26" ht="14.25" customHeight="1">
      <c r="A569" s="103"/>
      <c r="B569" s="103"/>
      <c r="C569" s="103"/>
      <c r="D569" s="103"/>
      <c r="E569" s="103"/>
      <c r="F569" s="103"/>
      <c r="G569" s="103"/>
      <c r="H569" s="103"/>
      <c r="I569" s="103"/>
      <c r="J569" s="103"/>
      <c r="K569" s="103"/>
      <c r="L569" s="103"/>
      <c r="M569" s="103"/>
      <c r="N569" s="103"/>
      <c r="O569" s="103"/>
      <c r="P569" s="103"/>
      <c r="Q569" s="103"/>
      <c r="R569" s="103"/>
      <c r="S569" s="103"/>
      <c r="T569" s="103"/>
      <c r="U569" s="103"/>
      <c r="V569" s="103"/>
      <c r="W569" s="103"/>
      <c r="X569" s="103"/>
      <c r="Y569" s="103"/>
      <c r="Z569" s="103"/>
    </row>
    <row r="570" spans="1:26" ht="14.25" customHeight="1">
      <c r="A570" s="103"/>
      <c r="B570" s="103"/>
      <c r="C570" s="103"/>
      <c r="D570" s="103"/>
      <c r="E570" s="103"/>
      <c r="F570" s="103"/>
      <c r="G570" s="103"/>
      <c r="H570" s="103"/>
      <c r="I570" s="103"/>
      <c r="J570" s="103"/>
      <c r="K570" s="103"/>
      <c r="L570" s="103"/>
      <c r="M570" s="103"/>
      <c r="N570" s="103"/>
      <c r="O570" s="103"/>
      <c r="P570" s="103"/>
      <c r="Q570" s="103"/>
      <c r="R570" s="103"/>
      <c r="S570" s="103"/>
      <c r="T570" s="103"/>
      <c r="U570" s="103"/>
      <c r="V570" s="103"/>
      <c r="W570" s="103"/>
      <c r="X570" s="103"/>
      <c r="Y570" s="103"/>
      <c r="Z570" s="103"/>
    </row>
    <row r="571" spans="1:26" ht="14.25" customHeight="1">
      <c r="A571" s="103"/>
      <c r="B571" s="103"/>
      <c r="C571" s="103"/>
      <c r="D571" s="103"/>
      <c r="E571" s="103"/>
      <c r="F571" s="103"/>
      <c r="G571" s="103"/>
      <c r="H571" s="103"/>
      <c r="I571" s="103"/>
      <c r="J571" s="103"/>
      <c r="K571" s="103"/>
      <c r="L571" s="103"/>
      <c r="M571" s="103"/>
      <c r="N571" s="103"/>
      <c r="O571" s="103"/>
      <c r="P571" s="103"/>
      <c r="Q571" s="103"/>
      <c r="R571" s="103"/>
      <c r="S571" s="103"/>
      <c r="T571" s="103"/>
      <c r="U571" s="103"/>
      <c r="V571" s="103"/>
      <c r="W571" s="103"/>
      <c r="X571" s="103"/>
      <c r="Y571" s="103"/>
      <c r="Z571" s="103"/>
    </row>
    <row r="572" spans="1:26" ht="14.25" customHeight="1">
      <c r="A572" s="103"/>
      <c r="B572" s="103"/>
      <c r="C572" s="103"/>
      <c r="D572" s="103"/>
      <c r="E572" s="103"/>
      <c r="F572" s="103"/>
      <c r="G572" s="103"/>
      <c r="H572" s="103"/>
      <c r="I572" s="103"/>
      <c r="J572" s="103"/>
      <c r="K572" s="103"/>
      <c r="L572" s="103"/>
      <c r="M572" s="103"/>
      <c r="N572" s="103"/>
      <c r="O572" s="103"/>
      <c r="P572" s="103"/>
      <c r="Q572" s="103"/>
      <c r="R572" s="103"/>
      <c r="S572" s="103"/>
      <c r="T572" s="103"/>
      <c r="U572" s="103"/>
      <c r="V572" s="103"/>
      <c r="W572" s="103"/>
      <c r="X572" s="103"/>
      <c r="Y572" s="103"/>
      <c r="Z572" s="103"/>
    </row>
    <row r="573" spans="1:26" ht="14.25" customHeight="1">
      <c r="A573" s="103"/>
      <c r="B573" s="103"/>
      <c r="C573" s="103"/>
      <c r="D573" s="103"/>
      <c r="E573" s="103"/>
      <c r="F573" s="103"/>
      <c r="G573" s="103"/>
      <c r="H573" s="103"/>
      <c r="I573" s="103"/>
      <c r="J573" s="103"/>
      <c r="K573" s="103"/>
      <c r="L573" s="103"/>
      <c r="M573" s="103"/>
      <c r="N573" s="103"/>
      <c r="O573" s="103"/>
      <c r="P573" s="103"/>
      <c r="Q573" s="103"/>
      <c r="R573" s="103"/>
      <c r="S573" s="103"/>
      <c r="T573" s="103"/>
      <c r="U573" s="103"/>
      <c r="V573" s="103"/>
      <c r="W573" s="103"/>
      <c r="X573" s="103"/>
      <c r="Y573" s="103"/>
      <c r="Z573" s="103"/>
    </row>
    <row r="574" spans="1:26" ht="14.25" customHeight="1">
      <c r="A574" s="103"/>
      <c r="B574" s="103"/>
      <c r="C574" s="103"/>
      <c r="D574" s="103"/>
      <c r="E574" s="103"/>
      <c r="F574" s="103"/>
      <c r="G574" s="103"/>
      <c r="H574" s="103"/>
      <c r="I574" s="103"/>
      <c r="J574" s="103"/>
      <c r="K574" s="103"/>
      <c r="L574" s="103"/>
      <c r="M574" s="103"/>
      <c r="N574" s="103"/>
      <c r="O574" s="103"/>
      <c r="P574" s="103"/>
      <c r="Q574" s="103"/>
      <c r="R574" s="103"/>
      <c r="S574" s="103"/>
      <c r="T574" s="103"/>
      <c r="U574" s="103"/>
      <c r="V574" s="103"/>
      <c r="W574" s="103"/>
      <c r="X574" s="103"/>
      <c r="Y574" s="103"/>
      <c r="Z574" s="103"/>
    </row>
    <row r="575" spans="1:26" ht="14.25" customHeight="1">
      <c r="A575" s="103"/>
      <c r="B575" s="103"/>
      <c r="C575" s="103"/>
      <c r="D575" s="103"/>
      <c r="E575" s="103"/>
      <c r="F575" s="103"/>
      <c r="G575" s="103"/>
      <c r="H575" s="103"/>
      <c r="I575" s="103"/>
      <c r="J575" s="103"/>
      <c r="K575" s="103"/>
      <c r="L575" s="103"/>
      <c r="M575" s="103"/>
      <c r="N575" s="103"/>
      <c r="O575" s="103"/>
      <c r="P575" s="103"/>
      <c r="Q575" s="103"/>
      <c r="R575" s="103"/>
      <c r="S575" s="103"/>
      <c r="T575" s="103"/>
      <c r="U575" s="103"/>
      <c r="V575" s="103"/>
      <c r="W575" s="103"/>
      <c r="X575" s="103"/>
      <c r="Y575" s="103"/>
      <c r="Z575" s="103"/>
    </row>
    <row r="576" spans="1:26" ht="14.25" customHeight="1">
      <c r="A576" s="103"/>
      <c r="B576" s="103"/>
      <c r="C576" s="103"/>
      <c r="D576" s="103"/>
      <c r="E576" s="103"/>
      <c r="F576" s="103"/>
      <c r="G576" s="103"/>
      <c r="H576" s="103"/>
      <c r="I576" s="103"/>
      <c r="J576" s="103"/>
      <c r="K576" s="103"/>
      <c r="L576" s="103"/>
      <c r="M576" s="103"/>
      <c r="N576" s="103"/>
      <c r="O576" s="103"/>
      <c r="P576" s="103"/>
      <c r="Q576" s="103"/>
      <c r="R576" s="103"/>
      <c r="S576" s="103"/>
      <c r="T576" s="103"/>
      <c r="U576" s="103"/>
      <c r="V576" s="103"/>
      <c r="W576" s="103"/>
      <c r="X576" s="103"/>
      <c r="Y576" s="103"/>
      <c r="Z576" s="103"/>
    </row>
    <row r="577" spans="1:26" ht="14.25" customHeight="1">
      <c r="A577" s="103"/>
      <c r="B577" s="103"/>
      <c r="C577" s="103"/>
      <c r="D577" s="103"/>
      <c r="E577" s="103"/>
      <c r="F577" s="103"/>
      <c r="G577" s="103"/>
      <c r="H577" s="103"/>
      <c r="I577" s="103"/>
      <c r="J577" s="103"/>
      <c r="K577" s="103"/>
      <c r="L577" s="103"/>
      <c r="M577" s="103"/>
      <c r="N577" s="103"/>
      <c r="O577" s="103"/>
      <c r="P577" s="103"/>
      <c r="Q577" s="103"/>
      <c r="R577" s="103"/>
      <c r="S577" s="103"/>
      <c r="T577" s="103"/>
      <c r="U577" s="103"/>
      <c r="V577" s="103"/>
      <c r="W577" s="103"/>
      <c r="X577" s="103"/>
      <c r="Y577" s="103"/>
      <c r="Z577" s="103"/>
    </row>
    <row r="578" spans="1:26" ht="14.25" customHeight="1">
      <c r="A578" s="103"/>
      <c r="B578" s="103"/>
      <c r="C578" s="103"/>
      <c r="D578" s="103"/>
      <c r="E578" s="103"/>
      <c r="F578" s="103"/>
      <c r="G578" s="103"/>
      <c r="H578" s="103"/>
      <c r="I578" s="103"/>
      <c r="J578" s="103"/>
      <c r="K578" s="103"/>
      <c r="L578" s="103"/>
      <c r="M578" s="103"/>
      <c r="N578" s="103"/>
      <c r="O578" s="103"/>
      <c r="P578" s="103"/>
      <c r="Q578" s="103"/>
      <c r="R578" s="103"/>
      <c r="S578" s="103"/>
      <c r="T578" s="103"/>
      <c r="U578" s="103"/>
      <c r="V578" s="103"/>
      <c r="W578" s="103"/>
      <c r="X578" s="103"/>
      <c r="Y578" s="103"/>
      <c r="Z578" s="103"/>
    </row>
    <row r="579" spans="1:26" ht="14.25" customHeight="1">
      <c r="A579" s="103"/>
      <c r="B579" s="103"/>
      <c r="C579" s="103"/>
      <c r="D579" s="103"/>
      <c r="E579" s="103"/>
      <c r="F579" s="103"/>
      <c r="G579" s="103"/>
      <c r="H579" s="103"/>
      <c r="I579" s="103"/>
      <c r="J579" s="103"/>
      <c r="K579" s="103"/>
      <c r="L579" s="103"/>
      <c r="M579" s="103"/>
      <c r="N579" s="103"/>
      <c r="O579" s="103"/>
      <c r="P579" s="103"/>
      <c r="Q579" s="103"/>
      <c r="R579" s="103"/>
      <c r="S579" s="103"/>
      <c r="T579" s="103"/>
      <c r="U579" s="103"/>
      <c r="V579" s="103"/>
      <c r="W579" s="103"/>
      <c r="X579" s="103"/>
      <c r="Y579" s="103"/>
      <c r="Z579" s="103"/>
    </row>
    <row r="580" spans="1:26" ht="14.25" customHeight="1">
      <c r="A580" s="103"/>
      <c r="B580" s="103"/>
      <c r="C580" s="103"/>
      <c r="D580" s="103"/>
      <c r="E580" s="103"/>
      <c r="F580" s="103"/>
      <c r="G580" s="103"/>
      <c r="H580" s="103"/>
      <c r="I580" s="103"/>
      <c r="J580" s="103"/>
      <c r="K580" s="103"/>
      <c r="L580" s="103"/>
      <c r="M580" s="103"/>
      <c r="N580" s="103"/>
      <c r="O580" s="103"/>
      <c r="P580" s="103"/>
      <c r="Q580" s="103"/>
      <c r="R580" s="103"/>
      <c r="S580" s="103"/>
      <c r="T580" s="103"/>
      <c r="U580" s="103"/>
      <c r="V580" s="103"/>
      <c r="W580" s="103"/>
      <c r="X580" s="103"/>
      <c r="Y580" s="103"/>
      <c r="Z580" s="103"/>
    </row>
    <row r="581" spans="1:26" ht="14.25" customHeight="1">
      <c r="A581" s="103"/>
      <c r="B581" s="103"/>
      <c r="C581" s="103"/>
      <c r="D581" s="103"/>
      <c r="E581" s="103"/>
      <c r="F581" s="103"/>
      <c r="G581" s="103"/>
      <c r="H581" s="103"/>
      <c r="I581" s="103"/>
      <c r="J581" s="103"/>
      <c r="K581" s="103"/>
      <c r="L581" s="103"/>
      <c r="M581" s="103"/>
      <c r="N581" s="103"/>
      <c r="O581" s="103"/>
      <c r="P581" s="103"/>
      <c r="Q581" s="103"/>
      <c r="R581" s="103"/>
      <c r="S581" s="103"/>
      <c r="T581" s="103"/>
      <c r="U581" s="103"/>
      <c r="V581" s="103"/>
      <c r="W581" s="103"/>
      <c r="X581" s="103"/>
      <c r="Y581" s="103"/>
      <c r="Z581" s="103"/>
    </row>
    <row r="582" spans="1:26" ht="14.25" customHeight="1">
      <c r="A582" s="103"/>
      <c r="B582" s="103"/>
      <c r="C582" s="103"/>
      <c r="D582" s="103"/>
      <c r="E582" s="103"/>
      <c r="F582" s="103"/>
      <c r="G582" s="103"/>
      <c r="H582" s="103"/>
      <c r="I582" s="103"/>
      <c r="J582" s="103"/>
      <c r="K582" s="103"/>
      <c r="L582" s="103"/>
      <c r="M582" s="103"/>
      <c r="N582" s="103"/>
      <c r="O582" s="103"/>
      <c r="P582" s="103"/>
      <c r="Q582" s="103"/>
      <c r="R582" s="103"/>
      <c r="S582" s="103"/>
      <c r="T582" s="103"/>
      <c r="U582" s="103"/>
      <c r="V582" s="103"/>
      <c r="W582" s="103"/>
      <c r="X582" s="103"/>
      <c r="Y582" s="103"/>
      <c r="Z582" s="103"/>
    </row>
    <row r="583" spans="1:26" ht="14.25" customHeight="1">
      <c r="A583" s="103"/>
      <c r="B583" s="103"/>
      <c r="C583" s="103"/>
      <c r="D583" s="103"/>
      <c r="E583" s="103"/>
      <c r="F583" s="103"/>
      <c r="G583" s="103"/>
      <c r="H583" s="103"/>
      <c r="I583" s="103"/>
      <c r="J583" s="103"/>
      <c r="K583" s="103"/>
      <c r="L583" s="103"/>
      <c r="M583" s="103"/>
      <c r="N583" s="103"/>
      <c r="O583" s="103"/>
      <c r="P583" s="103"/>
      <c r="Q583" s="103"/>
      <c r="R583" s="103"/>
      <c r="S583" s="103"/>
      <c r="T583" s="103"/>
      <c r="U583" s="103"/>
      <c r="V583" s="103"/>
      <c r="W583" s="103"/>
      <c r="X583" s="103"/>
      <c r="Y583" s="103"/>
      <c r="Z583" s="103"/>
    </row>
    <row r="584" spans="1:26" ht="14.25" customHeight="1">
      <c r="A584" s="103"/>
      <c r="B584" s="103"/>
      <c r="C584" s="103"/>
      <c r="D584" s="103"/>
      <c r="E584" s="103"/>
      <c r="F584" s="103"/>
      <c r="G584" s="103"/>
      <c r="H584" s="103"/>
      <c r="I584" s="103"/>
      <c r="J584" s="103"/>
      <c r="K584" s="103"/>
      <c r="L584" s="103"/>
      <c r="M584" s="103"/>
      <c r="N584" s="103"/>
      <c r="O584" s="103"/>
      <c r="P584" s="103"/>
      <c r="Q584" s="103"/>
      <c r="R584" s="103"/>
      <c r="S584" s="103"/>
      <c r="T584" s="103"/>
      <c r="U584" s="103"/>
      <c r="V584" s="103"/>
      <c r="W584" s="103"/>
      <c r="X584" s="103"/>
      <c r="Y584" s="103"/>
      <c r="Z584" s="103"/>
    </row>
    <row r="585" spans="1:26" ht="14.25" customHeight="1">
      <c r="A585" s="103"/>
      <c r="B585" s="103"/>
      <c r="C585" s="103"/>
      <c r="D585" s="103"/>
      <c r="E585" s="103"/>
      <c r="F585" s="103"/>
      <c r="G585" s="103"/>
      <c r="H585" s="103"/>
      <c r="I585" s="103"/>
      <c r="J585" s="103"/>
      <c r="K585" s="103"/>
      <c r="L585" s="103"/>
      <c r="M585" s="103"/>
      <c r="N585" s="103"/>
      <c r="O585" s="103"/>
      <c r="P585" s="103"/>
      <c r="Q585" s="103"/>
      <c r="R585" s="103"/>
      <c r="S585" s="103"/>
      <c r="T585" s="103"/>
      <c r="U585" s="103"/>
      <c r="V585" s="103"/>
      <c r="W585" s="103"/>
      <c r="X585" s="103"/>
      <c r="Y585" s="103"/>
      <c r="Z585" s="103"/>
    </row>
    <row r="586" spans="1:26" ht="14.25" customHeight="1">
      <c r="A586" s="103"/>
      <c r="B586" s="103"/>
      <c r="C586" s="103"/>
      <c r="D586" s="103"/>
      <c r="E586" s="103"/>
      <c r="F586" s="103"/>
      <c r="G586" s="103"/>
      <c r="H586" s="103"/>
      <c r="I586" s="103"/>
      <c r="J586" s="103"/>
      <c r="K586" s="103"/>
      <c r="L586" s="103"/>
      <c r="M586" s="103"/>
      <c r="N586" s="103"/>
      <c r="O586" s="103"/>
      <c r="P586" s="103"/>
      <c r="Q586" s="103"/>
      <c r="R586" s="103"/>
      <c r="S586" s="103"/>
      <c r="T586" s="103"/>
      <c r="U586" s="103"/>
      <c r="V586" s="103"/>
      <c r="W586" s="103"/>
      <c r="X586" s="103"/>
      <c r="Y586" s="103"/>
      <c r="Z586" s="103"/>
    </row>
    <row r="587" spans="1:26" ht="14.25" customHeight="1">
      <c r="A587" s="103"/>
      <c r="B587" s="103"/>
      <c r="C587" s="103"/>
      <c r="D587" s="103"/>
      <c r="E587" s="103"/>
      <c r="F587" s="103"/>
      <c r="G587" s="103"/>
      <c r="H587" s="103"/>
      <c r="I587" s="103"/>
      <c r="J587" s="103"/>
      <c r="K587" s="103"/>
      <c r="L587" s="103"/>
      <c r="M587" s="103"/>
      <c r="N587" s="103"/>
      <c r="O587" s="103"/>
      <c r="P587" s="103"/>
      <c r="Q587" s="103"/>
      <c r="R587" s="103"/>
      <c r="S587" s="103"/>
      <c r="T587" s="103"/>
      <c r="U587" s="103"/>
      <c r="V587" s="103"/>
      <c r="W587" s="103"/>
      <c r="X587" s="103"/>
      <c r="Y587" s="103"/>
      <c r="Z587" s="103"/>
    </row>
    <row r="588" spans="1:26" ht="14.25" customHeight="1">
      <c r="A588" s="103"/>
      <c r="B588" s="103"/>
      <c r="C588" s="103"/>
      <c r="D588" s="103"/>
      <c r="E588" s="103"/>
      <c r="F588" s="103"/>
      <c r="G588" s="103"/>
      <c r="H588" s="103"/>
      <c r="I588" s="103"/>
      <c r="J588" s="103"/>
      <c r="K588" s="103"/>
      <c r="L588" s="103"/>
      <c r="M588" s="103"/>
      <c r="N588" s="103"/>
      <c r="O588" s="103"/>
      <c r="P588" s="103"/>
      <c r="Q588" s="103"/>
      <c r="R588" s="103"/>
      <c r="S588" s="103"/>
      <c r="T588" s="103"/>
      <c r="U588" s="103"/>
      <c r="V588" s="103"/>
      <c r="W588" s="103"/>
      <c r="X588" s="103"/>
      <c r="Y588" s="103"/>
      <c r="Z588" s="103"/>
    </row>
    <row r="589" spans="1:26" ht="14.25" customHeight="1">
      <c r="A589" s="103"/>
      <c r="B589" s="103"/>
      <c r="C589" s="103"/>
      <c r="D589" s="103"/>
      <c r="E589" s="103"/>
      <c r="F589" s="103"/>
      <c r="G589" s="103"/>
      <c r="H589" s="103"/>
      <c r="I589" s="103"/>
      <c r="J589" s="103"/>
      <c r="K589" s="103"/>
      <c r="L589" s="103"/>
      <c r="M589" s="103"/>
      <c r="N589" s="103"/>
      <c r="O589" s="103"/>
      <c r="P589" s="103"/>
      <c r="Q589" s="103"/>
      <c r="R589" s="103"/>
      <c r="S589" s="103"/>
      <c r="T589" s="103"/>
      <c r="U589" s="103"/>
      <c r="V589" s="103"/>
      <c r="W589" s="103"/>
      <c r="X589" s="103"/>
      <c r="Y589" s="103"/>
      <c r="Z589" s="103"/>
    </row>
    <row r="590" spans="1:26" ht="14.25" customHeight="1">
      <c r="A590" s="103"/>
      <c r="B590" s="103"/>
      <c r="C590" s="103"/>
      <c r="D590" s="103"/>
      <c r="E590" s="103"/>
      <c r="F590" s="103"/>
      <c r="G590" s="103"/>
      <c r="H590" s="103"/>
      <c r="I590" s="103"/>
      <c r="J590" s="103"/>
      <c r="K590" s="103"/>
      <c r="L590" s="103"/>
      <c r="M590" s="103"/>
      <c r="N590" s="103"/>
      <c r="O590" s="103"/>
      <c r="P590" s="103"/>
      <c r="Q590" s="103"/>
      <c r="R590" s="103"/>
      <c r="S590" s="103"/>
      <c r="T590" s="103"/>
      <c r="U590" s="103"/>
      <c r="V590" s="103"/>
      <c r="W590" s="103"/>
      <c r="X590" s="103"/>
      <c r="Y590" s="103"/>
      <c r="Z590" s="103"/>
    </row>
    <row r="591" spans="1:26" ht="14.25" customHeight="1">
      <c r="A591" s="103"/>
      <c r="B591" s="103"/>
      <c r="C591" s="103"/>
      <c r="D591" s="103"/>
      <c r="E591" s="103"/>
      <c r="F591" s="103"/>
      <c r="G591" s="103"/>
      <c r="H591" s="103"/>
      <c r="I591" s="103"/>
      <c r="J591" s="103"/>
      <c r="K591" s="103"/>
      <c r="L591" s="103"/>
      <c r="M591" s="103"/>
      <c r="N591" s="103"/>
      <c r="O591" s="103"/>
      <c r="P591" s="103"/>
      <c r="Q591" s="103"/>
      <c r="R591" s="103"/>
      <c r="S591" s="103"/>
      <c r="T591" s="103"/>
      <c r="U591" s="103"/>
      <c r="V591" s="103"/>
      <c r="W591" s="103"/>
      <c r="X591" s="103"/>
      <c r="Y591" s="103"/>
      <c r="Z591" s="103"/>
    </row>
    <row r="592" spans="1:26" ht="14.25" customHeight="1">
      <c r="A592" s="103"/>
      <c r="B592" s="103"/>
      <c r="C592" s="103"/>
      <c r="D592" s="103"/>
      <c r="E592" s="103"/>
      <c r="F592" s="103"/>
      <c r="G592" s="103"/>
      <c r="H592" s="103"/>
      <c r="I592" s="103"/>
      <c r="J592" s="103"/>
      <c r="K592" s="103"/>
      <c r="L592" s="103"/>
      <c r="M592" s="103"/>
      <c r="N592" s="103"/>
      <c r="O592" s="103"/>
      <c r="P592" s="103"/>
      <c r="Q592" s="103"/>
      <c r="R592" s="103"/>
      <c r="S592" s="103"/>
      <c r="T592" s="103"/>
      <c r="U592" s="103"/>
      <c r="V592" s="103"/>
      <c r="W592" s="103"/>
      <c r="X592" s="103"/>
      <c r="Y592" s="103"/>
      <c r="Z592" s="103"/>
    </row>
    <row r="593" spans="1:26" ht="14.25" customHeight="1">
      <c r="A593" s="103"/>
      <c r="B593" s="103"/>
      <c r="C593" s="103"/>
      <c r="D593" s="103"/>
      <c r="E593" s="103"/>
      <c r="F593" s="103"/>
      <c r="G593" s="103"/>
      <c r="H593" s="103"/>
      <c r="I593" s="103"/>
      <c r="J593" s="103"/>
      <c r="K593" s="103"/>
      <c r="L593" s="103"/>
      <c r="M593" s="103"/>
      <c r="N593" s="103"/>
      <c r="O593" s="103"/>
      <c r="P593" s="103"/>
      <c r="Q593" s="103"/>
      <c r="R593" s="103"/>
      <c r="S593" s="103"/>
      <c r="T593" s="103"/>
      <c r="U593" s="103"/>
      <c r="V593" s="103"/>
      <c r="W593" s="103"/>
      <c r="X593" s="103"/>
      <c r="Y593" s="103"/>
      <c r="Z593" s="103"/>
    </row>
    <row r="594" spans="1:26" ht="14.25" customHeight="1">
      <c r="A594" s="103"/>
      <c r="B594" s="103"/>
      <c r="C594" s="103"/>
      <c r="D594" s="103"/>
      <c r="E594" s="103"/>
      <c r="F594" s="103"/>
      <c r="G594" s="103"/>
      <c r="H594" s="103"/>
      <c r="I594" s="103"/>
      <c r="J594" s="103"/>
      <c r="K594" s="103"/>
      <c r="L594" s="103"/>
      <c r="M594" s="103"/>
      <c r="N594" s="103"/>
      <c r="O594" s="103"/>
      <c r="P594" s="103"/>
      <c r="Q594" s="103"/>
      <c r="R594" s="103"/>
      <c r="S594" s="103"/>
      <c r="T594" s="103"/>
      <c r="U594" s="103"/>
      <c r="V594" s="103"/>
      <c r="W594" s="103"/>
      <c r="X594" s="103"/>
      <c r="Y594" s="103"/>
      <c r="Z594" s="103"/>
    </row>
    <row r="595" spans="1:26" ht="14.25" customHeight="1">
      <c r="A595" s="103"/>
      <c r="B595" s="103"/>
      <c r="C595" s="103"/>
      <c r="D595" s="103"/>
      <c r="E595" s="103"/>
      <c r="F595" s="103"/>
      <c r="G595" s="103"/>
      <c r="H595" s="103"/>
      <c r="I595" s="103"/>
      <c r="J595" s="103"/>
      <c r="K595" s="103"/>
      <c r="L595" s="103"/>
      <c r="M595" s="103"/>
      <c r="N595" s="103"/>
      <c r="O595" s="103"/>
      <c r="P595" s="103"/>
      <c r="Q595" s="103"/>
      <c r="R595" s="103"/>
      <c r="S595" s="103"/>
      <c r="T595" s="103"/>
      <c r="U595" s="103"/>
      <c r="V595" s="103"/>
      <c r="W595" s="103"/>
      <c r="X595" s="103"/>
      <c r="Y595" s="103"/>
      <c r="Z595" s="103"/>
    </row>
    <row r="596" spans="1:26" ht="14.25" customHeight="1">
      <c r="A596" s="103"/>
      <c r="B596" s="103"/>
      <c r="C596" s="103"/>
      <c r="D596" s="103"/>
      <c r="E596" s="103"/>
      <c r="F596" s="103"/>
      <c r="G596" s="103"/>
      <c r="H596" s="103"/>
      <c r="I596" s="103"/>
      <c r="J596" s="103"/>
      <c r="K596" s="103"/>
      <c r="L596" s="103"/>
      <c r="M596" s="103"/>
      <c r="N596" s="103"/>
      <c r="O596" s="103"/>
      <c r="P596" s="103"/>
      <c r="Q596" s="103"/>
      <c r="R596" s="103"/>
      <c r="S596" s="103"/>
      <c r="T596" s="103"/>
      <c r="U596" s="103"/>
      <c r="V596" s="103"/>
      <c r="W596" s="103"/>
      <c r="X596" s="103"/>
      <c r="Y596" s="103"/>
      <c r="Z596" s="103"/>
    </row>
    <row r="597" spans="1:26" ht="14.25" customHeight="1">
      <c r="A597" s="103"/>
      <c r="B597" s="103"/>
      <c r="C597" s="103"/>
      <c r="D597" s="103"/>
      <c r="E597" s="103"/>
      <c r="F597" s="103"/>
      <c r="G597" s="103"/>
      <c r="H597" s="103"/>
      <c r="I597" s="103"/>
      <c r="J597" s="103"/>
      <c r="K597" s="103"/>
      <c r="L597" s="103"/>
      <c r="M597" s="103"/>
      <c r="N597" s="103"/>
      <c r="O597" s="103"/>
      <c r="P597" s="103"/>
      <c r="Q597" s="103"/>
      <c r="R597" s="103"/>
      <c r="S597" s="103"/>
      <c r="T597" s="103"/>
      <c r="U597" s="103"/>
      <c r="V597" s="103"/>
      <c r="W597" s="103"/>
      <c r="X597" s="103"/>
      <c r="Y597" s="103"/>
      <c r="Z597" s="103"/>
    </row>
    <row r="598" spans="1:26" ht="14.25" customHeight="1">
      <c r="A598" s="103"/>
      <c r="B598" s="103"/>
      <c r="C598" s="103"/>
      <c r="D598" s="103"/>
      <c r="E598" s="103"/>
      <c r="F598" s="103"/>
      <c r="G598" s="103"/>
      <c r="H598" s="103"/>
      <c r="I598" s="103"/>
      <c r="J598" s="103"/>
      <c r="K598" s="103"/>
      <c r="L598" s="103"/>
      <c r="M598" s="103"/>
      <c r="N598" s="103"/>
      <c r="O598" s="103"/>
      <c r="P598" s="103"/>
      <c r="Q598" s="103"/>
      <c r="R598" s="103"/>
      <c r="S598" s="103"/>
      <c r="T598" s="103"/>
      <c r="U598" s="103"/>
      <c r="V598" s="103"/>
      <c r="W598" s="103"/>
      <c r="X598" s="103"/>
      <c r="Y598" s="103"/>
      <c r="Z598" s="103"/>
    </row>
    <row r="599" spans="1:26" ht="14.25" customHeight="1">
      <c r="A599" s="103"/>
      <c r="B599" s="103"/>
      <c r="C599" s="103"/>
      <c r="D599" s="103"/>
      <c r="E599" s="103"/>
      <c r="F599" s="103"/>
      <c r="G599" s="103"/>
      <c r="H599" s="103"/>
      <c r="I599" s="103"/>
      <c r="J599" s="103"/>
      <c r="K599" s="103"/>
      <c r="L599" s="103"/>
      <c r="M599" s="103"/>
      <c r="N599" s="103"/>
      <c r="O599" s="103"/>
      <c r="P599" s="103"/>
      <c r="Q599" s="103"/>
      <c r="R599" s="103"/>
      <c r="S599" s="103"/>
      <c r="T599" s="103"/>
      <c r="U599" s="103"/>
      <c r="V599" s="103"/>
      <c r="W599" s="103"/>
      <c r="X599" s="103"/>
      <c r="Y599" s="103"/>
      <c r="Z599" s="103"/>
    </row>
    <row r="600" spans="1:26" ht="14.25" customHeight="1">
      <c r="A600" s="103"/>
      <c r="B600" s="103"/>
      <c r="C600" s="103"/>
      <c r="D600" s="103"/>
      <c r="E600" s="103"/>
      <c r="F600" s="103"/>
      <c r="G600" s="103"/>
      <c r="H600" s="103"/>
      <c r="I600" s="103"/>
      <c r="J600" s="103"/>
      <c r="K600" s="103"/>
      <c r="L600" s="103"/>
      <c r="M600" s="103"/>
      <c r="N600" s="103"/>
      <c r="O600" s="103"/>
      <c r="P600" s="103"/>
      <c r="Q600" s="103"/>
      <c r="R600" s="103"/>
      <c r="S600" s="103"/>
      <c r="T600" s="103"/>
      <c r="U600" s="103"/>
      <c r="V600" s="103"/>
      <c r="W600" s="103"/>
      <c r="X600" s="103"/>
      <c r="Y600" s="103"/>
      <c r="Z600" s="103"/>
    </row>
    <row r="601" spans="1:26" ht="14.25" customHeight="1">
      <c r="A601" s="103"/>
      <c r="B601" s="103"/>
      <c r="C601" s="103"/>
      <c r="D601" s="103"/>
      <c r="E601" s="103"/>
      <c r="F601" s="103"/>
      <c r="G601" s="103"/>
      <c r="H601" s="103"/>
      <c r="I601" s="103"/>
      <c r="J601" s="103"/>
      <c r="K601" s="103"/>
      <c r="L601" s="103"/>
      <c r="M601" s="103"/>
      <c r="N601" s="103"/>
      <c r="O601" s="103"/>
      <c r="P601" s="103"/>
      <c r="Q601" s="103"/>
      <c r="R601" s="103"/>
      <c r="S601" s="103"/>
      <c r="T601" s="103"/>
      <c r="U601" s="103"/>
      <c r="V601" s="103"/>
      <c r="W601" s="103"/>
      <c r="X601" s="103"/>
      <c r="Y601" s="103"/>
      <c r="Z601" s="103"/>
    </row>
    <row r="602" spans="1:26" ht="14.25" customHeight="1">
      <c r="A602" s="103"/>
      <c r="B602" s="103"/>
      <c r="C602" s="103"/>
      <c r="D602" s="103"/>
      <c r="E602" s="103"/>
      <c r="F602" s="103"/>
      <c r="G602" s="103"/>
      <c r="H602" s="103"/>
      <c r="I602" s="103"/>
      <c r="J602" s="103"/>
      <c r="K602" s="103"/>
      <c r="L602" s="103"/>
      <c r="M602" s="103"/>
      <c r="N602" s="103"/>
      <c r="O602" s="103"/>
      <c r="P602" s="103"/>
      <c r="Q602" s="103"/>
      <c r="R602" s="103"/>
      <c r="S602" s="103"/>
      <c r="T602" s="103"/>
      <c r="U602" s="103"/>
      <c r="V602" s="103"/>
      <c r="W602" s="103"/>
      <c r="X602" s="103"/>
      <c r="Y602" s="103"/>
      <c r="Z602" s="103"/>
    </row>
    <row r="603" spans="1:26" ht="14.25" customHeight="1">
      <c r="A603" s="103"/>
      <c r="B603" s="103"/>
      <c r="C603" s="103"/>
      <c r="D603" s="103"/>
      <c r="E603" s="103"/>
      <c r="F603" s="103"/>
      <c r="G603" s="103"/>
      <c r="H603" s="103"/>
      <c r="I603" s="103"/>
      <c r="J603" s="103"/>
      <c r="K603" s="103"/>
      <c r="L603" s="103"/>
      <c r="M603" s="103"/>
      <c r="N603" s="103"/>
      <c r="O603" s="103"/>
      <c r="P603" s="103"/>
      <c r="Q603" s="103"/>
      <c r="R603" s="103"/>
      <c r="S603" s="103"/>
      <c r="T603" s="103"/>
      <c r="U603" s="103"/>
      <c r="V603" s="103"/>
      <c r="W603" s="103"/>
      <c r="X603" s="103"/>
      <c r="Y603" s="103"/>
      <c r="Z603" s="103"/>
    </row>
    <row r="604" spans="1:26" ht="14.25" customHeight="1">
      <c r="A604" s="103"/>
      <c r="B604" s="103"/>
      <c r="C604" s="103"/>
      <c r="D604" s="103"/>
      <c r="E604" s="103"/>
      <c r="F604" s="103"/>
      <c r="G604" s="103"/>
      <c r="H604" s="103"/>
      <c r="I604" s="103"/>
      <c r="J604" s="103"/>
      <c r="K604" s="103"/>
      <c r="L604" s="103"/>
      <c r="M604" s="103"/>
      <c r="N604" s="103"/>
      <c r="O604" s="103"/>
      <c r="P604" s="103"/>
      <c r="Q604" s="103"/>
      <c r="R604" s="103"/>
      <c r="S604" s="103"/>
      <c r="T604" s="103"/>
      <c r="U604" s="103"/>
      <c r="V604" s="103"/>
      <c r="W604" s="103"/>
      <c r="X604" s="103"/>
      <c r="Y604" s="103"/>
      <c r="Z604" s="103"/>
    </row>
    <row r="605" spans="1:26" ht="14.25" customHeight="1">
      <c r="A605" s="103"/>
      <c r="B605" s="103"/>
      <c r="C605" s="103"/>
      <c r="D605" s="103"/>
      <c r="E605" s="103"/>
      <c r="F605" s="103"/>
      <c r="G605" s="103"/>
      <c r="H605" s="103"/>
      <c r="I605" s="103"/>
      <c r="J605" s="103"/>
      <c r="K605" s="103"/>
      <c r="L605" s="103"/>
      <c r="M605" s="103"/>
      <c r="N605" s="103"/>
      <c r="O605" s="103"/>
      <c r="P605" s="103"/>
      <c r="Q605" s="103"/>
      <c r="R605" s="103"/>
      <c r="S605" s="103"/>
      <c r="T605" s="103"/>
      <c r="U605" s="103"/>
      <c r="V605" s="103"/>
      <c r="W605" s="103"/>
      <c r="X605" s="103"/>
      <c r="Y605" s="103"/>
      <c r="Z605" s="103"/>
    </row>
    <row r="606" spans="1:26" ht="14.25" customHeight="1">
      <c r="A606" s="103"/>
      <c r="B606" s="103"/>
      <c r="C606" s="103"/>
      <c r="D606" s="103"/>
      <c r="E606" s="103"/>
      <c r="F606" s="103"/>
      <c r="G606" s="103"/>
      <c r="H606" s="103"/>
      <c r="I606" s="103"/>
      <c r="J606" s="103"/>
      <c r="K606" s="103"/>
      <c r="L606" s="103"/>
      <c r="M606" s="103"/>
      <c r="N606" s="103"/>
      <c r="O606" s="103"/>
      <c r="P606" s="103"/>
      <c r="Q606" s="103"/>
      <c r="R606" s="103"/>
      <c r="S606" s="103"/>
      <c r="T606" s="103"/>
      <c r="U606" s="103"/>
      <c r="V606" s="103"/>
      <c r="W606" s="103"/>
      <c r="X606" s="103"/>
      <c r="Y606" s="103"/>
      <c r="Z606" s="103"/>
    </row>
    <row r="607" spans="1:26" ht="14.25" customHeight="1">
      <c r="A607" s="103"/>
      <c r="B607" s="103"/>
      <c r="C607" s="103"/>
      <c r="D607" s="103"/>
      <c r="E607" s="103"/>
      <c r="F607" s="103"/>
      <c r="G607" s="103"/>
      <c r="H607" s="103"/>
      <c r="I607" s="103"/>
      <c r="J607" s="103"/>
      <c r="K607" s="103"/>
      <c r="L607" s="103"/>
      <c r="M607" s="103"/>
      <c r="N607" s="103"/>
      <c r="O607" s="103"/>
      <c r="P607" s="103"/>
      <c r="Q607" s="103"/>
      <c r="R607" s="103"/>
      <c r="S607" s="103"/>
      <c r="T607" s="103"/>
      <c r="U607" s="103"/>
      <c r="V607" s="103"/>
      <c r="W607" s="103"/>
      <c r="X607" s="103"/>
      <c r="Y607" s="103"/>
      <c r="Z607" s="103"/>
    </row>
    <row r="608" spans="1:26" ht="14.25" customHeight="1">
      <c r="A608" s="103"/>
      <c r="B608" s="103"/>
      <c r="C608" s="103"/>
      <c r="D608" s="103"/>
      <c r="E608" s="103"/>
      <c r="F608" s="103"/>
      <c r="G608" s="103"/>
      <c r="H608" s="103"/>
      <c r="I608" s="103"/>
      <c r="J608" s="103"/>
      <c r="K608" s="103"/>
      <c r="L608" s="103"/>
      <c r="M608" s="103"/>
      <c r="N608" s="103"/>
      <c r="O608" s="103"/>
      <c r="P608" s="103"/>
      <c r="Q608" s="103"/>
      <c r="R608" s="103"/>
      <c r="S608" s="103"/>
      <c r="T608" s="103"/>
      <c r="U608" s="103"/>
      <c r="V608" s="103"/>
      <c r="W608" s="103"/>
      <c r="X608" s="103"/>
      <c r="Y608" s="103"/>
      <c r="Z608" s="103"/>
    </row>
    <row r="609" spans="1:26" ht="14.25" customHeight="1">
      <c r="A609" s="103"/>
      <c r="B609" s="103"/>
      <c r="C609" s="103"/>
      <c r="D609" s="103"/>
      <c r="E609" s="103"/>
      <c r="F609" s="103"/>
      <c r="G609" s="103"/>
      <c r="H609" s="103"/>
      <c r="I609" s="103"/>
      <c r="J609" s="103"/>
      <c r="K609" s="103"/>
      <c r="L609" s="103"/>
      <c r="M609" s="103"/>
      <c r="N609" s="103"/>
      <c r="O609" s="103"/>
      <c r="P609" s="103"/>
      <c r="Q609" s="103"/>
      <c r="R609" s="103"/>
      <c r="S609" s="103"/>
      <c r="T609" s="103"/>
      <c r="U609" s="103"/>
      <c r="V609" s="103"/>
      <c r="W609" s="103"/>
      <c r="X609" s="103"/>
      <c r="Y609" s="103"/>
      <c r="Z609" s="103"/>
    </row>
    <row r="610" spans="1:26" ht="14.25" customHeight="1">
      <c r="A610" s="103"/>
      <c r="B610" s="103"/>
      <c r="C610" s="103"/>
      <c r="D610" s="103"/>
      <c r="E610" s="103"/>
      <c r="F610" s="103"/>
      <c r="G610" s="103"/>
      <c r="H610" s="103"/>
      <c r="I610" s="103"/>
      <c r="J610" s="103"/>
      <c r="K610" s="103"/>
      <c r="L610" s="103"/>
      <c r="M610" s="103"/>
      <c r="N610" s="103"/>
      <c r="O610" s="103"/>
      <c r="P610" s="103"/>
      <c r="Q610" s="103"/>
      <c r="R610" s="103"/>
      <c r="S610" s="103"/>
      <c r="T610" s="103"/>
      <c r="U610" s="103"/>
      <c r="V610" s="103"/>
      <c r="W610" s="103"/>
      <c r="X610" s="103"/>
      <c r="Y610" s="103"/>
      <c r="Z610" s="103"/>
    </row>
    <row r="611" spans="1:26" ht="14.25" customHeight="1">
      <c r="A611" s="103"/>
      <c r="B611" s="103"/>
      <c r="C611" s="103"/>
      <c r="D611" s="103"/>
      <c r="E611" s="103"/>
      <c r="F611" s="103"/>
      <c r="G611" s="103"/>
      <c r="H611" s="103"/>
      <c r="I611" s="103"/>
      <c r="J611" s="103"/>
      <c r="K611" s="103"/>
      <c r="L611" s="103"/>
      <c r="M611" s="103"/>
      <c r="N611" s="103"/>
      <c r="O611" s="103"/>
      <c r="P611" s="103"/>
      <c r="Q611" s="103"/>
      <c r="R611" s="103"/>
      <c r="S611" s="103"/>
      <c r="T611" s="103"/>
      <c r="U611" s="103"/>
      <c r="V611" s="103"/>
      <c r="W611" s="103"/>
      <c r="X611" s="103"/>
      <c r="Y611" s="103"/>
      <c r="Z611" s="103"/>
    </row>
    <row r="612" spans="1:26" ht="14.25" customHeight="1">
      <c r="A612" s="103"/>
      <c r="B612" s="103"/>
      <c r="C612" s="103"/>
      <c r="D612" s="103"/>
      <c r="E612" s="103"/>
      <c r="F612" s="103"/>
      <c r="G612" s="103"/>
      <c r="H612" s="103"/>
      <c r="I612" s="103"/>
      <c r="J612" s="103"/>
      <c r="K612" s="103"/>
      <c r="L612" s="103"/>
      <c r="M612" s="103"/>
      <c r="N612" s="103"/>
      <c r="O612" s="103"/>
      <c r="P612" s="103"/>
      <c r="Q612" s="103"/>
      <c r="R612" s="103"/>
      <c r="S612" s="103"/>
      <c r="T612" s="103"/>
      <c r="U612" s="103"/>
      <c r="V612" s="103"/>
      <c r="W612" s="103"/>
      <c r="X612" s="103"/>
      <c r="Y612" s="103"/>
      <c r="Z612" s="103"/>
    </row>
    <row r="613" spans="1:26" ht="14.25" customHeight="1">
      <c r="A613" s="103"/>
      <c r="B613" s="103"/>
      <c r="C613" s="103"/>
      <c r="D613" s="103"/>
      <c r="E613" s="103"/>
      <c r="F613" s="103"/>
      <c r="G613" s="103"/>
      <c r="H613" s="103"/>
      <c r="I613" s="103"/>
      <c r="J613" s="103"/>
      <c r="K613" s="103"/>
      <c r="L613" s="103"/>
      <c r="M613" s="103"/>
      <c r="N613" s="103"/>
      <c r="O613" s="103"/>
      <c r="P613" s="103"/>
      <c r="Q613" s="103"/>
      <c r="R613" s="103"/>
      <c r="S613" s="103"/>
      <c r="T613" s="103"/>
      <c r="U613" s="103"/>
      <c r="V613" s="103"/>
      <c r="W613" s="103"/>
      <c r="X613" s="103"/>
      <c r="Y613" s="103"/>
      <c r="Z613" s="103"/>
    </row>
    <row r="614" spans="1:26" ht="14.25" customHeight="1">
      <c r="A614" s="103"/>
      <c r="B614" s="103"/>
      <c r="C614" s="103"/>
      <c r="D614" s="103"/>
      <c r="E614" s="103"/>
      <c r="F614" s="103"/>
      <c r="G614" s="103"/>
      <c r="H614" s="103"/>
      <c r="I614" s="103"/>
      <c r="J614" s="103"/>
      <c r="K614" s="103"/>
      <c r="L614" s="103"/>
      <c r="M614" s="103"/>
      <c r="N614" s="103"/>
      <c r="O614" s="103"/>
      <c r="P614" s="103"/>
      <c r="Q614" s="103"/>
      <c r="R614" s="103"/>
      <c r="S614" s="103"/>
      <c r="T614" s="103"/>
      <c r="U614" s="103"/>
      <c r="V614" s="103"/>
      <c r="W614" s="103"/>
      <c r="X614" s="103"/>
      <c r="Y614" s="103"/>
      <c r="Z614" s="103"/>
    </row>
    <row r="615" spans="1:26" ht="14.25" customHeight="1">
      <c r="A615" s="103"/>
      <c r="B615" s="103"/>
      <c r="C615" s="103"/>
      <c r="D615" s="103"/>
      <c r="E615" s="103"/>
      <c r="F615" s="103"/>
      <c r="G615" s="103"/>
      <c r="H615" s="103"/>
      <c r="I615" s="103"/>
      <c r="J615" s="103"/>
      <c r="K615" s="103"/>
      <c r="L615" s="103"/>
      <c r="M615" s="103"/>
      <c r="N615" s="103"/>
      <c r="O615" s="103"/>
      <c r="P615" s="103"/>
      <c r="Q615" s="103"/>
      <c r="R615" s="103"/>
      <c r="S615" s="103"/>
      <c r="T615" s="103"/>
      <c r="U615" s="103"/>
      <c r="V615" s="103"/>
      <c r="W615" s="103"/>
      <c r="X615" s="103"/>
      <c r="Y615" s="103"/>
      <c r="Z615" s="103"/>
    </row>
    <row r="616" spans="1:26" ht="14.25" customHeight="1">
      <c r="A616" s="103"/>
      <c r="B616" s="103"/>
      <c r="C616" s="103"/>
      <c r="D616" s="103"/>
      <c r="E616" s="103"/>
      <c r="F616" s="103"/>
      <c r="G616" s="103"/>
      <c r="H616" s="103"/>
      <c r="I616" s="103"/>
      <c r="J616" s="103"/>
      <c r="K616" s="103"/>
      <c r="L616" s="103"/>
      <c r="M616" s="103"/>
      <c r="N616" s="103"/>
      <c r="O616" s="103"/>
      <c r="P616" s="103"/>
      <c r="Q616" s="103"/>
      <c r="R616" s="103"/>
      <c r="S616" s="103"/>
      <c r="T616" s="103"/>
      <c r="U616" s="103"/>
      <c r="V616" s="103"/>
      <c r="W616" s="103"/>
      <c r="X616" s="103"/>
      <c r="Y616" s="103"/>
      <c r="Z616" s="103"/>
    </row>
    <row r="617" spans="1:26" ht="14.25" customHeight="1">
      <c r="A617" s="103"/>
      <c r="B617" s="103"/>
      <c r="C617" s="103"/>
      <c r="D617" s="103"/>
      <c r="E617" s="103"/>
      <c r="F617" s="103"/>
      <c r="G617" s="103"/>
      <c r="H617" s="103"/>
      <c r="I617" s="103"/>
      <c r="J617" s="103"/>
      <c r="K617" s="103"/>
      <c r="L617" s="103"/>
      <c r="M617" s="103"/>
      <c r="N617" s="103"/>
      <c r="O617" s="103"/>
      <c r="P617" s="103"/>
      <c r="Q617" s="103"/>
      <c r="R617" s="103"/>
      <c r="S617" s="103"/>
      <c r="T617" s="103"/>
      <c r="U617" s="103"/>
      <c r="V617" s="103"/>
      <c r="W617" s="103"/>
      <c r="X617" s="103"/>
      <c r="Y617" s="103"/>
      <c r="Z617" s="103"/>
    </row>
    <row r="618" spans="1:26" ht="14.25" customHeight="1">
      <c r="A618" s="103"/>
      <c r="B618" s="103"/>
      <c r="C618" s="103"/>
      <c r="D618" s="103"/>
      <c r="E618" s="103"/>
      <c r="F618" s="103"/>
      <c r="G618" s="103"/>
      <c r="H618" s="103"/>
      <c r="I618" s="103"/>
      <c r="J618" s="103"/>
      <c r="K618" s="103"/>
      <c r="L618" s="103"/>
      <c r="M618" s="103"/>
      <c r="N618" s="103"/>
      <c r="O618" s="103"/>
      <c r="P618" s="103"/>
      <c r="Q618" s="103"/>
      <c r="R618" s="103"/>
      <c r="S618" s="103"/>
      <c r="T618" s="103"/>
      <c r="U618" s="103"/>
      <c r="V618" s="103"/>
      <c r="W618" s="103"/>
      <c r="X618" s="103"/>
      <c r="Y618" s="103"/>
      <c r="Z618" s="103"/>
    </row>
    <row r="619" spans="1:26" ht="14.25" customHeight="1">
      <c r="A619" s="103"/>
      <c r="B619" s="103"/>
      <c r="C619" s="103"/>
      <c r="D619" s="103"/>
      <c r="E619" s="103"/>
      <c r="F619" s="103"/>
      <c r="G619" s="103"/>
      <c r="H619" s="103"/>
      <c r="I619" s="103"/>
      <c r="J619" s="103"/>
      <c r="K619" s="103"/>
      <c r="L619" s="103"/>
      <c r="M619" s="103"/>
      <c r="N619" s="103"/>
      <c r="O619" s="103"/>
      <c r="P619" s="103"/>
      <c r="Q619" s="103"/>
      <c r="R619" s="103"/>
      <c r="S619" s="103"/>
      <c r="T619" s="103"/>
      <c r="U619" s="103"/>
      <c r="V619" s="103"/>
      <c r="W619" s="103"/>
      <c r="X619" s="103"/>
      <c r="Y619" s="103"/>
      <c r="Z619" s="103"/>
    </row>
    <row r="620" spans="1:26" ht="14.25" customHeight="1">
      <c r="A620" s="103"/>
      <c r="B620" s="103"/>
      <c r="C620" s="103"/>
      <c r="D620" s="103"/>
      <c r="E620" s="103"/>
      <c r="F620" s="103"/>
      <c r="G620" s="103"/>
      <c r="H620" s="103"/>
      <c r="I620" s="103"/>
      <c r="J620" s="103"/>
      <c r="K620" s="103"/>
      <c r="L620" s="103"/>
      <c r="M620" s="103"/>
      <c r="N620" s="103"/>
      <c r="O620" s="103"/>
      <c r="P620" s="103"/>
      <c r="Q620" s="103"/>
      <c r="R620" s="103"/>
      <c r="S620" s="103"/>
      <c r="T620" s="103"/>
      <c r="U620" s="103"/>
      <c r="V620" s="103"/>
      <c r="W620" s="103"/>
      <c r="X620" s="103"/>
      <c r="Y620" s="103"/>
      <c r="Z620" s="103"/>
    </row>
    <row r="621" spans="1:26" ht="14.25" customHeight="1">
      <c r="A621" s="103"/>
      <c r="B621" s="103"/>
      <c r="C621" s="103"/>
      <c r="D621" s="103"/>
      <c r="E621" s="103"/>
      <c r="F621" s="103"/>
      <c r="G621" s="103"/>
      <c r="H621" s="103"/>
      <c r="I621" s="103"/>
      <c r="J621" s="103"/>
      <c r="K621" s="103"/>
      <c r="L621" s="103"/>
      <c r="M621" s="103"/>
      <c r="N621" s="103"/>
      <c r="O621" s="103"/>
      <c r="P621" s="103"/>
      <c r="Q621" s="103"/>
      <c r="R621" s="103"/>
      <c r="S621" s="103"/>
      <c r="T621" s="103"/>
      <c r="U621" s="103"/>
      <c r="V621" s="103"/>
      <c r="W621" s="103"/>
      <c r="X621" s="103"/>
      <c r="Y621" s="103"/>
      <c r="Z621" s="103"/>
    </row>
    <row r="622" spans="1:26" ht="14.25" customHeight="1">
      <c r="A622" s="103"/>
      <c r="B622" s="103"/>
      <c r="C622" s="103"/>
      <c r="D622" s="103"/>
      <c r="E622" s="103"/>
      <c r="F622" s="103"/>
      <c r="G622" s="103"/>
      <c r="H622" s="103"/>
      <c r="I622" s="103"/>
      <c r="J622" s="103"/>
      <c r="K622" s="103"/>
      <c r="L622" s="103"/>
      <c r="M622" s="103"/>
      <c r="N622" s="103"/>
      <c r="O622" s="103"/>
      <c r="P622" s="103"/>
      <c r="Q622" s="103"/>
      <c r="R622" s="103"/>
      <c r="S622" s="103"/>
      <c r="T622" s="103"/>
      <c r="U622" s="103"/>
      <c r="V622" s="103"/>
      <c r="W622" s="103"/>
      <c r="X622" s="103"/>
      <c r="Y622" s="103"/>
      <c r="Z622" s="103"/>
    </row>
    <row r="623" spans="1:26" ht="14.25" customHeight="1">
      <c r="A623" s="103"/>
      <c r="B623" s="103"/>
      <c r="C623" s="103"/>
      <c r="D623" s="103"/>
      <c r="E623" s="103"/>
      <c r="F623" s="103"/>
      <c r="G623" s="103"/>
      <c r="H623" s="103"/>
      <c r="I623" s="103"/>
      <c r="J623" s="103"/>
      <c r="K623" s="103"/>
      <c r="L623" s="103"/>
      <c r="M623" s="103"/>
      <c r="N623" s="103"/>
      <c r="O623" s="103"/>
      <c r="P623" s="103"/>
      <c r="Q623" s="103"/>
      <c r="R623" s="103"/>
      <c r="S623" s="103"/>
      <c r="T623" s="103"/>
      <c r="U623" s="103"/>
      <c r="V623" s="103"/>
      <c r="W623" s="103"/>
      <c r="X623" s="103"/>
      <c r="Y623" s="103"/>
      <c r="Z623" s="103"/>
    </row>
    <row r="624" spans="1:26" ht="14.25" customHeight="1">
      <c r="A624" s="103"/>
      <c r="B624" s="103"/>
      <c r="C624" s="103"/>
      <c r="D624" s="103"/>
      <c r="E624" s="103"/>
      <c r="F624" s="103"/>
      <c r="G624" s="103"/>
      <c r="H624" s="103"/>
      <c r="I624" s="103"/>
      <c r="J624" s="103"/>
      <c r="K624" s="103"/>
      <c r="L624" s="103"/>
      <c r="M624" s="103"/>
      <c r="N624" s="103"/>
      <c r="O624" s="103"/>
      <c r="P624" s="103"/>
      <c r="Q624" s="103"/>
      <c r="R624" s="103"/>
      <c r="S624" s="103"/>
      <c r="T624" s="103"/>
      <c r="U624" s="103"/>
      <c r="V624" s="103"/>
      <c r="W624" s="103"/>
      <c r="X624" s="103"/>
      <c r="Y624" s="103"/>
      <c r="Z624" s="103"/>
    </row>
    <row r="625" spans="1:26" ht="14.25" customHeight="1">
      <c r="A625" s="103"/>
      <c r="B625" s="103"/>
      <c r="C625" s="103"/>
      <c r="D625" s="103"/>
      <c r="E625" s="103"/>
      <c r="F625" s="103"/>
      <c r="G625" s="103"/>
      <c r="H625" s="103"/>
      <c r="I625" s="103"/>
      <c r="J625" s="103"/>
      <c r="K625" s="103"/>
      <c r="L625" s="103"/>
      <c r="M625" s="103"/>
      <c r="N625" s="103"/>
      <c r="O625" s="103"/>
      <c r="P625" s="103"/>
      <c r="Q625" s="103"/>
      <c r="R625" s="103"/>
      <c r="S625" s="103"/>
      <c r="T625" s="103"/>
      <c r="U625" s="103"/>
      <c r="V625" s="103"/>
      <c r="W625" s="103"/>
      <c r="X625" s="103"/>
      <c r="Y625" s="103"/>
      <c r="Z625" s="103"/>
    </row>
    <row r="626" spans="1:26" ht="14.25" customHeight="1">
      <c r="A626" s="103"/>
      <c r="B626" s="103"/>
      <c r="C626" s="103"/>
      <c r="D626" s="103"/>
      <c r="E626" s="103"/>
      <c r="F626" s="103"/>
      <c r="G626" s="103"/>
      <c r="H626" s="103"/>
      <c r="I626" s="103"/>
      <c r="J626" s="103"/>
      <c r="K626" s="103"/>
      <c r="L626" s="103"/>
      <c r="M626" s="103"/>
      <c r="N626" s="103"/>
      <c r="O626" s="103"/>
      <c r="P626" s="103"/>
      <c r="Q626" s="103"/>
      <c r="R626" s="103"/>
      <c r="S626" s="103"/>
      <c r="T626" s="103"/>
      <c r="U626" s="103"/>
      <c r="V626" s="103"/>
      <c r="W626" s="103"/>
      <c r="X626" s="103"/>
      <c r="Y626" s="103"/>
      <c r="Z626" s="103"/>
    </row>
    <row r="627" spans="1:26" ht="14.25" customHeight="1">
      <c r="A627" s="103"/>
      <c r="B627" s="103"/>
      <c r="C627" s="103"/>
      <c r="D627" s="103"/>
      <c r="E627" s="103"/>
      <c r="F627" s="103"/>
      <c r="G627" s="103"/>
      <c r="H627" s="103"/>
      <c r="I627" s="103"/>
      <c r="J627" s="103"/>
      <c r="K627" s="103"/>
      <c r="L627" s="103"/>
      <c r="M627" s="103"/>
      <c r="N627" s="103"/>
      <c r="O627" s="103"/>
      <c r="P627" s="103"/>
      <c r="Q627" s="103"/>
      <c r="R627" s="103"/>
      <c r="S627" s="103"/>
      <c r="T627" s="103"/>
      <c r="U627" s="103"/>
      <c r="V627" s="103"/>
      <c r="W627" s="103"/>
      <c r="X627" s="103"/>
      <c r="Y627" s="103"/>
      <c r="Z627" s="103"/>
    </row>
    <row r="628" spans="1:26" ht="14.25" customHeight="1">
      <c r="A628" s="103"/>
      <c r="B628" s="103"/>
      <c r="C628" s="103"/>
      <c r="D628" s="103"/>
      <c r="E628" s="103"/>
      <c r="F628" s="103"/>
      <c r="G628" s="103"/>
      <c r="H628" s="103"/>
      <c r="I628" s="103"/>
      <c r="J628" s="103"/>
      <c r="K628" s="103"/>
      <c r="L628" s="103"/>
      <c r="M628" s="103"/>
      <c r="N628" s="103"/>
      <c r="O628" s="103"/>
      <c r="P628" s="103"/>
      <c r="Q628" s="103"/>
      <c r="R628" s="103"/>
      <c r="S628" s="103"/>
      <c r="T628" s="103"/>
      <c r="U628" s="103"/>
      <c r="V628" s="103"/>
      <c r="W628" s="103"/>
      <c r="X628" s="103"/>
      <c r="Y628" s="103"/>
      <c r="Z628" s="103"/>
    </row>
    <row r="629" spans="1:26" ht="14.25" customHeight="1">
      <c r="A629" s="103"/>
      <c r="B629" s="103"/>
      <c r="C629" s="103"/>
      <c r="D629" s="103"/>
      <c r="E629" s="103"/>
      <c r="F629" s="103"/>
      <c r="G629" s="103"/>
      <c r="H629" s="103"/>
      <c r="I629" s="103"/>
      <c r="J629" s="103"/>
      <c r="K629" s="103"/>
      <c r="L629" s="103"/>
      <c r="M629" s="103"/>
      <c r="N629" s="103"/>
      <c r="O629" s="103"/>
      <c r="P629" s="103"/>
      <c r="Q629" s="103"/>
      <c r="R629" s="103"/>
      <c r="S629" s="103"/>
      <c r="T629" s="103"/>
      <c r="U629" s="103"/>
      <c r="V629" s="103"/>
      <c r="W629" s="103"/>
      <c r="X629" s="103"/>
      <c r="Y629" s="103"/>
      <c r="Z629" s="103"/>
    </row>
    <row r="630" spans="1:26" ht="14.25" customHeight="1">
      <c r="A630" s="103"/>
      <c r="B630" s="103"/>
      <c r="C630" s="103"/>
      <c r="D630" s="103"/>
      <c r="E630" s="103"/>
      <c r="F630" s="103"/>
      <c r="G630" s="103"/>
      <c r="H630" s="103"/>
      <c r="I630" s="103"/>
      <c r="J630" s="103"/>
      <c r="K630" s="103"/>
      <c r="L630" s="103"/>
      <c r="M630" s="103"/>
      <c r="N630" s="103"/>
      <c r="O630" s="103"/>
      <c r="P630" s="103"/>
      <c r="Q630" s="103"/>
      <c r="R630" s="103"/>
      <c r="S630" s="103"/>
      <c r="T630" s="103"/>
      <c r="U630" s="103"/>
      <c r="V630" s="103"/>
      <c r="W630" s="103"/>
      <c r="X630" s="103"/>
      <c r="Y630" s="103"/>
      <c r="Z630" s="103"/>
    </row>
    <row r="631" spans="1:26" ht="14.25" customHeight="1">
      <c r="A631" s="103"/>
      <c r="B631" s="103"/>
      <c r="C631" s="103"/>
      <c r="D631" s="103"/>
      <c r="E631" s="103"/>
      <c r="F631" s="103"/>
      <c r="G631" s="103"/>
      <c r="H631" s="103"/>
      <c r="I631" s="103"/>
      <c r="J631" s="103"/>
      <c r="K631" s="103"/>
      <c r="L631" s="103"/>
      <c r="M631" s="103"/>
      <c r="N631" s="103"/>
      <c r="O631" s="103"/>
      <c r="P631" s="103"/>
      <c r="Q631" s="103"/>
      <c r="R631" s="103"/>
      <c r="S631" s="103"/>
      <c r="T631" s="103"/>
      <c r="U631" s="103"/>
      <c r="V631" s="103"/>
      <c r="W631" s="103"/>
      <c r="X631" s="103"/>
      <c r="Y631" s="103"/>
      <c r="Z631" s="103"/>
    </row>
    <row r="632" spans="1:26" ht="14.25" customHeight="1">
      <c r="A632" s="103"/>
      <c r="B632" s="103"/>
      <c r="C632" s="103"/>
      <c r="D632" s="103"/>
      <c r="E632" s="103"/>
      <c r="F632" s="103"/>
      <c r="G632" s="103"/>
      <c r="H632" s="103"/>
      <c r="I632" s="103"/>
      <c r="J632" s="103"/>
      <c r="K632" s="103"/>
      <c r="L632" s="103"/>
      <c r="M632" s="103"/>
      <c r="N632" s="103"/>
      <c r="O632" s="103"/>
      <c r="P632" s="103"/>
      <c r="Q632" s="103"/>
      <c r="R632" s="103"/>
      <c r="S632" s="103"/>
      <c r="T632" s="103"/>
      <c r="U632" s="103"/>
      <c r="V632" s="103"/>
      <c r="W632" s="103"/>
      <c r="X632" s="103"/>
      <c r="Y632" s="103"/>
      <c r="Z632" s="103"/>
    </row>
    <row r="633" spans="1:26" ht="14.25" customHeight="1">
      <c r="A633" s="103"/>
      <c r="B633" s="103"/>
      <c r="C633" s="103"/>
      <c r="D633" s="103"/>
      <c r="E633" s="103"/>
      <c r="F633" s="103"/>
      <c r="G633" s="103"/>
      <c r="H633" s="103"/>
      <c r="I633" s="103"/>
      <c r="J633" s="103"/>
      <c r="K633" s="103"/>
      <c r="L633" s="103"/>
      <c r="M633" s="103"/>
      <c r="N633" s="103"/>
      <c r="O633" s="103"/>
      <c r="P633" s="103"/>
      <c r="Q633" s="103"/>
      <c r="R633" s="103"/>
      <c r="S633" s="103"/>
      <c r="T633" s="103"/>
      <c r="U633" s="103"/>
      <c r="V633" s="103"/>
      <c r="W633" s="103"/>
      <c r="X633" s="103"/>
      <c r="Y633" s="103"/>
      <c r="Z633" s="103"/>
    </row>
    <row r="634" spans="1:26" ht="14.25" customHeight="1">
      <c r="A634" s="103"/>
      <c r="B634" s="103"/>
      <c r="C634" s="103"/>
      <c r="D634" s="103"/>
      <c r="E634" s="103"/>
      <c r="F634" s="103"/>
      <c r="G634" s="103"/>
      <c r="H634" s="103"/>
      <c r="I634" s="103"/>
      <c r="J634" s="103"/>
      <c r="K634" s="103"/>
      <c r="L634" s="103"/>
      <c r="M634" s="103"/>
      <c r="N634" s="103"/>
      <c r="O634" s="103"/>
      <c r="P634" s="103"/>
      <c r="Q634" s="103"/>
      <c r="R634" s="103"/>
      <c r="S634" s="103"/>
      <c r="T634" s="103"/>
      <c r="U634" s="103"/>
      <c r="V634" s="103"/>
      <c r="W634" s="103"/>
      <c r="X634" s="103"/>
      <c r="Y634" s="103"/>
      <c r="Z634" s="103"/>
    </row>
    <row r="635" spans="1:26" ht="14.25" customHeight="1">
      <c r="A635" s="103"/>
      <c r="B635" s="103"/>
      <c r="C635" s="103"/>
      <c r="D635" s="103"/>
      <c r="E635" s="103"/>
      <c r="F635" s="103"/>
      <c r="G635" s="103"/>
      <c r="H635" s="103"/>
      <c r="I635" s="103"/>
      <c r="J635" s="103"/>
      <c r="K635" s="103"/>
      <c r="L635" s="103"/>
      <c r="M635" s="103"/>
      <c r="N635" s="103"/>
      <c r="O635" s="103"/>
      <c r="P635" s="103"/>
      <c r="Q635" s="103"/>
      <c r="R635" s="103"/>
      <c r="S635" s="103"/>
      <c r="T635" s="103"/>
      <c r="U635" s="103"/>
      <c r="V635" s="103"/>
      <c r="W635" s="103"/>
      <c r="X635" s="103"/>
      <c r="Y635" s="103"/>
      <c r="Z635" s="103"/>
    </row>
    <row r="636" spans="1:26" ht="14.25" customHeight="1">
      <c r="A636" s="103"/>
      <c r="B636" s="103"/>
      <c r="C636" s="103"/>
      <c r="D636" s="103"/>
      <c r="E636" s="103"/>
      <c r="F636" s="103"/>
      <c r="G636" s="103"/>
      <c r="H636" s="103"/>
      <c r="I636" s="103"/>
      <c r="J636" s="103"/>
      <c r="K636" s="103"/>
      <c r="L636" s="103"/>
      <c r="M636" s="103"/>
      <c r="N636" s="103"/>
      <c r="O636" s="103"/>
      <c r="P636" s="103"/>
      <c r="Q636" s="103"/>
      <c r="R636" s="103"/>
      <c r="S636" s="103"/>
      <c r="T636" s="103"/>
      <c r="U636" s="103"/>
      <c r="V636" s="103"/>
      <c r="W636" s="103"/>
      <c r="X636" s="103"/>
      <c r="Y636" s="103"/>
      <c r="Z636" s="103"/>
    </row>
    <row r="637" spans="1:26" ht="14.25" customHeight="1">
      <c r="A637" s="103"/>
      <c r="B637" s="103"/>
      <c r="C637" s="103"/>
      <c r="D637" s="103"/>
      <c r="E637" s="103"/>
      <c r="F637" s="103"/>
      <c r="G637" s="103"/>
      <c r="H637" s="103"/>
      <c r="I637" s="103"/>
      <c r="J637" s="103"/>
      <c r="K637" s="103"/>
      <c r="L637" s="103"/>
      <c r="M637" s="103"/>
      <c r="N637" s="103"/>
      <c r="O637" s="103"/>
      <c r="P637" s="103"/>
      <c r="Q637" s="103"/>
      <c r="R637" s="103"/>
      <c r="S637" s="103"/>
      <c r="T637" s="103"/>
      <c r="U637" s="103"/>
      <c r="V637" s="103"/>
      <c r="W637" s="103"/>
      <c r="X637" s="103"/>
      <c r="Y637" s="103"/>
      <c r="Z637" s="103"/>
    </row>
    <row r="638" spans="1:26" ht="14.25" customHeight="1">
      <c r="A638" s="103"/>
      <c r="B638" s="103"/>
      <c r="C638" s="103"/>
      <c r="D638" s="103"/>
      <c r="E638" s="103"/>
      <c r="F638" s="103"/>
      <c r="G638" s="103"/>
      <c r="H638" s="103"/>
      <c r="I638" s="103"/>
      <c r="J638" s="103"/>
      <c r="K638" s="103"/>
      <c r="L638" s="103"/>
      <c r="M638" s="103"/>
      <c r="N638" s="103"/>
      <c r="O638" s="103"/>
      <c r="P638" s="103"/>
      <c r="Q638" s="103"/>
      <c r="R638" s="103"/>
      <c r="S638" s="103"/>
      <c r="T638" s="103"/>
      <c r="U638" s="103"/>
      <c r="V638" s="103"/>
      <c r="W638" s="103"/>
      <c r="X638" s="103"/>
      <c r="Y638" s="103"/>
      <c r="Z638" s="103"/>
    </row>
    <row r="639" spans="1:26" ht="14.25" customHeight="1">
      <c r="A639" s="103"/>
      <c r="B639" s="103"/>
      <c r="C639" s="103"/>
      <c r="D639" s="103"/>
      <c r="E639" s="103"/>
      <c r="F639" s="103"/>
      <c r="G639" s="103"/>
      <c r="H639" s="103"/>
      <c r="I639" s="103"/>
      <c r="J639" s="103"/>
      <c r="K639" s="103"/>
      <c r="L639" s="103"/>
      <c r="M639" s="103"/>
      <c r="N639" s="103"/>
      <c r="O639" s="103"/>
      <c r="P639" s="103"/>
      <c r="Q639" s="103"/>
      <c r="R639" s="103"/>
      <c r="S639" s="103"/>
      <c r="T639" s="103"/>
      <c r="U639" s="103"/>
      <c r="V639" s="103"/>
      <c r="W639" s="103"/>
      <c r="X639" s="103"/>
      <c r="Y639" s="103"/>
      <c r="Z639" s="103"/>
    </row>
    <row r="640" spans="1:26" ht="14.25" customHeight="1">
      <c r="A640" s="103"/>
      <c r="B640" s="103"/>
      <c r="C640" s="103"/>
      <c r="D640" s="103"/>
      <c r="E640" s="103"/>
      <c r="F640" s="103"/>
      <c r="G640" s="103"/>
      <c r="H640" s="103"/>
      <c r="I640" s="103"/>
      <c r="J640" s="103"/>
      <c r="K640" s="103"/>
      <c r="L640" s="103"/>
      <c r="M640" s="103"/>
      <c r="N640" s="103"/>
      <c r="O640" s="103"/>
      <c r="P640" s="103"/>
      <c r="Q640" s="103"/>
      <c r="R640" s="103"/>
      <c r="S640" s="103"/>
      <c r="T640" s="103"/>
      <c r="U640" s="103"/>
      <c r="V640" s="103"/>
      <c r="W640" s="103"/>
      <c r="X640" s="103"/>
      <c r="Y640" s="103"/>
      <c r="Z640" s="103"/>
    </row>
    <row r="641" spans="1:26" ht="14.25" customHeight="1">
      <c r="A641" s="103"/>
      <c r="B641" s="103"/>
      <c r="C641" s="103"/>
      <c r="D641" s="103"/>
      <c r="E641" s="103"/>
      <c r="F641" s="103"/>
      <c r="G641" s="103"/>
      <c r="H641" s="103"/>
      <c r="I641" s="103"/>
      <c r="J641" s="103"/>
      <c r="K641" s="103"/>
      <c r="L641" s="103"/>
      <c r="M641" s="103"/>
      <c r="N641" s="103"/>
      <c r="O641" s="103"/>
      <c r="P641" s="103"/>
      <c r="Q641" s="103"/>
      <c r="R641" s="103"/>
      <c r="S641" s="103"/>
      <c r="T641" s="103"/>
      <c r="U641" s="103"/>
      <c r="V641" s="103"/>
      <c r="W641" s="103"/>
      <c r="X641" s="103"/>
      <c r="Y641" s="103"/>
      <c r="Z641" s="103"/>
    </row>
    <row r="642" spans="1:26" ht="14.25" customHeight="1">
      <c r="A642" s="103"/>
      <c r="B642" s="103"/>
      <c r="C642" s="103"/>
      <c r="D642" s="103"/>
      <c r="E642" s="103"/>
      <c r="F642" s="103"/>
      <c r="G642" s="103"/>
      <c r="H642" s="103"/>
      <c r="I642" s="103"/>
      <c r="J642" s="103"/>
      <c r="K642" s="103"/>
      <c r="L642" s="103"/>
      <c r="M642" s="103"/>
      <c r="N642" s="103"/>
      <c r="O642" s="103"/>
      <c r="P642" s="103"/>
      <c r="Q642" s="103"/>
      <c r="R642" s="103"/>
      <c r="S642" s="103"/>
      <c r="T642" s="103"/>
      <c r="U642" s="103"/>
      <c r="V642" s="103"/>
      <c r="W642" s="103"/>
      <c r="X642" s="103"/>
      <c r="Y642" s="103"/>
      <c r="Z642" s="103"/>
    </row>
    <row r="643" spans="1:26" ht="14.25" customHeight="1">
      <c r="A643" s="103"/>
      <c r="B643" s="103"/>
      <c r="C643" s="103"/>
      <c r="D643" s="103"/>
      <c r="E643" s="103"/>
      <c r="F643" s="103"/>
      <c r="G643" s="103"/>
      <c r="H643" s="103"/>
      <c r="I643" s="103"/>
      <c r="J643" s="103"/>
      <c r="K643" s="103"/>
      <c r="L643" s="103"/>
      <c r="M643" s="103"/>
      <c r="N643" s="103"/>
      <c r="O643" s="103"/>
      <c r="P643" s="103"/>
      <c r="Q643" s="103"/>
      <c r="R643" s="103"/>
      <c r="S643" s="103"/>
      <c r="T643" s="103"/>
      <c r="U643" s="103"/>
      <c r="V643" s="103"/>
      <c r="W643" s="103"/>
      <c r="X643" s="103"/>
      <c r="Y643" s="103"/>
      <c r="Z643" s="103"/>
    </row>
    <row r="644" spans="1:26" ht="14.25" customHeight="1">
      <c r="A644" s="103"/>
      <c r="B644" s="103"/>
      <c r="C644" s="103"/>
      <c r="D644" s="103"/>
      <c r="E644" s="103"/>
      <c r="F644" s="103"/>
      <c r="G644" s="103"/>
      <c r="H644" s="103"/>
      <c r="I644" s="103"/>
      <c r="J644" s="103"/>
      <c r="K644" s="103"/>
      <c r="L644" s="103"/>
      <c r="M644" s="103"/>
      <c r="N644" s="103"/>
      <c r="O644" s="103"/>
      <c r="P644" s="103"/>
      <c r="Q644" s="103"/>
      <c r="R644" s="103"/>
      <c r="S644" s="103"/>
      <c r="T644" s="103"/>
      <c r="U644" s="103"/>
      <c r="V644" s="103"/>
      <c r="W644" s="103"/>
      <c r="X644" s="103"/>
      <c r="Y644" s="103"/>
      <c r="Z644" s="103"/>
    </row>
    <row r="645" spans="1:26" ht="14.25" customHeight="1">
      <c r="A645" s="103"/>
      <c r="B645" s="103"/>
      <c r="C645" s="103"/>
      <c r="D645" s="103"/>
      <c r="E645" s="103"/>
      <c r="F645" s="103"/>
      <c r="G645" s="103"/>
      <c r="H645" s="103"/>
      <c r="I645" s="103"/>
      <c r="J645" s="103"/>
      <c r="K645" s="103"/>
      <c r="L645" s="103"/>
      <c r="M645" s="103"/>
      <c r="N645" s="103"/>
      <c r="O645" s="103"/>
      <c r="P645" s="103"/>
      <c r="Q645" s="103"/>
      <c r="R645" s="103"/>
      <c r="S645" s="103"/>
      <c r="T645" s="103"/>
      <c r="U645" s="103"/>
      <c r="V645" s="103"/>
      <c r="W645" s="103"/>
      <c r="X645" s="103"/>
      <c r="Y645" s="103"/>
      <c r="Z645" s="103"/>
    </row>
    <row r="646" spans="1:26" ht="14.25" customHeight="1">
      <c r="A646" s="103"/>
      <c r="B646" s="103"/>
      <c r="C646" s="103"/>
      <c r="D646" s="103"/>
      <c r="E646" s="103"/>
      <c r="F646" s="103"/>
      <c r="G646" s="103"/>
      <c r="H646" s="103"/>
      <c r="I646" s="103"/>
      <c r="J646" s="103"/>
      <c r="K646" s="103"/>
      <c r="L646" s="103"/>
      <c r="M646" s="103"/>
      <c r="N646" s="103"/>
      <c r="O646" s="103"/>
      <c r="P646" s="103"/>
      <c r="Q646" s="103"/>
      <c r="R646" s="103"/>
      <c r="S646" s="103"/>
      <c r="T646" s="103"/>
      <c r="U646" s="103"/>
      <c r="V646" s="103"/>
      <c r="W646" s="103"/>
      <c r="X646" s="103"/>
      <c r="Y646" s="103"/>
      <c r="Z646" s="103"/>
    </row>
    <row r="647" spans="1:26" ht="14.25" customHeight="1">
      <c r="A647" s="103"/>
      <c r="B647" s="103"/>
      <c r="C647" s="103"/>
      <c r="D647" s="103"/>
      <c r="E647" s="103"/>
      <c r="F647" s="103"/>
      <c r="G647" s="103"/>
      <c r="H647" s="103"/>
      <c r="I647" s="103"/>
      <c r="J647" s="103"/>
      <c r="K647" s="103"/>
      <c r="L647" s="103"/>
      <c r="M647" s="103"/>
      <c r="N647" s="103"/>
      <c r="O647" s="103"/>
      <c r="P647" s="103"/>
      <c r="Q647" s="103"/>
      <c r="R647" s="103"/>
      <c r="S647" s="103"/>
      <c r="T647" s="103"/>
      <c r="U647" s="103"/>
      <c r="V647" s="103"/>
      <c r="W647" s="103"/>
      <c r="X647" s="103"/>
      <c r="Y647" s="103"/>
      <c r="Z647" s="103"/>
    </row>
    <row r="648" spans="1:26" ht="14.25" customHeight="1">
      <c r="A648" s="103"/>
      <c r="B648" s="103"/>
      <c r="C648" s="103"/>
      <c r="D648" s="103"/>
      <c r="E648" s="103"/>
      <c r="F648" s="103"/>
      <c r="G648" s="103"/>
      <c r="H648" s="103"/>
      <c r="I648" s="103"/>
      <c r="J648" s="103"/>
      <c r="K648" s="103"/>
      <c r="L648" s="103"/>
      <c r="M648" s="103"/>
      <c r="N648" s="103"/>
      <c r="O648" s="103"/>
      <c r="P648" s="103"/>
      <c r="Q648" s="103"/>
      <c r="R648" s="103"/>
      <c r="S648" s="103"/>
      <c r="T648" s="103"/>
      <c r="U648" s="103"/>
      <c r="V648" s="103"/>
      <c r="W648" s="103"/>
      <c r="X648" s="103"/>
      <c r="Y648" s="103"/>
      <c r="Z648" s="103"/>
    </row>
    <row r="649" spans="1:26" ht="14.25" customHeight="1">
      <c r="A649" s="103"/>
      <c r="B649" s="103"/>
      <c r="C649" s="103"/>
      <c r="D649" s="103"/>
      <c r="E649" s="103"/>
      <c r="F649" s="103"/>
      <c r="G649" s="103"/>
      <c r="H649" s="103"/>
      <c r="I649" s="103"/>
      <c r="J649" s="103"/>
      <c r="K649" s="103"/>
      <c r="L649" s="103"/>
      <c r="M649" s="103"/>
      <c r="N649" s="103"/>
      <c r="O649" s="103"/>
      <c r="P649" s="103"/>
      <c r="Q649" s="103"/>
      <c r="R649" s="103"/>
      <c r="S649" s="103"/>
      <c r="T649" s="103"/>
      <c r="U649" s="103"/>
      <c r="V649" s="103"/>
      <c r="W649" s="103"/>
      <c r="X649" s="103"/>
      <c r="Y649" s="103"/>
      <c r="Z649" s="103"/>
    </row>
    <row r="650" spans="1:26" ht="14.25" customHeight="1">
      <c r="A650" s="103"/>
      <c r="B650" s="103"/>
      <c r="C650" s="103"/>
      <c r="D650" s="103"/>
      <c r="E650" s="103"/>
      <c r="F650" s="103"/>
      <c r="G650" s="103"/>
      <c r="H650" s="103"/>
      <c r="I650" s="103"/>
      <c r="J650" s="103"/>
      <c r="K650" s="103"/>
      <c r="L650" s="103"/>
      <c r="M650" s="103"/>
      <c r="N650" s="103"/>
      <c r="O650" s="103"/>
      <c r="P650" s="103"/>
      <c r="Q650" s="103"/>
      <c r="R650" s="103"/>
      <c r="S650" s="103"/>
      <c r="T650" s="103"/>
      <c r="U650" s="103"/>
      <c r="V650" s="103"/>
      <c r="W650" s="103"/>
      <c r="X650" s="103"/>
      <c r="Y650" s="103"/>
      <c r="Z650" s="103"/>
    </row>
    <row r="651" spans="1:26" ht="14.25" customHeight="1">
      <c r="A651" s="103"/>
      <c r="B651" s="103"/>
      <c r="C651" s="103"/>
      <c r="D651" s="103"/>
      <c r="E651" s="103"/>
      <c r="F651" s="103"/>
      <c r="G651" s="103"/>
      <c r="H651" s="103"/>
      <c r="I651" s="103"/>
      <c r="J651" s="103"/>
      <c r="K651" s="103"/>
      <c r="L651" s="103"/>
      <c r="M651" s="103"/>
      <c r="N651" s="103"/>
      <c r="O651" s="103"/>
      <c r="P651" s="103"/>
      <c r="Q651" s="103"/>
      <c r="R651" s="103"/>
      <c r="S651" s="103"/>
      <c r="T651" s="103"/>
      <c r="U651" s="103"/>
      <c r="V651" s="103"/>
      <c r="W651" s="103"/>
      <c r="X651" s="103"/>
      <c r="Y651" s="103"/>
      <c r="Z651" s="103"/>
    </row>
    <row r="652" spans="1:26" ht="14.25" customHeight="1">
      <c r="A652" s="103"/>
      <c r="B652" s="103"/>
      <c r="C652" s="103"/>
      <c r="D652" s="103"/>
      <c r="E652" s="103"/>
      <c r="F652" s="103"/>
      <c r="G652" s="103"/>
      <c r="H652" s="103"/>
      <c r="I652" s="103"/>
      <c r="J652" s="103"/>
      <c r="K652" s="103"/>
      <c r="L652" s="103"/>
      <c r="M652" s="103"/>
      <c r="N652" s="103"/>
      <c r="O652" s="103"/>
      <c r="P652" s="103"/>
      <c r="Q652" s="103"/>
      <c r="R652" s="103"/>
      <c r="S652" s="103"/>
      <c r="T652" s="103"/>
      <c r="U652" s="103"/>
      <c r="V652" s="103"/>
      <c r="W652" s="103"/>
      <c r="X652" s="103"/>
      <c r="Y652" s="103"/>
      <c r="Z652" s="103"/>
    </row>
    <row r="653" spans="1:26" ht="14.25" customHeight="1">
      <c r="A653" s="103"/>
      <c r="B653" s="103"/>
      <c r="C653" s="103"/>
      <c r="D653" s="103"/>
      <c r="E653" s="103"/>
      <c r="F653" s="103"/>
      <c r="G653" s="103"/>
      <c r="H653" s="103"/>
      <c r="I653" s="103"/>
      <c r="J653" s="103"/>
      <c r="K653" s="103"/>
      <c r="L653" s="103"/>
      <c r="M653" s="103"/>
      <c r="N653" s="103"/>
      <c r="O653" s="103"/>
      <c r="P653" s="103"/>
      <c r="Q653" s="103"/>
      <c r="R653" s="103"/>
      <c r="S653" s="103"/>
      <c r="T653" s="103"/>
      <c r="U653" s="103"/>
      <c r="V653" s="103"/>
      <c r="W653" s="103"/>
      <c r="X653" s="103"/>
      <c r="Y653" s="103"/>
      <c r="Z653" s="103"/>
    </row>
    <row r="654" spans="1:26" ht="14.25" customHeight="1">
      <c r="A654" s="103"/>
      <c r="B654" s="103"/>
      <c r="C654" s="103"/>
      <c r="D654" s="103"/>
      <c r="E654" s="103"/>
      <c r="F654" s="103"/>
      <c r="G654" s="103"/>
      <c r="H654" s="103"/>
      <c r="I654" s="103"/>
      <c r="J654" s="103"/>
      <c r="K654" s="103"/>
      <c r="L654" s="103"/>
      <c r="M654" s="103"/>
      <c r="N654" s="103"/>
      <c r="O654" s="103"/>
      <c r="P654" s="103"/>
      <c r="Q654" s="103"/>
      <c r="R654" s="103"/>
      <c r="S654" s="103"/>
      <c r="T654" s="103"/>
      <c r="U654" s="103"/>
      <c r="V654" s="103"/>
      <c r="W654" s="103"/>
      <c r="X654" s="103"/>
      <c r="Y654" s="103"/>
      <c r="Z654" s="103"/>
    </row>
    <row r="655" spans="1:26" ht="14.25" customHeight="1">
      <c r="A655" s="103"/>
      <c r="B655" s="103"/>
      <c r="C655" s="103"/>
      <c r="D655" s="103"/>
      <c r="E655" s="103"/>
      <c r="F655" s="103"/>
      <c r="G655" s="103"/>
      <c r="H655" s="103"/>
      <c r="I655" s="103"/>
      <c r="J655" s="103"/>
      <c r="K655" s="103"/>
      <c r="L655" s="103"/>
      <c r="M655" s="103"/>
      <c r="N655" s="103"/>
      <c r="O655" s="103"/>
      <c r="P655" s="103"/>
      <c r="Q655" s="103"/>
      <c r="R655" s="103"/>
      <c r="S655" s="103"/>
      <c r="T655" s="103"/>
      <c r="U655" s="103"/>
      <c r="V655" s="103"/>
      <c r="W655" s="103"/>
      <c r="X655" s="103"/>
      <c r="Y655" s="103"/>
      <c r="Z655" s="103"/>
    </row>
    <row r="656" spans="1:26" ht="14.25" customHeight="1">
      <c r="A656" s="103"/>
      <c r="B656" s="103"/>
      <c r="C656" s="103"/>
      <c r="D656" s="103"/>
      <c r="E656" s="103"/>
      <c r="F656" s="103"/>
      <c r="G656" s="103"/>
      <c r="H656" s="103"/>
      <c r="I656" s="103"/>
      <c r="J656" s="103"/>
      <c r="K656" s="103"/>
      <c r="L656" s="103"/>
      <c r="M656" s="103"/>
      <c r="N656" s="103"/>
      <c r="O656" s="103"/>
      <c r="P656" s="103"/>
      <c r="Q656" s="103"/>
      <c r="R656" s="103"/>
      <c r="S656" s="103"/>
      <c r="T656" s="103"/>
      <c r="U656" s="103"/>
      <c r="V656" s="103"/>
      <c r="W656" s="103"/>
      <c r="X656" s="103"/>
      <c r="Y656" s="103"/>
      <c r="Z656" s="103"/>
    </row>
    <row r="657" spans="1:26" ht="14.25" customHeight="1">
      <c r="A657" s="103"/>
      <c r="B657" s="103"/>
      <c r="C657" s="103"/>
      <c r="D657" s="103"/>
      <c r="E657" s="103"/>
      <c r="F657" s="103"/>
      <c r="G657" s="103"/>
      <c r="H657" s="103"/>
      <c r="I657" s="103"/>
      <c r="J657" s="103"/>
      <c r="K657" s="103"/>
      <c r="L657" s="103"/>
      <c r="M657" s="103"/>
      <c r="N657" s="103"/>
      <c r="O657" s="103"/>
      <c r="P657" s="103"/>
      <c r="Q657" s="103"/>
      <c r="R657" s="103"/>
      <c r="S657" s="103"/>
      <c r="T657" s="103"/>
      <c r="U657" s="103"/>
      <c r="V657" s="103"/>
      <c r="W657" s="103"/>
      <c r="X657" s="103"/>
      <c r="Y657" s="103"/>
      <c r="Z657" s="103"/>
    </row>
    <row r="658" spans="1:26" ht="14.25" customHeight="1">
      <c r="A658" s="103"/>
      <c r="B658" s="103"/>
      <c r="C658" s="103"/>
      <c r="D658" s="103"/>
      <c r="E658" s="103"/>
      <c r="F658" s="103"/>
      <c r="G658" s="103"/>
      <c r="H658" s="103"/>
      <c r="I658" s="103"/>
      <c r="J658" s="103"/>
      <c r="K658" s="103"/>
      <c r="L658" s="103"/>
      <c r="M658" s="103"/>
      <c r="N658" s="103"/>
      <c r="O658" s="103"/>
      <c r="P658" s="103"/>
      <c r="Q658" s="103"/>
      <c r="R658" s="103"/>
      <c r="S658" s="103"/>
      <c r="T658" s="103"/>
      <c r="U658" s="103"/>
      <c r="V658" s="103"/>
      <c r="W658" s="103"/>
      <c r="X658" s="103"/>
      <c r="Y658" s="103"/>
      <c r="Z658" s="103"/>
    </row>
    <row r="659" spans="1:26" ht="14.25" customHeight="1">
      <c r="A659" s="103"/>
      <c r="B659" s="103"/>
      <c r="C659" s="103"/>
      <c r="D659" s="103"/>
      <c r="E659" s="103"/>
      <c r="F659" s="103"/>
      <c r="G659" s="103"/>
      <c r="H659" s="103"/>
      <c r="I659" s="103"/>
      <c r="J659" s="103"/>
      <c r="K659" s="103"/>
      <c r="L659" s="103"/>
      <c r="M659" s="103"/>
      <c r="N659" s="103"/>
      <c r="O659" s="103"/>
      <c r="P659" s="103"/>
      <c r="Q659" s="103"/>
      <c r="R659" s="103"/>
      <c r="S659" s="103"/>
      <c r="T659" s="103"/>
      <c r="U659" s="103"/>
      <c r="V659" s="103"/>
      <c r="W659" s="103"/>
      <c r="X659" s="103"/>
      <c r="Y659" s="103"/>
      <c r="Z659" s="103"/>
    </row>
    <row r="660" spans="1:26" ht="14.25" customHeight="1">
      <c r="A660" s="103"/>
      <c r="B660" s="103"/>
      <c r="C660" s="103"/>
      <c r="D660" s="103"/>
      <c r="E660" s="103"/>
      <c r="F660" s="103"/>
      <c r="G660" s="103"/>
      <c r="H660" s="103"/>
      <c r="I660" s="103"/>
      <c r="J660" s="103"/>
      <c r="K660" s="103"/>
      <c r="L660" s="103"/>
      <c r="M660" s="103"/>
      <c r="N660" s="103"/>
      <c r="O660" s="103"/>
      <c r="P660" s="103"/>
      <c r="Q660" s="103"/>
      <c r="R660" s="103"/>
      <c r="S660" s="103"/>
      <c r="T660" s="103"/>
      <c r="U660" s="103"/>
      <c r="V660" s="103"/>
      <c r="W660" s="103"/>
      <c r="X660" s="103"/>
      <c r="Y660" s="103"/>
      <c r="Z660" s="103"/>
    </row>
    <row r="661" spans="1:26" ht="14.25" customHeight="1">
      <c r="A661" s="103"/>
      <c r="B661" s="103"/>
      <c r="C661" s="103"/>
      <c r="D661" s="103"/>
      <c r="E661" s="103"/>
      <c r="F661" s="103"/>
      <c r="G661" s="103"/>
      <c r="H661" s="103"/>
      <c r="I661" s="103"/>
      <c r="J661" s="103"/>
      <c r="K661" s="103"/>
      <c r="L661" s="103"/>
      <c r="M661" s="103"/>
      <c r="N661" s="103"/>
      <c r="O661" s="103"/>
      <c r="P661" s="103"/>
      <c r="Q661" s="103"/>
      <c r="R661" s="103"/>
      <c r="S661" s="103"/>
      <c r="T661" s="103"/>
      <c r="U661" s="103"/>
      <c r="V661" s="103"/>
      <c r="W661" s="103"/>
      <c r="X661" s="103"/>
      <c r="Y661" s="103"/>
      <c r="Z661" s="103"/>
    </row>
    <row r="662" spans="1:26" ht="14.25" customHeight="1">
      <c r="A662" s="103"/>
      <c r="B662" s="103"/>
      <c r="C662" s="103"/>
      <c r="D662" s="103"/>
      <c r="E662" s="103"/>
      <c r="F662" s="103"/>
      <c r="G662" s="103"/>
      <c r="H662" s="103"/>
      <c r="I662" s="103"/>
      <c r="J662" s="103"/>
      <c r="K662" s="103"/>
      <c r="L662" s="103"/>
      <c r="M662" s="103"/>
      <c r="N662" s="103"/>
      <c r="O662" s="103"/>
      <c r="P662" s="103"/>
      <c r="Q662" s="103"/>
      <c r="R662" s="103"/>
      <c r="S662" s="103"/>
      <c r="T662" s="103"/>
      <c r="U662" s="103"/>
      <c r="V662" s="103"/>
      <c r="W662" s="103"/>
      <c r="X662" s="103"/>
      <c r="Y662" s="103"/>
      <c r="Z662" s="103"/>
    </row>
    <row r="663" spans="1:26" ht="14.25" customHeight="1">
      <c r="A663" s="103"/>
      <c r="B663" s="103"/>
      <c r="C663" s="103"/>
      <c r="D663" s="103"/>
      <c r="E663" s="103"/>
      <c r="F663" s="103"/>
      <c r="G663" s="103"/>
      <c r="H663" s="103"/>
      <c r="I663" s="103"/>
      <c r="J663" s="103"/>
      <c r="K663" s="103"/>
      <c r="L663" s="103"/>
      <c r="M663" s="103"/>
      <c r="N663" s="103"/>
      <c r="O663" s="103"/>
      <c r="P663" s="103"/>
      <c r="Q663" s="103"/>
      <c r="R663" s="103"/>
      <c r="S663" s="103"/>
      <c r="T663" s="103"/>
      <c r="U663" s="103"/>
      <c r="V663" s="103"/>
      <c r="W663" s="103"/>
      <c r="X663" s="103"/>
      <c r="Y663" s="103"/>
      <c r="Z663" s="103"/>
    </row>
    <row r="664" spans="1:26" ht="14.25" customHeight="1">
      <c r="A664" s="103"/>
      <c r="B664" s="103"/>
      <c r="C664" s="103"/>
      <c r="D664" s="103"/>
      <c r="E664" s="103"/>
      <c r="F664" s="103"/>
      <c r="G664" s="103"/>
      <c r="H664" s="103"/>
      <c r="I664" s="103"/>
      <c r="J664" s="103"/>
      <c r="K664" s="103"/>
      <c r="L664" s="103"/>
      <c r="M664" s="103"/>
      <c r="N664" s="103"/>
      <c r="O664" s="103"/>
      <c r="P664" s="103"/>
      <c r="Q664" s="103"/>
      <c r="R664" s="103"/>
      <c r="S664" s="103"/>
      <c r="T664" s="103"/>
      <c r="U664" s="103"/>
      <c r="V664" s="103"/>
      <c r="W664" s="103"/>
      <c r="X664" s="103"/>
      <c r="Y664" s="103"/>
      <c r="Z664" s="103"/>
    </row>
    <row r="665" spans="1:26" ht="14.25" customHeight="1">
      <c r="A665" s="103"/>
      <c r="B665" s="103"/>
      <c r="C665" s="103"/>
      <c r="D665" s="103"/>
      <c r="E665" s="103"/>
      <c r="F665" s="103"/>
      <c r="G665" s="103"/>
      <c r="H665" s="103"/>
      <c r="I665" s="103"/>
      <c r="J665" s="103"/>
      <c r="K665" s="103"/>
      <c r="L665" s="103"/>
      <c r="M665" s="103"/>
      <c r="N665" s="103"/>
      <c r="O665" s="103"/>
      <c r="P665" s="103"/>
      <c r="Q665" s="103"/>
      <c r="R665" s="103"/>
      <c r="S665" s="103"/>
      <c r="T665" s="103"/>
      <c r="U665" s="103"/>
      <c r="V665" s="103"/>
      <c r="W665" s="103"/>
      <c r="X665" s="103"/>
      <c r="Y665" s="103"/>
      <c r="Z665" s="103"/>
    </row>
    <row r="666" spans="1:26" ht="14.25" customHeight="1">
      <c r="A666" s="103"/>
      <c r="B666" s="103"/>
      <c r="C666" s="103"/>
      <c r="D666" s="103"/>
      <c r="E666" s="103"/>
      <c r="F666" s="103"/>
      <c r="G666" s="103"/>
      <c r="H666" s="103"/>
      <c r="I666" s="103"/>
      <c r="J666" s="103"/>
      <c r="K666" s="103"/>
      <c r="L666" s="103"/>
      <c r="M666" s="103"/>
      <c r="N666" s="103"/>
      <c r="O666" s="103"/>
      <c r="P666" s="103"/>
      <c r="Q666" s="103"/>
      <c r="R666" s="103"/>
      <c r="S666" s="103"/>
      <c r="T666" s="103"/>
      <c r="U666" s="103"/>
      <c r="V666" s="103"/>
      <c r="W666" s="103"/>
      <c r="X666" s="103"/>
      <c r="Y666" s="103"/>
      <c r="Z666" s="103"/>
    </row>
    <row r="667" spans="1:26" ht="14.25" customHeight="1">
      <c r="A667" s="103"/>
      <c r="B667" s="103"/>
      <c r="C667" s="103"/>
      <c r="D667" s="103"/>
      <c r="E667" s="103"/>
      <c r="F667" s="103"/>
      <c r="G667" s="103"/>
      <c r="H667" s="103"/>
      <c r="I667" s="103"/>
      <c r="J667" s="103"/>
      <c r="K667" s="103"/>
      <c r="L667" s="103"/>
      <c r="M667" s="103"/>
      <c r="N667" s="103"/>
      <c r="O667" s="103"/>
      <c r="P667" s="103"/>
      <c r="Q667" s="103"/>
      <c r="R667" s="103"/>
      <c r="S667" s="103"/>
      <c r="T667" s="103"/>
      <c r="U667" s="103"/>
      <c r="V667" s="103"/>
      <c r="W667" s="103"/>
      <c r="X667" s="103"/>
      <c r="Y667" s="103"/>
      <c r="Z667" s="103"/>
    </row>
    <row r="668" spans="1:26" ht="14.25" customHeight="1">
      <c r="A668" s="103"/>
      <c r="B668" s="103"/>
      <c r="C668" s="103"/>
      <c r="D668" s="103"/>
      <c r="E668" s="103"/>
      <c r="F668" s="103"/>
      <c r="G668" s="103"/>
      <c r="H668" s="103"/>
      <c r="I668" s="103"/>
      <c r="J668" s="103"/>
      <c r="K668" s="103"/>
      <c r="L668" s="103"/>
      <c r="M668" s="103"/>
      <c r="N668" s="103"/>
      <c r="O668" s="103"/>
      <c r="P668" s="103"/>
      <c r="Q668" s="103"/>
      <c r="R668" s="103"/>
      <c r="S668" s="103"/>
      <c r="T668" s="103"/>
      <c r="U668" s="103"/>
      <c r="V668" s="103"/>
      <c r="W668" s="103"/>
      <c r="X668" s="103"/>
      <c r="Y668" s="103"/>
      <c r="Z668" s="103"/>
    </row>
    <row r="669" spans="1:26" ht="14.25" customHeight="1">
      <c r="A669" s="103"/>
      <c r="B669" s="103"/>
      <c r="C669" s="103"/>
      <c r="D669" s="103"/>
      <c r="E669" s="103"/>
      <c r="F669" s="103"/>
      <c r="G669" s="103"/>
      <c r="H669" s="103"/>
      <c r="I669" s="103"/>
      <c r="J669" s="103"/>
      <c r="K669" s="103"/>
      <c r="L669" s="103"/>
      <c r="M669" s="103"/>
      <c r="N669" s="103"/>
      <c r="O669" s="103"/>
      <c r="P669" s="103"/>
      <c r="Q669" s="103"/>
      <c r="R669" s="103"/>
      <c r="S669" s="103"/>
      <c r="T669" s="103"/>
      <c r="U669" s="103"/>
      <c r="V669" s="103"/>
      <c r="W669" s="103"/>
      <c r="X669" s="103"/>
      <c r="Y669" s="103"/>
      <c r="Z669" s="103"/>
    </row>
    <row r="670" spans="1:26" ht="14.25" customHeight="1">
      <c r="A670" s="103"/>
      <c r="B670" s="103"/>
      <c r="C670" s="103"/>
      <c r="D670" s="103"/>
      <c r="E670" s="103"/>
      <c r="F670" s="103"/>
      <c r="G670" s="103"/>
      <c r="H670" s="103"/>
      <c r="I670" s="103"/>
      <c r="J670" s="103"/>
      <c r="K670" s="103"/>
      <c r="L670" s="103"/>
      <c r="M670" s="103"/>
      <c r="N670" s="103"/>
      <c r="O670" s="103"/>
      <c r="P670" s="103"/>
      <c r="Q670" s="103"/>
      <c r="R670" s="103"/>
      <c r="S670" s="103"/>
      <c r="T670" s="103"/>
      <c r="U670" s="103"/>
      <c r="V670" s="103"/>
      <c r="W670" s="103"/>
      <c r="X670" s="103"/>
      <c r="Y670" s="103"/>
      <c r="Z670" s="103"/>
    </row>
    <row r="671" spans="1:26" ht="14.25" customHeight="1">
      <c r="A671" s="103"/>
      <c r="B671" s="103"/>
      <c r="C671" s="103"/>
      <c r="D671" s="103"/>
      <c r="E671" s="103"/>
      <c r="F671" s="103"/>
      <c r="G671" s="103"/>
      <c r="H671" s="103"/>
      <c r="I671" s="103"/>
      <c r="J671" s="103"/>
      <c r="K671" s="103"/>
      <c r="L671" s="103"/>
      <c r="M671" s="103"/>
      <c r="N671" s="103"/>
      <c r="O671" s="103"/>
      <c r="P671" s="103"/>
      <c r="Q671" s="103"/>
      <c r="R671" s="103"/>
      <c r="S671" s="103"/>
      <c r="T671" s="103"/>
      <c r="U671" s="103"/>
      <c r="V671" s="103"/>
      <c r="W671" s="103"/>
      <c r="X671" s="103"/>
      <c r="Y671" s="103"/>
      <c r="Z671" s="103"/>
    </row>
    <row r="672" spans="1:26" ht="14.25" customHeight="1">
      <c r="A672" s="103"/>
      <c r="B672" s="103"/>
      <c r="C672" s="103"/>
      <c r="D672" s="103"/>
      <c r="E672" s="103"/>
      <c r="F672" s="103"/>
      <c r="G672" s="103"/>
      <c r="H672" s="103"/>
      <c r="I672" s="103"/>
      <c r="J672" s="103"/>
      <c r="K672" s="103"/>
      <c r="L672" s="103"/>
      <c r="M672" s="103"/>
      <c r="N672" s="103"/>
      <c r="O672" s="103"/>
      <c r="P672" s="103"/>
      <c r="Q672" s="103"/>
      <c r="R672" s="103"/>
      <c r="S672" s="103"/>
      <c r="T672" s="103"/>
      <c r="U672" s="103"/>
      <c r="V672" s="103"/>
      <c r="W672" s="103"/>
      <c r="X672" s="103"/>
      <c r="Y672" s="103"/>
      <c r="Z672" s="103"/>
    </row>
    <row r="673" spans="1:26" ht="14.25" customHeight="1">
      <c r="A673" s="103"/>
      <c r="B673" s="103"/>
      <c r="C673" s="103"/>
      <c r="D673" s="103"/>
      <c r="E673" s="103"/>
      <c r="F673" s="103"/>
      <c r="G673" s="103"/>
      <c r="H673" s="103"/>
      <c r="I673" s="103"/>
      <c r="J673" s="103"/>
      <c r="K673" s="103"/>
      <c r="L673" s="103"/>
      <c r="M673" s="103"/>
      <c r="N673" s="103"/>
      <c r="O673" s="103"/>
      <c r="P673" s="103"/>
      <c r="Q673" s="103"/>
      <c r="R673" s="103"/>
      <c r="S673" s="103"/>
      <c r="T673" s="103"/>
      <c r="U673" s="103"/>
      <c r="V673" s="103"/>
      <c r="W673" s="103"/>
      <c r="X673" s="103"/>
      <c r="Y673" s="103"/>
      <c r="Z673" s="103"/>
    </row>
    <row r="674" spans="1:26" ht="14.25" customHeight="1">
      <c r="A674" s="103"/>
      <c r="B674" s="103"/>
      <c r="C674" s="103"/>
      <c r="D674" s="103"/>
      <c r="E674" s="103"/>
      <c r="F674" s="103"/>
      <c r="G674" s="103"/>
      <c r="H674" s="103"/>
      <c r="I674" s="103"/>
      <c r="J674" s="103"/>
      <c r="K674" s="103"/>
      <c r="L674" s="103"/>
      <c r="M674" s="103"/>
      <c r="N674" s="103"/>
      <c r="O674" s="103"/>
      <c r="P674" s="103"/>
      <c r="Q674" s="103"/>
      <c r="R674" s="103"/>
      <c r="S674" s="103"/>
      <c r="T674" s="103"/>
      <c r="U674" s="103"/>
      <c r="V674" s="103"/>
      <c r="W674" s="103"/>
      <c r="X674" s="103"/>
      <c r="Y674" s="103"/>
      <c r="Z674" s="103"/>
    </row>
    <row r="675" spans="1:26" ht="14.25" customHeight="1">
      <c r="A675" s="103"/>
      <c r="B675" s="103"/>
      <c r="C675" s="103"/>
      <c r="D675" s="103"/>
      <c r="E675" s="103"/>
      <c r="F675" s="103"/>
      <c r="G675" s="103"/>
      <c r="H675" s="103"/>
      <c r="I675" s="103"/>
      <c r="J675" s="103"/>
      <c r="K675" s="103"/>
      <c r="L675" s="103"/>
      <c r="M675" s="103"/>
      <c r="N675" s="103"/>
      <c r="O675" s="103"/>
      <c r="P675" s="103"/>
      <c r="Q675" s="103"/>
      <c r="R675" s="103"/>
      <c r="S675" s="103"/>
      <c r="T675" s="103"/>
      <c r="U675" s="103"/>
      <c r="V675" s="103"/>
      <c r="W675" s="103"/>
      <c r="X675" s="103"/>
      <c r="Y675" s="103"/>
      <c r="Z675" s="103"/>
    </row>
    <row r="676" spans="1:26" ht="14.25" customHeight="1">
      <c r="A676" s="103"/>
      <c r="B676" s="103"/>
      <c r="C676" s="103"/>
      <c r="D676" s="103"/>
      <c r="E676" s="103"/>
      <c r="F676" s="103"/>
      <c r="G676" s="103"/>
      <c r="H676" s="103"/>
      <c r="I676" s="103"/>
      <c r="J676" s="103"/>
      <c r="K676" s="103"/>
      <c r="L676" s="103"/>
      <c r="M676" s="103"/>
      <c r="N676" s="103"/>
      <c r="O676" s="103"/>
      <c r="P676" s="103"/>
      <c r="Q676" s="103"/>
      <c r="R676" s="103"/>
      <c r="S676" s="103"/>
      <c r="T676" s="103"/>
      <c r="U676" s="103"/>
      <c r="V676" s="103"/>
      <c r="W676" s="103"/>
      <c r="X676" s="103"/>
      <c r="Y676" s="103"/>
      <c r="Z676" s="103"/>
    </row>
    <row r="677" spans="1:26" ht="14.25" customHeight="1">
      <c r="A677" s="103"/>
      <c r="B677" s="103"/>
      <c r="C677" s="103"/>
      <c r="D677" s="103"/>
      <c r="E677" s="103"/>
      <c r="F677" s="103"/>
      <c r="G677" s="103"/>
      <c r="H677" s="103"/>
      <c r="I677" s="103"/>
      <c r="J677" s="103"/>
      <c r="K677" s="103"/>
      <c r="L677" s="103"/>
      <c r="M677" s="103"/>
      <c r="N677" s="103"/>
      <c r="O677" s="103"/>
      <c r="P677" s="103"/>
      <c r="Q677" s="103"/>
      <c r="R677" s="103"/>
      <c r="S677" s="103"/>
      <c r="T677" s="103"/>
      <c r="U677" s="103"/>
      <c r="V677" s="103"/>
      <c r="W677" s="103"/>
      <c r="X677" s="103"/>
      <c r="Y677" s="103"/>
      <c r="Z677" s="103"/>
    </row>
    <row r="678" spans="1:26" ht="14.25" customHeight="1">
      <c r="A678" s="103"/>
      <c r="B678" s="103"/>
      <c r="C678" s="103"/>
      <c r="D678" s="103"/>
      <c r="E678" s="103"/>
      <c r="F678" s="103"/>
      <c r="G678" s="103"/>
      <c r="H678" s="103"/>
      <c r="I678" s="103"/>
      <c r="J678" s="103"/>
      <c r="K678" s="103"/>
      <c r="L678" s="103"/>
      <c r="M678" s="103"/>
      <c r="N678" s="103"/>
      <c r="O678" s="103"/>
      <c r="P678" s="103"/>
      <c r="Q678" s="103"/>
      <c r="R678" s="103"/>
      <c r="S678" s="103"/>
      <c r="T678" s="103"/>
      <c r="U678" s="103"/>
      <c r="V678" s="103"/>
      <c r="W678" s="103"/>
      <c r="X678" s="103"/>
      <c r="Y678" s="103"/>
      <c r="Z678" s="103"/>
    </row>
    <row r="679" spans="1:26" ht="14.25" customHeight="1">
      <c r="A679" s="103"/>
      <c r="B679" s="103"/>
      <c r="C679" s="103"/>
      <c r="D679" s="103"/>
      <c r="E679" s="103"/>
      <c r="F679" s="103"/>
      <c r="G679" s="103"/>
      <c r="H679" s="103"/>
      <c r="I679" s="103"/>
      <c r="J679" s="103"/>
      <c r="K679" s="103"/>
      <c r="L679" s="103"/>
      <c r="M679" s="103"/>
      <c r="N679" s="103"/>
      <c r="O679" s="103"/>
      <c r="P679" s="103"/>
      <c r="Q679" s="103"/>
      <c r="R679" s="103"/>
      <c r="S679" s="103"/>
      <c r="T679" s="103"/>
      <c r="U679" s="103"/>
      <c r="V679" s="103"/>
      <c r="W679" s="103"/>
      <c r="X679" s="103"/>
      <c r="Y679" s="103"/>
      <c r="Z679" s="103"/>
    </row>
    <row r="680" spans="1:26" ht="14.25" customHeight="1">
      <c r="A680" s="103"/>
      <c r="B680" s="103"/>
      <c r="C680" s="103"/>
      <c r="D680" s="103"/>
      <c r="E680" s="103"/>
      <c r="F680" s="103"/>
      <c r="G680" s="103"/>
      <c r="H680" s="103"/>
      <c r="I680" s="103"/>
      <c r="J680" s="103"/>
      <c r="K680" s="103"/>
      <c r="L680" s="103"/>
      <c r="M680" s="103"/>
      <c r="N680" s="103"/>
      <c r="O680" s="103"/>
      <c r="P680" s="103"/>
      <c r="Q680" s="103"/>
      <c r="R680" s="103"/>
      <c r="S680" s="103"/>
      <c r="T680" s="103"/>
      <c r="U680" s="103"/>
      <c r="V680" s="103"/>
      <c r="W680" s="103"/>
      <c r="X680" s="103"/>
      <c r="Y680" s="103"/>
      <c r="Z680" s="103"/>
    </row>
    <row r="681" spans="1:26" ht="14.25" customHeight="1">
      <c r="A681" s="103"/>
      <c r="B681" s="103"/>
      <c r="C681" s="103"/>
      <c r="D681" s="103"/>
      <c r="E681" s="103"/>
      <c r="F681" s="103"/>
      <c r="G681" s="103"/>
      <c r="H681" s="103"/>
      <c r="I681" s="103"/>
      <c r="J681" s="103"/>
      <c r="K681" s="103"/>
      <c r="L681" s="103"/>
      <c r="M681" s="103"/>
      <c r="N681" s="103"/>
      <c r="O681" s="103"/>
      <c r="P681" s="103"/>
      <c r="Q681" s="103"/>
      <c r="R681" s="103"/>
      <c r="S681" s="103"/>
      <c r="T681" s="103"/>
      <c r="U681" s="103"/>
      <c r="V681" s="103"/>
      <c r="W681" s="103"/>
      <c r="X681" s="103"/>
      <c r="Y681" s="103"/>
      <c r="Z681" s="103"/>
    </row>
    <row r="682" spans="1:26" ht="14.25" customHeight="1">
      <c r="A682" s="103"/>
      <c r="B682" s="103"/>
      <c r="C682" s="103"/>
      <c r="D682" s="103"/>
      <c r="E682" s="103"/>
      <c r="F682" s="103"/>
      <c r="G682" s="103"/>
      <c r="H682" s="103"/>
      <c r="I682" s="103"/>
      <c r="J682" s="103"/>
      <c r="K682" s="103"/>
      <c r="L682" s="103"/>
      <c r="M682" s="103"/>
      <c r="N682" s="103"/>
      <c r="O682" s="103"/>
      <c r="P682" s="103"/>
      <c r="Q682" s="103"/>
      <c r="R682" s="103"/>
      <c r="S682" s="103"/>
      <c r="T682" s="103"/>
      <c r="U682" s="103"/>
      <c r="V682" s="103"/>
      <c r="W682" s="103"/>
      <c r="X682" s="103"/>
      <c r="Y682" s="103"/>
      <c r="Z682" s="103"/>
    </row>
    <row r="683" spans="1:26" ht="14.25" customHeight="1">
      <c r="A683" s="103"/>
      <c r="B683" s="103"/>
      <c r="C683" s="103"/>
      <c r="D683" s="103"/>
      <c r="E683" s="103"/>
      <c r="F683" s="103"/>
      <c r="G683" s="103"/>
      <c r="H683" s="103"/>
      <c r="I683" s="103"/>
      <c r="J683" s="103"/>
      <c r="K683" s="103"/>
      <c r="L683" s="103"/>
      <c r="M683" s="103"/>
      <c r="N683" s="103"/>
      <c r="O683" s="103"/>
      <c r="P683" s="103"/>
      <c r="Q683" s="103"/>
      <c r="R683" s="103"/>
      <c r="S683" s="103"/>
      <c r="T683" s="103"/>
      <c r="U683" s="103"/>
      <c r="V683" s="103"/>
      <c r="W683" s="103"/>
      <c r="X683" s="103"/>
      <c r="Y683" s="103"/>
      <c r="Z683" s="103"/>
    </row>
    <row r="684" spans="1:26" ht="14.25" customHeight="1">
      <c r="A684" s="103"/>
      <c r="B684" s="103"/>
      <c r="C684" s="103"/>
      <c r="D684" s="103"/>
      <c r="E684" s="103"/>
      <c r="F684" s="103"/>
      <c r="G684" s="103"/>
      <c r="H684" s="103"/>
      <c r="I684" s="103"/>
      <c r="J684" s="103"/>
      <c r="K684" s="103"/>
      <c r="L684" s="103"/>
      <c r="M684" s="103"/>
      <c r="N684" s="103"/>
      <c r="O684" s="103"/>
      <c r="P684" s="103"/>
      <c r="Q684" s="103"/>
      <c r="R684" s="103"/>
      <c r="S684" s="103"/>
      <c r="T684" s="103"/>
      <c r="U684" s="103"/>
      <c r="V684" s="103"/>
      <c r="W684" s="103"/>
      <c r="X684" s="103"/>
      <c r="Y684" s="103"/>
      <c r="Z684" s="103"/>
    </row>
    <row r="685" spans="1:26" ht="14.25" customHeight="1">
      <c r="A685" s="103"/>
      <c r="B685" s="103"/>
      <c r="C685" s="103"/>
      <c r="D685" s="103"/>
      <c r="E685" s="103"/>
      <c r="F685" s="103"/>
      <c r="G685" s="103"/>
      <c r="H685" s="103"/>
      <c r="I685" s="103"/>
      <c r="J685" s="103"/>
      <c r="K685" s="103"/>
      <c r="L685" s="103"/>
      <c r="M685" s="103"/>
      <c r="N685" s="103"/>
      <c r="O685" s="103"/>
      <c r="P685" s="103"/>
      <c r="Q685" s="103"/>
      <c r="R685" s="103"/>
      <c r="S685" s="103"/>
      <c r="T685" s="103"/>
      <c r="U685" s="103"/>
      <c r="V685" s="103"/>
      <c r="W685" s="103"/>
      <c r="X685" s="103"/>
      <c r="Y685" s="103"/>
      <c r="Z685" s="103"/>
    </row>
    <row r="686" spans="1:26" ht="14.25" customHeight="1">
      <c r="A686" s="103"/>
      <c r="B686" s="103"/>
      <c r="C686" s="103"/>
      <c r="D686" s="103"/>
      <c r="E686" s="103"/>
      <c r="F686" s="103"/>
      <c r="G686" s="103"/>
      <c r="H686" s="103"/>
      <c r="I686" s="103"/>
      <c r="J686" s="103"/>
      <c r="K686" s="103"/>
      <c r="L686" s="103"/>
      <c r="M686" s="103"/>
      <c r="N686" s="103"/>
      <c r="O686" s="103"/>
      <c r="P686" s="103"/>
      <c r="Q686" s="103"/>
      <c r="R686" s="103"/>
      <c r="S686" s="103"/>
      <c r="T686" s="103"/>
      <c r="U686" s="103"/>
      <c r="V686" s="103"/>
      <c r="W686" s="103"/>
      <c r="X686" s="103"/>
      <c r="Y686" s="103"/>
      <c r="Z686" s="103"/>
    </row>
    <row r="687" spans="1:26" ht="14.25" customHeight="1">
      <c r="A687" s="103"/>
      <c r="B687" s="103"/>
      <c r="C687" s="103"/>
      <c r="D687" s="103"/>
      <c r="E687" s="103"/>
      <c r="F687" s="103"/>
      <c r="G687" s="103"/>
      <c r="H687" s="103"/>
      <c r="I687" s="103"/>
      <c r="J687" s="103"/>
      <c r="K687" s="103"/>
      <c r="L687" s="103"/>
      <c r="M687" s="103"/>
      <c r="N687" s="103"/>
      <c r="O687" s="103"/>
      <c r="P687" s="103"/>
      <c r="Q687" s="103"/>
      <c r="R687" s="103"/>
      <c r="S687" s="103"/>
      <c r="T687" s="103"/>
      <c r="U687" s="103"/>
      <c r="V687" s="103"/>
      <c r="W687" s="103"/>
      <c r="X687" s="103"/>
      <c r="Y687" s="103"/>
      <c r="Z687" s="103"/>
    </row>
    <row r="688" spans="1:26" ht="14.25" customHeight="1">
      <c r="A688" s="103"/>
      <c r="B688" s="103"/>
      <c r="C688" s="103"/>
      <c r="D688" s="103"/>
      <c r="E688" s="103"/>
      <c r="F688" s="103"/>
      <c r="G688" s="103"/>
      <c r="H688" s="103"/>
      <c r="I688" s="103"/>
      <c r="J688" s="103"/>
      <c r="K688" s="103"/>
      <c r="L688" s="103"/>
      <c r="M688" s="103"/>
      <c r="N688" s="103"/>
      <c r="O688" s="103"/>
      <c r="P688" s="103"/>
      <c r="Q688" s="103"/>
      <c r="R688" s="103"/>
      <c r="S688" s="103"/>
      <c r="T688" s="103"/>
      <c r="U688" s="103"/>
      <c r="V688" s="103"/>
      <c r="W688" s="103"/>
      <c r="X688" s="103"/>
      <c r="Y688" s="103"/>
      <c r="Z688" s="103"/>
    </row>
    <row r="689" spans="1:26" ht="14.25" customHeight="1">
      <c r="A689" s="103"/>
      <c r="B689" s="103"/>
      <c r="C689" s="103"/>
      <c r="D689" s="103"/>
      <c r="E689" s="103"/>
      <c r="F689" s="103"/>
      <c r="G689" s="103"/>
      <c r="H689" s="103"/>
      <c r="I689" s="103"/>
      <c r="J689" s="103"/>
      <c r="K689" s="103"/>
      <c r="L689" s="103"/>
      <c r="M689" s="103"/>
      <c r="N689" s="103"/>
      <c r="O689" s="103"/>
      <c r="P689" s="103"/>
      <c r="Q689" s="103"/>
      <c r="R689" s="103"/>
      <c r="S689" s="103"/>
      <c r="T689" s="103"/>
      <c r="U689" s="103"/>
      <c r="V689" s="103"/>
      <c r="W689" s="103"/>
      <c r="X689" s="103"/>
      <c r="Y689" s="103"/>
      <c r="Z689" s="103"/>
    </row>
    <row r="690" spans="1:26" ht="14.25" customHeight="1">
      <c r="A690" s="103"/>
      <c r="B690" s="103"/>
      <c r="C690" s="103"/>
      <c r="D690" s="103"/>
      <c r="E690" s="103"/>
      <c r="F690" s="103"/>
      <c r="G690" s="103"/>
      <c r="H690" s="103"/>
      <c r="I690" s="103"/>
      <c r="J690" s="103"/>
      <c r="K690" s="103"/>
      <c r="L690" s="103"/>
      <c r="M690" s="103"/>
      <c r="N690" s="103"/>
      <c r="O690" s="103"/>
      <c r="P690" s="103"/>
      <c r="Q690" s="103"/>
      <c r="R690" s="103"/>
      <c r="S690" s="103"/>
      <c r="T690" s="103"/>
      <c r="U690" s="103"/>
      <c r="V690" s="103"/>
      <c r="W690" s="103"/>
      <c r="X690" s="103"/>
      <c r="Y690" s="103"/>
      <c r="Z690" s="103"/>
    </row>
    <row r="691" spans="1:26" ht="14.25" customHeight="1">
      <c r="A691" s="103"/>
      <c r="B691" s="103"/>
      <c r="C691" s="103"/>
      <c r="D691" s="103"/>
      <c r="E691" s="103"/>
      <c r="F691" s="103"/>
      <c r="G691" s="103"/>
      <c r="H691" s="103"/>
      <c r="I691" s="103"/>
      <c r="J691" s="103"/>
      <c r="K691" s="103"/>
      <c r="L691" s="103"/>
      <c r="M691" s="103"/>
      <c r="N691" s="103"/>
      <c r="O691" s="103"/>
      <c r="P691" s="103"/>
      <c r="Q691" s="103"/>
      <c r="R691" s="103"/>
      <c r="S691" s="103"/>
      <c r="T691" s="103"/>
      <c r="U691" s="103"/>
      <c r="V691" s="103"/>
      <c r="W691" s="103"/>
      <c r="X691" s="103"/>
      <c r="Y691" s="103"/>
      <c r="Z691" s="103"/>
    </row>
    <row r="692" spans="1:26" ht="14.25" customHeight="1">
      <c r="A692" s="103"/>
      <c r="B692" s="103"/>
      <c r="C692" s="103"/>
      <c r="D692" s="103"/>
      <c r="E692" s="103"/>
      <c r="F692" s="103"/>
      <c r="G692" s="103"/>
      <c r="H692" s="103"/>
      <c r="I692" s="103"/>
      <c r="J692" s="103"/>
      <c r="K692" s="103"/>
      <c r="L692" s="103"/>
      <c r="M692" s="103"/>
      <c r="N692" s="103"/>
      <c r="O692" s="103"/>
      <c r="P692" s="103"/>
      <c r="Q692" s="103"/>
      <c r="R692" s="103"/>
      <c r="S692" s="103"/>
      <c r="T692" s="103"/>
      <c r="U692" s="103"/>
      <c r="V692" s="103"/>
      <c r="W692" s="103"/>
      <c r="X692" s="103"/>
      <c r="Y692" s="103"/>
      <c r="Z692" s="103"/>
    </row>
    <row r="693" spans="1:26" ht="14.25" customHeight="1">
      <c r="A693" s="103"/>
      <c r="B693" s="103"/>
      <c r="C693" s="103"/>
      <c r="D693" s="103"/>
      <c r="E693" s="103"/>
      <c r="F693" s="103"/>
      <c r="G693" s="103"/>
      <c r="H693" s="103"/>
      <c r="I693" s="103"/>
      <c r="J693" s="103"/>
      <c r="K693" s="103"/>
      <c r="L693" s="103"/>
      <c r="M693" s="103"/>
      <c r="N693" s="103"/>
      <c r="O693" s="103"/>
      <c r="P693" s="103"/>
      <c r="Q693" s="103"/>
      <c r="R693" s="103"/>
      <c r="S693" s="103"/>
      <c r="T693" s="103"/>
      <c r="U693" s="103"/>
      <c r="V693" s="103"/>
      <c r="W693" s="103"/>
      <c r="X693" s="103"/>
      <c r="Y693" s="103"/>
      <c r="Z693" s="103"/>
    </row>
    <row r="694" spans="1:26" ht="14.25" customHeight="1">
      <c r="A694" s="103"/>
      <c r="B694" s="103"/>
      <c r="C694" s="103"/>
      <c r="D694" s="103"/>
      <c r="E694" s="103"/>
      <c r="F694" s="103"/>
      <c r="G694" s="103"/>
      <c r="H694" s="103"/>
      <c r="I694" s="103"/>
      <c r="J694" s="103"/>
      <c r="K694" s="103"/>
      <c r="L694" s="103"/>
      <c r="M694" s="103"/>
      <c r="N694" s="103"/>
      <c r="O694" s="103"/>
      <c r="P694" s="103"/>
      <c r="Q694" s="103"/>
      <c r="R694" s="103"/>
      <c r="S694" s="103"/>
      <c r="T694" s="103"/>
      <c r="U694" s="103"/>
      <c r="V694" s="103"/>
      <c r="W694" s="103"/>
      <c r="X694" s="103"/>
      <c r="Y694" s="103"/>
      <c r="Z694" s="103"/>
    </row>
    <row r="695" spans="1:26" ht="14.25" customHeight="1">
      <c r="A695" s="103"/>
      <c r="B695" s="103"/>
      <c r="C695" s="103"/>
      <c r="D695" s="103"/>
      <c r="E695" s="103"/>
      <c r="F695" s="103"/>
      <c r="G695" s="103"/>
      <c r="H695" s="103"/>
      <c r="I695" s="103"/>
      <c r="J695" s="103"/>
      <c r="K695" s="103"/>
      <c r="L695" s="103"/>
      <c r="M695" s="103"/>
      <c r="N695" s="103"/>
      <c r="O695" s="103"/>
      <c r="P695" s="103"/>
      <c r="Q695" s="103"/>
      <c r="R695" s="103"/>
      <c r="S695" s="103"/>
      <c r="T695" s="103"/>
      <c r="U695" s="103"/>
      <c r="V695" s="103"/>
      <c r="W695" s="103"/>
      <c r="X695" s="103"/>
      <c r="Y695" s="103"/>
      <c r="Z695" s="103"/>
    </row>
    <row r="696" spans="1:26" ht="14.25" customHeight="1">
      <c r="A696" s="103"/>
      <c r="B696" s="103"/>
      <c r="C696" s="103"/>
      <c r="D696" s="103"/>
      <c r="E696" s="103"/>
      <c r="F696" s="103"/>
      <c r="G696" s="103"/>
      <c r="H696" s="103"/>
      <c r="I696" s="103"/>
      <c r="J696" s="103"/>
      <c r="K696" s="103"/>
      <c r="L696" s="103"/>
      <c r="M696" s="103"/>
      <c r="N696" s="103"/>
      <c r="O696" s="103"/>
      <c r="P696" s="103"/>
      <c r="Q696" s="103"/>
      <c r="R696" s="103"/>
      <c r="S696" s="103"/>
      <c r="T696" s="103"/>
      <c r="U696" s="103"/>
      <c r="V696" s="103"/>
      <c r="W696" s="103"/>
      <c r="X696" s="103"/>
      <c r="Y696" s="103"/>
      <c r="Z696" s="103"/>
    </row>
    <row r="697" spans="1:26" ht="14.25" customHeight="1">
      <c r="A697" s="103"/>
      <c r="B697" s="103"/>
      <c r="C697" s="103"/>
      <c r="D697" s="103"/>
      <c r="E697" s="103"/>
      <c r="F697" s="103"/>
      <c r="G697" s="103"/>
      <c r="H697" s="103"/>
      <c r="I697" s="103"/>
      <c r="J697" s="103"/>
      <c r="K697" s="103"/>
      <c r="L697" s="103"/>
      <c r="M697" s="103"/>
      <c r="N697" s="103"/>
      <c r="O697" s="103"/>
      <c r="P697" s="103"/>
      <c r="Q697" s="103"/>
      <c r="R697" s="103"/>
      <c r="S697" s="103"/>
      <c r="T697" s="103"/>
      <c r="U697" s="103"/>
      <c r="V697" s="103"/>
      <c r="W697" s="103"/>
      <c r="X697" s="103"/>
      <c r="Y697" s="103"/>
      <c r="Z697" s="103"/>
    </row>
    <row r="698" spans="1:26" ht="14.25" customHeight="1">
      <c r="A698" s="103"/>
      <c r="B698" s="103"/>
      <c r="C698" s="103"/>
      <c r="D698" s="103"/>
      <c r="E698" s="103"/>
      <c r="F698" s="103"/>
      <c r="G698" s="103"/>
      <c r="H698" s="103"/>
      <c r="I698" s="103"/>
      <c r="J698" s="103"/>
      <c r="K698" s="103"/>
      <c r="L698" s="103"/>
      <c r="M698" s="103"/>
      <c r="N698" s="103"/>
      <c r="O698" s="103"/>
      <c r="P698" s="103"/>
      <c r="Q698" s="103"/>
      <c r="R698" s="103"/>
      <c r="S698" s="103"/>
      <c r="T698" s="103"/>
      <c r="U698" s="103"/>
      <c r="V698" s="103"/>
      <c r="W698" s="103"/>
      <c r="X698" s="103"/>
      <c r="Y698" s="103"/>
      <c r="Z698" s="103"/>
    </row>
    <row r="699" spans="1:26" ht="14.25" customHeight="1">
      <c r="A699" s="103"/>
      <c r="B699" s="103"/>
      <c r="C699" s="103"/>
      <c r="D699" s="103"/>
      <c r="E699" s="103"/>
      <c r="F699" s="103"/>
      <c r="G699" s="103"/>
      <c r="H699" s="103"/>
      <c r="I699" s="103"/>
      <c r="J699" s="103"/>
      <c r="K699" s="103"/>
      <c r="L699" s="103"/>
      <c r="M699" s="103"/>
      <c r="N699" s="103"/>
      <c r="O699" s="103"/>
      <c r="P699" s="103"/>
      <c r="Q699" s="103"/>
      <c r="R699" s="103"/>
      <c r="S699" s="103"/>
      <c r="T699" s="103"/>
      <c r="U699" s="103"/>
      <c r="V699" s="103"/>
      <c r="W699" s="103"/>
      <c r="X699" s="103"/>
      <c r="Y699" s="103"/>
      <c r="Z699" s="103"/>
    </row>
    <row r="700" spans="1:26" ht="14.25" customHeight="1">
      <c r="A700" s="103"/>
      <c r="B700" s="103"/>
      <c r="C700" s="103"/>
      <c r="D700" s="103"/>
      <c r="E700" s="103"/>
      <c r="F700" s="103"/>
      <c r="G700" s="103"/>
      <c r="H700" s="103"/>
      <c r="I700" s="103"/>
      <c r="J700" s="103"/>
      <c r="K700" s="103"/>
      <c r="L700" s="103"/>
      <c r="M700" s="103"/>
      <c r="N700" s="103"/>
      <c r="O700" s="103"/>
      <c r="P700" s="103"/>
      <c r="Q700" s="103"/>
      <c r="R700" s="103"/>
      <c r="S700" s="103"/>
      <c r="T700" s="103"/>
      <c r="U700" s="103"/>
      <c r="V700" s="103"/>
      <c r="W700" s="103"/>
      <c r="X700" s="103"/>
      <c r="Y700" s="103"/>
      <c r="Z700" s="103"/>
    </row>
    <row r="701" spans="1:26" ht="14.25" customHeight="1">
      <c r="A701" s="103"/>
      <c r="B701" s="103"/>
      <c r="C701" s="103"/>
      <c r="D701" s="103"/>
      <c r="E701" s="103"/>
      <c r="F701" s="103"/>
      <c r="G701" s="103"/>
      <c r="H701" s="103"/>
      <c r="I701" s="103"/>
      <c r="J701" s="103"/>
      <c r="K701" s="103"/>
      <c r="L701" s="103"/>
      <c r="M701" s="103"/>
      <c r="N701" s="103"/>
      <c r="O701" s="103"/>
      <c r="P701" s="103"/>
      <c r="Q701" s="103"/>
      <c r="R701" s="103"/>
      <c r="S701" s="103"/>
      <c r="T701" s="103"/>
      <c r="U701" s="103"/>
      <c r="V701" s="103"/>
      <c r="W701" s="103"/>
      <c r="X701" s="103"/>
      <c r="Y701" s="103"/>
      <c r="Z701" s="103"/>
    </row>
    <row r="702" spans="1:26" ht="14.25" customHeight="1">
      <c r="A702" s="103"/>
      <c r="B702" s="103"/>
      <c r="C702" s="103"/>
      <c r="D702" s="103"/>
      <c r="E702" s="103"/>
      <c r="F702" s="103"/>
      <c r="G702" s="103"/>
      <c r="H702" s="103"/>
      <c r="I702" s="103"/>
      <c r="J702" s="103"/>
      <c r="K702" s="103"/>
      <c r="L702" s="103"/>
      <c r="M702" s="103"/>
      <c r="N702" s="103"/>
      <c r="O702" s="103"/>
      <c r="P702" s="103"/>
      <c r="Q702" s="103"/>
      <c r="R702" s="103"/>
      <c r="S702" s="103"/>
      <c r="T702" s="103"/>
      <c r="U702" s="103"/>
      <c r="V702" s="103"/>
      <c r="W702" s="103"/>
      <c r="X702" s="103"/>
      <c r="Y702" s="103"/>
      <c r="Z702" s="103"/>
    </row>
    <row r="703" spans="1:26" ht="14.25" customHeight="1">
      <c r="A703" s="103"/>
      <c r="B703" s="103"/>
      <c r="C703" s="103"/>
      <c r="D703" s="103"/>
      <c r="E703" s="103"/>
      <c r="F703" s="103"/>
      <c r="G703" s="103"/>
      <c r="H703" s="103"/>
      <c r="I703" s="103"/>
      <c r="J703" s="103"/>
      <c r="K703" s="103"/>
      <c r="L703" s="103"/>
      <c r="M703" s="103"/>
      <c r="N703" s="103"/>
      <c r="O703" s="103"/>
      <c r="P703" s="103"/>
      <c r="Q703" s="103"/>
      <c r="R703" s="103"/>
      <c r="S703" s="103"/>
      <c r="T703" s="103"/>
      <c r="U703" s="103"/>
      <c r="V703" s="103"/>
      <c r="W703" s="103"/>
      <c r="X703" s="103"/>
      <c r="Y703" s="103"/>
      <c r="Z703" s="103"/>
    </row>
    <row r="704" spans="1:26" ht="14.25" customHeight="1">
      <c r="A704" s="103"/>
      <c r="B704" s="103"/>
      <c r="C704" s="103"/>
      <c r="D704" s="103"/>
      <c r="E704" s="103"/>
      <c r="F704" s="103"/>
      <c r="G704" s="103"/>
      <c r="H704" s="103"/>
      <c r="I704" s="103"/>
      <c r="J704" s="103"/>
      <c r="K704" s="103"/>
      <c r="L704" s="103"/>
      <c r="M704" s="103"/>
      <c r="N704" s="103"/>
      <c r="O704" s="103"/>
      <c r="P704" s="103"/>
      <c r="Q704" s="103"/>
      <c r="R704" s="103"/>
      <c r="S704" s="103"/>
      <c r="T704" s="103"/>
      <c r="U704" s="103"/>
      <c r="V704" s="103"/>
      <c r="W704" s="103"/>
      <c r="X704" s="103"/>
      <c r="Y704" s="103"/>
      <c r="Z704" s="103"/>
    </row>
    <row r="705" spans="1:26" ht="14.25" customHeight="1">
      <c r="A705" s="103"/>
      <c r="B705" s="103"/>
      <c r="C705" s="103"/>
      <c r="D705" s="103"/>
      <c r="E705" s="103"/>
      <c r="F705" s="103"/>
      <c r="G705" s="103"/>
      <c r="H705" s="103"/>
      <c r="I705" s="103"/>
      <c r="J705" s="103"/>
      <c r="K705" s="103"/>
      <c r="L705" s="103"/>
      <c r="M705" s="103"/>
      <c r="N705" s="103"/>
      <c r="O705" s="103"/>
      <c r="P705" s="103"/>
      <c r="Q705" s="103"/>
      <c r="R705" s="103"/>
      <c r="S705" s="103"/>
      <c r="T705" s="103"/>
      <c r="U705" s="103"/>
      <c r="V705" s="103"/>
      <c r="W705" s="103"/>
      <c r="X705" s="103"/>
      <c r="Y705" s="103"/>
      <c r="Z705" s="103"/>
    </row>
    <row r="706" spans="1:26" ht="14.25" customHeight="1">
      <c r="A706" s="103"/>
      <c r="B706" s="103"/>
      <c r="C706" s="103"/>
      <c r="D706" s="103"/>
      <c r="E706" s="103"/>
      <c r="F706" s="103"/>
      <c r="G706" s="103"/>
      <c r="H706" s="103"/>
      <c r="I706" s="103"/>
      <c r="J706" s="103"/>
      <c r="K706" s="103"/>
      <c r="L706" s="103"/>
      <c r="M706" s="103"/>
      <c r="N706" s="103"/>
      <c r="O706" s="103"/>
      <c r="P706" s="103"/>
      <c r="Q706" s="103"/>
      <c r="R706" s="103"/>
      <c r="S706" s="103"/>
      <c r="T706" s="103"/>
      <c r="U706" s="103"/>
      <c r="V706" s="103"/>
      <c r="W706" s="103"/>
      <c r="X706" s="103"/>
      <c r="Y706" s="103"/>
      <c r="Z706" s="103"/>
    </row>
    <row r="707" spans="1:26" ht="14.25" customHeight="1">
      <c r="A707" s="103"/>
      <c r="B707" s="103"/>
      <c r="C707" s="103"/>
      <c r="D707" s="103"/>
      <c r="E707" s="103"/>
      <c r="F707" s="103"/>
      <c r="G707" s="103"/>
      <c r="H707" s="103"/>
      <c r="I707" s="103"/>
      <c r="J707" s="103"/>
      <c r="K707" s="103"/>
      <c r="L707" s="103"/>
      <c r="M707" s="103"/>
      <c r="N707" s="103"/>
      <c r="O707" s="103"/>
      <c r="P707" s="103"/>
      <c r="Q707" s="103"/>
      <c r="R707" s="103"/>
      <c r="S707" s="103"/>
      <c r="T707" s="103"/>
      <c r="U707" s="103"/>
      <c r="V707" s="103"/>
      <c r="W707" s="103"/>
      <c r="X707" s="103"/>
      <c r="Y707" s="103"/>
      <c r="Z707" s="103"/>
    </row>
    <row r="708" spans="1:26" ht="14.25" customHeight="1">
      <c r="A708" s="103"/>
      <c r="B708" s="103"/>
      <c r="C708" s="103"/>
      <c r="D708" s="103"/>
      <c r="E708" s="103"/>
      <c r="F708" s="103"/>
      <c r="G708" s="103"/>
      <c r="H708" s="103"/>
      <c r="I708" s="103"/>
      <c r="J708" s="103"/>
      <c r="K708" s="103"/>
      <c r="L708" s="103"/>
      <c r="M708" s="103"/>
      <c r="N708" s="103"/>
      <c r="O708" s="103"/>
      <c r="P708" s="103"/>
      <c r="Q708" s="103"/>
      <c r="R708" s="103"/>
      <c r="S708" s="103"/>
      <c r="T708" s="103"/>
      <c r="U708" s="103"/>
      <c r="V708" s="103"/>
      <c r="W708" s="103"/>
      <c r="X708" s="103"/>
      <c r="Y708" s="103"/>
      <c r="Z708" s="103"/>
    </row>
    <row r="709" spans="1:26" ht="14.25" customHeight="1">
      <c r="A709" s="103"/>
      <c r="B709" s="103"/>
      <c r="C709" s="103"/>
      <c r="D709" s="103"/>
      <c r="E709" s="103"/>
      <c r="F709" s="103"/>
      <c r="G709" s="103"/>
      <c r="H709" s="103"/>
      <c r="I709" s="103"/>
      <c r="J709" s="103"/>
      <c r="K709" s="103"/>
      <c r="L709" s="103"/>
      <c r="M709" s="103"/>
      <c r="N709" s="103"/>
      <c r="O709" s="103"/>
      <c r="P709" s="103"/>
      <c r="Q709" s="103"/>
      <c r="R709" s="103"/>
      <c r="S709" s="103"/>
      <c r="T709" s="103"/>
      <c r="U709" s="103"/>
      <c r="V709" s="103"/>
      <c r="W709" s="103"/>
      <c r="X709" s="103"/>
      <c r="Y709" s="103"/>
      <c r="Z709" s="103"/>
    </row>
    <row r="710" spans="1:26" ht="14.25" customHeight="1">
      <c r="A710" s="103"/>
      <c r="B710" s="103"/>
      <c r="C710" s="103"/>
      <c r="D710" s="103"/>
      <c r="E710" s="103"/>
      <c r="F710" s="103"/>
      <c r="G710" s="103"/>
      <c r="H710" s="103"/>
      <c r="I710" s="103"/>
      <c r="J710" s="103"/>
      <c r="K710" s="103"/>
      <c r="L710" s="103"/>
      <c r="M710" s="103"/>
      <c r="N710" s="103"/>
      <c r="O710" s="103"/>
      <c r="P710" s="103"/>
      <c r="Q710" s="103"/>
      <c r="R710" s="103"/>
      <c r="S710" s="103"/>
      <c r="T710" s="103"/>
      <c r="U710" s="103"/>
      <c r="V710" s="103"/>
      <c r="W710" s="103"/>
      <c r="X710" s="103"/>
      <c r="Y710" s="103"/>
      <c r="Z710" s="103"/>
    </row>
    <row r="711" spans="1:26" ht="14.25" customHeight="1">
      <c r="A711" s="103"/>
      <c r="B711" s="103"/>
      <c r="C711" s="103"/>
      <c r="D711" s="103"/>
      <c r="E711" s="103"/>
      <c r="F711" s="103"/>
      <c r="G711" s="103"/>
      <c r="H711" s="103"/>
      <c r="I711" s="103"/>
      <c r="J711" s="103"/>
      <c r="K711" s="103"/>
      <c r="L711" s="103"/>
      <c r="M711" s="103"/>
      <c r="N711" s="103"/>
      <c r="O711" s="103"/>
      <c r="P711" s="103"/>
      <c r="Q711" s="103"/>
      <c r="R711" s="103"/>
      <c r="S711" s="103"/>
      <c r="T711" s="103"/>
      <c r="U711" s="103"/>
      <c r="V711" s="103"/>
      <c r="W711" s="103"/>
      <c r="X711" s="103"/>
      <c r="Y711" s="103"/>
      <c r="Z711" s="103"/>
    </row>
    <row r="712" spans="1:26" ht="14.25" customHeight="1">
      <c r="A712" s="103"/>
      <c r="B712" s="103"/>
      <c r="C712" s="103"/>
      <c r="D712" s="103"/>
      <c r="E712" s="103"/>
      <c r="F712" s="103"/>
      <c r="G712" s="103"/>
      <c r="H712" s="103"/>
      <c r="I712" s="103"/>
      <c r="J712" s="103"/>
      <c r="K712" s="103"/>
      <c r="L712" s="103"/>
      <c r="M712" s="103"/>
      <c r="N712" s="103"/>
      <c r="O712" s="103"/>
      <c r="P712" s="103"/>
      <c r="Q712" s="103"/>
      <c r="R712" s="103"/>
      <c r="S712" s="103"/>
      <c r="T712" s="103"/>
      <c r="U712" s="103"/>
      <c r="V712" s="103"/>
      <c r="W712" s="103"/>
      <c r="X712" s="103"/>
      <c r="Y712" s="103"/>
      <c r="Z712" s="103"/>
    </row>
    <row r="713" spans="1:26" ht="14.25" customHeight="1">
      <c r="A713" s="103"/>
      <c r="B713" s="103"/>
      <c r="C713" s="103"/>
      <c r="D713" s="103"/>
      <c r="E713" s="103"/>
      <c r="F713" s="103"/>
      <c r="G713" s="103"/>
      <c r="H713" s="103"/>
      <c r="I713" s="103"/>
      <c r="J713" s="103"/>
      <c r="K713" s="103"/>
      <c r="L713" s="103"/>
      <c r="M713" s="103"/>
      <c r="N713" s="103"/>
      <c r="O713" s="103"/>
      <c r="P713" s="103"/>
      <c r="Q713" s="103"/>
      <c r="R713" s="103"/>
      <c r="S713" s="103"/>
      <c r="T713" s="103"/>
      <c r="U713" s="103"/>
      <c r="V713" s="103"/>
      <c r="W713" s="103"/>
      <c r="X713" s="103"/>
      <c r="Y713" s="103"/>
      <c r="Z713" s="103"/>
    </row>
    <row r="714" spans="1:26" ht="14.25" customHeight="1">
      <c r="A714" s="103"/>
      <c r="B714" s="103"/>
      <c r="C714" s="103"/>
      <c r="D714" s="103"/>
      <c r="E714" s="103"/>
      <c r="F714" s="103"/>
      <c r="G714" s="103"/>
      <c r="H714" s="103"/>
      <c r="I714" s="103"/>
      <c r="J714" s="103"/>
      <c r="K714" s="103"/>
      <c r="L714" s="103"/>
      <c r="M714" s="103"/>
      <c r="N714" s="103"/>
      <c r="O714" s="103"/>
      <c r="P714" s="103"/>
      <c r="Q714" s="103"/>
      <c r="R714" s="103"/>
      <c r="S714" s="103"/>
      <c r="T714" s="103"/>
      <c r="U714" s="103"/>
      <c r="V714" s="103"/>
      <c r="W714" s="103"/>
      <c r="X714" s="103"/>
      <c r="Y714" s="103"/>
      <c r="Z714" s="103"/>
    </row>
    <row r="715" spans="1:26" ht="14.25" customHeight="1">
      <c r="A715" s="103"/>
      <c r="B715" s="103"/>
      <c r="C715" s="103"/>
      <c r="D715" s="103"/>
      <c r="E715" s="103"/>
      <c r="F715" s="103"/>
      <c r="G715" s="103"/>
      <c r="H715" s="103"/>
      <c r="I715" s="103"/>
      <c r="J715" s="103"/>
      <c r="K715" s="103"/>
      <c r="L715" s="103"/>
      <c r="M715" s="103"/>
      <c r="N715" s="103"/>
      <c r="O715" s="103"/>
      <c r="P715" s="103"/>
      <c r="Q715" s="103"/>
      <c r="R715" s="103"/>
      <c r="S715" s="103"/>
      <c r="T715" s="103"/>
      <c r="U715" s="103"/>
      <c r="V715" s="103"/>
      <c r="W715" s="103"/>
      <c r="X715" s="103"/>
      <c r="Y715" s="103"/>
      <c r="Z715" s="103"/>
    </row>
    <row r="716" spans="1:26" ht="14.25" customHeight="1">
      <c r="A716" s="103"/>
      <c r="B716" s="103"/>
      <c r="C716" s="103"/>
      <c r="D716" s="103"/>
      <c r="E716" s="103"/>
      <c r="F716" s="103"/>
      <c r="G716" s="103"/>
      <c r="H716" s="103"/>
      <c r="I716" s="103"/>
      <c r="J716" s="103"/>
      <c r="K716" s="103"/>
      <c r="L716" s="103"/>
      <c r="M716" s="103"/>
      <c r="N716" s="103"/>
      <c r="O716" s="103"/>
      <c r="P716" s="103"/>
      <c r="Q716" s="103"/>
      <c r="R716" s="103"/>
      <c r="S716" s="103"/>
      <c r="T716" s="103"/>
      <c r="U716" s="103"/>
      <c r="V716" s="103"/>
      <c r="W716" s="103"/>
      <c r="X716" s="103"/>
      <c r="Y716" s="103"/>
      <c r="Z716" s="103"/>
    </row>
    <row r="717" spans="1:26" ht="14.25" customHeight="1">
      <c r="A717" s="103"/>
      <c r="B717" s="103"/>
      <c r="C717" s="103"/>
      <c r="D717" s="103"/>
      <c r="E717" s="103"/>
      <c r="F717" s="103"/>
      <c r="G717" s="103"/>
      <c r="H717" s="103"/>
      <c r="I717" s="103"/>
      <c r="J717" s="103"/>
      <c r="K717" s="103"/>
      <c r="L717" s="103"/>
      <c r="M717" s="103"/>
      <c r="N717" s="103"/>
      <c r="O717" s="103"/>
      <c r="P717" s="103"/>
      <c r="Q717" s="103"/>
      <c r="R717" s="103"/>
      <c r="S717" s="103"/>
      <c r="T717" s="103"/>
      <c r="U717" s="103"/>
      <c r="V717" s="103"/>
      <c r="W717" s="103"/>
      <c r="X717" s="103"/>
      <c r="Y717" s="103"/>
      <c r="Z717" s="103"/>
    </row>
    <row r="718" spans="1:26" ht="14.25" customHeight="1">
      <c r="A718" s="103"/>
      <c r="B718" s="103"/>
      <c r="C718" s="103"/>
      <c r="D718" s="103"/>
      <c r="E718" s="103"/>
      <c r="F718" s="103"/>
      <c r="G718" s="103"/>
      <c r="H718" s="103"/>
      <c r="I718" s="103"/>
      <c r="J718" s="103"/>
      <c r="K718" s="103"/>
      <c r="L718" s="103"/>
      <c r="M718" s="103"/>
      <c r="N718" s="103"/>
      <c r="O718" s="103"/>
      <c r="P718" s="103"/>
      <c r="Q718" s="103"/>
      <c r="R718" s="103"/>
      <c r="S718" s="103"/>
      <c r="T718" s="103"/>
      <c r="U718" s="103"/>
      <c r="V718" s="103"/>
      <c r="W718" s="103"/>
      <c r="X718" s="103"/>
      <c r="Y718" s="103"/>
      <c r="Z718" s="103"/>
    </row>
    <row r="719" spans="1:26" ht="14.25" customHeight="1">
      <c r="A719" s="103"/>
      <c r="B719" s="103"/>
      <c r="C719" s="103"/>
      <c r="D719" s="103"/>
      <c r="E719" s="103"/>
      <c r="F719" s="103"/>
      <c r="G719" s="103"/>
      <c r="H719" s="103"/>
      <c r="I719" s="103"/>
      <c r="J719" s="103"/>
      <c r="K719" s="103"/>
      <c r="L719" s="103"/>
      <c r="M719" s="103"/>
      <c r="N719" s="103"/>
      <c r="O719" s="103"/>
      <c r="P719" s="103"/>
      <c r="Q719" s="103"/>
      <c r="R719" s="103"/>
      <c r="S719" s="103"/>
      <c r="T719" s="103"/>
      <c r="U719" s="103"/>
      <c r="V719" s="103"/>
      <c r="W719" s="103"/>
      <c r="X719" s="103"/>
      <c r="Y719" s="103"/>
      <c r="Z719" s="103"/>
    </row>
    <row r="720" spans="1:26" ht="14.25" customHeight="1">
      <c r="A720" s="103"/>
      <c r="B720" s="103"/>
      <c r="C720" s="103"/>
      <c r="D720" s="103"/>
      <c r="E720" s="103"/>
      <c r="F720" s="103"/>
      <c r="G720" s="103"/>
      <c r="H720" s="103"/>
      <c r="I720" s="103"/>
      <c r="J720" s="103"/>
      <c r="K720" s="103"/>
      <c r="L720" s="103"/>
      <c r="M720" s="103"/>
      <c r="N720" s="103"/>
      <c r="O720" s="103"/>
      <c r="P720" s="103"/>
      <c r="Q720" s="103"/>
      <c r="R720" s="103"/>
      <c r="S720" s="103"/>
      <c r="T720" s="103"/>
      <c r="U720" s="103"/>
      <c r="V720" s="103"/>
      <c r="W720" s="103"/>
      <c r="X720" s="103"/>
      <c r="Y720" s="103"/>
      <c r="Z720" s="103"/>
    </row>
    <row r="721" spans="1:26" ht="14.25" customHeight="1">
      <c r="A721" s="103"/>
      <c r="B721" s="103"/>
      <c r="C721" s="103"/>
      <c r="D721" s="103"/>
      <c r="E721" s="103"/>
      <c r="F721" s="103"/>
      <c r="G721" s="103"/>
      <c r="H721" s="103"/>
      <c r="I721" s="103"/>
      <c r="J721" s="103"/>
      <c r="K721" s="103"/>
      <c r="L721" s="103"/>
      <c r="M721" s="103"/>
      <c r="N721" s="103"/>
      <c r="O721" s="103"/>
      <c r="P721" s="103"/>
      <c r="Q721" s="103"/>
      <c r="R721" s="103"/>
      <c r="S721" s="103"/>
      <c r="T721" s="103"/>
      <c r="U721" s="103"/>
      <c r="V721" s="103"/>
      <c r="W721" s="103"/>
      <c r="X721" s="103"/>
      <c r="Y721" s="103"/>
      <c r="Z721" s="103"/>
    </row>
    <row r="722" spans="1:26" ht="14.25" customHeight="1">
      <c r="A722" s="103"/>
      <c r="B722" s="103"/>
      <c r="C722" s="103"/>
      <c r="D722" s="103"/>
      <c r="E722" s="103"/>
      <c r="F722" s="103"/>
      <c r="G722" s="103"/>
      <c r="H722" s="103"/>
      <c r="I722" s="103"/>
      <c r="J722" s="103"/>
      <c r="K722" s="103"/>
      <c r="L722" s="103"/>
      <c r="M722" s="103"/>
      <c r="N722" s="103"/>
      <c r="O722" s="103"/>
      <c r="P722" s="103"/>
      <c r="Q722" s="103"/>
      <c r="R722" s="103"/>
      <c r="S722" s="103"/>
      <c r="T722" s="103"/>
      <c r="U722" s="103"/>
      <c r="V722" s="103"/>
      <c r="W722" s="103"/>
      <c r="X722" s="103"/>
      <c r="Y722" s="103"/>
      <c r="Z722" s="103"/>
    </row>
    <row r="723" spans="1:26" ht="14.25" customHeight="1">
      <c r="A723" s="103"/>
      <c r="B723" s="103"/>
      <c r="C723" s="103"/>
      <c r="D723" s="103"/>
      <c r="E723" s="103"/>
      <c r="F723" s="103"/>
      <c r="G723" s="103"/>
      <c r="H723" s="103"/>
      <c r="I723" s="103"/>
      <c r="J723" s="103"/>
      <c r="K723" s="103"/>
      <c r="L723" s="103"/>
      <c r="M723" s="103"/>
      <c r="N723" s="103"/>
      <c r="O723" s="103"/>
      <c r="P723" s="103"/>
      <c r="Q723" s="103"/>
      <c r="R723" s="103"/>
      <c r="S723" s="103"/>
      <c r="T723" s="103"/>
      <c r="U723" s="103"/>
      <c r="V723" s="103"/>
      <c r="W723" s="103"/>
      <c r="X723" s="103"/>
      <c r="Y723" s="103"/>
      <c r="Z723" s="103"/>
    </row>
    <row r="724" spans="1:26" ht="14.25" customHeight="1">
      <c r="A724" s="103"/>
      <c r="B724" s="103"/>
      <c r="C724" s="103"/>
      <c r="D724" s="103"/>
      <c r="E724" s="103"/>
      <c r="F724" s="103"/>
      <c r="G724" s="103"/>
      <c r="H724" s="103"/>
      <c r="I724" s="103"/>
      <c r="J724" s="103"/>
      <c r="K724" s="103"/>
      <c r="L724" s="103"/>
      <c r="M724" s="103"/>
      <c r="N724" s="103"/>
      <c r="O724" s="103"/>
      <c r="P724" s="103"/>
      <c r="Q724" s="103"/>
      <c r="R724" s="103"/>
      <c r="S724" s="103"/>
      <c r="T724" s="103"/>
      <c r="U724" s="103"/>
      <c r="V724" s="103"/>
      <c r="W724" s="103"/>
      <c r="X724" s="103"/>
      <c r="Y724" s="103"/>
      <c r="Z724" s="103"/>
    </row>
    <row r="725" spans="1:26" ht="14.25" customHeight="1">
      <c r="A725" s="103"/>
      <c r="B725" s="103"/>
      <c r="C725" s="103"/>
      <c r="D725" s="103"/>
      <c r="E725" s="103"/>
      <c r="F725" s="103"/>
      <c r="G725" s="103"/>
      <c r="H725" s="103"/>
      <c r="I725" s="103"/>
      <c r="J725" s="103"/>
      <c r="K725" s="103"/>
      <c r="L725" s="103"/>
      <c r="M725" s="103"/>
      <c r="N725" s="103"/>
      <c r="O725" s="103"/>
      <c r="P725" s="103"/>
      <c r="Q725" s="103"/>
      <c r="R725" s="103"/>
      <c r="S725" s="103"/>
      <c r="T725" s="103"/>
      <c r="U725" s="103"/>
      <c r="V725" s="103"/>
      <c r="W725" s="103"/>
      <c r="X725" s="103"/>
      <c r="Y725" s="103"/>
      <c r="Z725" s="103"/>
    </row>
    <row r="726" spans="1:26" ht="14.25" customHeight="1">
      <c r="A726" s="103"/>
      <c r="B726" s="103"/>
      <c r="C726" s="103"/>
      <c r="D726" s="103"/>
      <c r="E726" s="103"/>
      <c r="F726" s="103"/>
      <c r="G726" s="103"/>
      <c r="H726" s="103"/>
      <c r="I726" s="103"/>
      <c r="J726" s="103"/>
      <c r="K726" s="103"/>
      <c r="L726" s="103"/>
      <c r="M726" s="103"/>
      <c r="N726" s="103"/>
      <c r="O726" s="103"/>
      <c r="P726" s="103"/>
      <c r="Q726" s="103"/>
      <c r="R726" s="103"/>
      <c r="S726" s="103"/>
      <c r="T726" s="103"/>
      <c r="U726" s="103"/>
      <c r="V726" s="103"/>
      <c r="W726" s="103"/>
      <c r="X726" s="103"/>
      <c r="Y726" s="103"/>
      <c r="Z726" s="103"/>
    </row>
    <row r="727" spans="1:26" ht="14.25" customHeight="1">
      <c r="A727" s="103"/>
      <c r="B727" s="103"/>
      <c r="C727" s="103"/>
      <c r="D727" s="103"/>
      <c r="E727" s="103"/>
      <c r="F727" s="103"/>
      <c r="G727" s="103"/>
      <c r="H727" s="103"/>
      <c r="I727" s="103"/>
      <c r="J727" s="103"/>
      <c r="K727" s="103"/>
      <c r="L727" s="103"/>
      <c r="M727" s="103"/>
      <c r="N727" s="103"/>
      <c r="O727" s="103"/>
      <c r="P727" s="103"/>
      <c r="Q727" s="103"/>
      <c r="R727" s="103"/>
      <c r="S727" s="103"/>
      <c r="T727" s="103"/>
      <c r="U727" s="103"/>
      <c r="V727" s="103"/>
      <c r="W727" s="103"/>
      <c r="X727" s="103"/>
      <c r="Y727" s="103"/>
      <c r="Z727" s="103"/>
    </row>
    <row r="728" spans="1:26" ht="14.25" customHeight="1">
      <c r="A728" s="103"/>
      <c r="B728" s="103"/>
      <c r="C728" s="103"/>
      <c r="D728" s="103"/>
      <c r="E728" s="103"/>
      <c r="F728" s="103"/>
      <c r="G728" s="103"/>
      <c r="H728" s="103"/>
      <c r="I728" s="103"/>
      <c r="J728" s="103"/>
      <c r="K728" s="103"/>
      <c r="L728" s="103"/>
      <c r="M728" s="103"/>
      <c r="N728" s="103"/>
      <c r="O728" s="103"/>
      <c r="P728" s="103"/>
      <c r="Q728" s="103"/>
      <c r="R728" s="103"/>
      <c r="S728" s="103"/>
      <c r="T728" s="103"/>
      <c r="U728" s="103"/>
      <c r="V728" s="103"/>
      <c r="W728" s="103"/>
      <c r="X728" s="103"/>
      <c r="Y728" s="103"/>
      <c r="Z728" s="103"/>
    </row>
    <row r="729" spans="1:26" ht="14.25" customHeight="1">
      <c r="A729" s="103"/>
      <c r="B729" s="103"/>
      <c r="C729" s="103"/>
      <c r="D729" s="103"/>
      <c r="E729" s="103"/>
      <c r="F729" s="103"/>
      <c r="G729" s="103"/>
      <c r="H729" s="103"/>
      <c r="I729" s="103"/>
      <c r="J729" s="103"/>
      <c r="K729" s="103"/>
      <c r="L729" s="103"/>
      <c r="M729" s="103"/>
      <c r="N729" s="103"/>
      <c r="O729" s="103"/>
      <c r="P729" s="103"/>
      <c r="Q729" s="103"/>
      <c r="R729" s="103"/>
      <c r="S729" s="103"/>
      <c r="T729" s="103"/>
      <c r="U729" s="103"/>
      <c r="V729" s="103"/>
      <c r="W729" s="103"/>
      <c r="X729" s="103"/>
      <c r="Y729" s="103"/>
      <c r="Z729" s="103"/>
    </row>
    <row r="730" spans="1:26" ht="14.25" customHeight="1">
      <c r="A730" s="103"/>
      <c r="B730" s="103"/>
      <c r="C730" s="103"/>
      <c r="D730" s="103"/>
      <c r="E730" s="103"/>
      <c r="F730" s="103"/>
      <c r="G730" s="103"/>
      <c r="H730" s="103"/>
      <c r="I730" s="103"/>
      <c r="J730" s="103"/>
      <c r="K730" s="103"/>
      <c r="L730" s="103"/>
      <c r="M730" s="103"/>
      <c r="N730" s="103"/>
      <c r="O730" s="103"/>
      <c r="P730" s="103"/>
      <c r="Q730" s="103"/>
      <c r="R730" s="103"/>
      <c r="S730" s="103"/>
      <c r="T730" s="103"/>
      <c r="U730" s="103"/>
      <c r="V730" s="103"/>
      <c r="W730" s="103"/>
      <c r="X730" s="103"/>
      <c r="Y730" s="103"/>
      <c r="Z730" s="103"/>
    </row>
    <row r="731" spans="1:26" ht="14.25" customHeight="1">
      <c r="A731" s="103"/>
      <c r="B731" s="103"/>
      <c r="C731" s="103"/>
      <c r="D731" s="103"/>
      <c r="E731" s="103"/>
      <c r="F731" s="103"/>
      <c r="G731" s="103"/>
      <c r="H731" s="103"/>
      <c r="I731" s="103"/>
      <c r="J731" s="103"/>
      <c r="K731" s="103"/>
      <c r="L731" s="103"/>
      <c r="M731" s="103"/>
      <c r="N731" s="103"/>
      <c r="O731" s="103"/>
      <c r="P731" s="103"/>
      <c r="Q731" s="103"/>
      <c r="R731" s="103"/>
      <c r="S731" s="103"/>
      <c r="T731" s="103"/>
      <c r="U731" s="103"/>
      <c r="V731" s="103"/>
      <c r="W731" s="103"/>
      <c r="X731" s="103"/>
      <c r="Y731" s="103"/>
      <c r="Z731" s="103"/>
    </row>
    <row r="732" spans="1:26" ht="14.25" customHeight="1">
      <c r="A732" s="103"/>
      <c r="B732" s="103"/>
      <c r="C732" s="103"/>
      <c r="D732" s="103"/>
      <c r="E732" s="103"/>
      <c r="F732" s="103"/>
      <c r="G732" s="103"/>
      <c r="H732" s="103"/>
      <c r="I732" s="103"/>
      <c r="J732" s="103"/>
      <c r="K732" s="103"/>
      <c r="L732" s="103"/>
      <c r="M732" s="103"/>
      <c r="N732" s="103"/>
      <c r="O732" s="103"/>
      <c r="P732" s="103"/>
      <c r="Q732" s="103"/>
      <c r="R732" s="103"/>
      <c r="S732" s="103"/>
      <c r="T732" s="103"/>
      <c r="U732" s="103"/>
      <c r="V732" s="103"/>
      <c r="W732" s="103"/>
      <c r="X732" s="103"/>
      <c r="Y732" s="103"/>
      <c r="Z732" s="103"/>
    </row>
    <row r="733" spans="1:26" ht="14.25" customHeight="1">
      <c r="A733" s="103"/>
      <c r="B733" s="103"/>
      <c r="C733" s="103"/>
      <c r="D733" s="103"/>
      <c r="E733" s="103"/>
      <c r="F733" s="103"/>
      <c r="G733" s="103"/>
      <c r="H733" s="103"/>
      <c r="I733" s="103"/>
      <c r="J733" s="103"/>
      <c r="K733" s="103"/>
      <c r="L733" s="103"/>
      <c r="M733" s="103"/>
      <c r="N733" s="103"/>
      <c r="O733" s="103"/>
      <c r="P733" s="103"/>
      <c r="Q733" s="103"/>
      <c r="R733" s="103"/>
      <c r="S733" s="103"/>
      <c r="T733" s="103"/>
      <c r="U733" s="103"/>
      <c r="V733" s="103"/>
      <c r="W733" s="103"/>
      <c r="X733" s="103"/>
      <c r="Y733" s="103"/>
      <c r="Z733" s="103"/>
    </row>
    <row r="734" spans="1:26" ht="14.25" customHeight="1">
      <c r="A734" s="103"/>
      <c r="B734" s="103"/>
      <c r="C734" s="103"/>
      <c r="D734" s="103"/>
      <c r="E734" s="103"/>
      <c r="F734" s="103"/>
      <c r="G734" s="103"/>
      <c r="H734" s="103"/>
      <c r="I734" s="103"/>
      <c r="J734" s="103"/>
      <c r="K734" s="103"/>
      <c r="L734" s="103"/>
      <c r="M734" s="103"/>
      <c r="N734" s="103"/>
      <c r="O734" s="103"/>
      <c r="P734" s="103"/>
      <c r="Q734" s="103"/>
      <c r="R734" s="103"/>
      <c r="S734" s="103"/>
      <c r="T734" s="103"/>
      <c r="U734" s="103"/>
      <c r="V734" s="103"/>
      <c r="W734" s="103"/>
      <c r="X734" s="103"/>
      <c r="Y734" s="103"/>
      <c r="Z734" s="103"/>
    </row>
    <row r="735" spans="1:26" ht="14.25" customHeight="1">
      <c r="A735" s="103"/>
      <c r="B735" s="103"/>
      <c r="C735" s="103"/>
      <c r="D735" s="103"/>
      <c r="E735" s="103"/>
      <c r="F735" s="103"/>
      <c r="G735" s="103"/>
      <c r="H735" s="103"/>
      <c r="I735" s="103"/>
      <c r="J735" s="103"/>
      <c r="K735" s="103"/>
      <c r="L735" s="103"/>
      <c r="M735" s="103"/>
      <c r="N735" s="103"/>
      <c r="O735" s="103"/>
      <c r="P735" s="103"/>
      <c r="Q735" s="103"/>
      <c r="R735" s="103"/>
      <c r="S735" s="103"/>
      <c r="T735" s="103"/>
      <c r="U735" s="103"/>
      <c r="V735" s="103"/>
      <c r="W735" s="103"/>
      <c r="X735" s="103"/>
      <c r="Y735" s="103"/>
      <c r="Z735" s="103"/>
    </row>
    <row r="736" spans="1:26" ht="14.25" customHeight="1">
      <c r="A736" s="103"/>
      <c r="B736" s="103"/>
      <c r="C736" s="103"/>
      <c r="D736" s="103"/>
      <c r="E736" s="103"/>
      <c r="F736" s="103"/>
      <c r="G736" s="103"/>
      <c r="H736" s="103"/>
      <c r="I736" s="103"/>
      <c r="J736" s="103"/>
      <c r="K736" s="103"/>
      <c r="L736" s="103"/>
      <c r="M736" s="103"/>
      <c r="N736" s="103"/>
      <c r="O736" s="103"/>
      <c r="P736" s="103"/>
      <c r="Q736" s="103"/>
      <c r="R736" s="103"/>
      <c r="S736" s="103"/>
      <c r="T736" s="103"/>
      <c r="U736" s="103"/>
      <c r="V736" s="103"/>
      <c r="W736" s="103"/>
      <c r="X736" s="103"/>
      <c r="Y736" s="103"/>
      <c r="Z736" s="103"/>
    </row>
    <row r="737" spans="1:26" ht="14.25" customHeight="1">
      <c r="A737" s="103"/>
      <c r="B737" s="103"/>
      <c r="C737" s="103"/>
      <c r="D737" s="103"/>
      <c r="E737" s="103"/>
      <c r="F737" s="103"/>
      <c r="G737" s="103"/>
      <c r="H737" s="103"/>
      <c r="I737" s="103"/>
      <c r="J737" s="103"/>
      <c r="K737" s="103"/>
      <c r="L737" s="103"/>
      <c r="M737" s="103"/>
      <c r="N737" s="103"/>
      <c r="O737" s="103"/>
      <c r="P737" s="103"/>
      <c r="Q737" s="103"/>
      <c r="R737" s="103"/>
      <c r="S737" s="103"/>
      <c r="T737" s="103"/>
      <c r="U737" s="103"/>
      <c r="V737" s="103"/>
      <c r="W737" s="103"/>
      <c r="X737" s="103"/>
      <c r="Y737" s="103"/>
      <c r="Z737" s="103"/>
    </row>
    <row r="738" spans="1:26" ht="14.25" customHeight="1">
      <c r="A738" s="103"/>
      <c r="B738" s="103"/>
      <c r="C738" s="103"/>
      <c r="D738" s="103"/>
      <c r="E738" s="103"/>
      <c r="F738" s="103"/>
      <c r="G738" s="103"/>
      <c r="H738" s="103"/>
      <c r="I738" s="103"/>
      <c r="J738" s="103"/>
      <c r="K738" s="103"/>
      <c r="L738" s="103"/>
      <c r="M738" s="103"/>
      <c r="N738" s="103"/>
      <c r="O738" s="103"/>
      <c r="P738" s="103"/>
      <c r="Q738" s="103"/>
      <c r="R738" s="103"/>
      <c r="S738" s="103"/>
      <c r="T738" s="103"/>
      <c r="U738" s="103"/>
      <c r="V738" s="103"/>
      <c r="W738" s="103"/>
      <c r="X738" s="103"/>
      <c r="Y738" s="103"/>
      <c r="Z738" s="103"/>
    </row>
    <row r="739" spans="1:26" ht="14.25" customHeight="1">
      <c r="A739" s="103"/>
      <c r="B739" s="103"/>
      <c r="C739" s="103"/>
      <c r="D739" s="103"/>
      <c r="E739" s="103"/>
      <c r="F739" s="103"/>
      <c r="G739" s="103"/>
      <c r="H739" s="103"/>
      <c r="I739" s="103"/>
      <c r="J739" s="103"/>
      <c r="K739" s="103"/>
      <c r="L739" s="103"/>
      <c r="M739" s="103"/>
      <c r="N739" s="103"/>
      <c r="O739" s="103"/>
      <c r="P739" s="103"/>
      <c r="Q739" s="103"/>
      <c r="R739" s="103"/>
      <c r="S739" s="103"/>
      <c r="T739" s="103"/>
      <c r="U739" s="103"/>
      <c r="V739" s="103"/>
      <c r="W739" s="103"/>
      <c r="X739" s="103"/>
      <c r="Y739" s="103"/>
      <c r="Z739" s="103"/>
    </row>
    <row r="740" spans="1:26" ht="14.25" customHeight="1">
      <c r="A740" s="103"/>
      <c r="B740" s="103"/>
      <c r="C740" s="103"/>
      <c r="D740" s="103"/>
      <c r="E740" s="103"/>
      <c r="F740" s="103"/>
      <c r="G740" s="103"/>
      <c r="H740" s="103"/>
      <c r="I740" s="103"/>
      <c r="J740" s="103"/>
      <c r="K740" s="103"/>
      <c r="L740" s="103"/>
      <c r="M740" s="103"/>
      <c r="N740" s="103"/>
      <c r="O740" s="103"/>
      <c r="P740" s="103"/>
      <c r="Q740" s="103"/>
      <c r="R740" s="103"/>
      <c r="S740" s="103"/>
      <c r="T740" s="103"/>
      <c r="U740" s="103"/>
      <c r="V740" s="103"/>
      <c r="W740" s="103"/>
      <c r="X740" s="103"/>
      <c r="Y740" s="103"/>
      <c r="Z740" s="103"/>
    </row>
    <row r="741" spans="1:26" ht="14.25" customHeight="1">
      <c r="A741" s="103"/>
      <c r="B741" s="103"/>
      <c r="C741" s="103"/>
      <c r="D741" s="103"/>
      <c r="E741" s="103"/>
      <c r="F741" s="103"/>
      <c r="G741" s="103"/>
      <c r="H741" s="103"/>
      <c r="I741" s="103"/>
      <c r="J741" s="103"/>
      <c r="K741" s="103"/>
      <c r="L741" s="103"/>
      <c r="M741" s="103"/>
      <c r="N741" s="103"/>
      <c r="O741" s="103"/>
      <c r="P741" s="103"/>
      <c r="Q741" s="103"/>
      <c r="R741" s="103"/>
      <c r="S741" s="103"/>
      <c r="T741" s="103"/>
      <c r="U741" s="103"/>
      <c r="V741" s="103"/>
      <c r="W741" s="103"/>
      <c r="X741" s="103"/>
      <c r="Y741" s="103"/>
      <c r="Z741" s="103"/>
    </row>
    <row r="742" spans="1:26" ht="14.25" customHeight="1">
      <c r="A742" s="103"/>
      <c r="B742" s="103"/>
      <c r="C742" s="103"/>
      <c r="D742" s="103"/>
      <c r="E742" s="103"/>
      <c r="F742" s="103"/>
      <c r="G742" s="103"/>
      <c r="H742" s="103"/>
      <c r="I742" s="103"/>
      <c r="J742" s="103"/>
      <c r="K742" s="103"/>
      <c r="L742" s="103"/>
      <c r="M742" s="103"/>
      <c r="N742" s="103"/>
      <c r="O742" s="103"/>
      <c r="P742" s="103"/>
      <c r="Q742" s="103"/>
      <c r="R742" s="103"/>
      <c r="S742" s="103"/>
      <c r="T742" s="103"/>
      <c r="U742" s="103"/>
      <c r="V742" s="103"/>
      <c r="W742" s="103"/>
      <c r="X742" s="103"/>
      <c r="Y742" s="103"/>
      <c r="Z742" s="103"/>
    </row>
    <row r="743" spans="1:26" ht="14.25" customHeight="1">
      <c r="A743" s="103"/>
      <c r="B743" s="103"/>
      <c r="C743" s="103"/>
      <c r="D743" s="103"/>
      <c r="E743" s="103"/>
      <c r="F743" s="103"/>
      <c r="G743" s="103"/>
      <c r="H743" s="103"/>
      <c r="I743" s="103"/>
      <c r="J743" s="103"/>
      <c r="K743" s="103"/>
      <c r="L743" s="103"/>
      <c r="M743" s="103"/>
      <c r="N743" s="103"/>
      <c r="O743" s="103"/>
      <c r="P743" s="103"/>
      <c r="Q743" s="103"/>
      <c r="R743" s="103"/>
      <c r="S743" s="103"/>
      <c r="T743" s="103"/>
      <c r="U743" s="103"/>
      <c r="V743" s="103"/>
      <c r="W743" s="103"/>
      <c r="X743" s="103"/>
      <c r="Y743" s="103"/>
      <c r="Z743" s="103"/>
    </row>
    <row r="744" spans="1:26" ht="14.25" customHeight="1">
      <c r="A744" s="103"/>
      <c r="B744" s="103"/>
      <c r="C744" s="103"/>
      <c r="D744" s="103"/>
      <c r="E744" s="103"/>
      <c r="F744" s="103"/>
      <c r="G744" s="103"/>
      <c r="H744" s="103"/>
      <c r="I744" s="103"/>
      <c r="J744" s="103"/>
      <c r="K744" s="103"/>
      <c r="L744" s="103"/>
      <c r="M744" s="103"/>
      <c r="N744" s="103"/>
      <c r="O744" s="103"/>
      <c r="P744" s="103"/>
      <c r="Q744" s="103"/>
      <c r="R744" s="103"/>
      <c r="S744" s="103"/>
      <c r="T744" s="103"/>
      <c r="U744" s="103"/>
      <c r="V744" s="103"/>
      <c r="W744" s="103"/>
      <c r="X744" s="103"/>
      <c r="Y744" s="103"/>
      <c r="Z744" s="103"/>
    </row>
    <row r="745" spans="1:26" ht="14.25" customHeight="1">
      <c r="A745" s="103"/>
      <c r="B745" s="103"/>
      <c r="C745" s="103"/>
      <c r="D745" s="103"/>
      <c r="E745" s="103"/>
      <c r="F745" s="103"/>
      <c r="G745" s="103"/>
      <c r="H745" s="103"/>
      <c r="I745" s="103"/>
      <c r="J745" s="103"/>
      <c r="K745" s="103"/>
      <c r="L745" s="103"/>
      <c r="M745" s="103"/>
      <c r="N745" s="103"/>
      <c r="O745" s="103"/>
      <c r="P745" s="103"/>
      <c r="Q745" s="103"/>
      <c r="R745" s="103"/>
      <c r="S745" s="103"/>
      <c r="T745" s="103"/>
      <c r="U745" s="103"/>
      <c r="V745" s="103"/>
      <c r="W745" s="103"/>
      <c r="X745" s="103"/>
      <c r="Y745" s="103"/>
      <c r="Z745" s="103"/>
    </row>
    <row r="746" spans="1:26" ht="14.25" customHeight="1">
      <c r="A746" s="103"/>
      <c r="B746" s="103"/>
      <c r="C746" s="103"/>
      <c r="D746" s="103"/>
      <c r="E746" s="103"/>
      <c r="F746" s="103"/>
      <c r="G746" s="103"/>
      <c r="H746" s="103"/>
      <c r="I746" s="103"/>
      <c r="J746" s="103"/>
      <c r="K746" s="103"/>
      <c r="L746" s="103"/>
      <c r="M746" s="103"/>
      <c r="N746" s="103"/>
      <c r="O746" s="103"/>
      <c r="P746" s="103"/>
      <c r="Q746" s="103"/>
      <c r="R746" s="103"/>
      <c r="S746" s="103"/>
      <c r="T746" s="103"/>
      <c r="U746" s="103"/>
      <c r="V746" s="103"/>
      <c r="W746" s="103"/>
      <c r="X746" s="103"/>
      <c r="Y746" s="103"/>
      <c r="Z746" s="103"/>
    </row>
    <row r="747" spans="1:26" ht="14.25" customHeight="1">
      <c r="A747" s="103"/>
      <c r="B747" s="103"/>
      <c r="C747" s="103"/>
      <c r="D747" s="103"/>
      <c r="E747" s="103"/>
      <c r="F747" s="103"/>
      <c r="G747" s="103"/>
      <c r="H747" s="103"/>
      <c r="I747" s="103"/>
      <c r="J747" s="103"/>
      <c r="K747" s="103"/>
      <c r="L747" s="103"/>
      <c r="M747" s="103"/>
      <c r="N747" s="103"/>
      <c r="O747" s="103"/>
      <c r="P747" s="103"/>
      <c r="Q747" s="103"/>
      <c r="R747" s="103"/>
      <c r="S747" s="103"/>
      <c r="T747" s="103"/>
      <c r="U747" s="103"/>
      <c r="V747" s="103"/>
      <c r="W747" s="103"/>
      <c r="X747" s="103"/>
      <c r="Y747" s="103"/>
      <c r="Z747" s="103"/>
    </row>
    <row r="748" spans="1:26" ht="14.25" customHeight="1">
      <c r="A748" s="103"/>
      <c r="B748" s="103"/>
      <c r="C748" s="103"/>
      <c r="D748" s="103"/>
      <c r="E748" s="103"/>
      <c r="F748" s="103"/>
      <c r="G748" s="103"/>
      <c r="H748" s="103"/>
      <c r="I748" s="103"/>
      <c r="J748" s="103"/>
      <c r="K748" s="103"/>
      <c r="L748" s="103"/>
      <c r="M748" s="103"/>
      <c r="N748" s="103"/>
      <c r="O748" s="103"/>
      <c r="P748" s="103"/>
      <c r="Q748" s="103"/>
      <c r="R748" s="103"/>
      <c r="S748" s="103"/>
      <c r="T748" s="103"/>
      <c r="U748" s="103"/>
      <c r="V748" s="103"/>
      <c r="W748" s="103"/>
      <c r="X748" s="103"/>
      <c r="Y748" s="103"/>
      <c r="Z748" s="103"/>
    </row>
    <row r="749" spans="1:26" ht="14.25" customHeight="1">
      <c r="A749" s="103"/>
      <c r="B749" s="103"/>
      <c r="C749" s="103"/>
      <c r="D749" s="103"/>
      <c r="E749" s="103"/>
      <c r="F749" s="103"/>
      <c r="G749" s="103"/>
      <c r="H749" s="103"/>
      <c r="I749" s="103"/>
      <c r="J749" s="103"/>
      <c r="K749" s="103"/>
      <c r="L749" s="103"/>
      <c r="M749" s="103"/>
      <c r="N749" s="103"/>
      <c r="O749" s="103"/>
      <c r="P749" s="103"/>
      <c r="Q749" s="103"/>
      <c r="R749" s="103"/>
      <c r="S749" s="103"/>
      <c r="T749" s="103"/>
      <c r="U749" s="103"/>
      <c r="V749" s="103"/>
      <c r="W749" s="103"/>
      <c r="X749" s="103"/>
      <c r="Y749" s="103"/>
      <c r="Z749" s="103"/>
    </row>
    <row r="750" spans="1:26" ht="14.25" customHeight="1">
      <c r="A750" s="103"/>
      <c r="B750" s="103"/>
      <c r="C750" s="103"/>
      <c r="D750" s="103"/>
      <c r="E750" s="103"/>
      <c r="F750" s="103"/>
      <c r="G750" s="103"/>
      <c r="H750" s="103"/>
      <c r="I750" s="103"/>
      <c r="J750" s="103"/>
      <c r="K750" s="103"/>
      <c r="L750" s="103"/>
      <c r="M750" s="103"/>
      <c r="N750" s="103"/>
      <c r="O750" s="103"/>
      <c r="P750" s="103"/>
      <c r="Q750" s="103"/>
      <c r="R750" s="103"/>
      <c r="S750" s="103"/>
      <c r="T750" s="103"/>
      <c r="U750" s="103"/>
      <c r="V750" s="103"/>
      <c r="W750" s="103"/>
      <c r="X750" s="103"/>
      <c r="Y750" s="103"/>
      <c r="Z750" s="103"/>
    </row>
    <row r="751" spans="1:26" ht="14.25" customHeight="1">
      <c r="A751" s="103"/>
      <c r="B751" s="103"/>
      <c r="C751" s="103"/>
      <c r="D751" s="103"/>
      <c r="E751" s="103"/>
      <c r="F751" s="103"/>
      <c r="G751" s="103"/>
      <c r="H751" s="103"/>
      <c r="I751" s="103"/>
      <c r="J751" s="103"/>
      <c r="K751" s="103"/>
      <c r="L751" s="103"/>
      <c r="M751" s="103"/>
      <c r="N751" s="103"/>
      <c r="O751" s="103"/>
      <c r="P751" s="103"/>
      <c r="Q751" s="103"/>
      <c r="R751" s="103"/>
      <c r="S751" s="103"/>
      <c r="T751" s="103"/>
      <c r="U751" s="103"/>
      <c r="V751" s="103"/>
      <c r="W751" s="103"/>
      <c r="X751" s="103"/>
      <c r="Y751" s="103"/>
      <c r="Z751" s="103"/>
    </row>
    <row r="752" spans="1:26" ht="14.25" customHeight="1">
      <c r="A752" s="103"/>
      <c r="B752" s="103"/>
      <c r="C752" s="103"/>
      <c r="D752" s="103"/>
      <c r="E752" s="103"/>
      <c r="F752" s="103"/>
      <c r="G752" s="103"/>
      <c r="H752" s="103"/>
      <c r="I752" s="103"/>
      <c r="J752" s="103"/>
      <c r="K752" s="103"/>
      <c r="L752" s="103"/>
      <c r="M752" s="103"/>
      <c r="N752" s="103"/>
      <c r="O752" s="103"/>
      <c r="P752" s="103"/>
      <c r="Q752" s="103"/>
      <c r="R752" s="103"/>
      <c r="S752" s="103"/>
      <c r="T752" s="103"/>
      <c r="U752" s="103"/>
      <c r="V752" s="103"/>
      <c r="W752" s="103"/>
      <c r="X752" s="103"/>
      <c r="Y752" s="103"/>
      <c r="Z752" s="103"/>
    </row>
    <row r="753" spans="1:26" ht="14.25" customHeight="1">
      <c r="A753" s="103"/>
      <c r="B753" s="103"/>
      <c r="C753" s="103"/>
      <c r="D753" s="103"/>
      <c r="E753" s="103"/>
      <c r="F753" s="103"/>
      <c r="G753" s="103"/>
      <c r="H753" s="103"/>
      <c r="I753" s="103"/>
      <c r="J753" s="103"/>
      <c r="K753" s="103"/>
      <c r="L753" s="103"/>
      <c r="M753" s="103"/>
      <c r="N753" s="103"/>
      <c r="O753" s="103"/>
      <c r="P753" s="103"/>
      <c r="Q753" s="103"/>
      <c r="R753" s="103"/>
      <c r="S753" s="103"/>
      <c r="T753" s="103"/>
      <c r="U753" s="103"/>
      <c r="V753" s="103"/>
      <c r="W753" s="103"/>
      <c r="X753" s="103"/>
      <c r="Y753" s="103"/>
      <c r="Z753" s="103"/>
    </row>
    <row r="754" spans="1:26" ht="14.25" customHeight="1">
      <c r="A754" s="103"/>
      <c r="B754" s="103"/>
      <c r="C754" s="103"/>
      <c r="D754" s="103"/>
      <c r="E754" s="103"/>
      <c r="F754" s="103"/>
      <c r="G754" s="103"/>
      <c r="H754" s="103"/>
      <c r="I754" s="103"/>
      <c r="J754" s="103"/>
      <c r="K754" s="103"/>
      <c r="L754" s="103"/>
      <c r="M754" s="103"/>
      <c r="N754" s="103"/>
      <c r="O754" s="103"/>
      <c r="P754" s="103"/>
      <c r="Q754" s="103"/>
      <c r="R754" s="103"/>
      <c r="S754" s="103"/>
      <c r="T754" s="103"/>
      <c r="U754" s="103"/>
      <c r="V754" s="103"/>
      <c r="W754" s="103"/>
      <c r="X754" s="103"/>
      <c r="Y754" s="103"/>
      <c r="Z754" s="103"/>
    </row>
    <row r="755" spans="1:26" ht="14.25" customHeight="1">
      <c r="A755" s="103"/>
      <c r="B755" s="103"/>
      <c r="C755" s="103"/>
      <c r="D755" s="103"/>
      <c r="E755" s="103"/>
      <c r="F755" s="103"/>
      <c r="G755" s="103"/>
      <c r="H755" s="103"/>
      <c r="I755" s="103"/>
      <c r="J755" s="103"/>
      <c r="K755" s="103"/>
      <c r="L755" s="103"/>
      <c r="M755" s="103"/>
      <c r="N755" s="103"/>
      <c r="O755" s="103"/>
      <c r="P755" s="103"/>
      <c r="Q755" s="103"/>
      <c r="R755" s="103"/>
      <c r="S755" s="103"/>
      <c r="T755" s="103"/>
      <c r="U755" s="103"/>
      <c r="V755" s="103"/>
      <c r="W755" s="103"/>
      <c r="X755" s="103"/>
      <c r="Y755" s="103"/>
      <c r="Z755" s="103"/>
    </row>
    <row r="756" spans="1:26" ht="14.25" customHeight="1">
      <c r="A756" s="103"/>
      <c r="B756" s="103"/>
      <c r="C756" s="103"/>
      <c r="D756" s="103"/>
      <c r="E756" s="103"/>
      <c r="F756" s="103"/>
      <c r="G756" s="103"/>
      <c r="H756" s="103"/>
      <c r="I756" s="103"/>
      <c r="J756" s="103"/>
      <c r="K756" s="103"/>
      <c r="L756" s="103"/>
      <c r="M756" s="103"/>
      <c r="N756" s="103"/>
      <c r="O756" s="103"/>
      <c r="P756" s="103"/>
      <c r="Q756" s="103"/>
      <c r="R756" s="103"/>
      <c r="S756" s="103"/>
      <c r="T756" s="103"/>
      <c r="U756" s="103"/>
      <c r="V756" s="103"/>
      <c r="W756" s="103"/>
      <c r="X756" s="103"/>
      <c r="Y756" s="103"/>
      <c r="Z756" s="103"/>
    </row>
    <row r="757" spans="1:26" ht="14.25" customHeight="1">
      <c r="A757" s="103"/>
      <c r="B757" s="103"/>
      <c r="C757" s="103"/>
      <c r="D757" s="103"/>
      <c r="E757" s="103"/>
      <c r="F757" s="103"/>
      <c r="G757" s="103"/>
      <c r="H757" s="103"/>
      <c r="I757" s="103"/>
      <c r="J757" s="103"/>
      <c r="K757" s="103"/>
      <c r="L757" s="103"/>
      <c r="M757" s="103"/>
      <c r="N757" s="103"/>
      <c r="O757" s="103"/>
      <c r="P757" s="103"/>
      <c r="Q757" s="103"/>
      <c r="R757" s="103"/>
      <c r="S757" s="103"/>
      <c r="T757" s="103"/>
      <c r="U757" s="103"/>
      <c r="V757" s="103"/>
      <c r="W757" s="103"/>
      <c r="X757" s="103"/>
      <c r="Y757" s="103"/>
      <c r="Z757" s="103"/>
    </row>
    <row r="758" spans="1:26" ht="14.25" customHeight="1">
      <c r="A758" s="103"/>
      <c r="B758" s="103"/>
      <c r="C758" s="103"/>
      <c r="D758" s="103"/>
      <c r="E758" s="103"/>
      <c r="F758" s="103"/>
      <c r="G758" s="103"/>
      <c r="H758" s="103"/>
      <c r="I758" s="103"/>
      <c r="J758" s="103"/>
      <c r="K758" s="103"/>
      <c r="L758" s="103"/>
      <c r="M758" s="103"/>
      <c r="N758" s="103"/>
      <c r="O758" s="103"/>
      <c r="P758" s="103"/>
      <c r="Q758" s="103"/>
      <c r="R758" s="103"/>
      <c r="S758" s="103"/>
      <c r="T758" s="103"/>
      <c r="U758" s="103"/>
      <c r="V758" s="103"/>
      <c r="W758" s="103"/>
      <c r="X758" s="103"/>
      <c r="Y758" s="103"/>
      <c r="Z758" s="103"/>
    </row>
    <row r="759" spans="1:26" ht="14.25" customHeight="1">
      <c r="A759" s="103"/>
      <c r="B759" s="103"/>
      <c r="C759" s="103"/>
      <c r="D759" s="103"/>
      <c r="E759" s="103"/>
      <c r="F759" s="103"/>
      <c r="G759" s="103"/>
      <c r="H759" s="103"/>
      <c r="I759" s="103"/>
      <c r="J759" s="103"/>
      <c r="K759" s="103"/>
      <c r="L759" s="103"/>
      <c r="M759" s="103"/>
      <c r="N759" s="103"/>
      <c r="O759" s="103"/>
      <c r="P759" s="103"/>
      <c r="Q759" s="103"/>
      <c r="R759" s="103"/>
      <c r="S759" s="103"/>
      <c r="T759" s="103"/>
      <c r="U759" s="103"/>
      <c r="V759" s="103"/>
      <c r="W759" s="103"/>
      <c r="X759" s="103"/>
      <c r="Y759" s="103"/>
      <c r="Z759" s="103"/>
    </row>
    <row r="760" spans="1:26" ht="14.25" customHeight="1">
      <c r="A760" s="103"/>
      <c r="B760" s="103"/>
      <c r="C760" s="103"/>
      <c r="D760" s="103"/>
      <c r="E760" s="103"/>
      <c r="F760" s="103"/>
      <c r="G760" s="103"/>
      <c r="H760" s="103"/>
      <c r="I760" s="103"/>
      <c r="J760" s="103"/>
      <c r="K760" s="103"/>
      <c r="L760" s="103"/>
      <c r="M760" s="103"/>
      <c r="N760" s="103"/>
      <c r="O760" s="103"/>
      <c r="P760" s="103"/>
      <c r="Q760" s="103"/>
      <c r="R760" s="103"/>
      <c r="S760" s="103"/>
      <c r="T760" s="103"/>
      <c r="U760" s="103"/>
      <c r="V760" s="103"/>
      <c r="W760" s="103"/>
      <c r="X760" s="103"/>
      <c r="Y760" s="103"/>
      <c r="Z760" s="103"/>
    </row>
    <row r="761" spans="1:26" ht="14.25" customHeight="1">
      <c r="A761" s="103"/>
      <c r="B761" s="103"/>
      <c r="C761" s="103"/>
      <c r="D761" s="103"/>
      <c r="E761" s="103"/>
      <c r="F761" s="103"/>
      <c r="G761" s="103"/>
      <c r="H761" s="103"/>
      <c r="I761" s="103"/>
      <c r="J761" s="103"/>
      <c r="K761" s="103"/>
      <c r="L761" s="103"/>
      <c r="M761" s="103"/>
      <c r="N761" s="103"/>
      <c r="O761" s="103"/>
      <c r="P761" s="103"/>
      <c r="Q761" s="103"/>
      <c r="R761" s="103"/>
      <c r="S761" s="103"/>
      <c r="T761" s="103"/>
      <c r="U761" s="103"/>
      <c r="V761" s="103"/>
      <c r="W761" s="103"/>
      <c r="X761" s="103"/>
      <c r="Y761" s="103"/>
      <c r="Z761" s="103"/>
    </row>
    <row r="762" spans="1:26" ht="14.25" customHeight="1">
      <c r="A762" s="103"/>
      <c r="B762" s="103"/>
      <c r="C762" s="103"/>
      <c r="D762" s="103"/>
      <c r="E762" s="103"/>
      <c r="F762" s="103"/>
      <c r="G762" s="103"/>
      <c r="H762" s="103"/>
      <c r="I762" s="103"/>
      <c r="J762" s="103"/>
      <c r="K762" s="103"/>
      <c r="L762" s="103"/>
      <c r="M762" s="103"/>
      <c r="N762" s="103"/>
      <c r="O762" s="103"/>
      <c r="P762" s="103"/>
      <c r="Q762" s="103"/>
      <c r="R762" s="103"/>
      <c r="S762" s="103"/>
      <c r="T762" s="103"/>
      <c r="U762" s="103"/>
      <c r="V762" s="103"/>
      <c r="W762" s="103"/>
      <c r="X762" s="103"/>
      <c r="Y762" s="103"/>
      <c r="Z762" s="103"/>
    </row>
    <row r="763" spans="1:26" ht="14.25" customHeight="1">
      <c r="A763" s="103"/>
      <c r="B763" s="103"/>
      <c r="C763" s="103"/>
      <c r="D763" s="103"/>
      <c r="E763" s="103"/>
      <c r="F763" s="103"/>
      <c r="G763" s="103"/>
      <c r="H763" s="103"/>
      <c r="I763" s="103"/>
      <c r="J763" s="103"/>
      <c r="K763" s="103"/>
      <c r="L763" s="103"/>
      <c r="M763" s="103"/>
      <c r="N763" s="103"/>
      <c r="O763" s="103"/>
      <c r="P763" s="103"/>
      <c r="Q763" s="103"/>
      <c r="R763" s="103"/>
      <c r="S763" s="103"/>
      <c r="T763" s="103"/>
      <c r="U763" s="103"/>
      <c r="V763" s="103"/>
      <c r="W763" s="103"/>
      <c r="X763" s="103"/>
      <c r="Y763" s="103"/>
      <c r="Z763" s="103"/>
    </row>
    <row r="764" spans="1:26" ht="14.25" customHeight="1">
      <c r="A764" s="103"/>
      <c r="B764" s="103"/>
      <c r="C764" s="103"/>
      <c r="D764" s="103"/>
      <c r="E764" s="103"/>
      <c r="F764" s="103"/>
      <c r="G764" s="103"/>
      <c r="H764" s="103"/>
      <c r="I764" s="103"/>
      <c r="J764" s="103"/>
      <c r="K764" s="103"/>
      <c r="L764" s="103"/>
      <c r="M764" s="103"/>
      <c r="N764" s="103"/>
      <c r="O764" s="103"/>
      <c r="P764" s="103"/>
      <c r="Q764" s="103"/>
      <c r="R764" s="103"/>
      <c r="S764" s="103"/>
      <c r="T764" s="103"/>
      <c r="U764" s="103"/>
      <c r="V764" s="103"/>
      <c r="W764" s="103"/>
      <c r="X764" s="103"/>
      <c r="Y764" s="103"/>
      <c r="Z764" s="103"/>
    </row>
    <row r="765" spans="1:26" ht="14.25" customHeight="1">
      <c r="A765" s="103"/>
      <c r="B765" s="103"/>
      <c r="C765" s="103"/>
      <c r="D765" s="103"/>
      <c r="E765" s="103"/>
      <c r="F765" s="103"/>
      <c r="G765" s="103"/>
      <c r="H765" s="103"/>
      <c r="I765" s="103"/>
      <c r="J765" s="103"/>
      <c r="K765" s="103"/>
      <c r="L765" s="103"/>
      <c r="M765" s="103"/>
      <c r="N765" s="103"/>
      <c r="O765" s="103"/>
      <c r="P765" s="103"/>
      <c r="Q765" s="103"/>
      <c r="R765" s="103"/>
      <c r="S765" s="103"/>
      <c r="T765" s="103"/>
      <c r="U765" s="103"/>
      <c r="V765" s="103"/>
      <c r="W765" s="103"/>
      <c r="X765" s="103"/>
      <c r="Y765" s="103"/>
      <c r="Z765" s="103"/>
    </row>
    <row r="766" spans="1:26" ht="14.25" customHeight="1">
      <c r="A766" s="103"/>
      <c r="B766" s="103"/>
      <c r="C766" s="103"/>
      <c r="D766" s="103"/>
      <c r="E766" s="103"/>
      <c r="F766" s="103"/>
      <c r="G766" s="103"/>
      <c r="H766" s="103"/>
      <c r="I766" s="103"/>
      <c r="J766" s="103"/>
      <c r="K766" s="103"/>
      <c r="L766" s="103"/>
      <c r="M766" s="103"/>
      <c r="N766" s="103"/>
      <c r="O766" s="103"/>
      <c r="P766" s="103"/>
      <c r="Q766" s="103"/>
      <c r="R766" s="103"/>
      <c r="S766" s="103"/>
      <c r="T766" s="103"/>
      <c r="U766" s="103"/>
      <c r="V766" s="103"/>
      <c r="W766" s="103"/>
      <c r="X766" s="103"/>
      <c r="Y766" s="103"/>
      <c r="Z766" s="103"/>
    </row>
    <row r="767" spans="1:26" ht="14.25" customHeight="1">
      <c r="A767" s="103"/>
      <c r="B767" s="103"/>
      <c r="C767" s="103"/>
      <c r="D767" s="103"/>
      <c r="E767" s="103"/>
      <c r="F767" s="103"/>
      <c r="G767" s="103"/>
      <c r="H767" s="103"/>
      <c r="I767" s="103"/>
      <c r="J767" s="103"/>
      <c r="K767" s="103"/>
      <c r="L767" s="103"/>
      <c r="M767" s="103"/>
      <c r="N767" s="103"/>
      <c r="O767" s="103"/>
      <c r="P767" s="103"/>
      <c r="Q767" s="103"/>
      <c r="R767" s="103"/>
      <c r="S767" s="103"/>
      <c r="T767" s="103"/>
      <c r="U767" s="103"/>
      <c r="V767" s="103"/>
      <c r="W767" s="103"/>
      <c r="X767" s="103"/>
      <c r="Y767" s="103"/>
      <c r="Z767" s="103"/>
    </row>
    <row r="768" spans="1:26" ht="14.25" customHeight="1">
      <c r="A768" s="103"/>
      <c r="B768" s="103"/>
      <c r="C768" s="103"/>
      <c r="D768" s="103"/>
      <c r="E768" s="103"/>
      <c r="F768" s="103"/>
      <c r="G768" s="103"/>
      <c r="H768" s="103"/>
      <c r="I768" s="103"/>
      <c r="J768" s="103"/>
      <c r="K768" s="103"/>
      <c r="L768" s="103"/>
      <c r="M768" s="103"/>
      <c r="N768" s="103"/>
      <c r="O768" s="103"/>
      <c r="P768" s="103"/>
      <c r="Q768" s="103"/>
      <c r="R768" s="103"/>
      <c r="S768" s="103"/>
      <c r="T768" s="103"/>
      <c r="U768" s="103"/>
      <c r="V768" s="103"/>
      <c r="W768" s="103"/>
      <c r="X768" s="103"/>
      <c r="Y768" s="103"/>
      <c r="Z768" s="103"/>
    </row>
    <row r="769" spans="1:26" ht="14.25" customHeight="1">
      <c r="A769" s="103"/>
      <c r="B769" s="103"/>
      <c r="C769" s="103"/>
      <c r="D769" s="103"/>
      <c r="E769" s="103"/>
      <c r="F769" s="103"/>
      <c r="G769" s="103"/>
      <c r="H769" s="103"/>
      <c r="I769" s="103"/>
      <c r="J769" s="103"/>
      <c r="K769" s="103"/>
      <c r="L769" s="103"/>
      <c r="M769" s="103"/>
      <c r="N769" s="103"/>
      <c r="O769" s="103"/>
      <c r="P769" s="103"/>
      <c r="Q769" s="103"/>
      <c r="R769" s="103"/>
      <c r="S769" s="103"/>
      <c r="T769" s="103"/>
      <c r="U769" s="103"/>
      <c r="V769" s="103"/>
      <c r="W769" s="103"/>
      <c r="X769" s="103"/>
      <c r="Y769" s="103"/>
      <c r="Z769" s="103"/>
    </row>
    <row r="770" spans="1:26" ht="14.25" customHeight="1">
      <c r="A770" s="103"/>
      <c r="B770" s="103"/>
      <c r="C770" s="103"/>
      <c r="D770" s="103"/>
      <c r="E770" s="103"/>
      <c r="F770" s="103"/>
      <c r="G770" s="103"/>
      <c r="H770" s="103"/>
      <c r="I770" s="103"/>
      <c r="J770" s="103"/>
      <c r="K770" s="103"/>
      <c r="L770" s="103"/>
      <c r="M770" s="103"/>
      <c r="N770" s="103"/>
      <c r="O770" s="103"/>
      <c r="P770" s="103"/>
      <c r="Q770" s="103"/>
      <c r="R770" s="103"/>
      <c r="S770" s="103"/>
      <c r="T770" s="103"/>
      <c r="U770" s="103"/>
      <c r="V770" s="103"/>
      <c r="W770" s="103"/>
      <c r="X770" s="103"/>
      <c r="Y770" s="103"/>
      <c r="Z770" s="103"/>
    </row>
    <row r="771" spans="1:26" ht="14.25" customHeight="1">
      <c r="A771" s="103"/>
      <c r="B771" s="103"/>
      <c r="C771" s="103"/>
      <c r="D771" s="103"/>
      <c r="E771" s="103"/>
      <c r="F771" s="103"/>
      <c r="G771" s="103"/>
      <c r="H771" s="103"/>
      <c r="I771" s="103"/>
      <c r="J771" s="103"/>
      <c r="K771" s="103"/>
      <c r="L771" s="103"/>
      <c r="M771" s="103"/>
      <c r="N771" s="103"/>
      <c r="O771" s="103"/>
      <c r="P771" s="103"/>
      <c r="Q771" s="103"/>
      <c r="R771" s="103"/>
      <c r="S771" s="103"/>
      <c r="T771" s="103"/>
      <c r="U771" s="103"/>
      <c r="V771" s="103"/>
      <c r="W771" s="103"/>
      <c r="X771" s="103"/>
      <c r="Y771" s="103"/>
      <c r="Z771" s="103"/>
    </row>
    <row r="772" spans="1:26" ht="14.25" customHeight="1">
      <c r="A772" s="103"/>
      <c r="B772" s="103"/>
      <c r="C772" s="103"/>
      <c r="D772" s="103"/>
      <c r="E772" s="103"/>
      <c r="F772" s="103"/>
      <c r="G772" s="103"/>
      <c r="H772" s="103"/>
      <c r="I772" s="103"/>
      <c r="J772" s="103"/>
      <c r="K772" s="103"/>
      <c r="L772" s="103"/>
      <c r="M772" s="103"/>
      <c r="N772" s="103"/>
      <c r="O772" s="103"/>
      <c r="P772" s="103"/>
      <c r="Q772" s="103"/>
      <c r="R772" s="103"/>
      <c r="S772" s="103"/>
      <c r="T772" s="103"/>
      <c r="U772" s="103"/>
      <c r="V772" s="103"/>
      <c r="W772" s="103"/>
      <c r="X772" s="103"/>
      <c r="Y772" s="103"/>
      <c r="Z772" s="103"/>
    </row>
    <row r="773" spans="1:26" ht="14.25" customHeight="1">
      <c r="A773" s="103"/>
      <c r="B773" s="103"/>
      <c r="C773" s="103"/>
      <c r="D773" s="103"/>
      <c r="E773" s="103"/>
      <c r="F773" s="103"/>
      <c r="G773" s="103"/>
      <c r="H773" s="103"/>
      <c r="I773" s="103"/>
      <c r="J773" s="103"/>
      <c r="K773" s="103"/>
      <c r="L773" s="103"/>
      <c r="M773" s="103"/>
      <c r="N773" s="103"/>
      <c r="O773" s="103"/>
      <c r="P773" s="103"/>
      <c r="Q773" s="103"/>
      <c r="R773" s="103"/>
      <c r="S773" s="103"/>
      <c r="T773" s="103"/>
      <c r="U773" s="103"/>
      <c r="V773" s="103"/>
      <c r="W773" s="103"/>
      <c r="X773" s="103"/>
      <c r="Y773" s="103"/>
      <c r="Z773" s="103"/>
    </row>
    <row r="774" spans="1:26" ht="14.25" customHeight="1">
      <c r="A774" s="103"/>
      <c r="B774" s="103"/>
      <c r="C774" s="103"/>
      <c r="D774" s="103"/>
      <c r="E774" s="103"/>
      <c r="F774" s="103"/>
      <c r="G774" s="103"/>
      <c r="H774" s="103"/>
      <c r="I774" s="103"/>
      <c r="J774" s="103"/>
      <c r="K774" s="103"/>
      <c r="L774" s="103"/>
      <c r="M774" s="103"/>
      <c r="N774" s="103"/>
      <c r="O774" s="103"/>
      <c r="P774" s="103"/>
      <c r="Q774" s="103"/>
      <c r="R774" s="103"/>
      <c r="S774" s="103"/>
      <c r="T774" s="103"/>
      <c r="U774" s="103"/>
      <c r="V774" s="103"/>
      <c r="W774" s="103"/>
      <c r="X774" s="103"/>
      <c r="Y774" s="103"/>
      <c r="Z774" s="103"/>
    </row>
    <row r="775" spans="1:26" ht="14.25" customHeight="1">
      <c r="A775" s="103"/>
      <c r="B775" s="103"/>
      <c r="C775" s="103"/>
      <c r="D775" s="103"/>
      <c r="E775" s="103"/>
      <c r="F775" s="103"/>
      <c r="G775" s="103"/>
      <c r="H775" s="103"/>
      <c r="I775" s="103"/>
      <c r="J775" s="103"/>
      <c r="K775" s="103"/>
      <c r="L775" s="103"/>
      <c r="M775" s="103"/>
      <c r="N775" s="103"/>
      <c r="O775" s="103"/>
      <c r="P775" s="103"/>
      <c r="Q775" s="103"/>
      <c r="R775" s="103"/>
      <c r="S775" s="103"/>
      <c r="T775" s="103"/>
      <c r="U775" s="103"/>
      <c r="V775" s="103"/>
      <c r="W775" s="103"/>
      <c r="X775" s="103"/>
      <c r="Y775" s="103"/>
      <c r="Z775" s="103"/>
    </row>
    <row r="776" spans="1:26" ht="14.25" customHeight="1">
      <c r="A776" s="103"/>
      <c r="B776" s="103"/>
      <c r="C776" s="103"/>
      <c r="D776" s="103"/>
      <c r="E776" s="103"/>
      <c r="F776" s="103"/>
      <c r="G776" s="103"/>
      <c r="H776" s="103"/>
      <c r="I776" s="103"/>
      <c r="J776" s="103"/>
      <c r="K776" s="103"/>
      <c r="L776" s="103"/>
      <c r="M776" s="103"/>
      <c r="N776" s="103"/>
      <c r="O776" s="103"/>
      <c r="P776" s="103"/>
      <c r="Q776" s="103"/>
      <c r="R776" s="103"/>
      <c r="S776" s="103"/>
      <c r="T776" s="103"/>
      <c r="U776" s="103"/>
      <c r="V776" s="103"/>
      <c r="W776" s="103"/>
      <c r="X776" s="103"/>
      <c r="Y776" s="103"/>
      <c r="Z776" s="103"/>
    </row>
    <row r="777" spans="1:26" ht="14.25" customHeight="1">
      <c r="A777" s="103"/>
      <c r="B777" s="103"/>
      <c r="C777" s="103"/>
      <c r="D777" s="103"/>
      <c r="E777" s="103"/>
      <c r="F777" s="103"/>
      <c r="G777" s="103"/>
      <c r="H777" s="103"/>
      <c r="I777" s="103"/>
      <c r="J777" s="103"/>
      <c r="K777" s="103"/>
      <c r="L777" s="103"/>
      <c r="M777" s="103"/>
      <c r="N777" s="103"/>
      <c r="O777" s="103"/>
      <c r="P777" s="103"/>
      <c r="Q777" s="103"/>
      <c r="R777" s="103"/>
      <c r="S777" s="103"/>
      <c r="T777" s="103"/>
      <c r="U777" s="103"/>
      <c r="V777" s="103"/>
      <c r="W777" s="103"/>
      <c r="X777" s="103"/>
      <c r="Y777" s="103"/>
      <c r="Z777" s="103"/>
    </row>
    <row r="778" spans="1:26" ht="14.25" customHeight="1">
      <c r="A778" s="103"/>
      <c r="B778" s="103"/>
      <c r="C778" s="103"/>
      <c r="D778" s="103"/>
      <c r="E778" s="103"/>
      <c r="F778" s="103"/>
      <c r="G778" s="103"/>
      <c r="H778" s="103"/>
      <c r="I778" s="103"/>
      <c r="J778" s="103"/>
      <c r="K778" s="103"/>
      <c r="L778" s="103"/>
      <c r="M778" s="103"/>
      <c r="N778" s="103"/>
      <c r="O778" s="103"/>
      <c r="P778" s="103"/>
      <c r="Q778" s="103"/>
      <c r="R778" s="103"/>
      <c r="S778" s="103"/>
      <c r="T778" s="103"/>
      <c r="U778" s="103"/>
      <c r="V778" s="103"/>
      <c r="W778" s="103"/>
      <c r="X778" s="103"/>
      <c r="Y778" s="103"/>
      <c r="Z778" s="103"/>
    </row>
    <row r="779" spans="1:26" ht="14.25" customHeight="1">
      <c r="A779" s="103"/>
      <c r="B779" s="103"/>
      <c r="C779" s="103"/>
      <c r="D779" s="103"/>
      <c r="E779" s="103"/>
      <c r="F779" s="103"/>
      <c r="G779" s="103"/>
      <c r="H779" s="103"/>
      <c r="I779" s="103"/>
      <c r="J779" s="103"/>
      <c r="K779" s="103"/>
      <c r="L779" s="103"/>
      <c r="M779" s="103"/>
      <c r="N779" s="103"/>
      <c r="O779" s="103"/>
      <c r="P779" s="103"/>
      <c r="Q779" s="103"/>
      <c r="R779" s="103"/>
      <c r="S779" s="103"/>
      <c r="T779" s="103"/>
      <c r="U779" s="103"/>
      <c r="V779" s="103"/>
      <c r="W779" s="103"/>
      <c r="X779" s="103"/>
      <c r="Y779" s="103"/>
      <c r="Z779" s="103"/>
    </row>
    <row r="780" spans="1:26" ht="14.25" customHeight="1">
      <c r="A780" s="103"/>
      <c r="B780" s="103"/>
      <c r="C780" s="103"/>
      <c r="D780" s="103"/>
      <c r="E780" s="103"/>
      <c r="F780" s="103"/>
      <c r="G780" s="103"/>
      <c r="H780" s="103"/>
      <c r="I780" s="103"/>
      <c r="J780" s="103"/>
      <c r="K780" s="103"/>
      <c r="L780" s="103"/>
      <c r="M780" s="103"/>
      <c r="N780" s="103"/>
      <c r="O780" s="103"/>
      <c r="P780" s="103"/>
      <c r="Q780" s="103"/>
      <c r="R780" s="103"/>
      <c r="S780" s="103"/>
      <c r="T780" s="103"/>
      <c r="U780" s="103"/>
      <c r="V780" s="103"/>
      <c r="W780" s="103"/>
      <c r="X780" s="103"/>
      <c r="Y780" s="103"/>
      <c r="Z780" s="103"/>
    </row>
    <row r="781" spans="1:26" ht="14.25" customHeight="1">
      <c r="A781" s="103"/>
      <c r="B781" s="103"/>
      <c r="C781" s="103"/>
      <c r="D781" s="103"/>
      <c r="E781" s="103"/>
      <c r="F781" s="103"/>
      <c r="G781" s="103"/>
      <c r="H781" s="103"/>
      <c r="I781" s="103"/>
      <c r="J781" s="103"/>
      <c r="K781" s="103"/>
      <c r="L781" s="103"/>
      <c r="M781" s="103"/>
      <c r="N781" s="103"/>
      <c r="O781" s="103"/>
      <c r="P781" s="103"/>
      <c r="Q781" s="103"/>
      <c r="R781" s="103"/>
      <c r="S781" s="103"/>
      <c r="T781" s="103"/>
      <c r="U781" s="103"/>
      <c r="V781" s="103"/>
      <c r="W781" s="103"/>
      <c r="X781" s="103"/>
      <c r="Y781" s="103"/>
      <c r="Z781" s="103"/>
    </row>
    <row r="782" spans="1:26" ht="14.25" customHeight="1">
      <c r="A782" s="103"/>
      <c r="B782" s="103"/>
      <c r="C782" s="103"/>
      <c r="D782" s="103"/>
      <c r="E782" s="103"/>
      <c r="F782" s="103"/>
      <c r="G782" s="103"/>
      <c r="H782" s="103"/>
      <c r="I782" s="103"/>
      <c r="J782" s="103"/>
      <c r="K782" s="103"/>
      <c r="L782" s="103"/>
      <c r="M782" s="103"/>
      <c r="N782" s="103"/>
      <c r="O782" s="103"/>
      <c r="P782" s="103"/>
      <c r="Q782" s="103"/>
      <c r="R782" s="103"/>
      <c r="S782" s="103"/>
      <c r="T782" s="103"/>
      <c r="U782" s="103"/>
      <c r="V782" s="103"/>
      <c r="W782" s="103"/>
      <c r="X782" s="103"/>
      <c r="Y782" s="103"/>
      <c r="Z782" s="103"/>
    </row>
    <row r="783" spans="1:26" ht="14.25" customHeight="1">
      <c r="A783" s="103"/>
      <c r="B783" s="103"/>
      <c r="C783" s="103"/>
      <c r="D783" s="103"/>
      <c r="E783" s="103"/>
      <c r="F783" s="103"/>
      <c r="G783" s="103"/>
      <c r="H783" s="103"/>
      <c r="I783" s="103"/>
      <c r="J783" s="103"/>
      <c r="K783" s="103"/>
      <c r="L783" s="103"/>
      <c r="M783" s="103"/>
      <c r="N783" s="103"/>
      <c r="O783" s="103"/>
      <c r="P783" s="103"/>
      <c r="Q783" s="103"/>
      <c r="R783" s="103"/>
      <c r="S783" s="103"/>
      <c r="T783" s="103"/>
      <c r="U783" s="103"/>
      <c r="V783" s="103"/>
      <c r="W783" s="103"/>
      <c r="X783" s="103"/>
      <c r="Y783" s="103"/>
      <c r="Z783" s="103"/>
    </row>
    <row r="784" spans="1:26" ht="14.25" customHeight="1">
      <c r="A784" s="103"/>
      <c r="B784" s="103"/>
      <c r="C784" s="103"/>
      <c r="D784" s="103"/>
      <c r="E784" s="103"/>
      <c r="F784" s="103"/>
      <c r="G784" s="103"/>
      <c r="H784" s="103"/>
      <c r="I784" s="103"/>
      <c r="J784" s="103"/>
      <c r="K784" s="103"/>
      <c r="L784" s="103"/>
      <c r="M784" s="103"/>
      <c r="N784" s="103"/>
      <c r="O784" s="103"/>
      <c r="P784" s="103"/>
      <c r="Q784" s="103"/>
      <c r="R784" s="103"/>
      <c r="S784" s="103"/>
      <c r="T784" s="103"/>
      <c r="U784" s="103"/>
      <c r="V784" s="103"/>
      <c r="W784" s="103"/>
      <c r="X784" s="103"/>
      <c r="Y784" s="103"/>
      <c r="Z784" s="103"/>
    </row>
    <row r="785" spans="1:26" ht="14.25" customHeight="1">
      <c r="A785" s="103"/>
      <c r="B785" s="103"/>
      <c r="C785" s="103"/>
      <c r="D785" s="103"/>
      <c r="E785" s="103"/>
      <c r="F785" s="103"/>
      <c r="G785" s="103"/>
      <c r="H785" s="103"/>
      <c r="I785" s="103"/>
      <c r="J785" s="103"/>
      <c r="K785" s="103"/>
      <c r="L785" s="103"/>
      <c r="M785" s="103"/>
      <c r="N785" s="103"/>
      <c r="O785" s="103"/>
      <c r="P785" s="103"/>
      <c r="Q785" s="103"/>
      <c r="R785" s="103"/>
      <c r="S785" s="103"/>
      <c r="T785" s="103"/>
      <c r="U785" s="103"/>
      <c r="V785" s="103"/>
      <c r="W785" s="103"/>
      <c r="X785" s="103"/>
      <c r="Y785" s="103"/>
      <c r="Z785" s="103"/>
    </row>
    <row r="786" spans="1:26" ht="14.25" customHeight="1">
      <c r="A786" s="103"/>
      <c r="B786" s="103"/>
      <c r="C786" s="103"/>
      <c r="D786" s="103"/>
      <c r="E786" s="103"/>
      <c r="F786" s="103"/>
      <c r="G786" s="103"/>
      <c r="H786" s="103"/>
      <c r="I786" s="103"/>
      <c r="J786" s="103"/>
      <c r="K786" s="103"/>
      <c r="L786" s="103"/>
      <c r="M786" s="103"/>
      <c r="N786" s="103"/>
      <c r="O786" s="103"/>
      <c r="P786" s="103"/>
      <c r="Q786" s="103"/>
      <c r="R786" s="103"/>
      <c r="S786" s="103"/>
      <c r="T786" s="103"/>
      <c r="U786" s="103"/>
      <c r="V786" s="103"/>
      <c r="W786" s="103"/>
      <c r="X786" s="103"/>
      <c r="Y786" s="103"/>
      <c r="Z786" s="103"/>
    </row>
    <row r="787" spans="1:26" ht="14.25" customHeight="1">
      <c r="A787" s="103"/>
      <c r="B787" s="103"/>
      <c r="C787" s="103"/>
      <c r="D787" s="103"/>
      <c r="E787" s="103"/>
      <c r="F787" s="103"/>
      <c r="G787" s="103"/>
      <c r="H787" s="103"/>
      <c r="I787" s="103"/>
      <c r="J787" s="103"/>
      <c r="K787" s="103"/>
      <c r="L787" s="103"/>
      <c r="M787" s="103"/>
      <c r="N787" s="103"/>
      <c r="O787" s="103"/>
      <c r="P787" s="103"/>
      <c r="Q787" s="103"/>
      <c r="R787" s="103"/>
      <c r="S787" s="103"/>
      <c r="T787" s="103"/>
      <c r="U787" s="103"/>
      <c r="V787" s="103"/>
      <c r="W787" s="103"/>
      <c r="X787" s="103"/>
      <c r="Y787" s="103"/>
      <c r="Z787" s="103"/>
    </row>
    <row r="788" spans="1:26" ht="14.25" customHeight="1">
      <c r="A788" s="103"/>
      <c r="B788" s="103"/>
      <c r="C788" s="103"/>
      <c r="D788" s="103"/>
      <c r="E788" s="103"/>
      <c r="F788" s="103"/>
      <c r="G788" s="103"/>
      <c r="H788" s="103"/>
      <c r="I788" s="103"/>
      <c r="J788" s="103"/>
      <c r="K788" s="103"/>
      <c r="L788" s="103"/>
      <c r="M788" s="103"/>
      <c r="N788" s="103"/>
      <c r="O788" s="103"/>
      <c r="P788" s="103"/>
      <c r="Q788" s="103"/>
      <c r="R788" s="103"/>
      <c r="S788" s="103"/>
      <c r="T788" s="103"/>
      <c r="U788" s="103"/>
      <c r="V788" s="103"/>
      <c r="W788" s="103"/>
      <c r="X788" s="103"/>
      <c r="Y788" s="103"/>
      <c r="Z788" s="103"/>
    </row>
    <row r="789" spans="1:26" ht="14.25" customHeight="1">
      <c r="A789" s="103"/>
      <c r="B789" s="103"/>
      <c r="C789" s="103"/>
      <c r="D789" s="103"/>
      <c r="E789" s="103"/>
      <c r="F789" s="103"/>
      <c r="G789" s="103"/>
      <c r="H789" s="103"/>
      <c r="I789" s="103"/>
      <c r="J789" s="103"/>
      <c r="K789" s="103"/>
      <c r="L789" s="103"/>
      <c r="M789" s="103"/>
      <c r="N789" s="103"/>
      <c r="O789" s="103"/>
      <c r="P789" s="103"/>
      <c r="Q789" s="103"/>
      <c r="R789" s="103"/>
      <c r="S789" s="103"/>
      <c r="T789" s="103"/>
      <c r="U789" s="103"/>
      <c r="V789" s="103"/>
      <c r="W789" s="103"/>
      <c r="X789" s="103"/>
      <c r="Y789" s="103"/>
      <c r="Z789" s="103"/>
    </row>
    <row r="790" spans="1:26" ht="14.25" customHeight="1">
      <c r="A790" s="103"/>
      <c r="B790" s="103"/>
      <c r="C790" s="103"/>
      <c r="D790" s="103"/>
      <c r="E790" s="103"/>
      <c r="F790" s="103"/>
      <c r="G790" s="103"/>
      <c r="H790" s="103"/>
      <c r="I790" s="103"/>
      <c r="J790" s="103"/>
      <c r="K790" s="103"/>
      <c r="L790" s="103"/>
      <c r="M790" s="103"/>
      <c r="N790" s="103"/>
      <c r="O790" s="103"/>
      <c r="P790" s="103"/>
      <c r="Q790" s="103"/>
      <c r="R790" s="103"/>
      <c r="S790" s="103"/>
      <c r="T790" s="103"/>
      <c r="U790" s="103"/>
      <c r="V790" s="103"/>
      <c r="W790" s="103"/>
      <c r="X790" s="103"/>
      <c r="Y790" s="103"/>
      <c r="Z790" s="103"/>
    </row>
    <row r="791" spans="1:26" ht="14.25" customHeight="1">
      <c r="A791" s="103"/>
      <c r="B791" s="103"/>
      <c r="C791" s="103"/>
      <c r="D791" s="103"/>
      <c r="E791" s="103"/>
      <c r="F791" s="103"/>
      <c r="G791" s="103"/>
      <c r="H791" s="103"/>
      <c r="I791" s="103"/>
      <c r="J791" s="103"/>
      <c r="K791" s="103"/>
      <c r="L791" s="103"/>
      <c r="M791" s="103"/>
      <c r="N791" s="103"/>
      <c r="O791" s="103"/>
      <c r="P791" s="103"/>
      <c r="Q791" s="103"/>
      <c r="R791" s="103"/>
      <c r="S791" s="103"/>
      <c r="T791" s="103"/>
      <c r="U791" s="103"/>
      <c r="V791" s="103"/>
      <c r="W791" s="103"/>
      <c r="X791" s="103"/>
      <c r="Y791" s="103"/>
      <c r="Z791" s="103"/>
    </row>
    <row r="792" spans="1:26" ht="14.25" customHeight="1">
      <c r="A792" s="103"/>
      <c r="B792" s="103"/>
      <c r="C792" s="103"/>
      <c r="D792" s="103"/>
      <c r="E792" s="103"/>
      <c r="F792" s="103"/>
      <c r="G792" s="103"/>
      <c r="H792" s="103"/>
      <c r="I792" s="103"/>
      <c r="J792" s="103"/>
      <c r="K792" s="103"/>
      <c r="L792" s="103"/>
      <c r="M792" s="103"/>
      <c r="N792" s="103"/>
      <c r="O792" s="103"/>
      <c r="P792" s="103"/>
      <c r="Q792" s="103"/>
      <c r="R792" s="103"/>
      <c r="S792" s="103"/>
      <c r="T792" s="103"/>
      <c r="U792" s="103"/>
      <c r="V792" s="103"/>
      <c r="W792" s="103"/>
      <c r="X792" s="103"/>
      <c r="Y792" s="103"/>
      <c r="Z792" s="103"/>
    </row>
    <row r="793" spans="1:26" ht="14.25" customHeight="1">
      <c r="A793" s="103"/>
      <c r="B793" s="103"/>
      <c r="C793" s="103"/>
      <c r="D793" s="103"/>
      <c r="E793" s="103"/>
      <c r="F793" s="103"/>
      <c r="G793" s="103"/>
      <c r="H793" s="103"/>
      <c r="I793" s="103"/>
      <c r="J793" s="103"/>
      <c r="K793" s="103"/>
      <c r="L793" s="103"/>
      <c r="M793" s="103"/>
      <c r="N793" s="103"/>
      <c r="O793" s="103"/>
      <c r="P793" s="103"/>
      <c r="Q793" s="103"/>
      <c r="R793" s="103"/>
      <c r="S793" s="103"/>
      <c r="T793" s="103"/>
      <c r="U793" s="103"/>
      <c r="V793" s="103"/>
      <c r="W793" s="103"/>
      <c r="X793" s="103"/>
      <c r="Y793" s="103"/>
      <c r="Z793" s="103"/>
    </row>
    <row r="794" spans="1:26" ht="14.25" customHeight="1">
      <c r="A794" s="103"/>
      <c r="B794" s="103"/>
      <c r="C794" s="103"/>
      <c r="D794" s="103"/>
      <c r="E794" s="103"/>
      <c r="F794" s="103"/>
      <c r="G794" s="103"/>
      <c r="H794" s="103"/>
      <c r="I794" s="103"/>
      <c r="J794" s="103"/>
      <c r="K794" s="103"/>
      <c r="L794" s="103"/>
      <c r="M794" s="103"/>
      <c r="N794" s="103"/>
      <c r="O794" s="103"/>
      <c r="P794" s="103"/>
      <c r="Q794" s="103"/>
      <c r="R794" s="103"/>
      <c r="S794" s="103"/>
      <c r="T794" s="103"/>
      <c r="U794" s="103"/>
      <c r="V794" s="103"/>
      <c r="W794" s="103"/>
      <c r="X794" s="103"/>
      <c r="Y794" s="103"/>
      <c r="Z794" s="103"/>
    </row>
    <row r="795" spans="1:26" ht="14.25" customHeight="1">
      <c r="A795" s="103"/>
      <c r="B795" s="103"/>
      <c r="C795" s="103"/>
      <c r="D795" s="103"/>
      <c r="E795" s="103"/>
      <c r="F795" s="103"/>
      <c r="G795" s="103"/>
      <c r="H795" s="103"/>
      <c r="I795" s="103"/>
      <c r="J795" s="103"/>
      <c r="K795" s="103"/>
      <c r="L795" s="103"/>
      <c r="M795" s="103"/>
      <c r="N795" s="103"/>
      <c r="O795" s="103"/>
      <c r="P795" s="103"/>
      <c r="Q795" s="103"/>
      <c r="R795" s="103"/>
      <c r="S795" s="103"/>
      <c r="T795" s="103"/>
      <c r="U795" s="103"/>
      <c r="V795" s="103"/>
      <c r="W795" s="103"/>
      <c r="X795" s="103"/>
      <c r="Y795" s="103"/>
      <c r="Z795" s="103"/>
    </row>
    <row r="796" spans="1:26" ht="14.25" customHeight="1">
      <c r="A796" s="103"/>
      <c r="B796" s="103"/>
      <c r="C796" s="103"/>
      <c r="D796" s="103"/>
      <c r="E796" s="103"/>
      <c r="F796" s="103"/>
      <c r="G796" s="103"/>
      <c r="H796" s="103"/>
      <c r="I796" s="103"/>
      <c r="J796" s="103"/>
      <c r="K796" s="103"/>
      <c r="L796" s="103"/>
      <c r="M796" s="103"/>
      <c r="N796" s="103"/>
      <c r="O796" s="103"/>
      <c r="P796" s="103"/>
      <c r="Q796" s="103"/>
      <c r="R796" s="103"/>
      <c r="S796" s="103"/>
      <c r="T796" s="103"/>
      <c r="U796" s="103"/>
      <c r="V796" s="103"/>
      <c r="W796" s="103"/>
      <c r="X796" s="103"/>
      <c r="Y796" s="103"/>
      <c r="Z796" s="103"/>
    </row>
    <row r="797" spans="1:26" ht="14.25" customHeight="1">
      <c r="A797" s="103"/>
      <c r="B797" s="103"/>
      <c r="C797" s="103"/>
      <c r="D797" s="103"/>
      <c r="E797" s="103"/>
      <c r="F797" s="103"/>
      <c r="G797" s="103"/>
      <c r="H797" s="103"/>
      <c r="I797" s="103"/>
      <c r="J797" s="103"/>
      <c r="K797" s="103"/>
      <c r="L797" s="103"/>
      <c r="M797" s="103"/>
      <c r="N797" s="103"/>
      <c r="O797" s="103"/>
      <c r="P797" s="103"/>
      <c r="Q797" s="103"/>
      <c r="R797" s="103"/>
      <c r="S797" s="103"/>
      <c r="T797" s="103"/>
      <c r="U797" s="103"/>
      <c r="V797" s="103"/>
      <c r="W797" s="103"/>
      <c r="X797" s="103"/>
      <c r="Y797" s="103"/>
      <c r="Z797" s="103"/>
    </row>
    <row r="798" spans="1:26" ht="14.25" customHeight="1">
      <c r="A798" s="103"/>
      <c r="B798" s="103"/>
      <c r="C798" s="103"/>
      <c r="D798" s="103"/>
      <c r="E798" s="103"/>
      <c r="F798" s="103"/>
      <c r="G798" s="103"/>
      <c r="H798" s="103"/>
      <c r="I798" s="103"/>
      <c r="J798" s="103"/>
      <c r="K798" s="103"/>
      <c r="L798" s="103"/>
      <c r="M798" s="103"/>
      <c r="N798" s="103"/>
      <c r="O798" s="103"/>
      <c r="P798" s="103"/>
      <c r="Q798" s="103"/>
      <c r="R798" s="103"/>
      <c r="S798" s="103"/>
      <c r="T798" s="103"/>
      <c r="U798" s="103"/>
      <c r="V798" s="103"/>
      <c r="W798" s="103"/>
      <c r="X798" s="103"/>
      <c r="Y798" s="103"/>
      <c r="Z798" s="103"/>
    </row>
    <row r="799" spans="1:26" ht="14.25" customHeight="1">
      <c r="A799" s="103"/>
      <c r="B799" s="103"/>
      <c r="C799" s="103"/>
      <c r="D799" s="103"/>
      <c r="E799" s="103"/>
      <c r="F799" s="103"/>
      <c r="G799" s="103"/>
      <c r="H799" s="103"/>
      <c r="I799" s="103"/>
      <c r="J799" s="103"/>
      <c r="K799" s="103"/>
      <c r="L799" s="103"/>
      <c r="M799" s="103"/>
      <c r="N799" s="103"/>
      <c r="O799" s="103"/>
      <c r="P799" s="103"/>
      <c r="Q799" s="103"/>
      <c r="R799" s="103"/>
      <c r="S799" s="103"/>
      <c r="T799" s="103"/>
      <c r="U799" s="103"/>
      <c r="V799" s="103"/>
      <c r="W799" s="103"/>
      <c r="X799" s="103"/>
      <c r="Y799" s="103"/>
      <c r="Z799" s="103"/>
    </row>
    <row r="800" spans="1:26" ht="14.25" customHeight="1">
      <c r="A800" s="103"/>
      <c r="B800" s="103"/>
      <c r="C800" s="103"/>
      <c r="D800" s="103"/>
      <c r="E800" s="103"/>
      <c r="F800" s="103"/>
      <c r="G800" s="103"/>
      <c r="H800" s="103"/>
      <c r="I800" s="103"/>
      <c r="J800" s="103"/>
      <c r="K800" s="103"/>
      <c r="L800" s="103"/>
      <c r="M800" s="103"/>
      <c r="N800" s="103"/>
      <c r="O800" s="103"/>
      <c r="P800" s="103"/>
      <c r="Q800" s="103"/>
      <c r="R800" s="103"/>
      <c r="S800" s="103"/>
      <c r="T800" s="103"/>
      <c r="U800" s="103"/>
      <c r="V800" s="103"/>
      <c r="W800" s="103"/>
      <c r="X800" s="103"/>
      <c r="Y800" s="103"/>
      <c r="Z800" s="103"/>
    </row>
    <row r="801" spans="1:26" ht="14.25" customHeight="1">
      <c r="A801" s="103"/>
      <c r="B801" s="103"/>
      <c r="C801" s="103"/>
      <c r="D801" s="103"/>
      <c r="E801" s="103"/>
      <c r="F801" s="103"/>
      <c r="G801" s="103"/>
      <c r="H801" s="103"/>
      <c r="I801" s="103"/>
      <c r="J801" s="103"/>
      <c r="K801" s="103"/>
      <c r="L801" s="103"/>
      <c r="M801" s="103"/>
      <c r="N801" s="103"/>
      <c r="O801" s="103"/>
      <c r="P801" s="103"/>
      <c r="Q801" s="103"/>
      <c r="R801" s="103"/>
      <c r="S801" s="103"/>
      <c r="T801" s="103"/>
      <c r="U801" s="103"/>
      <c r="V801" s="103"/>
      <c r="W801" s="103"/>
      <c r="X801" s="103"/>
      <c r="Y801" s="103"/>
      <c r="Z801" s="103"/>
    </row>
    <row r="802" spans="1:26" ht="14.25" customHeight="1">
      <c r="A802" s="103"/>
      <c r="B802" s="103"/>
      <c r="C802" s="103"/>
      <c r="D802" s="103"/>
      <c r="E802" s="103"/>
      <c r="F802" s="103"/>
      <c r="G802" s="103"/>
      <c r="H802" s="103"/>
      <c r="I802" s="103"/>
      <c r="J802" s="103"/>
      <c r="K802" s="103"/>
      <c r="L802" s="103"/>
      <c r="M802" s="103"/>
      <c r="N802" s="103"/>
      <c r="O802" s="103"/>
      <c r="P802" s="103"/>
      <c r="Q802" s="103"/>
      <c r="R802" s="103"/>
      <c r="S802" s="103"/>
      <c r="T802" s="103"/>
      <c r="U802" s="103"/>
      <c r="V802" s="103"/>
      <c r="W802" s="103"/>
      <c r="X802" s="103"/>
      <c r="Y802" s="103"/>
      <c r="Z802" s="103"/>
    </row>
    <row r="803" spans="1:26" ht="14.25" customHeight="1">
      <c r="A803" s="103"/>
      <c r="B803" s="103"/>
      <c r="C803" s="103"/>
      <c r="D803" s="103"/>
      <c r="E803" s="103"/>
      <c r="F803" s="103"/>
      <c r="G803" s="103"/>
      <c r="H803" s="103"/>
      <c r="I803" s="103"/>
      <c r="J803" s="103"/>
      <c r="K803" s="103"/>
      <c r="L803" s="103"/>
      <c r="M803" s="103"/>
      <c r="N803" s="103"/>
      <c r="O803" s="103"/>
      <c r="P803" s="103"/>
      <c r="Q803" s="103"/>
      <c r="R803" s="103"/>
      <c r="S803" s="103"/>
      <c r="T803" s="103"/>
      <c r="U803" s="103"/>
      <c r="V803" s="103"/>
      <c r="W803" s="103"/>
      <c r="X803" s="103"/>
      <c r="Y803" s="103"/>
      <c r="Z803" s="103"/>
    </row>
    <row r="804" spans="1:26" ht="14.25" customHeight="1">
      <c r="A804" s="103"/>
      <c r="B804" s="103"/>
      <c r="C804" s="103"/>
      <c r="D804" s="103"/>
      <c r="E804" s="103"/>
      <c r="F804" s="103"/>
      <c r="G804" s="103"/>
      <c r="H804" s="103"/>
      <c r="I804" s="103"/>
      <c r="J804" s="103"/>
      <c r="K804" s="103"/>
      <c r="L804" s="103"/>
      <c r="M804" s="103"/>
      <c r="N804" s="103"/>
      <c r="O804" s="103"/>
      <c r="P804" s="103"/>
      <c r="Q804" s="103"/>
      <c r="R804" s="103"/>
      <c r="S804" s="103"/>
      <c r="T804" s="103"/>
      <c r="U804" s="103"/>
      <c r="V804" s="103"/>
      <c r="W804" s="103"/>
      <c r="X804" s="103"/>
      <c r="Y804" s="103"/>
      <c r="Z804" s="103"/>
    </row>
    <row r="805" spans="1:26" ht="14.25" customHeight="1">
      <c r="A805" s="103"/>
      <c r="B805" s="103"/>
      <c r="C805" s="103"/>
      <c r="D805" s="103"/>
      <c r="E805" s="103"/>
      <c r="F805" s="103"/>
      <c r="G805" s="103"/>
      <c r="H805" s="103"/>
      <c r="I805" s="103"/>
      <c r="J805" s="103"/>
      <c r="K805" s="103"/>
      <c r="L805" s="103"/>
      <c r="M805" s="103"/>
      <c r="N805" s="103"/>
      <c r="O805" s="103"/>
      <c r="P805" s="103"/>
      <c r="Q805" s="103"/>
      <c r="R805" s="103"/>
      <c r="S805" s="103"/>
      <c r="T805" s="103"/>
      <c r="U805" s="103"/>
      <c r="V805" s="103"/>
      <c r="W805" s="103"/>
      <c r="X805" s="103"/>
      <c r="Y805" s="103"/>
      <c r="Z805" s="103"/>
    </row>
    <row r="806" spans="1:26" ht="14.25" customHeight="1">
      <c r="A806" s="103"/>
      <c r="B806" s="103"/>
      <c r="C806" s="103"/>
      <c r="D806" s="103"/>
      <c r="E806" s="103"/>
      <c r="F806" s="103"/>
      <c r="G806" s="103"/>
      <c r="H806" s="103"/>
      <c r="I806" s="103"/>
      <c r="J806" s="103"/>
      <c r="K806" s="103"/>
      <c r="L806" s="103"/>
      <c r="M806" s="103"/>
      <c r="N806" s="103"/>
      <c r="O806" s="103"/>
      <c r="P806" s="103"/>
      <c r="Q806" s="103"/>
      <c r="R806" s="103"/>
      <c r="S806" s="103"/>
      <c r="T806" s="103"/>
      <c r="U806" s="103"/>
      <c r="V806" s="103"/>
      <c r="W806" s="103"/>
      <c r="X806" s="103"/>
      <c r="Y806" s="103"/>
      <c r="Z806" s="103"/>
    </row>
    <row r="807" spans="1:26" ht="14.25" customHeight="1">
      <c r="A807" s="103"/>
      <c r="B807" s="103"/>
      <c r="C807" s="103"/>
      <c r="D807" s="103"/>
      <c r="E807" s="103"/>
      <c r="F807" s="103"/>
      <c r="G807" s="103"/>
      <c r="H807" s="103"/>
      <c r="I807" s="103"/>
      <c r="J807" s="103"/>
      <c r="K807" s="103"/>
      <c r="L807" s="103"/>
      <c r="M807" s="103"/>
      <c r="N807" s="103"/>
      <c r="O807" s="103"/>
      <c r="P807" s="103"/>
      <c r="Q807" s="103"/>
      <c r="R807" s="103"/>
      <c r="S807" s="103"/>
      <c r="T807" s="103"/>
      <c r="U807" s="103"/>
      <c r="V807" s="103"/>
      <c r="W807" s="103"/>
      <c r="X807" s="103"/>
      <c r="Y807" s="103"/>
      <c r="Z807" s="103"/>
    </row>
    <row r="808" spans="1:26" ht="14.25" customHeight="1">
      <c r="A808" s="103"/>
      <c r="B808" s="103"/>
      <c r="C808" s="103"/>
      <c r="D808" s="103"/>
      <c r="E808" s="103"/>
      <c r="F808" s="103"/>
      <c r="G808" s="103"/>
      <c r="H808" s="103"/>
      <c r="I808" s="103"/>
      <c r="J808" s="103"/>
      <c r="K808" s="103"/>
      <c r="L808" s="103"/>
      <c r="M808" s="103"/>
      <c r="N808" s="103"/>
      <c r="O808" s="103"/>
      <c r="P808" s="103"/>
      <c r="Q808" s="103"/>
      <c r="R808" s="103"/>
      <c r="S808" s="103"/>
      <c r="T808" s="103"/>
      <c r="U808" s="103"/>
      <c r="V808" s="103"/>
      <c r="W808" s="103"/>
      <c r="X808" s="103"/>
      <c r="Y808" s="103"/>
      <c r="Z808" s="103"/>
    </row>
    <row r="809" spans="1:26" ht="14.25" customHeight="1">
      <c r="A809" s="103"/>
      <c r="B809" s="103"/>
      <c r="C809" s="103"/>
      <c r="D809" s="103"/>
      <c r="E809" s="103"/>
      <c r="F809" s="103"/>
      <c r="G809" s="103"/>
      <c r="H809" s="103"/>
      <c r="I809" s="103"/>
      <c r="J809" s="103"/>
      <c r="K809" s="103"/>
      <c r="L809" s="103"/>
      <c r="M809" s="103"/>
      <c r="N809" s="103"/>
      <c r="O809" s="103"/>
      <c r="P809" s="103"/>
      <c r="Q809" s="103"/>
      <c r="R809" s="103"/>
      <c r="S809" s="103"/>
      <c r="T809" s="103"/>
      <c r="U809" s="103"/>
      <c r="V809" s="103"/>
      <c r="W809" s="103"/>
      <c r="X809" s="103"/>
      <c r="Y809" s="103"/>
      <c r="Z809" s="103"/>
    </row>
    <row r="810" spans="1:26" ht="14.25" customHeight="1">
      <c r="A810" s="103"/>
      <c r="B810" s="103"/>
      <c r="C810" s="103"/>
      <c r="D810" s="103"/>
      <c r="E810" s="103"/>
      <c r="F810" s="103"/>
      <c r="G810" s="103"/>
      <c r="H810" s="103"/>
      <c r="I810" s="103"/>
      <c r="J810" s="103"/>
      <c r="K810" s="103"/>
      <c r="L810" s="103"/>
      <c r="M810" s="103"/>
      <c r="N810" s="103"/>
      <c r="O810" s="103"/>
      <c r="P810" s="103"/>
      <c r="Q810" s="103"/>
      <c r="R810" s="103"/>
      <c r="S810" s="103"/>
      <c r="T810" s="103"/>
      <c r="U810" s="103"/>
      <c r="V810" s="103"/>
      <c r="W810" s="103"/>
      <c r="X810" s="103"/>
      <c r="Y810" s="103"/>
      <c r="Z810" s="103"/>
    </row>
    <row r="811" spans="1:26" ht="14.25" customHeight="1">
      <c r="A811" s="103"/>
      <c r="B811" s="103"/>
      <c r="C811" s="103"/>
      <c r="D811" s="103"/>
      <c r="E811" s="103"/>
      <c r="F811" s="103"/>
      <c r="G811" s="103"/>
      <c r="H811" s="103"/>
      <c r="I811" s="103"/>
      <c r="J811" s="103"/>
      <c r="K811" s="103"/>
      <c r="L811" s="103"/>
      <c r="M811" s="103"/>
      <c r="N811" s="103"/>
      <c r="O811" s="103"/>
      <c r="P811" s="103"/>
      <c r="Q811" s="103"/>
      <c r="R811" s="103"/>
      <c r="S811" s="103"/>
      <c r="T811" s="103"/>
      <c r="U811" s="103"/>
      <c r="V811" s="103"/>
      <c r="W811" s="103"/>
      <c r="X811" s="103"/>
      <c r="Y811" s="103"/>
      <c r="Z811" s="103"/>
    </row>
    <row r="812" spans="1:26" ht="14.25" customHeight="1">
      <c r="A812" s="103"/>
      <c r="B812" s="103"/>
      <c r="C812" s="103"/>
      <c r="D812" s="103"/>
      <c r="E812" s="103"/>
      <c r="F812" s="103"/>
      <c r="G812" s="103"/>
      <c r="H812" s="103"/>
      <c r="I812" s="103"/>
      <c r="J812" s="103"/>
      <c r="K812" s="103"/>
      <c r="L812" s="103"/>
      <c r="M812" s="103"/>
      <c r="N812" s="103"/>
      <c r="O812" s="103"/>
      <c r="P812" s="103"/>
      <c r="Q812" s="103"/>
      <c r="R812" s="103"/>
      <c r="S812" s="103"/>
      <c r="T812" s="103"/>
      <c r="U812" s="103"/>
      <c r="V812" s="103"/>
      <c r="W812" s="103"/>
      <c r="X812" s="103"/>
      <c r="Y812" s="103"/>
      <c r="Z812" s="103"/>
    </row>
    <row r="813" spans="1:26" ht="14.25" customHeight="1">
      <c r="A813" s="103"/>
      <c r="B813" s="103"/>
      <c r="C813" s="103"/>
      <c r="D813" s="103"/>
      <c r="E813" s="103"/>
      <c r="F813" s="103"/>
      <c r="G813" s="103"/>
      <c r="H813" s="103"/>
      <c r="I813" s="103"/>
      <c r="J813" s="103"/>
      <c r="K813" s="103"/>
      <c r="L813" s="103"/>
      <c r="M813" s="103"/>
      <c r="N813" s="103"/>
      <c r="O813" s="103"/>
      <c r="P813" s="103"/>
      <c r="Q813" s="103"/>
      <c r="R813" s="103"/>
      <c r="S813" s="103"/>
      <c r="T813" s="103"/>
      <c r="U813" s="103"/>
      <c r="V813" s="103"/>
      <c r="W813" s="103"/>
      <c r="X813" s="103"/>
      <c r="Y813" s="103"/>
      <c r="Z813" s="103"/>
    </row>
    <row r="814" spans="1:26" ht="14.25" customHeight="1">
      <c r="A814" s="103"/>
      <c r="B814" s="103"/>
      <c r="C814" s="103"/>
      <c r="D814" s="103"/>
      <c r="E814" s="103"/>
      <c r="F814" s="103"/>
      <c r="G814" s="103"/>
      <c r="H814" s="103"/>
      <c r="I814" s="103"/>
      <c r="J814" s="103"/>
      <c r="K814" s="103"/>
      <c r="L814" s="103"/>
      <c r="M814" s="103"/>
      <c r="N814" s="103"/>
      <c r="O814" s="103"/>
      <c r="P814" s="103"/>
      <c r="Q814" s="103"/>
      <c r="R814" s="103"/>
      <c r="S814" s="103"/>
      <c r="T814" s="103"/>
      <c r="U814" s="103"/>
      <c r="V814" s="103"/>
      <c r="W814" s="103"/>
      <c r="X814" s="103"/>
      <c r="Y814" s="103"/>
      <c r="Z814" s="103"/>
    </row>
    <row r="815" spans="1:26" ht="14.25" customHeight="1">
      <c r="A815" s="103"/>
      <c r="B815" s="103"/>
      <c r="C815" s="103"/>
      <c r="D815" s="103"/>
      <c r="E815" s="103"/>
      <c r="F815" s="103"/>
      <c r="G815" s="103"/>
      <c r="H815" s="103"/>
      <c r="I815" s="103"/>
      <c r="J815" s="103"/>
      <c r="K815" s="103"/>
      <c r="L815" s="103"/>
      <c r="M815" s="103"/>
      <c r="N815" s="103"/>
      <c r="O815" s="103"/>
      <c r="P815" s="103"/>
      <c r="Q815" s="103"/>
      <c r="R815" s="103"/>
      <c r="S815" s="103"/>
      <c r="T815" s="103"/>
      <c r="U815" s="103"/>
      <c r="V815" s="103"/>
      <c r="W815" s="103"/>
      <c r="X815" s="103"/>
      <c r="Y815" s="103"/>
      <c r="Z815" s="103"/>
    </row>
    <row r="816" spans="1:26" ht="14.25" customHeight="1">
      <c r="A816" s="103"/>
      <c r="B816" s="103"/>
      <c r="C816" s="103"/>
      <c r="D816" s="103"/>
      <c r="E816" s="103"/>
      <c r="F816" s="103"/>
      <c r="G816" s="103"/>
      <c r="H816" s="103"/>
      <c r="I816" s="103"/>
      <c r="J816" s="103"/>
      <c r="K816" s="103"/>
      <c r="L816" s="103"/>
      <c r="M816" s="103"/>
      <c r="N816" s="103"/>
      <c r="O816" s="103"/>
      <c r="P816" s="103"/>
      <c r="Q816" s="103"/>
      <c r="R816" s="103"/>
      <c r="S816" s="103"/>
      <c r="T816" s="103"/>
      <c r="U816" s="103"/>
      <c r="V816" s="103"/>
      <c r="W816" s="103"/>
      <c r="X816" s="103"/>
      <c r="Y816" s="103"/>
      <c r="Z816" s="103"/>
    </row>
    <row r="817" spans="1:26" ht="14.25" customHeight="1">
      <c r="A817" s="103"/>
      <c r="B817" s="103"/>
      <c r="C817" s="103"/>
      <c r="D817" s="103"/>
      <c r="E817" s="103"/>
      <c r="F817" s="103"/>
      <c r="G817" s="103"/>
      <c r="H817" s="103"/>
      <c r="I817" s="103"/>
      <c r="J817" s="103"/>
      <c r="K817" s="103"/>
      <c r="L817" s="103"/>
      <c r="M817" s="103"/>
      <c r="N817" s="103"/>
      <c r="O817" s="103"/>
      <c r="P817" s="103"/>
      <c r="Q817" s="103"/>
      <c r="R817" s="103"/>
      <c r="S817" s="103"/>
      <c r="T817" s="103"/>
      <c r="U817" s="103"/>
      <c r="V817" s="103"/>
      <c r="W817" s="103"/>
      <c r="X817" s="103"/>
      <c r="Y817" s="103"/>
      <c r="Z817" s="103"/>
    </row>
    <row r="818" spans="1:26" ht="14.25" customHeight="1">
      <c r="A818" s="103"/>
      <c r="B818" s="103"/>
      <c r="C818" s="103"/>
      <c r="D818" s="103"/>
      <c r="E818" s="103"/>
      <c r="F818" s="103"/>
      <c r="G818" s="103"/>
      <c r="H818" s="103"/>
      <c r="I818" s="103"/>
      <c r="J818" s="103"/>
      <c r="K818" s="103"/>
      <c r="L818" s="103"/>
      <c r="M818" s="103"/>
      <c r="N818" s="103"/>
      <c r="O818" s="103"/>
      <c r="P818" s="103"/>
      <c r="Q818" s="103"/>
      <c r="R818" s="103"/>
      <c r="S818" s="103"/>
      <c r="T818" s="103"/>
      <c r="U818" s="103"/>
      <c r="V818" s="103"/>
      <c r="W818" s="103"/>
      <c r="X818" s="103"/>
      <c r="Y818" s="103"/>
      <c r="Z818" s="103"/>
    </row>
    <row r="819" spans="1:26" ht="14.25" customHeight="1">
      <c r="A819" s="103"/>
      <c r="B819" s="103"/>
      <c r="C819" s="103"/>
      <c r="D819" s="103"/>
      <c r="E819" s="103"/>
      <c r="F819" s="103"/>
      <c r="G819" s="103"/>
      <c r="H819" s="103"/>
      <c r="I819" s="103"/>
      <c r="J819" s="103"/>
      <c r="K819" s="103"/>
      <c r="L819" s="103"/>
      <c r="M819" s="103"/>
      <c r="N819" s="103"/>
      <c r="O819" s="103"/>
      <c r="P819" s="103"/>
      <c r="Q819" s="103"/>
      <c r="R819" s="103"/>
      <c r="S819" s="103"/>
      <c r="T819" s="103"/>
      <c r="U819" s="103"/>
      <c r="V819" s="103"/>
      <c r="W819" s="103"/>
      <c r="X819" s="103"/>
      <c r="Y819" s="103"/>
      <c r="Z819" s="103"/>
    </row>
    <row r="820" spans="1:26" ht="14.25" customHeight="1">
      <c r="A820" s="103"/>
      <c r="B820" s="103"/>
      <c r="C820" s="103"/>
      <c r="D820" s="103"/>
      <c r="E820" s="103"/>
      <c r="F820" s="103"/>
      <c r="G820" s="103"/>
      <c r="H820" s="103"/>
      <c r="I820" s="103"/>
      <c r="J820" s="103"/>
      <c r="K820" s="103"/>
      <c r="L820" s="103"/>
      <c r="M820" s="103"/>
      <c r="N820" s="103"/>
      <c r="O820" s="103"/>
      <c r="P820" s="103"/>
      <c r="Q820" s="103"/>
      <c r="R820" s="103"/>
      <c r="S820" s="103"/>
      <c r="T820" s="103"/>
      <c r="U820" s="103"/>
      <c r="V820" s="103"/>
      <c r="W820" s="103"/>
      <c r="X820" s="103"/>
      <c r="Y820" s="103"/>
      <c r="Z820" s="103"/>
    </row>
    <row r="821" spans="1:26" ht="14.25" customHeight="1">
      <c r="A821" s="103"/>
      <c r="B821" s="103"/>
      <c r="C821" s="103"/>
      <c r="D821" s="103"/>
      <c r="E821" s="103"/>
      <c r="F821" s="103"/>
      <c r="G821" s="103"/>
      <c r="H821" s="103"/>
      <c r="I821" s="103"/>
      <c r="J821" s="103"/>
      <c r="K821" s="103"/>
      <c r="L821" s="103"/>
      <c r="M821" s="103"/>
      <c r="N821" s="103"/>
      <c r="O821" s="103"/>
      <c r="P821" s="103"/>
      <c r="Q821" s="103"/>
      <c r="R821" s="103"/>
      <c r="S821" s="103"/>
      <c r="T821" s="103"/>
      <c r="U821" s="103"/>
      <c r="V821" s="103"/>
      <c r="W821" s="103"/>
      <c r="X821" s="103"/>
      <c r="Y821" s="103"/>
      <c r="Z821" s="103"/>
    </row>
    <row r="822" spans="1:26" ht="14.25" customHeight="1">
      <c r="A822" s="103"/>
      <c r="B822" s="103"/>
      <c r="C822" s="103"/>
      <c r="D822" s="103"/>
      <c r="E822" s="103"/>
      <c r="F822" s="103"/>
      <c r="G822" s="103"/>
      <c r="H822" s="103"/>
      <c r="I822" s="103"/>
      <c r="J822" s="103"/>
      <c r="K822" s="103"/>
      <c r="L822" s="103"/>
      <c r="M822" s="103"/>
      <c r="N822" s="103"/>
      <c r="O822" s="103"/>
      <c r="P822" s="103"/>
      <c r="Q822" s="103"/>
      <c r="R822" s="103"/>
      <c r="S822" s="103"/>
      <c r="T822" s="103"/>
      <c r="U822" s="103"/>
      <c r="V822" s="103"/>
      <c r="W822" s="103"/>
      <c r="X822" s="103"/>
      <c r="Y822" s="103"/>
      <c r="Z822" s="103"/>
    </row>
    <row r="823" spans="1:26" ht="14.25" customHeight="1">
      <c r="A823" s="103"/>
      <c r="B823" s="103"/>
      <c r="C823" s="103"/>
      <c r="D823" s="103"/>
      <c r="E823" s="103"/>
      <c r="F823" s="103"/>
      <c r="G823" s="103"/>
      <c r="H823" s="103"/>
      <c r="I823" s="103"/>
      <c r="J823" s="103"/>
      <c r="K823" s="103"/>
      <c r="L823" s="103"/>
      <c r="M823" s="103"/>
      <c r="N823" s="103"/>
      <c r="O823" s="103"/>
      <c r="P823" s="103"/>
      <c r="Q823" s="103"/>
      <c r="R823" s="103"/>
      <c r="S823" s="103"/>
      <c r="T823" s="103"/>
      <c r="U823" s="103"/>
      <c r="V823" s="103"/>
      <c r="W823" s="103"/>
      <c r="X823" s="103"/>
      <c r="Y823" s="103"/>
      <c r="Z823" s="103"/>
    </row>
    <row r="824" spans="1:26" ht="14.25" customHeight="1">
      <c r="A824" s="103"/>
      <c r="B824" s="103"/>
      <c r="C824" s="103"/>
      <c r="D824" s="103"/>
      <c r="E824" s="103"/>
      <c r="F824" s="103"/>
      <c r="G824" s="103"/>
      <c r="H824" s="103"/>
      <c r="I824" s="103"/>
      <c r="J824" s="103"/>
      <c r="K824" s="103"/>
      <c r="L824" s="103"/>
      <c r="M824" s="103"/>
      <c r="N824" s="103"/>
      <c r="O824" s="103"/>
      <c r="P824" s="103"/>
      <c r="Q824" s="103"/>
      <c r="R824" s="103"/>
      <c r="S824" s="103"/>
      <c r="T824" s="103"/>
      <c r="U824" s="103"/>
      <c r="V824" s="103"/>
      <c r="W824" s="103"/>
      <c r="X824" s="103"/>
      <c r="Y824" s="103"/>
      <c r="Z824" s="103"/>
    </row>
    <row r="825" spans="1:26" ht="14.25" customHeight="1">
      <c r="A825" s="103"/>
      <c r="B825" s="103"/>
      <c r="C825" s="103"/>
      <c r="D825" s="103"/>
      <c r="E825" s="103"/>
      <c r="F825" s="103"/>
      <c r="G825" s="103"/>
      <c r="H825" s="103"/>
      <c r="I825" s="103"/>
      <c r="J825" s="103"/>
      <c r="K825" s="103"/>
      <c r="L825" s="103"/>
      <c r="M825" s="103"/>
      <c r="N825" s="103"/>
      <c r="O825" s="103"/>
      <c r="P825" s="103"/>
      <c r="Q825" s="103"/>
      <c r="R825" s="103"/>
      <c r="S825" s="103"/>
      <c r="T825" s="103"/>
      <c r="U825" s="103"/>
      <c r="V825" s="103"/>
      <c r="W825" s="103"/>
      <c r="X825" s="103"/>
      <c r="Y825" s="103"/>
      <c r="Z825" s="103"/>
    </row>
    <row r="826" spans="1:26" ht="14.25" customHeight="1">
      <c r="A826" s="103"/>
      <c r="B826" s="103"/>
      <c r="C826" s="103"/>
      <c r="D826" s="103"/>
      <c r="E826" s="103"/>
      <c r="F826" s="103"/>
      <c r="G826" s="103"/>
      <c r="H826" s="103"/>
      <c r="I826" s="103"/>
      <c r="J826" s="103"/>
      <c r="K826" s="103"/>
      <c r="L826" s="103"/>
      <c r="M826" s="103"/>
      <c r="N826" s="103"/>
      <c r="O826" s="103"/>
      <c r="P826" s="103"/>
      <c r="Q826" s="103"/>
      <c r="R826" s="103"/>
      <c r="S826" s="103"/>
      <c r="T826" s="103"/>
      <c r="U826" s="103"/>
      <c r="V826" s="103"/>
      <c r="W826" s="103"/>
      <c r="X826" s="103"/>
      <c r="Y826" s="103"/>
      <c r="Z826" s="103"/>
    </row>
    <row r="827" spans="1:26" ht="14.25" customHeight="1">
      <c r="A827" s="103"/>
      <c r="B827" s="103"/>
      <c r="C827" s="103"/>
      <c r="D827" s="103"/>
      <c r="E827" s="103"/>
      <c r="F827" s="103"/>
      <c r="G827" s="103"/>
      <c r="H827" s="103"/>
      <c r="I827" s="103"/>
      <c r="J827" s="103"/>
      <c r="K827" s="103"/>
      <c r="L827" s="103"/>
      <c r="M827" s="103"/>
      <c r="N827" s="103"/>
      <c r="O827" s="103"/>
      <c r="P827" s="103"/>
      <c r="Q827" s="103"/>
      <c r="R827" s="103"/>
      <c r="S827" s="103"/>
      <c r="T827" s="103"/>
      <c r="U827" s="103"/>
      <c r="V827" s="103"/>
      <c r="W827" s="103"/>
      <c r="X827" s="103"/>
      <c r="Y827" s="103"/>
      <c r="Z827" s="103"/>
    </row>
    <row r="828" spans="1:26" ht="14.25" customHeight="1">
      <c r="A828" s="103"/>
      <c r="B828" s="103"/>
      <c r="C828" s="103"/>
      <c r="D828" s="103"/>
      <c r="E828" s="103"/>
      <c r="F828" s="103"/>
      <c r="G828" s="103"/>
      <c r="H828" s="103"/>
      <c r="I828" s="103"/>
      <c r="J828" s="103"/>
      <c r="K828" s="103"/>
      <c r="L828" s="103"/>
      <c r="M828" s="103"/>
      <c r="N828" s="103"/>
      <c r="O828" s="103"/>
      <c r="P828" s="103"/>
      <c r="Q828" s="103"/>
      <c r="R828" s="103"/>
      <c r="S828" s="103"/>
      <c r="T828" s="103"/>
      <c r="U828" s="103"/>
      <c r="V828" s="103"/>
      <c r="W828" s="103"/>
      <c r="X828" s="103"/>
      <c r="Y828" s="103"/>
      <c r="Z828" s="103"/>
    </row>
    <row r="829" spans="1:26" ht="14.25" customHeight="1">
      <c r="A829" s="103"/>
      <c r="B829" s="103"/>
      <c r="C829" s="103"/>
      <c r="D829" s="103"/>
      <c r="E829" s="103"/>
      <c r="F829" s="103"/>
      <c r="G829" s="103"/>
      <c r="H829" s="103"/>
      <c r="I829" s="103"/>
      <c r="J829" s="103"/>
      <c r="K829" s="103"/>
      <c r="L829" s="103"/>
      <c r="M829" s="103"/>
      <c r="N829" s="103"/>
      <c r="O829" s="103"/>
      <c r="P829" s="103"/>
      <c r="Q829" s="103"/>
      <c r="R829" s="103"/>
      <c r="S829" s="103"/>
      <c r="T829" s="103"/>
      <c r="U829" s="103"/>
      <c r="V829" s="103"/>
      <c r="W829" s="103"/>
      <c r="X829" s="103"/>
      <c r="Y829" s="103"/>
      <c r="Z829" s="103"/>
    </row>
    <row r="830" spans="1:26" ht="14.25" customHeight="1">
      <c r="A830" s="103"/>
      <c r="B830" s="103"/>
      <c r="C830" s="103"/>
      <c r="D830" s="103"/>
      <c r="E830" s="103"/>
      <c r="F830" s="103"/>
      <c r="G830" s="103"/>
      <c r="H830" s="103"/>
      <c r="I830" s="103"/>
      <c r="J830" s="103"/>
      <c r="K830" s="103"/>
      <c r="L830" s="103"/>
      <c r="M830" s="103"/>
      <c r="N830" s="103"/>
      <c r="O830" s="103"/>
      <c r="P830" s="103"/>
      <c r="Q830" s="103"/>
      <c r="R830" s="103"/>
      <c r="S830" s="103"/>
      <c r="T830" s="103"/>
      <c r="U830" s="103"/>
      <c r="V830" s="103"/>
      <c r="W830" s="103"/>
      <c r="X830" s="103"/>
      <c r="Y830" s="103"/>
      <c r="Z830" s="103"/>
    </row>
    <row r="831" spans="1:26" ht="14.25" customHeight="1">
      <c r="A831" s="103"/>
      <c r="B831" s="103"/>
      <c r="C831" s="103"/>
      <c r="D831" s="103"/>
      <c r="E831" s="103"/>
      <c r="F831" s="103"/>
      <c r="G831" s="103"/>
      <c r="H831" s="103"/>
      <c r="I831" s="103"/>
      <c r="J831" s="103"/>
      <c r="K831" s="103"/>
      <c r="L831" s="103"/>
      <c r="M831" s="103"/>
      <c r="N831" s="103"/>
      <c r="O831" s="103"/>
      <c r="P831" s="103"/>
      <c r="Q831" s="103"/>
      <c r="R831" s="103"/>
      <c r="S831" s="103"/>
      <c r="T831" s="103"/>
      <c r="U831" s="103"/>
      <c r="V831" s="103"/>
      <c r="W831" s="103"/>
      <c r="X831" s="103"/>
      <c r="Y831" s="103"/>
      <c r="Z831" s="103"/>
    </row>
    <row r="832" spans="1:26" ht="14.25" customHeight="1">
      <c r="A832" s="103"/>
      <c r="B832" s="103"/>
      <c r="C832" s="103"/>
      <c r="D832" s="103"/>
      <c r="E832" s="103"/>
      <c r="F832" s="103"/>
      <c r="G832" s="103"/>
      <c r="H832" s="103"/>
      <c r="I832" s="103"/>
      <c r="J832" s="103"/>
      <c r="K832" s="103"/>
      <c r="L832" s="103"/>
      <c r="M832" s="103"/>
      <c r="N832" s="103"/>
      <c r="O832" s="103"/>
      <c r="P832" s="103"/>
      <c r="Q832" s="103"/>
      <c r="R832" s="103"/>
      <c r="S832" s="103"/>
      <c r="T832" s="103"/>
      <c r="U832" s="103"/>
      <c r="V832" s="103"/>
      <c r="W832" s="103"/>
      <c r="X832" s="103"/>
      <c r="Y832" s="103"/>
      <c r="Z832" s="103"/>
    </row>
    <row r="833" spans="1:26" ht="14.25" customHeight="1">
      <c r="A833" s="103"/>
      <c r="B833" s="103"/>
      <c r="C833" s="103"/>
      <c r="D833" s="103"/>
      <c r="E833" s="103"/>
      <c r="F833" s="103"/>
      <c r="G833" s="103"/>
      <c r="H833" s="103"/>
      <c r="I833" s="103"/>
      <c r="J833" s="103"/>
      <c r="K833" s="103"/>
      <c r="L833" s="103"/>
      <c r="M833" s="103"/>
      <c r="N833" s="103"/>
      <c r="O833" s="103"/>
      <c r="P833" s="103"/>
      <c r="Q833" s="103"/>
      <c r="R833" s="103"/>
      <c r="S833" s="103"/>
      <c r="T833" s="103"/>
      <c r="U833" s="103"/>
      <c r="V833" s="103"/>
      <c r="W833" s="103"/>
      <c r="X833" s="103"/>
      <c r="Y833" s="103"/>
      <c r="Z833" s="103"/>
    </row>
    <row r="834" spans="1:26" ht="14.25" customHeight="1">
      <c r="A834" s="103"/>
      <c r="B834" s="103"/>
      <c r="C834" s="103"/>
      <c r="D834" s="103"/>
      <c r="E834" s="103"/>
      <c r="F834" s="103"/>
      <c r="G834" s="103"/>
      <c r="H834" s="103"/>
      <c r="I834" s="103"/>
      <c r="J834" s="103"/>
      <c r="K834" s="103"/>
      <c r="L834" s="103"/>
      <c r="M834" s="103"/>
      <c r="N834" s="103"/>
      <c r="O834" s="103"/>
      <c r="P834" s="103"/>
      <c r="Q834" s="103"/>
      <c r="R834" s="103"/>
      <c r="S834" s="103"/>
      <c r="T834" s="103"/>
      <c r="U834" s="103"/>
      <c r="V834" s="103"/>
      <c r="W834" s="103"/>
      <c r="X834" s="103"/>
      <c r="Y834" s="103"/>
      <c r="Z834" s="103"/>
    </row>
    <row r="835" spans="1:26" ht="14.25" customHeight="1">
      <c r="A835" s="103"/>
      <c r="B835" s="103"/>
      <c r="C835" s="103"/>
      <c r="D835" s="103"/>
      <c r="E835" s="103"/>
      <c r="F835" s="103"/>
      <c r="G835" s="103"/>
      <c r="H835" s="103"/>
      <c r="I835" s="103"/>
      <c r="J835" s="103"/>
      <c r="K835" s="103"/>
      <c r="L835" s="103"/>
      <c r="M835" s="103"/>
      <c r="N835" s="103"/>
      <c r="O835" s="103"/>
      <c r="P835" s="103"/>
      <c r="Q835" s="103"/>
      <c r="R835" s="103"/>
      <c r="S835" s="103"/>
      <c r="T835" s="103"/>
      <c r="U835" s="103"/>
      <c r="V835" s="103"/>
      <c r="W835" s="103"/>
      <c r="X835" s="103"/>
      <c r="Y835" s="103"/>
      <c r="Z835" s="103"/>
    </row>
    <row r="836" spans="1:26" ht="14.25" customHeight="1">
      <c r="A836" s="103"/>
      <c r="B836" s="103"/>
      <c r="C836" s="103"/>
      <c r="D836" s="103"/>
      <c r="E836" s="103"/>
      <c r="F836" s="103"/>
      <c r="G836" s="103"/>
      <c r="H836" s="103"/>
      <c r="I836" s="103"/>
      <c r="J836" s="103"/>
      <c r="K836" s="103"/>
      <c r="L836" s="103"/>
      <c r="M836" s="103"/>
      <c r="N836" s="103"/>
      <c r="O836" s="103"/>
      <c r="P836" s="103"/>
      <c r="Q836" s="103"/>
      <c r="R836" s="103"/>
      <c r="S836" s="103"/>
      <c r="T836" s="103"/>
      <c r="U836" s="103"/>
      <c r="V836" s="103"/>
      <c r="W836" s="103"/>
      <c r="X836" s="103"/>
      <c r="Y836" s="103"/>
      <c r="Z836" s="103"/>
    </row>
    <row r="837" spans="1:26" ht="14.25" customHeight="1">
      <c r="A837" s="103"/>
      <c r="B837" s="103"/>
      <c r="C837" s="103"/>
      <c r="D837" s="103"/>
      <c r="E837" s="103"/>
      <c r="F837" s="103"/>
      <c r="G837" s="103"/>
      <c r="H837" s="103"/>
      <c r="I837" s="103"/>
      <c r="J837" s="103"/>
      <c r="K837" s="103"/>
      <c r="L837" s="103"/>
      <c r="M837" s="103"/>
      <c r="N837" s="103"/>
      <c r="O837" s="103"/>
      <c r="P837" s="103"/>
      <c r="Q837" s="103"/>
      <c r="R837" s="103"/>
      <c r="S837" s="103"/>
      <c r="T837" s="103"/>
      <c r="U837" s="103"/>
      <c r="V837" s="103"/>
      <c r="W837" s="103"/>
      <c r="X837" s="103"/>
      <c r="Y837" s="103"/>
      <c r="Z837" s="103"/>
    </row>
    <row r="838" spans="1:26" ht="14.25" customHeight="1">
      <c r="A838" s="103"/>
      <c r="B838" s="103"/>
      <c r="C838" s="103"/>
      <c r="D838" s="103"/>
      <c r="E838" s="103"/>
      <c r="F838" s="103"/>
      <c r="G838" s="103"/>
      <c r="H838" s="103"/>
      <c r="I838" s="103"/>
      <c r="J838" s="103"/>
      <c r="K838" s="103"/>
      <c r="L838" s="103"/>
      <c r="M838" s="103"/>
      <c r="N838" s="103"/>
      <c r="O838" s="103"/>
      <c r="P838" s="103"/>
      <c r="Q838" s="103"/>
      <c r="R838" s="103"/>
      <c r="S838" s="103"/>
      <c r="T838" s="103"/>
      <c r="U838" s="103"/>
      <c r="V838" s="103"/>
      <c r="W838" s="103"/>
      <c r="X838" s="103"/>
      <c r="Y838" s="103"/>
      <c r="Z838" s="103"/>
    </row>
    <row r="839" spans="1:26" ht="14.25" customHeight="1">
      <c r="A839" s="103"/>
      <c r="B839" s="103"/>
      <c r="C839" s="103"/>
      <c r="D839" s="103"/>
      <c r="E839" s="103"/>
      <c r="F839" s="103"/>
      <c r="G839" s="103"/>
      <c r="H839" s="103"/>
      <c r="I839" s="103"/>
      <c r="J839" s="103"/>
      <c r="K839" s="103"/>
      <c r="L839" s="103"/>
      <c r="M839" s="103"/>
      <c r="N839" s="103"/>
      <c r="O839" s="103"/>
      <c r="P839" s="103"/>
      <c r="Q839" s="103"/>
      <c r="R839" s="103"/>
      <c r="S839" s="103"/>
      <c r="T839" s="103"/>
      <c r="U839" s="103"/>
      <c r="V839" s="103"/>
      <c r="W839" s="103"/>
      <c r="X839" s="103"/>
      <c r="Y839" s="103"/>
      <c r="Z839" s="103"/>
    </row>
    <row r="840" spans="1:26" ht="14.25" customHeight="1">
      <c r="A840" s="103"/>
      <c r="B840" s="103"/>
      <c r="C840" s="103"/>
      <c r="D840" s="103"/>
      <c r="E840" s="103"/>
      <c r="F840" s="103"/>
      <c r="G840" s="103"/>
      <c r="H840" s="103"/>
      <c r="I840" s="103"/>
      <c r="J840" s="103"/>
      <c r="K840" s="103"/>
      <c r="L840" s="103"/>
      <c r="M840" s="103"/>
      <c r="N840" s="103"/>
      <c r="O840" s="103"/>
      <c r="P840" s="103"/>
      <c r="Q840" s="103"/>
      <c r="R840" s="103"/>
      <c r="S840" s="103"/>
      <c r="T840" s="103"/>
      <c r="U840" s="103"/>
      <c r="V840" s="103"/>
      <c r="W840" s="103"/>
      <c r="X840" s="103"/>
      <c r="Y840" s="103"/>
      <c r="Z840" s="103"/>
    </row>
    <row r="841" spans="1:26" ht="14.25" customHeight="1">
      <c r="A841" s="103"/>
      <c r="B841" s="103"/>
      <c r="C841" s="103"/>
      <c r="D841" s="103"/>
      <c r="E841" s="103"/>
      <c r="F841" s="103"/>
      <c r="G841" s="103"/>
      <c r="H841" s="103"/>
      <c r="I841" s="103"/>
      <c r="J841" s="103"/>
      <c r="K841" s="103"/>
      <c r="L841" s="103"/>
      <c r="M841" s="103"/>
      <c r="N841" s="103"/>
      <c r="O841" s="103"/>
      <c r="P841" s="103"/>
      <c r="Q841" s="103"/>
      <c r="R841" s="103"/>
      <c r="S841" s="103"/>
      <c r="T841" s="103"/>
      <c r="U841" s="103"/>
      <c r="V841" s="103"/>
      <c r="W841" s="103"/>
      <c r="X841" s="103"/>
      <c r="Y841" s="103"/>
      <c r="Z841" s="103"/>
    </row>
    <row r="842" spans="1:26" ht="14.25" customHeight="1">
      <c r="A842" s="103"/>
      <c r="B842" s="103"/>
      <c r="C842" s="103"/>
      <c r="D842" s="103"/>
      <c r="E842" s="103"/>
      <c r="F842" s="103"/>
      <c r="G842" s="103"/>
      <c r="H842" s="103"/>
      <c r="I842" s="103"/>
      <c r="J842" s="103"/>
      <c r="K842" s="103"/>
      <c r="L842" s="103"/>
      <c r="M842" s="103"/>
      <c r="N842" s="103"/>
      <c r="O842" s="103"/>
      <c r="P842" s="103"/>
      <c r="Q842" s="103"/>
      <c r="R842" s="103"/>
      <c r="S842" s="103"/>
      <c r="T842" s="103"/>
      <c r="U842" s="103"/>
      <c r="V842" s="103"/>
      <c r="W842" s="103"/>
      <c r="X842" s="103"/>
      <c r="Y842" s="103"/>
      <c r="Z842" s="103"/>
    </row>
    <row r="843" spans="1:26" ht="14.25" customHeight="1">
      <c r="A843" s="103"/>
      <c r="B843" s="103"/>
      <c r="C843" s="103"/>
      <c r="D843" s="103"/>
      <c r="E843" s="103"/>
      <c r="F843" s="103"/>
      <c r="G843" s="103"/>
      <c r="H843" s="103"/>
      <c r="I843" s="103"/>
      <c r="J843" s="103"/>
      <c r="K843" s="103"/>
      <c r="L843" s="103"/>
      <c r="M843" s="103"/>
      <c r="N843" s="103"/>
      <c r="O843" s="103"/>
      <c r="P843" s="103"/>
      <c r="Q843" s="103"/>
      <c r="R843" s="103"/>
      <c r="S843" s="103"/>
      <c r="T843" s="103"/>
      <c r="U843" s="103"/>
      <c r="V843" s="103"/>
      <c r="W843" s="103"/>
      <c r="X843" s="103"/>
      <c r="Y843" s="103"/>
      <c r="Z843" s="103"/>
    </row>
    <row r="844" spans="1:26" ht="14.25" customHeight="1">
      <c r="A844" s="103"/>
      <c r="B844" s="103"/>
      <c r="C844" s="103"/>
      <c r="D844" s="103"/>
      <c r="E844" s="103"/>
      <c r="F844" s="103"/>
      <c r="G844" s="103"/>
      <c r="H844" s="103"/>
      <c r="I844" s="103"/>
      <c r="J844" s="103"/>
      <c r="K844" s="103"/>
      <c r="L844" s="103"/>
      <c r="M844" s="103"/>
      <c r="N844" s="103"/>
      <c r="O844" s="103"/>
      <c r="P844" s="103"/>
      <c r="Q844" s="103"/>
      <c r="R844" s="103"/>
      <c r="S844" s="103"/>
      <c r="T844" s="103"/>
      <c r="U844" s="103"/>
      <c r="V844" s="103"/>
      <c r="W844" s="103"/>
      <c r="X844" s="103"/>
      <c r="Y844" s="103"/>
      <c r="Z844" s="103"/>
    </row>
    <row r="845" spans="1:26" ht="14.25" customHeight="1">
      <c r="A845" s="103"/>
      <c r="B845" s="103"/>
      <c r="C845" s="103"/>
      <c r="D845" s="103"/>
      <c r="E845" s="103"/>
      <c r="F845" s="103"/>
      <c r="G845" s="103"/>
      <c r="H845" s="103"/>
      <c r="I845" s="103"/>
      <c r="J845" s="103"/>
      <c r="K845" s="103"/>
      <c r="L845" s="103"/>
      <c r="M845" s="103"/>
      <c r="N845" s="103"/>
      <c r="O845" s="103"/>
      <c r="P845" s="103"/>
      <c r="Q845" s="103"/>
      <c r="R845" s="103"/>
      <c r="S845" s="103"/>
      <c r="T845" s="103"/>
      <c r="U845" s="103"/>
      <c r="V845" s="103"/>
      <c r="W845" s="103"/>
      <c r="X845" s="103"/>
      <c r="Y845" s="103"/>
      <c r="Z845" s="103"/>
    </row>
    <row r="846" spans="1:26" ht="14.25" customHeight="1">
      <c r="A846" s="103"/>
      <c r="B846" s="103"/>
      <c r="C846" s="103"/>
      <c r="D846" s="103"/>
      <c r="E846" s="103"/>
      <c r="F846" s="103"/>
      <c r="G846" s="103"/>
      <c r="H846" s="103"/>
      <c r="I846" s="103"/>
      <c r="J846" s="103"/>
      <c r="K846" s="103"/>
      <c r="L846" s="103"/>
      <c r="M846" s="103"/>
      <c r="N846" s="103"/>
      <c r="O846" s="103"/>
      <c r="P846" s="103"/>
      <c r="Q846" s="103"/>
      <c r="R846" s="103"/>
      <c r="S846" s="103"/>
      <c r="T846" s="103"/>
      <c r="U846" s="103"/>
      <c r="V846" s="103"/>
      <c r="W846" s="103"/>
      <c r="X846" s="103"/>
      <c r="Y846" s="103"/>
      <c r="Z846" s="103"/>
    </row>
    <row r="847" spans="1:26" ht="14.25" customHeight="1">
      <c r="A847" s="103"/>
      <c r="B847" s="103"/>
      <c r="C847" s="103"/>
      <c r="D847" s="103"/>
      <c r="E847" s="103"/>
      <c r="F847" s="103"/>
      <c r="G847" s="103"/>
      <c r="H847" s="103"/>
      <c r="I847" s="103"/>
      <c r="J847" s="103"/>
      <c r="K847" s="103"/>
      <c r="L847" s="103"/>
      <c r="M847" s="103"/>
      <c r="N847" s="103"/>
      <c r="O847" s="103"/>
      <c r="P847" s="103"/>
      <c r="Q847" s="103"/>
      <c r="R847" s="103"/>
      <c r="S847" s="103"/>
      <c r="T847" s="103"/>
      <c r="U847" s="103"/>
      <c r="V847" s="103"/>
      <c r="W847" s="103"/>
      <c r="X847" s="103"/>
      <c r="Y847" s="103"/>
      <c r="Z847" s="103"/>
    </row>
    <row r="848" spans="1:26" ht="14.25" customHeight="1">
      <c r="A848" s="103"/>
      <c r="B848" s="103"/>
      <c r="C848" s="103"/>
      <c r="D848" s="103"/>
      <c r="E848" s="103"/>
      <c r="F848" s="103"/>
      <c r="G848" s="103"/>
      <c r="H848" s="103"/>
      <c r="I848" s="103"/>
      <c r="J848" s="103"/>
      <c r="K848" s="103"/>
      <c r="L848" s="103"/>
      <c r="M848" s="103"/>
      <c r="N848" s="103"/>
      <c r="O848" s="103"/>
      <c r="P848" s="103"/>
      <c r="Q848" s="103"/>
      <c r="R848" s="103"/>
      <c r="S848" s="103"/>
      <c r="T848" s="103"/>
      <c r="U848" s="103"/>
      <c r="V848" s="103"/>
      <c r="W848" s="103"/>
      <c r="X848" s="103"/>
      <c r="Y848" s="103"/>
      <c r="Z848" s="103"/>
    </row>
    <row r="849" spans="1:26" ht="14.25" customHeight="1">
      <c r="A849" s="103"/>
      <c r="B849" s="103"/>
      <c r="C849" s="103"/>
      <c r="D849" s="103"/>
      <c r="E849" s="103"/>
      <c r="F849" s="103"/>
      <c r="G849" s="103"/>
      <c r="H849" s="103"/>
      <c r="I849" s="103"/>
      <c r="J849" s="103"/>
      <c r="K849" s="103"/>
      <c r="L849" s="103"/>
      <c r="M849" s="103"/>
      <c r="N849" s="103"/>
      <c r="O849" s="103"/>
      <c r="P849" s="103"/>
      <c r="Q849" s="103"/>
      <c r="R849" s="103"/>
      <c r="S849" s="103"/>
      <c r="T849" s="103"/>
      <c r="U849" s="103"/>
      <c r="V849" s="103"/>
      <c r="W849" s="103"/>
      <c r="X849" s="103"/>
      <c r="Y849" s="103"/>
      <c r="Z849" s="103"/>
    </row>
    <row r="850" spans="1:26" ht="14.25" customHeight="1">
      <c r="A850" s="103"/>
      <c r="B850" s="103"/>
      <c r="C850" s="103"/>
      <c r="D850" s="103"/>
      <c r="E850" s="103"/>
      <c r="F850" s="103"/>
      <c r="G850" s="103"/>
      <c r="H850" s="103"/>
      <c r="I850" s="103"/>
      <c r="J850" s="103"/>
      <c r="K850" s="103"/>
      <c r="L850" s="103"/>
      <c r="M850" s="103"/>
      <c r="N850" s="103"/>
      <c r="O850" s="103"/>
      <c r="P850" s="103"/>
      <c r="Q850" s="103"/>
      <c r="R850" s="103"/>
      <c r="S850" s="103"/>
      <c r="T850" s="103"/>
      <c r="U850" s="103"/>
      <c r="V850" s="103"/>
      <c r="W850" s="103"/>
      <c r="X850" s="103"/>
      <c r="Y850" s="103"/>
      <c r="Z850" s="103"/>
    </row>
    <row r="851" spans="1:26" ht="14.25" customHeight="1">
      <c r="A851" s="103"/>
      <c r="B851" s="103"/>
      <c r="C851" s="103"/>
      <c r="D851" s="103"/>
      <c r="E851" s="103"/>
      <c r="F851" s="103"/>
      <c r="G851" s="103"/>
      <c r="H851" s="103"/>
      <c r="I851" s="103"/>
      <c r="J851" s="103"/>
      <c r="K851" s="103"/>
      <c r="L851" s="103"/>
      <c r="M851" s="103"/>
      <c r="N851" s="103"/>
      <c r="O851" s="103"/>
      <c r="P851" s="103"/>
      <c r="Q851" s="103"/>
      <c r="R851" s="103"/>
      <c r="S851" s="103"/>
      <c r="T851" s="103"/>
      <c r="U851" s="103"/>
      <c r="V851" s="103"/>
      <c r="W851" s="103"/>
      <c r="X851" s="103"/>
      <c r="Y851" s="103"/>
      <c r="Z851" s="103"/>
    </row>
    <row r="852" spans="1:26" ht="14.25" customHeight="1">
      <c r="A852" s="103"/>
      <c r="B852" s="103"/>
      <c r="C852" s="103"/>
      <c r="D852" s="103"/>
      <c r="E852" s="103"/>
      <c r="F852" s="103"/>
      <c r="G852" s="103"/>
      <c r="H852" s="103"/>
      <c r="I852" s="103"/>
      <c r="J852" s="103"/>
      <c r="K852" s="103"/>
      <c r="L852" s="103"/>
      <c r="M852" s="103"/>
      <c r="N852" s="103"/>
      <c r="O852" s="103"/>
      <c r="P852" s="103"/>
      <c r="Q852" s="103"/>
      <c r="R852" s="103"/>
      <c r="S852" s="103"/>
      <c r="T852" s="103"/>
      <c r="U852" s="103"/>
      <c r="V852" s="103"/>
      <c r="W852" s="103"/>
      <c r="X852" s="103"/>
      <c r="Y852" s="103"/>
      <c r="Z852" s="103"/>
    </row>
    <row r="853" spans="1:26" ht="14.25" customHeight="1">
      <c r="A853" s="103"/>
      <c r="B853" s="103"/>
      <c r="C853" s="103"/>
      <c r="D853" s="103"/>
      <c r="E853" s="103"/>
      <c r="F853" s="103"/>
      <c r="G853" s="103"/>
      <c r="H853" s="103"/>
      <c r="I853" s="103"/>
      <c r="J853" s="103"/>
      <c r="K853" s="103"/>
      <c r="L853" s="103"/>
      <c r="M853" s="103"/>
      <c r="N853" s="103"/>
      <c r="O853" s="103"/>
      <c r="P853" s="103"/>
      <c r="Q853" s="103"/>
      <c r="R853" s="103"/>
      <c r="S853" s="103"/>
      <c r="T853" s="103"/>
      <c r="U853" s="103"/>
      <c r="V853" s="103"/>
      <c r="W853" s="103"/>
      <c r="X853" s="103"/>
      <c r="Y853" s="103"/>
      <c r="Z853" s="103"/>
    </row>
    <row r="854" spans="1:26" ht="14.25" customHeight="1">
      <c r="A854" s="103"/>
      <c r="B854" s="103"/>
      <c r="C854" s="103"/>
      <c r="D854" s="103"/>
      <c r="E854" s="103"/>
      <c r="F854" s="103"/>
      <c r="G854" s="103"/>
      <c r="H854" s="103"/>
      <c r="I854" s="103"/>
      <c r="J854" s="103"/>
      <c r="K854" s="103"/>
      <c r="L854" s="103"/>
      <c r="M854" s="103"/>
      <c r="N854" s="103"/>
      <c r="O854" s="103"/>
      <c r="P854" s="103"/>
      <c r="Q854" s="103"/>
      <c r="R854" s="103"/>
      <c r="S854" s="103"/>
      <c r="T854" s="103"/>
      <c r="U854" s="103"/>
      <c r="V854" s="103"/>
      <c r="W854" s="103"/>
      <c r="X854" s="103"/>
      <c r="Y854" s="103"/>
      <c r="Z854" s="103"/>
    </row>
    <row r="855" spans="1:26" ht="14.25" customHeight="1">
      <c r="A855" s="103"/>
      <c r="B855" s="103"/>
      <c r="C855" s="103"/>
      <c r="D855" s="103"/>
      <c r="E855" s="103"/>
      <c r="F855" s="103"/>
      <c r="G855" s="103"/>
      <c r="H855" s="103"/>
      <c r="I855" s="103"/>
      <c r="J855" s="103"/>
      <c r="K855" s="103"/>
      <c r="L855" s="103"/>
      <c r="M855" s="103"/>
      <c r="N855" s="103"/>
      <c r="O855" s="103"/>
      <c r="P855" s="103"/>
      <c r="Q855" s="103"/>
      <c r="R855" s="103"/>
      <c r="S855" s="103"/>
      <c r="T855" s="103"/>
      <c r="U855" s="103"/>
      <c r="V855" s="103"/>
      <c r="W855" s="103"/>
      <c r="X855" s="103"/>
      <c r="Y855" s="103"/>
      <c r="Z855" s="103"/>
    </row>
    <row r="856" spans="1:26" ht="14.25" customHeight="1">
      <c r="A856" s="103"/>
      <c r="B856" s="103"/>
      <c r="C856" s="103"/>
      <c r="D856" s="103"/>
      <c r="E856" s="103"/>
      <c r="F856" s="103"/>
      <c r="G856" s="103"/>
      <c r="H856" s="103"/>
      <c r="I856" s="103"/>
      <c r="J856" s="103"/>
      <c r="K856" s="103"/>
      <c r="L856" s="103"/>
      <c r="M856" s="103"/>
      <c r="N856" s="103"/>
      <c r="O856" s="103"/>
      <c r="P856" s="103"/>
      <c r="Q856" s="103"/>
      <c r="R856" s="103"/>
      <c r="S856" s="103"/>
      <c r="T856" s="103"/>
      <c r="U856" s="103"/>
      <c r="V856" s="103"/>
      <c r="W856" s="103"/>
      <c r="X856" s="103"/>
      <c r="Y856" s="103"/>
      <c r="Z856" s="103"/>
    </row>
    <row r="857" spans="1:26" ht="14.25" customHeight="1">
      <c r="A857" s="103"/>
      <c r="B857" s="103"/>
      <c r="C857" s="103"/>
      <c r="D857" s="103"/>
      <c r="E857" s="103"/>
      <c r="F857" s="103"/>
      <c r="G857" s="103"/>
      <c r="H857" s="103"/>
      <c r="I857" s="103"/>
      <c r="J857" s="103"/>
      <c r="K857" s="103"/>
      <c r="L857" s="103"/>
      <c r="M857" s="103"/>
      <c r="N857" s="103"/>
      <c r="O857" s="103"/>
      <c r="P857" s="103"/>
      <c r="Q857" s="103"/>
      <c r="R857" s="103"/>
      <c r="S857" s="103"/>
      <c r="T857" s="103"/>
      <c r="U857" s="103"/>
      <c r="V857" s="103"/>
      <c r="W857" s="103"/>
      <c r="X857" s="103"/>
      <c r="Y857" s="103"/>
      <c r="Z857" s="103"/>
    </row>
    <row r="858" spans="1:26" ht="14.25" customHeight="1">
      <c r="A858" s="103"/>
      <c r="B858" s="103"/>
      <c r="C858" s="103"/>
      <c r="D858" s="103"/>
      <c r="E858" s="103"/>
      <c r="F858" s="103"/>
      <c r="G858" s="103"/>
      <c r="H858" s="103"/>
      <c r="I858" s="103"/>
      <c r="J858" s="103"/>
      <c r="K858" s="103"/>
      <c r="L858" s="103"/>
      <c r="M858" s="103"/>
      <c r="N858" s="103"/>
      <c r="O858" s="103"/>
      <c r="P858" s="103"/>
      <c r="Q858" s="103"/>
      <c r="R858" s="103"/>
      <c r="S858" s="103"/>
      <c r="T858" s="103"/>
      <c r="U858" s="103"/>
      <c r="V858" s="103"/>
      <c r="W858" s="103"/>
      <c r="X858" s="103"/>
      <c r="Y858" s="103"/>
      <c r="Z858" s="103"/>
    </row>
    <row r="859" spans="1:26" ht="14.25" customHeight="1">
      <c r="A859" s="103"/>
      <c r="B859" s="103"/>
      <c r="C859" s="103"/>
      <c r="D859" s="103"/>
      <c r="E859" s="103"/>
      <c r="F859" s="103"/>
      <c r="G859" s="103"/>
      <c r="H859" s="103"/>
      <c r="I859" s="103"/>
      <c r="J859" s="103"/>
      <c r="K859" s="103"/>
      <c r="L859" s="103"/>
      <c r="M859" s="103"/>
      <c r="N859" s="103"/>
      <c r="O859" s="103"/>
      <c r="P859" s="103"/>
      <c r="Q859" s="103"/>
      <c r="R859" s="103"/>
      <c r="S859" s="103"/>
      <c r="T859" s="103"/>
      <c r="U859" s="103"/>
      <c r="V859" s="103"/>
      <c r="W859" s="103"/>
      <c r="X859" s="103"/>
      <c r="Y859" s="103"/>
      <c r="Z859" s="103"/>
    </row>
    <row r="860" spans="1:26" ht="14.25" customHeight="1">
      <c r="A860" s="103"/>
      <c r="B860" s="103"/>
      <c r="C860" s="103"/>
      <c r="D860" s="103"/>
      <c r="E860" s="103"/>
      <c r="F860" s="103"/>
      <c r="G860" s="103"/>
      <c r="H860" s="103"/>
      <c r="I860" s="103"/>
      <c r="J860" s="103"/>
      <c r="K860" s="103"/>
      <c r="L860" s="103"/>
      <c r="M860" s="103"/>
      <c r="N860" s="103"/>
      <c r="O860" s="103"/>
      <c r="P860" s="103"/>
      <c r="Q860" s="103"/>
      <c r="R860" s="103"/>
      <c r="S860" s="103"/>
      <c r="T860" s="103"/>
      <c r="U860" s="103"/>
      <c r="V860" s="103"/>
      <c r="W860" s="103"/>
      <c r="X860" s="103"/>
      <c r="Y860" s="103"/>
      <c r="Z860" s="103"/>
    </row>
    <row r="861" spans="1:26" ht="14.25" customHeight="1">
      <c r="A861" s="103"/>
      <c r="B861" s="103"/>
      <c r="C861" s="103"/>
      <c r="D861" s="103"/>
      <c r="E861" s="103"/>
      <c r="F861" s="103"/>
      <c r="G861" s="103"/>
      <c r="H861" s="103"/>
      <c r="I861" s="103"/>
      <c r="J861" s="103"/>
      <c r="K861" s="103"/>
      <c r="L861" s="103"/>
      <c r="M861" s="103"/>
      <c r="N861" s="103"/>
      <c r="O861" s="103"/>
      <c r="P861" s="103"/>
      <c r="Q861" s="103"/>
      <c r="R861" s="103"/>
      <c r="S861" s="103"/>
      <c r="T861" s="103"/>
      <c r="U861" s="103"/>
      <c r="V861" s="103"/>
      <c r="W861" s="103"/>
      <c r="X861" s="103"/>
      <c r="Y861" s="103"/>
      <c r="Z861" s="103"/>
    </row>
    <row r="862" spans="1:26" ht="14.25" customHeight="1">
      <c r="A862" s="103"/>
      <c r="B862" s="103"/>
      <c r="C862" s="103"/>
      <c r="D862" s="103"/>
      <c r="E862" s="103"/>
      <c r="F862" s="103"/>
      <c r="G862" s="103"/>
      <c r="H862" s="103"/>
      <c r="I862" s="103"/>
      <c r="J862" s="103"/>
      <c r="K862" s="103"/>
      <c r="L862" s="103"/>
      <c r="M862" s="103"/>
      <c r="N862" s="103"/>
      <c r="O862" s="103"/>
      <c r="P862" s="103"/>
      <c r="Q862" s="103"/>
      <c r="R862" s="103"/>
      <c r="S862" s="103"/>
      <c r="T862" s="103"/>
      <c r="U862" s="103"/>
      <c r="V862" s="103"/>
      <c r="W862" s="103"/>
      <c r="X862" s="103"/>
      <c r="Y862" s="103"/>
      <c r="Z862" s="103"/>
    </row>
    <row r="863" spans="1:26" ht="14.25" customHeight="1">
      <c r="A863" s="103"/>
      <c r="B863" s="103"/>
      <c r="C863" s="103"/>
      <c r="D863" s="103"/>
      <c r="E863" s="103"/>
      <c r="F863" s="103"/>
      <c r="G863" s="103"/>
      <c r="H863" s="103"/>
      <c r="I863" s="103"/>
      <c r="J863" s="103"/>
      <c r="K863" s="103"/>
      <c r="L863" s="103"/>
      <c r="M863" s="103"/>
      <c r="N863" s="103"/>
      <c r="O863" s="103"/>
      <c r="P863" s="103"/>
      <c r="Q863" s="103"/>
      <c r="R863" s="103"/>
      <c r="S863" s="103"/>
      <c r="T863" s="103"/>
      <c r="U863" s="103"/>
      <c r="V863" s="103"/>
      <c r="W863" s="103"/>
      <c r="X863" s="103"/>
      <c r="Y863" s="103"/>
      <c r="Z863" s="103"/>
    </row>
    <row r="864" spans="1:26" ht="14.25" customHeight="1">
      <c r="A864" s="103"/>
      <c r="B864" s="103"/>
      <c r="C864" s="103"/>
      <c r="D864" s="103"/>
      <c r="E864" s="103"/>
      <c r="F864" s="103"/>
      <c r="G864" s="103"/>
      <c r="H864" s="103"/>
      <c r="I864" s="103"/>
      <c r="J864" s="103"/>
      <c r="K864" s="103"/>
      <c r="L864" s="103"/>
      <c r="M864" s="103"/>
      <c r="N864" s="103"/>
      <c r="O864" s="103"/>
      <c r="P864" s="103"/>
      <c r="Q864" s="103"/>
      <c r="R864" s="103"/>
      <c r="S864" s="103"/>
      <c r="T864" s="103"/>
      <c r="U864" s="103"/>
      <c r="V864" s="103"/>
      <c r="W864" s="103"/>
      <c r="X864" s="103"/>
      <c r="Y864" s="103"/>
      <c r="Z864" s="103"/>
    </row>
    <row r="865" spans="1:26" ht="14.25" customHeight="1">
      <c r="A865" s="103"/>
      <c r="B865" s="103"/>
      <c r="C865" s="103"/>
      <c r="D865" s="103"/>
      <c r="E865" s="103"/>
      <c r="F865" s="103"/>
      <c r="G865" s="103"/>
      <c r="H865" s="103"/>
      <c r="I865" s="103"/>
      <c r="J865" s="103"/>
      <c r="K865" s="103"/>
      <c r="L865" s="103"/>
      <c r="M865" s="103"/>
      <c r="N865" s="103"/>
      <c r="O865" s="103"/>
      <c r="P865" s="103"/>
      <c r="Q865" s="103"/>
      <c r="R865" s="103"/>
      <c r="S865" s="103"/>
      <c r="T865" s="103"/>
      <c r="U865" s="103"/>
      <c r="V865" s="103"/>
      <c r="W865" s="103"/>
      <c r="X865" s="103"/>
      <c r="Y865" s="103"/>
      <c r="Z865" s="103"/>
    </row>
    <row r="866" spans="1:26" ht="14.25" customHeight="1">
      <c r="A866" s="103"/>
      <c r="B866" s="103"/>
      <c r="C866" s="103"/>
      <c r="D866" s="103"/>
      <c r="E866" s="103"/>
      <c r="F866" s="103"/>
      <c r="G866" s="103"/>
      <c r="H866" s="103"/>
      <c r="I866" s="103"/>
      <c r="J866" s="103"/>
      <c r="K866" s="103"/>
      <c r="L866" s="103"/>
      <c r="M866" s="103"/>
      <c r="N866" s="103"/>
      <c r="O866" s="103"/>
      <c r="P866" s="103"/>
      <c r="Q866" s="103"/>
      <c r="R866" s="103"/>
      <c r="S866" s="103"/>
      <c r="T866" s="103"/>
      <c r="U866" s="103"/>
      <c r="V866" s="103"/>
      <c r="W866" s="103"/>
      <c r="X866" s="103"/>
      <c r="Y866" s="103"/>
      <c r="Z866" s="103"/>
    </row>
    <row r="867" spans="1:26" ht="14.25" customHeight="1">
      <c r="A867" s="103"/>
      <c r="B867" s="103"/>
      <c r="C867" s="103"/>
      <c r="D867" s="103"/>
      <c r="E867" s="103"/>
      <c r="F867" s="103"/>
      <c r="G867" s="103"/>
      <c r="H867" s="103"/>
      <c r="I867" s="103"/>
      <c r="J867" s="103"/>
      <c r="K867" s="103"/>
      <c r="L867" s="103"/>
      <c r="M867" s="103"/>
      <c r="N867" s="103"/>
      <c r="O867" s="103"/>
      <c r="P867" s="103"/>
      <c r="Q867" s="103"/>
      <c r="R867" s="103"/>
      <c r="S867" s="103"/>
      <c r="T867" s="103"/>
      <c r="U867" s="103"/>
      <c r="V867" s="103"/>
      <c r="W867" s="103"/>
      <c r="X867" s="103"/>
      <c r="Y867" s="103"/>
      <c r="Z867" s="103"/>
    </row>
    <row r="868" spans="1:26" ht="14.25" customHeight="1">
      <c r="A868" s="103"/>
      <c r="B868" s="103"/>
      <c r="C868" s="103"/>
      <c r="D868" s="103"/>
      <c r="E868" s="103"/>
      <c r="F868" s="103"/>
      <c r="G868" s="103"/>
      <c r="H868" s="103"/>
      <c r="I868" s="103"/>
      <c r="J868" s="103"/>
      <c r="K868" s="103"/>
      <c r="L868" s="103"/>
      <c r="M868" s="103"/>
      <c r="N868" s="103"/>
      <c r="O868" s="103"/>
      <c r="P868" s="103"/>
      <c r="Q868" s="103"/>
      <c r="R868" s="103"/>
      <c r="S868" s="103"/>
      <c r="T868" s="103"/>
      <c r="U868" s="103"/>
      <c r="V868" s="103"/>
      <c r="W868" s="103"/>
      <c r="X868" s="103"/>
      <c r="Y868" s="103"/>
      <c r="Z868" s="103"/>
    </row>
    <row r="869" spans="1:26" ht="14.25" customHeight="1">
      <c r="A869" s="103"/>
      <c r="B869" s="103"/>
      <c r="C869" s="103"/>
      <c r="D869" s="103"/>
      <c r="E869" s="103"/>
      <c r="F869" s="103"/>
      <c r="G869" s="103"/>
      <c r="H869" s="103"/>
      <c r="I869" s="103"/>
      <c r="J869" s="103"/>
      <c r="K869" s="103"/>
      <c r="L869" s="103"/>
      <c r="M869" s="103"/>
      <c r="N869" s="103"/>
      <c r="O869" s="103"/>
      <c r="P869" s="103"/>
      <c r="Q869" s="103"/>
      <c r="R869" s="103"/>
      <c r="S869" s="103"/>
      <c r="T869" s="103"/>
      <c r="U869" s="103"/>
      <c r="V869" s="103"/>
      <c r="W869" s="103"/>
      <c r="X869" s="103"/>
      <c r="Y869" s="103"/>
      <c r="Z869" s="103"/>
    </row>
    <row r="870" spans="1:26" ht="14.25" customHeight="1">
      <c r="A870" s="103"/>
      <c r="B870" s="103"/>
      <c r="C870" s="103"/>
      <c r="D870" s="103"/>
      <c r="E870" s="103"/>
      <c r="F870" s="103"/>
      <c r="G870" s="103"/>
      <c r="H870" s="103"/>
      <c r="I870" s="103"/>
      <c r="J870" s="103"/>
      <c r="K870" s="103"/>
      <c r="L870" s="103"/>
      <c r="M870" s="103"/>
      <c r="N870" s="103"/>
      <c r="O870" s="103"/>
      <c r="P870" s="103"/>
      <c r="Q870" s="103"/>
      <c r="R870" s="103"/>
      <c r="S870" s="103"/>
      <c r="T870" s="103"/>
      <c r="U870" s="103"/>
      <c r="V870" s="103"/>
      <c r="W870" s="103"/>
      <c r="X870" s="103"/>
      <c r="Y870" s="103"/>
      <c r="Z870" s="103"/>
    </row>
    <row r="871" spans="1:26" ht="14.25" customHeight="1">
      <c r="A871" s="103"/>
      <c r="B871" s="103"/>
      <c r="C871" s="103"/>
      <c r="D871" s="103"/>
      <c r="E871" s="103"/>
      <c r="F871" s="103"/>
      <c r="G871" s="103"/>
      <c r="H871" s="103"/>
      <c r="I871" s="103"/>
      <c r="J871" s="103"/>
      <c r="K871" s="103"/>
      <c r="L871" s="103"/>
      <c r="M871" s="103"/>
      <c r="N871" s="103"/>
      <c r="O871" s="103"/>
      <c r="P871" s="103"/>
      <c r="Q871" s="103"/>
      <c r="R871" s="103"/>
      <c r="S871" s="103"/>
      <c r="T871" s="103"/>
      <c r="U871" s="103"/>
      <c r="V871" s="103"/>
      <c r="W871" s="103"/>
      <c r="X871" s="103"/>
      <c r="Y871" s="103"/>
      <c r="Z871" s="103"/>
    </row>
    <row r="872" spans="1:26" ht="14.25" customHeight="1">
      <c r="A872" s="103"/>
      <c r="B872" s="103"/>
      <c r="C872" s="103"/>
      <c r="D872" s="103"/>
      <c r="E872" s="103"/>
      <c r="F872" s="103"/>
      <c r="G872" s="103"/>
      <c r="H872" s="103"/>
      <c r="I872" s="103"/>
      <c r="J872" s="103"/>
      <c r="K872" s="103"/>
      <c r="L872" s="103"/>
      <c r="M872" s="103"/>
      <c r="N872" s="103"/>
      <c r="O872" s="103"/>
      <c r="P872" s="103"/>
      <c r="Q872" s="103"/>
      <c r="R872" s="103"/>
      <c r="S872" s="103"/>
      <c r="T872" s="103"/>
      <c r="U872" s="103"/>
      <c r="V872" s="103"/>
      <c r="W872" s="103"/>
      <c r="X872" s="103"/>
      <c r="Y872" s="103"/>
      <c r="Z872" s="103"/>
    </row>
    <row r="873" spans="1:26" ht="14.25" customHeight="1">
      <c r="A873" s="103"/>
      <c r="B873" s="103"/>
      <c r="C873" s="103"/>
      <c r="D873" s="103"/>
      <c r="E873" s="103"/>
      <c r="F873" s="103"/>
      <c r="G873" s="103"/>
      <c r="H873" s="103"/>
      <c r="I873" s="103"/>
      <c r="J873" s="103"/>
      <c r="K873" s="103"/>
      <c r="L873" s="103"/>
      <c r="M873" s="103"/>
      <c r="N873" s="103"/>
      <c r="O873" s="103"/>
      <c r="P873" s="103"/>
      <c r="Q873" s="103"/>
      <c r="R873" s="103"/>
      <c r="S873" s="103"/>
      <c r="T873" s="103"/>
      <c r="U873" s="103"/>
      <c r="V873" s="103"/>
      <c r="W873" s="103"/>
      <c r="X873" s="103"/>
      <c r="Y873" s="103"/>
      <c r="Z873" s="103"/>
    </row>
    <row r="874" spans="1:26" ht="14.25" customHeight="1">
      <c r="A874" s="103"/>
      <c r="B874" s="103"/>
      <c r="C874" s="103"/>
      <c r="D874" s="103"/>
      <c r="E874" s="103"/>
      <c r="F874" s="103"/>
      <c r="G874" s="103"/>
      <c r="H874" s="103"/>
      <c r="I874" s="103"/>
      <c r="J874" s="103"/>
      <c r="K874" s="103"/>
      <c r="L874" s="103"/>
      <c r="M874" s="103"/>
      <c r="N874" s="103"/>
      <c r="O874" s="103"/>
      <c r="P874" s="103"/>
      <c r="Q874" s="103"/>
      <c r="R874" s="103"/>
      <c r="S874" s="103"/>
      <c r="T874" s="103"/>
      <c r="U874" s="103"/>
      <c r="V874" s="103"/>
      <c r="W874" s="103"/>
      <c r="X874" s="103"/>
      <c r="Y874" s="103"/>
      <c r="Z874" s="103"/>
    </row>
    <row r="875" spans="1:26" ht="14.25" customHeight="1">
      <c r="A875" s="103"/>
      <c r="B875" s="103"/>
      <c r="C875" s="103"/>
      <c r="D875" s="103"/>
      <c r="E875" s="103"/>
      <c r="F875" s="103"/>
      <c r="G875" s="103"/>
      <c r="H875" s="103"/>
      <c r="I875" s="103"/>
      <c r="J875" s="103"/>
      <c r="K875" s="103"/>
      <c r="L875" s="103"/>
      <c r="M875" s="103"/>
      <c r="N875" s="103"/>
      <c r="O875" s="103"/>
      <c r="P875" s="103"/>
      <c r="Q875" s="103"/>
      <c r="R875" s="103"/>
      <c r="S875" s="103"/>
      <c r="T875" s="103"/>
      <c r="U875" s="103"/>
      <c r="V875" s="103"/>
      <c r="W875" s="103"/>
      <c r="X875" s="103"/>
      <c r="Y875" s="103"/>
      <c r="Z875" s="103"/>
    </row>
    <row r="876" spans="1:26" ht="14.25" customHeight="1">
      <c r="A876" s="103"/>
      <c r="B876" s="103"/>
      <c r="C876" s="103"/>
      <c r="D876" s="103"/>
      <c r="E876" s="103"/>
      <c r="F876" s="103"/>
      <c r="G876" s="103"/>
      <c r="H876" s="103"/>
      <c r="I876" s="103"/>
      <c r="J876" s="103"/>
      <c r="K876" s="103"/>
      <c r="L876" s="103"/>
      <c r="M876" s="103"/>
      <c r="N876" s="103"/>
      <c r="O876" s="103"/>
      <c r="P876" s="103"/>
      <c r="Q876" s="103"/>
      <c r="R876" s="103"/>
      <c r="S876" s="103"/>
      <c r="T876" s="103"/>
      <c r="U876" s="103"/>
      <c r="V876" s="103"/>
      <c r="W876" s="103"/>
      <c r="X876" s="103"/>
      <c r="Y876" s="103"/>
      <c r="Z876" s="103"/>
    </row>
    <row r="877" spans="1:26" ht="14.25" customHeight="1">
      <c r="A877" s="103"/>
      <c r="B877" s="103"/>
      <c r="C877" s="103"/>
      <c r="D877" s="103"/>
      <c r="E877" s="103"/>
      <c r="F877" s="103"/>
      <c r="G877" s="103"/>
      <c r="H877" s="103"/>
      <c r="I877" s="103"/>
      <c r="J877" s="103"/>
      <c r="K877" s="103"/>
      <c r="L877" s="103"/>
      <c r="M877" s="103"/>
      <c r="N877" s="103"/>
      <c r="O877" s="103"/>
      <c r="P877" s="103"/>
      <c r="Q877" s="103"/>
      <c r="R877" s="103"/>
      <c r="S877" s="103"/>
      <c r="T877" s="103"/>
      <c r="U877" s="103"/>
      <c r="V877" s="103"/>
      <c r="W877" s="103"/>
      <c r="X877" s="103"/>
      <c r="Y877" s="103"/>
      <c r="Z877" s="103"/>
    </row>
    <row r="878" spans="1:26" ht="14.25" customHeight="1">
      <c r="A878" s="103"/>
      <c r="B878" s="103"/>
      <c r="C878" s="103"/>
      <c r="D878" s="103"/>
      <c r="E878" s="103"/>
      <c r="F878" s="103"/>
      <c r="G878" s="103"/>
      <c r="H878" s="103"/>
      <c r="I878" s="103"/>
      <c r="J878" s="103"/>
      <c r="K878" s="103"/>
      <c r="L878" s="103"/>
      <c r="M878" s="103"/>
      <c r="N878" s="103"/>
      <c r="O878" s="103"/>
      <c r="P878" s="103"/>
      <c r="Q878" s="103"/>
      <c r="R878" s="103"/>
      <c r="S878" s="103"/>
      <c r="T878" s="103"/>
      <c r="U878" s="103"/>
      <c r="V878" s="103"/>
      <c r="W878" s="103"/>
      <c r="X878" s="103"/>
      <c r="Y878" s="103"/>
      <c r="Z878" s="103"/>
    </row>
    <row r="879" spans="1:26" ht="14.25" customHeight="1">
      <c r="A879" s="103"/>
      <c r="B879" s="103"/>
      <c r="C879" s="103"/>
      <c r="D879" s="103"/>
      <c r="E879" s="103"/>
      <c r="F879" s="103"/>
      <c r="G879" s="103"/>
      <c r="H879" s="103"/>
      <c r="I879" s="103"/>
      <c r="J879" s="103"/>
      <c r="K879" s="103"/>
      <c r="L879" s="103"/>
      <c r="M879" s="103"/>
      <c r="N879" s="103"/>
      <c r="O879" s="103"/>
      <c r="P879" s="103"/>
      <c r="Q879" s="103"/>
      <c r="R879" s="103"/>
      <c r="S879" s="103"/>
      <c r="T879" s="103"/>
      <c r="U879" s="103"/>
      <c r="V879" s="103"/>
      <c r="W879" s="103"/>
      <c r="X879" s="103"/>
      <c r="Y879" s="103"/>
      <c r="Z879" s="103"/>
    </row>
    <row r="880" spans="1:26" ht="14.25" customHeight="1">
      <c r="A880" s="103"/>
      <c r="B880" s="103"/>
      <c r="C880" s="103"/>
      <c r="D880" s="103"/>
      <c r="E880" s="103"/>
      <c r="F880" s="103"/>
      <c r="G880" s="103"/>
      <c r="H880" s="103"/>
      <c r="I880" s="103"/>
      <c r="J880" s="103"/>
      <c r="K880" s="103"/>
      <c r="L880" s="103"/>
      <c r="M880" s="103"/>
      <c r="N880" s="103"/>
      <c r="O880" s="103"/>
      <c r="P880" s="103"/>
      <c r="Q880" s="103"/>
      <c r="R880" s="103"/>
      <c r="S880" s="103"/>
      <c r="T880" s="103"/>
      <c r="U880" s="103"/>
      <c r="V880" s="103"/>
      <c r="W880" s="103"/>
      <c r="X880" s="103"/>
      <c r="Y880" s="103"/>
      <c r="Z880" s="103"/>
    </row>
    <row r="881" spans="1:26" ht="14.25" customHeight="1">
      <c r="A881" s="103"/>
      <c r="B881" s="103"/>
      <c r="C881" s="103"/>
      <c r="D881" s="103"/>
      <c r="E881" s="103"/>
      <c r="F881" s="103"/>
      <c r="G881" s="103"/>
      <c r="H881" s="103"/>
      <c r="I881" s="103"/>
      <c r="J881" s="103"/>
      <c r="K881" s="103"/>
      <c r="L881" s="103"/>
      <c r="M881" s="103"/>
      <c r="N881" s="103"/>
      <c r="O881" s="103"/>
      <c r="P881" s="103"/>
      <c r="Q881" s="103"/>
      <c r="R881" s="103"/>
      <c r="S881" s="103"/>
      <c r="T881" s="103"/>
      <c r="U881" s="103"/>
      <c r="V881" s="103"/>
      <c r="W881" s="103"/>
      <c r="X881" s="103"/>
      <c r="Y881" s="103"/>
      <c r="Z881" s="103"/>
    </row>
    <row r="882" spans="1:26" ht="14.25" customHeight="1">
      <c r="A882" s="103"/>
      <c r="B882" s="103"/>
      <c r="C882" s="103"/>
      <c r="D882" s="103"/>
      <c r="E882" s="103"/>
      <c r="F882" s="103"/>
      <c r="G882" s="103"/>
      <c r="H882" s="103"/>
      <c r="I882" s="103"/>
      <c r="J882" s="103"/>
      <c r="K882" s="103"/>
      <c r="L882" s="103"/>
      <c r="M882" s="103"/>
      <c r="N882" s="103"/>
      <c r="O882" s="103"/>
      <c r="P882" s="103"/>
      <c r="Q882" s="103"/>
      <c r="R882" s="103"/>
      <c r="S882" s="103"/>
      <c r="T882" s="103"/>
      <c r="U882" s="103"/>
      <c r="V882" s="103"/>
      <c r="W882" s="103"/>
      <c r="X882" s="103"/>
      <c r="Y882" s="103"/>
      <c r="Z882" s="103"/>
    </row>
    <row r="883" spans="1:26" ht="14.25" customHeight="1">
      <c r="A883" s="103"/>
      <c r="B883" s="103"/>
      <c r="C883" s="103"/>
      <c r="D883" s="103"/>
      <c r="E883" s="103"/>
      <c r="F883" s="103"/>
      <c r="G883" s="103"/>
      <c r="H883" s="103"/>
      <c r="I883" s="103"/>
      <c r="J883" s="103"/>
      <c r="K883" s="103"/>
      <c r="L883" s="103"/>
      <c r="M883" s="103"/>
      <c r="N883" s="103"/>
      <c r="O883" s="103"/>
      <c r="P883" s="103"/>
      <c r="Q883" s="103"/>
      <c r="R883" s="103"/>
      <c r="S883" s="103"/>
      <c r="T883" s="103"/>
      <c r="U883" s="103"/>
      <c r="V883" s="103"/>
      <c r="W883" s="103"/>
      <c r="X883" s="103"/>
      <c r="Y883" s="103"/>
      <c r="Z883" s="103"/>
    </row>
    <row r="884" spans="1:26" ht="14.25" customHeight="1">
      <c r="A884" s="103"/>
      <c r="B884" s="103"/>
      <c r="C884" s="103"/>
      <c r="D884" s="103"/>
      <c r="E884" s="103"/>
      <c r="F884" s="103"/>
      <c r="G884" s="103"/>
      <c r="H884" s="103"/>
      <c r="I884" s="103"/>
      <c r="J884" s="103"/>
      <c r="K884" s="103"/>
      <c r="L884" s="103"/>
      <c r="M884" s="103"/>
      <c r="N884" s="103"/>
      <c r="O884" s="103"/>
      <c r="P884" s="103"/>
      <c r="Q884" s="103"/>
      <c r="R884" s="103"/>
      <c r="S884" s="103"/>
      <c r="T884" s="103"/>
      <c r="U884" s="103"/>
      <c r="V884" s="103"/>
      <c r="W884" s="103"/>
      <c r="X884" s="103"/>
      <c r="Y884" s="103"/>
      <c r="Z884" s="103"/>
    </row>
    <row r="885" spans="1:26" ht="14.25" customHeight="1">
      <c r="A885" s="103"/>
      <c r="B885" s="103"/>
      <c r="C885" s="103"/>
      <c r="D885" s="103"/>
      <c r="E885" s="103"/>
      <c r="F885" s="103"/>
      <c r="G885" s="103"/>
      <c r="H885" s="103"/>
      <c r="I885" s="103"/>
      <c r="J885" s="103"/>
      <c r="K885" s="103"/>
      <c r="L885" s="103"/>
      <c r="M885" s="103"/>
      <c r="N885" s="103"/>
      <c r="O885" s="103"/>
      <c r="P885" s="103"/>
      <c r="Q885" s="103"/>
      <c r="R885" s="103"/>
      <c r="S885" s="103"/>
      <c r="T885" s="103"/>
      <c r="U885" s="103"/>
      <c r="V885" s="103"/>
      <c r="W885" s="103"/>
      <c r="X885" s="103"/>
      <c r="Y885" s="103"/>
      <c r="Z885" s="103"/>
    </row>
    <row r="886" spans="1:26" ht="14.25" customHeight="1">
      <c r="A886" s="103"/>
      <c r="B886" s="103"/>
      <c r="C886" s="103"/>
      <c r="D886" s="103"/>
      <c r="E886" s="103"/>
      <c r="F886" s="103"/>
      <c r="G886" s="103"/>
      <c r="H886" s="103"/>
      <c r="I886" s="103"/>
      <c r="J886" s="103"/>
      <c r="K886" s="103"/>
      <c r="L886" s="103"/>
      <c r="M886" s="103"/>
      <c r="N886" s="103"/>
      <c r="O886" s="103"/>
      <c r="P886" s="103"/>
      <c r="Q886" s="103"/>
      <c r="R886" s="103"/>
      <c r="S886" s="103"/>
      <c r="T886" s="103"/>
      <c r="U886" s="103"/>
      <c r="V886" s="103"/>
      <c r="W886" s="103"/>
      <c r="X886" s="103"/>
      <c r="Y886" s="103"/>
      <c r="Z886" s="103"/>
    </row>
    <row r="887" spans="1:26" ht="14.25" customHeight="1">
      <c r="A887" s="103"/>
      <c r="B887" s="103"/>
      <c r="C887" s="103"/>
      <c r="D887" s="103"/>
      <c r="E887" s="103"/>
      <c r="F887" s="103"/>
      <c r="G887" s="103"/>
      <c r="H887" s="103"/>
      <c r="I887" s="103"/>
      <c r="J887" s="103"/>
      <c r="K887" s="103"/>
      <c r="L887" s="103"/>
      <c r="M887" s="103"/>
      <c r="N887" s="103"/>
      <c r="O887" s="103"/>
      <c r="P887" s="103"/>
      <c r="Q887" s="103"/>
      <c r="R887" s="103"/>
      <c r="S887" s="103"/>
      <c r="T887" s="103"/>
      <c r="U887" s="103"/>
      <c r="V887" s="103"/>
      <c r="W887" s="103"/>
      <c r="X887" s="103"/>
      <c r="Y887" s="103"/>
      <c r="Z887" s="103"/>
    </row>
    <row r="888" spans="1:26" ht="14.25" customHeight="1">
      <c r="A888" s="103"/>
      <c r="B888" s="103"/>
      <c r="C888" s="103"/>
      <c r="D888" s="103"/>
      <c r="E888" s="103"/>
      <c r="F888" s="103"/>
      <c r="G888" s="103"/>
      <c r="H888" s="103"/>
      <c r="I888" s="103"/>
      <c r="J888" s="103"/>
      <c r="K888" s="103"/>
      <c r="L888" s="103"/>
      <c r="M888" s="103"/>
      <c r="N888" s="103"/>
      <c r="O888" s="103"/>
      <c r="P888" s="103"/>
      <c r="Q888" s="103"/>
      <c r="R888" s="103"/>
      <c r="S888" s="103"/>
      <c r="T888" s="103"/>
      <c r="U888" s="103"/>
      <c r="V888" s="103"/>
      <c r="W888" s="103"/>
      <c r="X888" s="103"/>
      <c r="Y888" s="103"/>
      <c r="Z888" s="103"/>
    </row>
    <row r="889" spans="1:26" ht="14.25" customHeight="1">
      <c r="A889" s="103"/>
      <c r="B889" s="103"/>
      <c r="C889" s="103"/>
      <c r="D889" s="103"/>
      <c r="E889" s="103"/>
      <c r="F889" s="103"/>
      <c r="G889" s="103"/>
      <c r="H889" s="103"/>
      <c r="I889" s="103"/>
      <c r="J889" s="103"/>
      <c r="K889" s="103"/>
      <c r="L889" s="103"/>
      <c r="M889" s="103"/>
      <c r="N889" s="103"/>
      <c r="O889" s="103"/>
      <c r="P889" s="103"/>
      <c r="Q889" s="103"/>
      <c r="R889" s="103"/>
      <c r="S889" s="103"/>
      <c r="T889" s="103"/>
      <c r="U889" s="103"/>
      <c r="V889" s="103"/>
      <c r="W889" s="103"/>
      <c r="X889" s="103"/>
      <c r="Y889" s="103"/>
      <c r="Z889" s="103"/>
    </row>
    <row r="890" spans="1:26" ht="14.25" customHeight="1">
      <c r="A890" s="103"/>
      <c r="B890" s="103"/>
      <c r="C890" s="103"/>
      <c r="D890" s="103"/>
      <c r="E890" s="103"/>
      <c r="F890" s="103"/>
      <c r="G890" s="103"/>
      <c r="H890" s="103"/>
      <c r="I890" s="103"/>
      <c r="J890" s="103"/>
      <c r="K890" s="103"/>
      <c r="L890" s="103"/>
      <c r="M890" s="103"/>
      <c r="N890" s="103"/>
      <c r="O890" s="103"/>
      <c r="P890" s="103"/>
      <c r="Q890" s="103"/>
      <c r="R890" s="103"/>
      <c r="S890" s="103"/>
      <c r="T890" s="103"/>
      <c r="U890" s="103"/>
      <c r="V890" s="103"/>
      <c r="W890" s="103"/>
      <c r="X890" s="103"/>
      <c r="Y890" s="103"/>
      <c r="Z890" s="103"/>
    </row>
    <row r="891" spans="1:26" ht="14.25" customHeight="1">
      <c r="A891" s="103"/>
      <c r="B891" s="103"/>
      <c r="C891" s="103"/>
      <c r="D891" s="103"/>
      <c r="E891" s="103"/>
      <c r="F891" s="103"/>
      <c r="G891" s="103"/>
      <c r="H891" s="103"/>
      <c r="I891" s="103"/>
      <c r="J891" s="103"/>
      <c r="K891" s="103"/>
      <c r="L891" s="103"/>
      <c r="M891" s="103"/>
      <c r="N891" s="103"/>
      <c r="O891" s="103"/>
      <c r="P891" s="103"/>
      <c r="Q891" s="103"/>
      <c r="R891" s="103"/>
      <c r="S891" s="103"/>
      <c r="T891" s="103"/>
      <c r="U891" s="103"/>
      <c r="V891" s="103"/>
      <c r="W891" s="103"/>
      <c r="X891" s="103"/>
      <c r="Y891" s="103"/>
      <c r="Z891" s="103"/>
    </row>
    <row r="892" spans="1:26" ht="14.25" customHeight="1">
      <c r="A892" s="103"/>
      <c r="B892" s="103"/>
      <c r="C892" s="103"/>
      <c r="D892" s="103"/>
      <c r="E892" s="103"/>
      <c r="F892" s="103"/>
      <c r="G892" s="103"/>
      <c r="H892" s="103"/>
      <c r="I892" s="103"/>
      <c r="J892" s="103"/>
      <c r="K892" s="103"/>
      <c r="L892" s="103"/>
      <c r="M892" s="103"/>
      <c r="N892" s="103"/>
      <c r="O892" s="103"/>
      <c r="P892" s="103"/>
      <c r="Q892" s="103"/>
      <c r="R892" s="103"/>
      <c r="S892" s="103"/>
      <c r="T892" s="103"/>
      <c r="U892" s="103"/>
      <c r="V892" s="103"/>
      <c r="W892" s="103"/>
      <c r="X892" s="103"/>
      <c r="Y892" s="103"/>
      <c r="Z892" s="103"/>
    </row>
    <row r="893" spans="1:26" ht="14.25" customHeight="1">
      <c r="A893" s="103"/>
      <c r="B893" s="103"/>
      <c r="C893" s="103"/>
      <c r="D893" s="103"/>
      <c r="E893" s="103"/>
      <c r="F893" s="103"/>
      <c r="G893" s="103"/>
      <c r="H893" s="103"/>
      <c r="I893" s="103"/>
      <c r="J893" s="103"/>
      <c r="K893" s="103"/>
      <c r="L893" s="103"/>
      <c r="M893" s="103"/>
      <c r="N893" s="103"/>
      <c r="O893" s="103"/>
      <c r="P893" s="103"/>
      <c r="Q893" s="103"/>
      <c r="R893" s="103"/>
      <c r="S893" s="103"/>
      <c r="T893" s="103"/>
      <c r="U893" s="103"/>
      <c r="V893" s="103"/>
      <c r="W893" s="103"/>
      <c r="X893" s="103"/>
      <c r="Y893" s="103"/>
      <c r="Z893" s="103"/>
    </row>
    <row r="894" spans="1:26" ht="14.25" customHeight="1">
      <c r="A894" s="103"/>
      <c r="B894" s="103"/>
      <c r="C894" s="103"/>
      <c r="D894" s="103"/>
      <c r="E894" s="103"/>
      <c r="F894" s="103"/>
      <c r="G894" s="103"/>
      <c r="H894" s="103"/>
      <c r="I894" s="103"/>
      <c r="J894" s="103"/>
      <c r="K894" s="103"/>
      <c r="L894" s="103"/>
      <c r="M894" s="103"/>
      <c r="N894" s="103"/>
      <c r="O894" s="103"/>
      <c r="P894" s="103"/>
      <c r="Q894" s="103"/>
      <c r="R894" s="103"/>
      <c r="S894" s="103"/>
      <c r="T894" s="103"/>
      <c r="U894" s="103"/>
      <c r="V894" s="103"/>
      <c r="W894" s="103"/>
      <c r="X894" s="103"/>
      <c r="Y894" s="103"/>
      <c r="Z894" s="103"/>
    </row>
    <row r="895" spans="1:26" ht="14.25" customHeight="1">
      <c r="A895" s="103"/>
      <c r="B895" s="103"/>
      <c r="C895" s="103"/>
      <c r="D895" s="103"/>
      <c r="E895" s="103"/>
      <c r="F895" s="103"/>
      <c r="G895" s="103"/>
      <c r="H895" s="103"/>
      <c r="I895" s="103"/>
      <c r="J895" s="103"/>
      <c r="K895" s="103"/>
      <c r="L895" s="103"/>
      <c r="M895" s="103"/>
      <c r="N895" s="103"/>
      <c r="O895" s="103"/>
      <c r="P895" s="103"/>
      <c r="Q895" s="103"/>
      <c r="R895" s="103"/>
      <c r="S895" s="103"/>
      <c r="T895" s="103"/>
      <c r="U895" s="103"/>
      <c r="V895" s="103"/>
      <c r="W895" s="103"/>
      <c r="X895" s="103"/>
      <c r="Y895" s="103"/>
      <c r="Z895" s="103"/>
    </row>
    <row r="896" spans="1:26" ht="14.25" customHeight="1">
      <c r="A896" s="103"/>
      <c r="B896" s="103"/>
      <c r="C896" s="103"/>
      <c r="D896" s="103"/>
      <c r="E896" s="103"/>
      <c r="F896" s="103"/>
      <c r="G896" s="103"/>
      <c r="H896" s="103"/>
      <c r="I896" s="103"/>
      <c r="J896" s="103"/>
      <c r="K896" s="103"/>
      <c r="L896" s="103"/>
      <c r="M896" s="103"/>
      <c r="N896" s="103"/>
      <c r="O896" s="103"/>
      <c r="P896" s="103"/>
      <c r="Q896" s="103"/>
      <c r="R896" s="103"/>
      <c r="S896" s="103"/>
      <c r="T896" s="103"/>
      <c r="U896" s="103"/>
      <c r="V896" s="103"/>
      <c r="W896" s="103"/>
      <c r="X896" s="103"/>
      <c r="Y896" s="103"/>
      <c r="Z896" s="103"/>
    </row>
    <row r="897" spans="1:26" ht="14.25" customHeight="1">
      <c r="A897" s="103"/>
      <c r="B897" s="103"/>
      <c r="C897" s="103"/>
      <c r="D897" s="103"/>
      <c r="E897" s="103"/>
      <c r="F897" s="103"/>
      <c r="G897" s="103"/>
      <c r="H897" s="103"/>
      <c r="I897" s="103"/>
      <c r="J897" s="103"/>
      <c r="K897" s="103"/>
      <c r="L897" s="103"/>
      <c r="M897" s="103"/>
      <c r="N897" s="103"/>
      <c r="O897" s="103"/>
      <c r="P897" s="103"/>
      <c r="Q897" s="103"/>
      <c r="R897" s="103"/>
      <c r="S897" s="103"/>
      <c r="T897" s="103"/>
      <c r="U897" s="103"/>
      <c r="V897" s="103"/>
      <c r="W897" s="103"/>
      <c r="X897" s="103"/>
      <c r="Y897" s="103"/>
      <c r="Z897" s="103"/>
    </row>
    <row r="898" spans="1:26" ht="14.25" customHeight="1">
      <c r="A898" s="103"/>
      <c r="B898" s="103"/>
      <c r="C898" s="103"/>
      <c r="D898" s="103"/>
      <c r="E898" s="103"/>
      <c r="F898" s="103"/>
      <c r="G898" s="103"/>
      <c r="H898" s="103"/>
      <c r="I898" s="103"/>
      <c r="J898" s="103"/>
      <c r="K898" s="103"/>
      <c r="L898" s="103"/>
      <c r="M898" s="103"/>
      <c r="N898" s="103"/>
      <c r="O898" s="103"/>
      <c r="P898" s="103"/>
      <c r="Q898" s="103"/>
      <c r="R898" s="103"/>
      <c r="S898" s="103"/>
      <c r="T898" s="103"/>
      <c r="U898" s="103"/>
      <c r="V898" s="103"/>
      <c r="W898" s="103"/>
      <c r="X898" s="103"/>
      <c r="Y898" s="103"/>
      <c r="Z898" s="103"/>
    </row>
    <row r="899" spans="1:26" ht="14.25" customHeight="1">
      <c r="A899" s="103"/>
      <c r="B899" s="103"/>
      <c r="C899" s="103"/>
      <c r="D899" s="103"/>
      <c r="E899" s="103"/>
      <c r="F899" s="103"/>
      <c r="G899" s="103"/>
      <c r="H899" s="103"/>
      <c r="I899" s="103"/>
      <c r="J899" s="103"/>
      <c r="K899" s="103"/>
      <c r="L899" s="103"/>
      <c r="M899" s="103"/>
      <c r="N899" s="103"/>
      <c r="O899" s="103"/>
      <c r="P899" s="103"/>
      <c r="Q899" s="103"/>
      <c r="R899" s="103"/>
      <c r="S899" s="103"/>
      <c r="T899" s="103"/>
      <c r="U899" s="103"/>
      <c r="V899" s="103"/>
      <c r="W899" s="103"/>
      <c r="X899" s="103"/>
      <c r="Y899" s="103"/>
      <c r="Z899" s="103"/>
    </row>
    <row r="900" spans="1:26" ht="14.25" customHeight="1">
      <c r="A900" s="103"/>
      <c r="B900" s="103"/>
      <c r="C900" s="103"/>
      <c r="D900" s="103"/>
      <c r="E900" s="103"/>
      <c r="F900" s="103"/>
      <c r="G900" s="103"/>
      <c r="H900" s="103"/>
      <c r="I900" s="103"/>
      <c r="J900" s="103"/>
      <c r="K900" s="103"/>
      <c r="L900" s="103"/>
      <c r="M900" s="103"/>
      <c r="N900" s="103"/>
      <c r="O900" s="103"/>
      <c r="P900" s="103"/>
      <c r="Q900" s="103"/>
      <c r="R900" s="103"/>
      <c r="S900" s="103"/>
      <c r="T900" s="103"/>
      <c r="U900" s="103"/>
      <c r="V900" s="103"/>
      <c r="W900" s="103"/>
      <c r="X900" s="103"/>
      <c r="Y900" s="103"/>
      <c r="Z900" s="103"/>
    </row>
    <row r="901" spans="1:26" ht="14.25" customHeight="1">
      <c r="A901" s="103"/>
      <c r="B901" s="103"/>
      <c r="C901" s="103"/>
      <c r="D901" s="103"/>
      <c r="E901" s="103"/>
      <c r="F901" s="103"/>
      <c r="G901" s="103"/>
      <c r="H901" s="103"/>
      <c r="I901" s="103"/>
      <c r="J901" s="103"/>
      <c r="K901" s="103"/>
      <c r="L901" s="103"/>
      <c r="M901" s="103"/>
      <c r="N901" s="103"/>
      <c r="O901" s="103"/>
      <c r="P901" s="103"/>
      <c r="Q901" s="103"/>
      <c r="R901" s="103"/>
      <c r="S901" s="103"/>
      <c r="T901" s="103"/>
      <c r="U901" s="103"/>
      <c r="V901" s="103"/>
      <c r="W901" s="103"/>
      <c r="X901" s="103"/>
      <c r="Y901" s="103"/>
      <c r="Z901" s="103"/>
    </row>
    <row r="902" spans="1:26" ht="14.25" customHeight="1">
      <c r="A902" s="103"/>
      <c r="B902" s="103"/>
      <c r="C902" s="103"/>
      <c r="D902" s="103"/>
      <c r="E902" s="103"/>
      <c r="F902" s="103"/>
      <c r="G902" s="103"/>
      <c r="H902" s="103"/>
      <c r="I902" s="103"/>
      <c r="J902" s="103"/>
      <c r="K902" s="103"/>
      <c r="L902" s="103"/>
      <c r="M902" s="103"/>
      <c r="N902" s="103"/>
      <c r="O902" s="103"/>
      <c r="P902" s="103"/>
      <c r="Q902" s="103"/>
      <c r="R902" s="103"/>
      <c r="S902" s="103"/>
      <c r="T902" s="103"/>
      <c r="U902" s="103"/>
      <c r="V902" s="103"/>
      <c r="W902" s="103"/>
      <c r="X902" s="103"/>
      <c r="Y902" s="103"/>
      <c r="Z902" s="103"/>
    </row>
    <row r="903" spans="1:26" ht="14.25" customHeight="1">
      <c r="A903" s="103"/>
      <c r="B903" s="103"/>
      <c r="C903" s="103"/>
      <c r="D903" s="103"/>
      <c r="E903" s="103"/>
      <c r="F903" s="103"/>
      <c r="G903" s="103"/>
      <c r="H903" s="103"/>
      <c r="I903" s="103"/>
      <c r="J903" s="103"/>
      <c r="K903" s="103"/>
      <c r="L903" s="103"/>
      <c r="M903" s="103"/>
      <c r="N903" s="103"/>
      <c r="O903" s="103"/>
      <c r="P903" s="103"/>
      <c r="Q903" s="103"/>
      <c r="R903" s="103"/>
      <c r="S903" s="103"/>
      <c r="T903" s="103"/>
      <c r="U903" s="103"/>
      <c r="V903" s="103"/>
      <c r="W903" s="103"/>
      <c r="X903" s="103"/>
      <c r="Y903" s="103"/>
      <c r="Z903" s="103"/>
    </row>
    <row r="904" spans="1:26" ht="14.25" customHeight="1">
      <c r="A904" s="103"/>
      <c r="B904" s="103"/>
      <c r="C904" s="103"/>
      <c r="D904" s="103"/>
      <c r="E904" s="103"/>
      <c r="F904" s="103"/>
      <c r="G904" s="103"/>
      <c r="H904" s="103"/>
      <c r="I904" s="103"/>
      <c r="J904" s="103"/>
      <c r="K904" s="103"/>
      <c r="L904" s="103"/>
      <c r="M904" s="103"/>
      <c r="N904" s="103"/>
      <c r="O904" s="103"/>
      <c r="P904" s="103"/>
      <c r="Q904" s="103"/>
      <c r="R904" s="103"/>
      <c r="S904" s="103"/>
      <c r="T904" s="103"/>
      <c r="U904" s="103"/>
      <c r="V904" s="103"/>
      <c r="W904" s="103"/>
      <c r="X904" s="103"/>
      <c r="Y904" s="103"/>
      <c r="Z904" s="103"/>
    </row>
    <row r="905" spans="1:26" ht="14.25" customHeight="1">
      <c r="A905" s="103"/>
      <c r="B905" s="103"/>
      <c r="C905" s="103"/>
      <c r="D905" s="103"/>
      <c r="E905" s="103"/>
      <c r="F905" s="103"/>
      <c r="G905" s="103"/>
      <c r="H905" s="103"/>
      <c r="I905" s="103"/>
      <c r="J905" s="103"/>
      <c r="K905" s="103"/>
      <c r="L905" s="103"/>
      <c r="M905" s="103"/>
      <c r="N905" s="103"/>
      <c r="O905" s="103"/>
      <c r="P905" s="103"/>
      <c r="Q905" s="103"/>
      <c r="R905" s="103"/>
      <c r="S905" s="103"/>
      <c r="T905" s="103"/>
      <c r="U905" s="103"/>
      <c r="V905" s="103"/>
      <c r="W905" s="103"/>
      <c r="X905" s="103"/>
      <c r="Y905" s="103"/>
      <c r="Z905" s="103"/>
    </row>
    <row r="906" spans="1:26" ht="14.25" customHeight="1">
      <c r="A906" s="103"/>
      <c r="B906" s="103"/>
      <c r="C906" s="103"/>
      <c r="D906" s="103"/>
      <c r="E906" s="103"/>
      <c r="F906" s="103"/>
      <c r="G906" s="103"/>
      <c r="H906" s="103"/>
      <c r="I906" s="103"/>
      <c r="J906" s="103"/>
      <c r="K906" s="103"/>
      <c r="L906" s="103"/>
      <c r="M906" s="103"/>
      <c r="N906" s="103"/>
      <c r="O906" s="103"/>
      <c r="P906" s="103"/>
      <c r="Q906" s="103"/>
      <c r="R906" s="103"/>
      <c r="S906" s="103"/>
      <c r="T906" s="103"/>
      <c r="U906" s="103"/>
      <c r="V906" s="103"/>
      <c r="W906" s="103"/>
      <c r="X906" s="103"/>
      <c r="Y906" s="103"/>
      <c r="Z906" s="103"/>
    </row>
    <row r="907" spans="1:26" ht="14.25" customHeight="1">
      <c r="A907" s="103"/>
      <c r="B907" s="103"/>
      <c r="C907" s="103"/>
      <c r="D907" s="103"/>
      <c r="E907" s="103"/>
      <c r="F907" s="103"/>
      <c r="G907" s="103"/>
      <c r="H907" s="103"/>
      <c r="I907" s="103"/>
      <c r="J907" s="103"/>
      <c r="K907" s="103"/>
      <c r="L907" s="103"/>
      <c r="M907" s="103"/>
      <c r="N907" s="103"/>
      <c r="O907" s="103"/>
      <c r="P907" s="103"/>
      <c r="Q907" s="103"/>
      <c r="R907" s="103"/>
      <c r="S907" s="103"/>
      <c r="T907" s="103"/>
      <c r="U907" s="103"/>
      <c r="V907" s="103"/>
      <c r="W907" s="103"/>
      <c r="X907" s="103"/>
      <c r="Y907" s="103"/>
      <c r="Z907" s="103"/>
    </row>
    <row r="908" spans="1:26" ht="14.25" customHeight="1">
      <c r="A908" s="103"/>
      <c r="B908" s="103"/>
      <c r="C908" s="103"/>
      <c r="D908" s="103"/>
      <c r="E908" s="103"/>
      <c r="F908" s="103"/>
      <c r="G908" s="103"/>
      <c r="H908" s="103"/>
      <c r="I908" s="103"/>
      <c r="J908" s="103"/>
      <c r="K908" s="103"/>
      <c r="L908" s="103"/>
      <c r="M908" s="103"/>
      <c r="N908" s="103"/>
      <c r="O908" s="103"/>
      <c r="P908" s="103"/>
      <c r="Q908" s="103"/>
      <c r="R908" s="103"/>
      <c r="S908" s="103"/>
      <c r="T908" s="103"/>
      <c r="U908" s="103"/>
      <c r="V908" s="103"/>
      <c r="W908" s="103"/>
      <c r="X908" s="103"/>
      <c r="Y908" s="103"/>
      <c r="Z908" s="103"/>
    </row>
    <row r="909" spans="1:26" ht="14.25" customHeight="1">
      <c r="A909" s="103"/>
      <c r="B909" s="103"/>
      <c r="C909" s="103"/>
      <c r="D909" s="103"/>
      <c r="E909" s="103"/>
      <c r="F909" s="103"/>
      <c r="G909" s="103"/>
      <c r="H909" s="103"/>
      <c r="I909" s="103"/>
      <c r="J909" s="103"/>
      <c r="K909" s="103"/>
      <c r="L909" s="103"/>
      <c r="M909" s="103"/>
      <c r="N909" s="103"/>
      <c r="O909" s="103"/>
      <c r="P909" s="103"/>
      <c r="Q909" s="103"/>
      <c r="R909" s="103"/>
      <c r="S909" s="103"/>
      <c r="T909" s="103"/>
      <c r="U909" s="103"/>
      <c r="V909" s="103"/>
      <c r="W909" s="103"/>
      <c r="X909" s="103"/>
      <c r="Y909" s="103"/>
      <c r="Z909" s="103"/>
    </row>
    <row r="910" spans="1:26" ht="14.25" customHeight="1">
      <c r="A910" s="103"/>
      <c r="B910" s="103"/>
      <c r="C910" s="103"/>
      <c r="D910" s="103"/>
      <c r="E910" s="103"/>
      <c r="F910" s="103"/>
      <c r="G910" s="103"/>
      <c r="H910" s="103"/>
      <c r="I910" s="103"/>
      <c r="J910" s="103"/>
      <c r="K910" s="103"/>
      <c r="L910" s="103"/>
      <c r="M910" s="103"/>
      <c r="N910" s="103"/>
      <c r="O910" s="103"/>
      <c r="P910" s="103"/>
      <c r="Q910" s="103"/>
      <c r="R910" s="103"/>
      <c r="S910" s="103"/>
      <c r="T910" s="103"/>
      <c r="U910" s="103"/>
      <c r="V910" s="103"/>
      <c r="W910" s="103"/>
      <c r="X910" s="103"/>
      <c r="Y910" s="103"/>
      <c r="Z910" s="103"/>
    </row>
    <row r="911" spans="1:26" ht="14.25" customHeight="1">
      <c r="A911" s="103"/>
      <c r="B911" s="103"/>
      <c r="C911" s="103"/>
      <c r="D911" s="103"/>
      <c r="E911" s="103"/>
      <c r="F911" s="103"/>
      <c r="G911" s="103"/>
      <c r="H911" s="103"/>
      <c r="I911" s="103"/>
      <c r="J911" s="103"/>
      <c r="K911" s="103"/>
      <c r="L911" s="103"/>
      <c r="M911" s="103"/>
      <c r="N911" s="103"/>
      <c r="O911" s="103"/>
      <c r="P911" s="103"/>
      <c r="Q911" s="103"/>
      <c r="R911" s="103"/>
      <c r="S911" s="103"/>
      <c r="T911" s="103"/>
      <c r="U911" s="103"/>
      <c r="V911" s="103"/>
      <c r="W911" s="103"/>
      <c r="X911" s="103"/>
      <c r="Y911" s="103"/>
      <c r="Z911" s="103"/>
    </row>
    <row r="912" spans="1:26" ht="14.25" customHeight="1">
      <c r="A912" s="103"/>
      <c r="B912" s="103"/>
      <c r="C912" s="103"/>
      <c r="D912" s="103"/>
      <c r="E912" s="103"/>
      <c r="F912" s="103"/>
      <c r="G912" s="103"/>
      <c r="H912" s="103"/>
      <c r="I912" s="103"/>
      <c r="J912" s="103"/>
      <c r="K912" s="103"/>
      <c r="L912" s="103"/>
      <c r="M912" s="103"/>
      <c r="N912" s="103"/>
      <c r="O912" s="103"/>
      <c r="P912" s="103"/>
      <c r="Q912" s="103"/>
      <c r="R912" s="103"/>
      <c r="S912" s="103"/>
      <c r="T912" s="103"/>
      <c r="U912" s="103"/>
      <c r="V912" s="103"/>
      <c r="W912" s="103"/>
      <c r="X912" s="103"/>
      <c r="Y912" s="103"/>
      <c r="Z912" s="103"/>
    </row>
    <row r="913" spans="1:26" ht="14.25" customHeight="1">
      <c r="A913" s="103"/>
      <c r="B913" s="103"/>
      <c r="C913" s="103"/>
      <c r="D913" s="103"/>
      <c r="E913" s="103"/>
      <c r="F913" s="103"/>
      <c r="G913" s="103"/>
      <c r="H913" s="103"/>
      <c r="I913" s="103"/>
      <c r="J913" s="103"/>
      <c r="K913" s="103"/>
      <c r="L913" s="103"/>
      <c r="M913" s="103"/>
      <c r="N913" s="103"/>
      <c r="O913" s="103"/>
      <c r="P913" s="103"/>
      <c r="Q913" s="103"/>
      <c r="R913" s="103"/>
      <c r="S913" s="103"/>
      <c r="T913" s="103"/>
      <c r="U913" s="103"/>
      <c r="V913" s="103"/>
      <c r="W913" s="103"/>
      <c r="X913" s="103"/>
      <c r="Y913" s="103"/>
      <c r="Z913" s="103"/>
    </row>
    <row r="914" spans="1:26" ht="14.25" customHeight="1">
      <c r="A914" s="103"/>
      <c r="B914" s="103"/>
      <c r="C914" s="103"/>
      <c r="D914" s="103"/>
      <c r="E914" s="103"/>
      <c r="F914" s="103"/>
      <c r="G914" s="103"/>
      <c r="H914" s="103"/>
      <c r="I914" s="103"/>
      <c r="J914" s="103"/>
      <c r="K914" s="103"/>
      <c r="L914" s="103"/>
      <c r="M914" s="103"/>
      <c r="N914" s="103"/>
      <c r="O914" s="103"/>
      <c r="P914" s="103"/>
      <c r="Q914" s="103"/>
      <c r="R914" s="103"/>
      <c r="S914" s="103"/>
      <c r="T914" s="103"/>
      <c r="U914" s="103"/>
      <c r="V914" s="103"/>
      <c r="W914" s="103"/>
      <c r="X914" s="103"/>
      <c r="Y914" s="103"/>
      <c r="Z914" s="103"/>
    </row>
    <row r="915" spans="1:26" ht="14.25" customHeight="1">
      <c r="A915" s="103"/>
      <c r="B915" s="103"/>
      <c r="C915" s="103"/>
      <c r="D915" s="103"/>
      <c r="E915" s="103"/>
      <c r="F915" s="103"/>
      <c r="G915" s="103"/>
      <c r="H915" s="103"/>
      <c r="I915" s="103"/>
      <c r="J915" s="103"/>
      <c r="K915" s="103"/>
      <c r="L915" s="103"/>
      <c r="M915" s="103"/>
      <c r="N915" s="103"/>
      <c r="O915" s="103"/>
      <c r="P915" s="103"/>
      <c r="Q915" s="103"/>
      <c r="R915" s="103"/>
      <c r="S915" s="103"/>
      <c r="T915" s="103"/>
      <c r="U915" s="103"/>
      <c r="V915" s="103"/>
      <c r="W915" s="103"/>
      <c r="X915" s="103"/>
      <c r="Y915" s="103"/>
      <c r="Z915" s="103"/>
    </row>
    <row r="916" spans="1:26" ht="14.25" customHeight="1">
      <c r="A916" s="103"/>
      <c r="B916" s="103"/>
      <c r="C916" s="103"/>
      <c r="D916" s="103"/>
      <c r="E916" s="103"/>
      <c r="F916" s="103"/>
      <c r="G916" s="103"/>
      <c r="H916" s="103"/>
      <c r="I916" s="103"/>
      <c r="J916" s="103"/>
      <c r="K916" s="103"/>
      <c r="L916" s="103"/>
      <c r="M916" s="103"/>
      <c r="N916" s="103"/>
      <c r="O916" s="103"/>
      <c r="P916" s="103"/>
      <c r="Q916" s="103"/>
      <c r="R916" s="103"/>
      <c r="S916" s="103"/>
      <c r="T916" s="103"/>
      <c r="U916" s="103"/>
      <c r="V916" s="103"/>
      <c r="W916" s="103"/>
      <c r="X916" s="103"/>
      <c r="Y916" s="103"/>
      <c r="Z916" s="103"/>
    </row>
    <row r="917" spans="1:26" ht="14.25" customHeight="1">
      <c r="A917" s="103"/>
      <c r="B917" s="103"/>
      <c r="C917" s="103"/>
      <c r="D917" s="103"/>
      <c r="E917" s="103"/>
      <c r="F917" s="103"/>
      <c r="G917" s="103"/>
      <c r="H917" s="103"/>
      <c r="I917" s="103"/>
      <c r="J917" s="103"/>
      <c r="K917" s="103"/>
      <c r="L917" s="103"/>
      <c r="M917" s="103"/>
      <c r="N917" s="103"/>
      <c r="O917" s="103"/>
      <c r="P917" s="103"/>
      <c r="Q917" s="103"/>
      <c r="R917" s="103"/>
      <c r="S917" s="103"/>
      <c r="T917" s="103"/>
      <c r="U917" s="103"/>
      <c r="V917" s="103"/>
      <c r="W917" s="103"/>
      <c r="X917" s="103"/>
      <c r="Y917" s="103"/>
      <c r="Z917" s="103"/>
    </row>
    <row r="918" spans="1:26" ht="14.25" customHeight="1">
      <c r="A918" s="103"/>
      <c r="B918" s="103"/>
      <c r="C918" s="103"/>
      <c r="D918" s="103"/>
      <c r="E918" s="103"/>
      <c r="F918" s="103"/>
      <c r="G918" s="103"/>
      <c r="H918" s="103"/>
      <c r="I918" s="103"/>
      <c r="J918" s="103"/>
      <c r="K918" s="103"/>
      <c r="L918" s="103"/>
      <c r="M918" s="103"/>
      <c r="N918" s="103"/>
      <c r="O918" s="103"/>
      <c r="P918" s="103"/>
      <c r="Q918" s="103"/>
      <c r="R918" s="103"/>
      <c r="S918" s="103"/>
      <c r="T918" s="103"/>
      <c r="U918" s="103"/>
      <c r="V918" s="103"/>
      <c r="W918" s="103"/>
      <c r="X918" s="103"/>
      <c r="Y918" s="103"/>
      <c r="Z918" s="103"/>
    </row>
    <row r="919" spans="1:26" ht="14.25" customHeight="1">
      <c r="A919" s="103"/>
      <c r="B919" s="103"/>
      <c r="C919" s="103"/>
      <c r="D919" s="103"/>
      <c r="E919" s="103"/>
      <c r="F919" s="103"/>
      <c r="G919" s="103"/>
      <c r="H919" s="103"/>
      <c r="I919" s="103"/>
      <c r="J919" s="103"/>
      <c r="K919" s="103"/>
      <c r="L919" s="103"/>
      <c r="M919" s="103"/>
      <c r="N919" s="103"/>
      <c r="O919" s="103"/>
      <c r="P919" s="103"/>
      <c r="Q919" s="103"/>
      <c r="R919" s="103"/>
      <c r="S919" s="103"/>
      <c r="T919" s="103"/>
      <c r="U919" s="103"/>
      <c r="V919" s="103"/>
      <c r="W919" s="103"/>
      <c r="X919" s="103"/>
      <c r="Y919" s="103"/>
      <c r="Z919" s="103"/>
    </row>
    <row r="920" spans="1:26" ht="14.25" customHeight="1">
      <c r="A920" s="103"/>
      <c r="B920" s="103"/>
      <c r="C920" s="103"/>
      <c r="D920" s="103"/>
      <c r="E920" s="103"/>
      <c r="F920" s="103"/>
      <c r="G920" s="103"/>
      <c r="H920" s="103"/>
      <c r="I920" s="103"/>
      <c r="J920" s="103"/>
      <c r="K920" s="103"/>
      <c r="L920" s="103"/>
      <c r="M920" s="103"/>
      <c r="N920" s="103"/>
      <c r="O920" s="103"/>
      <c r="P920" s="103"/>
      <c r="Q920" s="103"/>
      <c r="R920" s="103"/>
      <c r="S920" s="103"/>
      <c r="T920" s="103"/>
      <c r="U920" s="103"/>
      <c r="V920" s="103"/>
      <c r="W920" s="103"/>
      <c r="X920" s="103"/>
      <c r="Y920" s="103"/>
      <c r="Z920" s="103"/>
    </row>
    <row r="921" spans="1:26" ht="14.25" customHeight="1">
      <c r="A921" s="103"/>
      <c r="B921" s="103"/>
      <c r="C921" s="103"/>
      <c r="D921" s="103"/>
      <c r="E921" s="103"/>
      <c r="F921" s="103"/>
      <c r="G921" s="103"/>
      <c r="H921" s="103"/>
      <c r="I921" s="103"/>
      <c r="J921" s="103"/>
      <c r="K921" s="103"/>
      <c r="L921" s="103"/>
      <c r="M921" s="103"/>
      <c r="N921" s="103"/>
      <c r="O921" s="103"/>
      <c r="P921" s="103"/>
      <c r="Q921" s="103"/>
      <c r="R921" s="103"/>
      <c r="S921" s="103"/>
      <c r="T921" s="103"/>
      <c r="U921" s="103"/>
      <c r="V921" s="103"/>
      <c r="W921" s="103"/>
      <c r="X921" s="103"/>
      <c r="Y921" s="103"/>
      <c r="Z921" s="103"/>
    </row>
    <row r="922" spans="1:26" ht="14.25" customHeight="1">
      <c r="A922" s="103"/>
      <c r="B922" s="103"/>
      <c r="C922" s="103"/>
      <c r="D922" s="103"/>
      <c r="E922" s="103"/>
      <c r="F922" s="103"/>
      <c r="G922" s="103"/>
      <c r="H922" s="103"/>
      <c r="I922" s="103"/>
      <c r="J922" s="103"/>
      <c r="K922" s="103"/>
      <c r="L922" s="103"/>
      <c r="M922" s="103"/>
      <c r="N922" s="103"/>
      <c r="O922" s="103"/>
      <c r="P922" s="103"/>
      <c r="Q922" s="103"/>
      <c r="R922" s="103"/>
      <c r="S922" s="103"/>
      <c r="T922" s="103"/>
      <c r="U922" s="103"/>
      <c r="V922" s="103"/>
      <c r="W922" s="103"/>
      <c r="X922" s="103"/>
      <c r="Y922" s="103"/>
      <c r="Z922" s="103"/>
    </row>
    <row r="923" spans="1:26" ht="14.25" customHeight="1">
      <c r="A923" s="103"/>
      <c r="B923" s="103"/>
      <c r="C923" s="103"/>
      <c r="D923" s="103"/>
      <c r="E923" s="103"/>
      <c r="F923" s="103"/>
      <c r="G923" s="103"/>
      <c r="H923" s="103"/>
      <c r="I923" s="103"/>
      <c r="J923" s="103"/>
      <c r="K923" s="103"/>
      <c r="L923" s="103"/>
      <c r="M923" s="103"/>
      <c r="N923" s="103"/>
      <c r="O923" s="103"/>
      <c r="P923" s="103"/>
      <c r="Q923" s="103"/>
      <c r="R923" s="103"/>
      <c r="S923" s="103"/>
      <c r="T923" s="103"/>
      <c r="U923" s="103"/>
      <c r="V923" s="103"/>
      <c r="W923" s="103"/>
      <c r="X923" s="103"/>
      <c r="Y923" s="103"/>
      <c r="Z923" s="103"/>
    </row>
    <row r="924" spans="1:26" ht="14.25" customHeight="1">
      <c r="A924" s="103"/>
      <c r="B924" s="103"/>
      <c r="C924" s="103"/>
      <c r="D924" s="103"/>
      <c r="E924" s="103"/>
      <c r="F924" s="103"/>
      <c r="G924" s="103"/>
      <c r="H924" s="103"/>
      <c r="I924" s="103"/>
      <c r="J924" s="103"/>
      <c r="K924" s="103"/>
      <c r="L924" s="103"/>
      <c r="M924" s="103"/>
      <c r="N924" s="103"/>
      <c r="O924" s="103"/>
      <c r="P924" s="103"/>
      <c r="Q924" s="103"/>
      <c r="R924" s="103"/>
      <c r="S924" s="103"/>
      <c r="T924" s="103"/>
      <c r="U924" s="103"/>
      <c r="V924" s="103"/>
      <c r="W924" s="103"/>
      <c r="X924" s="103"/>
      <c r="Y924" s="103"/>
      <c r="Z924" s="103"/>
    </row>
    <row r="925" spans="1:26" ht="14.25" customHeight="1">
      <c r="A925" s="103"/>
      <c r="B925" s="103"/>
      <c r="C925" s="103"/>
      <c r="D925" s="103"/>
      <c r="E925" s="103"/>
      <c r="F925" s="103"/>
      <c r="G925" s="103"/>
      <c r="H925" s="103"/>
      <c r="I925" s="103"/>
      <c r="J925" s="103"/>
      <c r="K925" s="103"/>
      <c r="L925" s="103"/>
      <c r="M925" s="103"/>
      <c r="N925" s="103"/>
      <c r="O925" s="103"/>
      <c r="P925" s="103"/>
      <c r="Q925" s="103"/>
      <c r="R925" s="103"/>
      <c r="S925" s="103"/>
      <c r="T925" s="103"/>
      <c r="U925" s="103"/>
      <c r="V925" s="103"/>
      <c r="W925" s="103"/>
      <c r="X925" s="103"/>
      <c r="Y925" s="103"/>
      <c r="Z925" s="103"/>
    </row>
    <row r="926" spans="1:26" ht="14.25" customHeight="1">
      <c r="A926" s="103"/>
      <c r="B926" s="103"/>
      <c r="C926" s="103"/>
      <c r="D926" s="103"/>
      <c r="E926" s="103"/>
      <c r="F926" s="103"/>
      <c r="G926" s="103"/>
      <c r="H926" s="103"/>
      <c r="I926" s="103"/>
      <c r="J926" s="103"/>
      <c r="K926" s="103"/>
      <c r="L926" s="103"/>
      <c r="M926" s="103"/>
      <c r="N926" s="103"/>
      <c r="O926" s="103"/>
      <c r="P926" s="103"/>
      <c r="Q926" s="103"/>
      <c r="R926" s="103"/>
      <c r="S926" s="103"/>
      <c r="T926" s="103"/>
      <c r="U926" s="103"/>
      <c r="V926" s="103"/>
      <c r="W926" s="103"/>
      <c r="X926" s="103"/>
      <c r="Y926" s="103"/>
      <c r="Z926" s="103"/>
    </row>
    <row r="927" spans="1:26" ht="14.25" customHeight="1">
      <c r="A927" s="103"/>
      <c r="B927" s="103"/>
      <c r="C927" s="103"/>
      <c r="D927" s="103"/>
      <c r="E927" s="103"/>
      <c r="F927" s="103"/>
      <c r="G927" s="103"/>
      <c r="H927" s="103"/>
      <c r="I927" s="103"/>
      <c r="J927" s="103"/>
      <c r="K927" s="103"/>
      <c r="L927" s="103"/>
      <c r="M927" s="103"/>
      <c r="N927" s="103"/>
      <c r="O927" s="103"/>
      <c r="P927" s="103"/>
      <c r="Q927" s="103"/>
      <c r="R927" s="103"/>
      <c r="S927" s="103"/>
      <c r="T927" s="103"/>
      <c r="U927" s="103"/>
      <c r="V927" s="103"/>
      <c r="W927" s="103"/>
      <c r="X927" s="103"/>
      <c r="Y927" s="103"/>
      <c r="Z927" s="103"/>
    </row>
    <row r="928" spans="1:26" ht="14.25" customHeight="1">
      <c r="A928" s="103"/>
      <c r="B928" s="103"/>
      <c r="C928" s="103"/>
      <c r="D928" s="103"/>
      <c r="E928" s="103"/>
      <c r="F928" s="103"/>
      <c r="G928" s="103"/>
      <c r="H928" s="103"/>
      <c r="I928" s="103"/>
      <c r="J928" s="103"/>
      <c r="K928" s="103"/>
      <c r="L928" s="103"/>
      <c r="M928" s="103"/>
      <c r="N928" s="103"/>
      <c r="O928" s="103"/>
      <c r="P928" s="103"/>
      <c r="Q928" s="103"/>
      <c r="R928" s="103"/>
      <c r="S928" s="103"/>
      <c r="T928" s="103"/>
      <c r="U928" s="103"/>
      <c r="V928" s="103"/>
      <c r="W928" s="103"/>
      <c r="X928" s="103"/>
      <c r="Y928" s="103"/>
      <c r="Z928" s="103"/>
    </row>
    <row r="929" spans="1:26" ht="14.25" customHeight="1">
      <c r="A929" s="103"/>
      <c r="B929" s="103"/>
      <c r="C929" s="103"/>
      <c r="D929" s="103"/>
      <c r="E929" s="103"/>
      <c r="F929" s="103"/>
      <c r="G929" s="103"/>
      <c r="H929" s="103"/>
      <c r="I929" s="103"/>
      <c r="J929" s="103"/>
      <c r="K929" s="103"/>
      <c r="L929" s="103"/>
      <c r="M929" s="103"/>
      <c r="N929" s="103"/>
      <c r="O929" s="103"/>
      <c r="P929" s="103"/>
      <c r="Q929" s="103"/>
      <c r="R929" s="103"/>
      <c r="S929" s="103"/>
      <c r="T929" s="103"/>
      <c r="U929" s="103"/>
      <c r="V929" s="103"/>
      <c r="W929" s="103"/>
      <c r="X929" s="103"/>
      <c r="Y929" s="103"/>
      <c r="Z929" s="103"/>
    </row>
    <row r="930" spans="1:26" ht="14.25" customHeight="1">
      <c r="A930" s="103"/>
      <c r="B930" s="103"/>
      <c r="C930" s="103"/>
      <c r="D930" s="103"/>
      <c r="E930" s="103"/>
      <c r="F930" s="103"/>
      <c r="G930" s="103"/>
      <c r="H930" s="103"/>
      <c r="I930" s="103"/>
      <c r="J930" s="103"/>
      <c r="K930" s="103"/>
      <c r="L930" s="103"/>
      <c r="M930" s="103"/>
      <c r="N930" s="103"/>
      <c r="O930" s="103"/>
      <c r="P930" s="103"/>
      <c r="Q930" s="103"/>
      <c r="R930" s="103"/>
      <c r="S930" s="103"/>
      <c r="T930" s="103"/>
      <c r="U930" s="103"/>
      <c r="V930" s="103"/>
      <c r="W930" s="103"/>
      <c r="X930" s="103"/>
      <c r="Y930" s="103"/>
      <c r="Z930" s="103"/>
    </row>
    <row r="931" spans="1:26" ht="14.25" customHeight="1">
      <c r="A931" s="103"/>
      <c r="B931" s="103"/>
      <c r="C931" s="103"/>
      <c r="D931" s="103"/>
      <c r="E931" s="103"/>
      <c r="F931" s="103"/>
      <c r="G931" s="103"/>
      <c r="H931" s="103"/>
      <c r="I931" s="103"/>
      <c r="J931" s="103"/>
      <c r="K931" s="103"/>
      <c r="L931" s="103"/>
      <c r="M931" s="103"/>
      <c r="N931" s="103"/>
      <c r="O931" s="103"/>
      <c r="P931" s="103"/>
      <c r="Q931" s="103"/>
      <c r="R931" s="103"/>
      <c r="S931" s="103"/>
      <c r="T931" s="103"/>
      <c r="U931" s="103"/>
      <c r="V931" s="103"/>
      <c r="W931" s="103"/>
      <c r="X931" s="103"/>
      <c r="Y931" s="103"/>
      <c r="Z931" s="103"/>
    </row>
    <row r="932" spans="1:26" ht="14.25" customHeight="1">
      <c r="A932" s="103"/>
      <c r="B932" s="103"/>
      <c r="C932" s="103"/>
      <c r="D932" s="103"/>
      <c r="E932" s="103"/>
      <c r="F932" s="103"/>
      <c r="G932" s="103"/>
      <c r="H932" s="103"/>
      <c r="I932" s="103"/>
      <c r="J932" s="103"/>
      <c r="K932" s="103"/>
      <c r="L932" s="103"/>
      <c r="M932" s="103"/>
      <c r="N932" s="103"/>
      <c r="O932" s="103"/>
      <c r="P932" s="103"/>
      <c r="Q932" s="103"/>
      <c r="R932" s="103"/>
      <c r="S932" s="103"/>
      <c r="T932" s="103"/>
      <c r="U932" s="103"/>
      <c r="V932" s="103"/>
      <c r="W932" s="103"/>
      <c r="X932" s="103"/>
      <c r="Y932" s="103"/>
      <c r="Z932" s="103"/>
    </row>
    <row r="933" spans="1:26" ht="14.25" customHeight="1">
      <c r="A933" s="103"/>
      <c r="B933" s="103"/>
      <c r="C933" s="103"/>
      <c r="D933" s="103"/>
      <c r="E933" s="103"/>
      <c r="F933" s="103"/>
      <c r="G933" s="103"/>
      <c r="H933" s="103"/>
      <c r="I933" s="103"/>
      <c r="J933" s="103"/>
      <c r="K933" s="103"/>
      <c r="L933" s="103"/>
      <c r="M933" s="103"/>
      <c r="N933" s="103"/>
      <c r="O933" s="103"/>
      <c r="P933" s="103"/>
      <c r="Q933" s="103"/>
      <c r="R933" s="103"/>
      <c r="S933" s="103"/>
      <c r="T933" s="103"/>
      <c r="U933" s="103"/>
      <c r="V933" s="103"/>
      <c r="W933" s="103"/>
      <c r="X933" s="103"/>
      <c r="Y933" s="103"/>
      <c r="Z933" s="103"/>
    </row>
    <row r="934" spans="1:26" ht="14.25" customHeight="1">
      <c r="A934" s="103"/>
      <c r="B934" s="103"/>
      <c r="C934" s="103"/>
      <c r="D934" s="103"/>
      <c r="E934" s="103"/>
      <c r="F934" s="103"/>
      <c r="G934" s="103"/>
      <c r="H934" s="103"/>
      <c r="I934" s="103"/>
      <c r="J934" s="103"/>
      <c r="K934" s="103"/>
      <c r="L934" s="103"/>
      <c r="M934" s="103"/>
      <c r="N934" s="103"/>
      <c r="O934" s="103"/>
      <c r="P934" s="103"/>
      <c r="Q934" s="103"/>
      <c r="R934" s="103"/>
      <c r="S934" s="103"/>
      <c r="T934" s="103"/>
      <c r="U934" s="103"/>
      <c r="V934" s="103"/>
      <c r="W934" s="103"/>
      <c r="X934" s="103"/>
      <c r="Y934" s="103"/>
      <c r="Z934" s="103"/>
    </row>
    <row r="935" spans="1:26" ht="14.25" customHeight="1">
      <c r="A935" s="103"/>
      <c r="B935" s="103"/>
      <c r="C935" s="103"/>
      <c r="D935" s="103"/>
      <c r="E935" s="103"/>
      <c r="F935" s="103"/>
      <c r="G935" s="103"/>
      <c r="H935" s="103"/>
      <c r="I935" s="103"/>
      <c r="J935" s="103"/>
      <c r="K935" s="103"/>
      <c r="L935" s="103"/>
      <c r="M935" s="103"/>
      <c r="N935" s="103"/>
      <c r="O935" s="103"/>
      <c r="P935" s="103"/>
      <c r="Q935" s="103"/>
      <c r="R935" s="103"/>
      <c r="S935" s="103"/>
      <c r="T935" s="103"/>
      <c r="U935" s="103"/>
      <c r="V935" s="103"/>
      <c r="W935" s="103"/>
      <c r="X935" s="103"/>
      <c r="Y935" s="103"/>
      <c r="Z935" s="103"/>
    </row>
    <row r="936" spans="1:26" ht="14.25" customHeight="1">
      <c r="A936" s="103"/>
      <c r="B936" s="103"/>
      <c r="C936" s="103"/>
      <c r="D936" s="103"/>
      <c r="E936" s="103"/>
      <c r="F936" s="103"/>
      <c r="G936" s="103"/>
      <c r="H936" s="103"/>
      <c r="I936" s="103"/>
      <c r="J936" s="103"/>
      <c r="K936" s="103"/>
      <c r="L936" s="103"/>
      <c r="M936" s="103"/>
      <c r="N936" s="103"/>
      <c r="O936" s="103"/>
      <c r="P936" s="103"/>
      <c r="Q936" s="103"/>
      <c r="R936" s="103"/>
      <c r="S936" s="103"/>
      <c r="T936" s="103"/>
      <c r="U936" s="103"/>
      <c r="V936" s="103"/>
      <c r="W936" s="103"/>
      <c r="X936" s="103"/>
      <c r="Y936" s="103"/>
      <c r="Z936" s="103"/>
    </row>
    <row r="937" spans="1:26" ht="14.25" customHeight="1">
      <c r="A937" s="103"/>
      <c r="B937" s="103"/>
      <c r="C937" s="103"/>
      <c r="D937" s="103"/>
      <c r="E937" s="103"/>
      <c r="F937" s="103"/>
      <c r="G937" s="103"/>
      <c r="H937" s="103"/>
      <c r="I937" s="103"/>
      <c r="J937" s="103"/>
      <c r="K937" s="103"/>
      <c r="L937" s="103"/>
      <c r="M937" s="103"/>
      <c r="N937" s="103"/>
      <c r="O937" s="103"/>
      <c r="P937" s="103"/>
      <c r="Q937" s="103"/>
      <c r="R937" s="103"/>
      <c r="S937" s="103"/>
      <c r="T937" s="103"/>
      <c r="U937" s="103"/>
      <c r="V937" s="103"/>
      <c r="W937" s="103"/>
      <c r="X937" s="103"/>
      <c r="Y937" s="103"/>
      <c r="Z937" s="103"/>
    </row>
    <row r="938" spans="1:26" ht="14.25" customHeight="1">
      <c r="A938" s="103"/>
      <c r="B938" s="103"/>
      <c r="C938" s="103"/>
      <c r="D938" s="103"/>
      <c r="E938" s="103"/>
      <c r="F938" s="103"/>
      <c r="G938" s="103"/>
      <c r="H938" s="103"/>
      <c r="I938" s="103"/>
      <c r="J938" s="103"/>
      <c r="K938" s="103"/>
      <c r="L938" s="103"/>
      <c r="M938" s="103"/>
      <c r="N938" s="103"/>
      <c r="O938" s="103"/>
      <c r="P938" s="103"/>
      <c r="Q938" s="103"/>
      <c r="R938" s="103"/>
      <c r="S938" s="103"/>
      <c r="T938" s="103"/>
      <c r="U938" s="103"/>
      <c r="V938" s="103"/>
      <c r="W938" s="103"/>
      <c r="X938" s="103"/>
      <c r="Y938" s="103"/>
      <c r="Z938" s="103"/>
    </row>
    <row r="939" spans="1:26" ht="14.25" customHeight="1">
      <c r="A939" s="103"/>
      <c r="B939" s="103"/>
      <c r="C939" s="103"/>
      <c r="D939" s="103"/>
      <c r="E939" s="103"/>
      <c r="F939" s="103"/>
      <c r="G939" s="103"/>
      <c r="H939" s="103"/>
      <c r="I939" s="103"/>
      <c r="J939" s="103"/>
      <c r="K939" s="103"/>
      <c r="L939" s="103"/>
      <c r="M939" s="103"/>
      <c r="N939" s="103"/>
      <c r="O939" s="103"/>
      <c r="P939" s="103"/>
      <c r="Q939" s="103"/>
      <c r="R939" s="103"/>
      <c r="S939" s="103"/>
      <c r="T939" s="103"/>
      <c r="U939" s="103"/>
      <c r="V939" s="103"/>
      <c r="W939" s="103"/>
      <c r="X939" s="103"/>
      <c r="Y939" s="103"/>
      <c r="Z939" s="103"/>
    </row>
    <row r="940" spans="1:26" ht="14.25" customHeight="1">
      <c r="A940" s="103"/>
      <c r="B940" s="103"/>
      <c r="C940" s="103"/>
      <c r="D940" s="103"/>
      <c r="E940" s="103"/>
      <c r="F940" s="103"/>
      <c r="G940" s="103"/>
      <c r="H940" s="103"/>
      <c r="I940" s="103"/>
      <c r="J940" s="103"/>
      <c r="K940" s="103"/>
      <c r="L940" s="103"/>
      <c r="M940" s="103"/>
      <c r="N940" s="103"/>
      <c r="O940" s="103"/>
      <c r="P940" s="103"/>
      <c r="Q940" s="103"/>
      <c r="R940" s="103"/>
      <c r="S940" s="103"/>
      <c r="T940" s="103"/>
      <c r="U940" s="103"/>
      <c r="V940" s="103"/>
      <c r="W940" s="103"/>
      <c r="X940" s="103"/>
      <c r="Y940" s="103"/>
      <c r="Z940" s="103"/>
    </row>
    <row r="941" spans="1:26" ht="14.25" customHeight="1">
      <c r="A941" s="103"/>
      <c r="B941" s="103"/>
      <c r="C941" s="103"/>
      <c r="D941" s="103"/>
      <c r="E941" s="103"/>
      <c r="F941" s="103"/>
      <c r="G941" s="103"/>
      <c r="H941" s="103"/>
      <c r="I941" s="103"/>
      <c r="J941" s="103"/>
      <c r="K941" s="103"/>
      <c r="L941" s="103"/>
      <c r="M941" s="103"/>
      <c r="N941" s="103"/>
      <c r="O941" s="103"/>
      <c r="P941" s="103"/>
      <c r="Q941" s="103"/>
      <c r="R941" s="103"/>
      <c r="S941" s="103"/>
      <c r="T941" s="103"/>
      <c r="U941" s="103"/>
      <c r="V941" s="103"/>
      <c r="W941" s="103"/>
      <c r="X941" s="103"/>
      <c r="Y941" s="103"/>
      <c r="Z941" s="103"/>
    </row>
    <row r="942" spans="1:26" ht="14.25" customHeight="1">
      <c r="A942" s="103"/>
      <c r="B942" s="103"/>
      <c r="C942" s="103"/>
      <c r="D942" s="103"/>
      <c r="E942" s="103"/>
      <c r="F942" s="103"/>
      <c r="G942" s="103"/>
      <c r="H942" s="103"/>
      <c r="I942" s="103"/>
      <c r="J942" s="103"/>
      <c r="K942" s="103"/>
      <c r="L942" s="103"/>
      <c r="M942" s="103"/>
      <c r="N942" s="103"/>
      <c r="O942" s="103"/>
      <c r="P942" s="103"/>
      <c r="Q942" s="103"/>
      <c r="R942" s="103"/>
      <c r="S942" s="103"/>
      <c r="T942" s="103"/>
      <c r="U942" s="103"/>
      <c r="V942" s="103"/>
      <c r="W942" s="103"/>
      <c r="X942" s="103"/>
      <c r="Y942" s="103"/>
      <c r="Z942" s="103"/>
    </row>
    <row r="943" spans="1:26" ht="14.25" customHeight="1">
      <c r="A943" s="103"/>
      <c r="B943" s="103"/>
      <c r="C943" s="103"/>
      <c r="D943" s="103"/>
      <c r="E943" s="103"/>
      <c r="F943" s="103"/>
      <c r="G943" s="103"/>
      <c r="H943" s="103"/>
      <c r="I943" s="103"/>
      <c r="J943" s="103"/>
      <c r="K943" s="103"/>
      <c r="L943" s="103"/>
      <c r="M943" s="103"/>
      <c r="N943" s="103"/>
      <c r="O943" s="103"/>
      <c r="P943" s="103"/>
      <c r="Q943" s="103"/>
      <c r="R943" s="103"/>
      <c r="S943" s="103"/>
      <c r="T943" s="103"/>
      <c r="U943" s="103"/>
      <c r="V943" s="103"/>
      <c r="W943" s="103"/>
      <c r="X943" s="103"/>
      <c r="Y943" s="103"/>
      <c r="Z943" s="103"/>
    </row>
    <row r="944" spans="1:26" ht="14.25" customHeight="1">
      <c r="A944" s="103"/>
      <c r="B944" s="103"/>
      <c r="C944" s="103"/>
      <c r="D944" s="103"/>
      <c r="E944" s="103"/>
      <c r="F944" s="103"/>
      <c r="G944" s="103"/>
      <c r="H944" s="103"/>
      <c r="I944" s="103"/>
      <c r="J944" s="103"/>
      <c r="K944" s="103"/>
      <c r="L944" s="103"/>
      <c r="M944" s="103"/>
      <c r="N944" s="103"/>
      <c r="O944" s="103"/>
      <c r="P944" s="103"/>
      <c r="Q944" s="103"/>
      <c r="R944" s="103"/>
      <c r="S944" s="103"/>
      <c r="T944" s="103"/>
      <c r="U944" s="103"/>
      <c r="V944" s="103"/>
      <c r="W944" s="103"/>
      <c r="X944" s="103"/>
      <c r="Y944" s="103"/>
      <c r="Z944" s="103"/>
    </row>
    <row r="945" spans="1:26" ht="14.25" customHeight="1">
      <c r="A945" s="103"/>
      <c r="B945" s="103"/>
      <c r="C945" s="103"/>
      <c r="D945" s="103"/>
      <c r="E945" s="103"/>
      <c r="F945" s="103"/>
      <c r="G945" s="103"/>
      <c r="H945" s="103"/>
      <c r="I945" s="103"/>
      <c r="J945" s="103"/>
      <c r="K945" s="103"/>
      <c r="L945" s="103"/>
      <c r="M945" s="103"/>
      <c r="N945" s="103"/>
      <c r="O945" s="103"/>
      <c r="P945" s="103"/>
      <c r="Q945" s="103"/>
      <c r="R945" s="103"/>
      <c r="S945" s="103"/>
      <c r="T945" s="103"/>
      <c r="U945" s="103"/>
      <c r="V945" s="103"/>
      <c r="W945" s="103"/>
      <c r="X945" s="103"/>
      <c r="Y945" s="103"/>
      <c r="Z945" s="103"/>
    </row>
    <row r="946" spans="1:26" ht="14.25" customHeight="1">
      <c r="A946" s="103"/>
      <c r="B946" s="103"/>
      <c r="C946" s="103"/>
      <c r="D946" s="103"/>
      <c r="E946" s="103"/>
      <c r="F946" s="103"/>
      <c r="G946" s="103"/>
      <c r="H946" s="103"/>
      <c r="I946" s="103"/>
      <c r="J946" s="103"/>
      <c r="K946" s="103"/>
      <c r="L946" s="103"/>
      <c r="M946" s="103"/>
      <c r="N946" s="103"/>
      <c r="O946" s="103"/>
      <c r="P946" s="103"/>
      <c r="Q946" s="103"/>
      <c r="R946" s="103"/>
      <c r="S946" s="103"/>
      <c r="T946" s="103"/>
      <c r="U946" s="103"/>
      <c r="V946" s="103"/>
      <c r="W946" s="103"/>
      <c r="X946" s="103"/>
      <c r="Y946" s="103"/>
      <c r="Z946" s="103"/>
    </row>
    <row r="947" spans="1:26" ht="14.25" customHeight="1">
      <c r="A947" s="103"/>
      <c r="B947" s="103"/>
      <c r="C947" s="103"/>
      <c r="D947" s="103"/>
      <c r="E947" s="103"/>
      <c r="F947" s="103"/>
      <c r="G947" s="103"/>
      <c r="H947" s="103"/>
      <c r="I947" s="103"/>
      <c r="J947" s="103"/>
      <c r="K947" s="103"/>
      <c r="L947" s="103"/>
      <c r="M947" s="103"/>
      <c r="N947" s="103"/>
      <c r="O947" s="103"/>
      <c r="P947" s="103"/>
      <c r="Q947" s="103"/>
      <c r="R947" s="103"/>
      <c r="S947" s="103"/>
      <c r="T947" s="103"/>
      <c r="U947" s="103"/>
      <c r="V947" s="103"/>
      <c r="W947" s="103"/>
      <c r="X947" s="103"/>
      <c r="Y947" s="103"/>
      <c r="Z947" s="103"/>
    </row>
    <row r="948" spans="1:26" ht="14.25" customHeight="1">
      <c r="A948" s="103"/>
      <c r="B948" s="103"/>
      <c r="C948" s="103"/>
      <c r="D948" s="103"/>
      <c r="E948" s="103"/>
      <c r="F948" s="103"/>
      <c r="G948" s="103"/>
      <c r="H948" s="103"/>
      <c r="I948" s="103"/>
      <c r="J948" s="103"/>
      <c r="K948" s="103"/>
      <c r="L948" s="103"/>
      <c r="M948" s="103"/>
      <c r="N948" s="103"/>
      <c r="O948" s="103"/>
      <c r="P948" s="103"/>
      <c r="Q948" s="103"/>
      <c r="R948" s="103"/>
      <c r="S948" s="103"/>
      <c r="T948" s="103"/>
      <c r="U948" s="103"/>
      <c r="V948" s="103"/>
      <c r="W948" s="103"/>
      <c r="X948" s="103"/>
      <c r="Y948" s="103"/>
      <c r="Z948" s="103"/>
    </row>
    <row r="949" spans="1:26" ht="14.25" customHeight="1">
      <c r="A949" s="103"/>
      <c r="B949" s="103"/>
      <c r="C949" s="103"/>
      <c r="D949" s="103"/>
      <c r="E949" s="103"/>
      <c r="F949" s="103"/>
      <c r="G949" s="103"/>
      <c r="H949" s="103"/>
      <c r="I949" s="103"/>
      <c r="J949" s="103"/>
      <c r="K949" s="103"/>
      <c r="L949" s="103"/>
      <c r="M949" s="103"/>
      <c r="N949" s="103"/>
      <c r="O949" s="103"/>
      <c r="P949" s="103"/>
      <c r="Q949" s="103"/>
      <c r="R949" s="103"/>
      <c r="S949" s="103"/>
      <c r="T949" s="103"/>
      <c r="U949" s="103"/>
      <c r="V949" s="103"/>
      <c r="W949" s="103"/>
      <c r="X949" s="103"/>
      <c r="Y949" s="103"/>
      <c r="Z949" s="103"/>
    </row>
    <row r="950" spans="1:26" ht="14.25" customHeight="1">
      <c r="A950" s="103"/>
      <c r="B950" s="103"/>
      <c r="C950" s="103"/>
      <c r="D950" s="103"/>
      <c r="E950" s="103"/>
      <c r="F950" s="103"/>
      <c r="G950" s="103"/>
      <c r="H950" s="103"/>
      <c r="I950" s="103"/>
      <c r="J950" s="103"/>
      <c r="K950" s="103"/>
      <c r="L950" s="103"/>
      <c r="M950" s="103"/>
      <c r="N950" s="103"/>
      <c r="O950" s="103"/>
      <c r="P950" s="103"/>
      <c r="Q950" s="103"/>
      <c r="R950" s="103"/>
      <c r="S950" s="103"/>
      <c r="T950" s="103"/>
      <c r="U950" s="103"/>
      <c r="V950" s="103"/>
      <c r="W950" s="103"/>
      <c r="X950" s="103"/>
      <c r="Y950" s="103"/>
      <c r="Z950" s="103"/>
    </row>
    <row r="951" spans="1:26" ht="14.25" customHeight="1">
      <c r="A951" s="103"/>
      <c r="B951" s="103"/>
      <c r="C951" s="103"/>
      <c r="D951" s="103"/>
      <c r="E951" s="103"/>
      <c r="F951" s="103"/>
      <c r="G951" s="103"/>
      <c r="H951" s="103"/>
      <c r="I951" s="103"/>
      <c r="J951" s="103"/>
      <c r="K951" s="103"/>
      <c r="L951" s="103"/>
      <c r="M951" s="103"/>
      <c r="N951" s="103"/>
      <c r="O951" s="103"/>
      <c r="P951" s="103"/>
      <c r="Q951" s="103"/>
      <c r="R951" s="103"/>
      <c r="S951" s="103"/>
      <c r="T951" s="103"/>
      <c r="U951" s="103"/>
      <c r="V951" s="103"/>
      <c r="W951" s="103"/>
      <c r="X951" s="103"/>
      <c r="Y951" s="103"/>
      <c r="Z951" s="103"/>
    </row>
    <row r="952" spans="1:26" ht="14.25" customHeight="1">
      <c r="A952" s="103"/>
      <c r="B952" s="103"/>
      <c r="C952" s="103"/>
      <c r="D952" s="103"/>
      <c r="E952" s="103"/>
      <c r="F952" s="103"/>
      <c r="G952" s="103"/>
      <c r="H952" s="103"/>
      <c r="I952" s="103"/>
      <c r="J952" s="103"/>
      <c r="K952" s="103"/>
      <c r="L952" s="103"/>
      <c r="M952" s="103"/>
      <c r="N952" s="103"/>
      <c r="O952" s="103"/>
      <c r="P952" s="103"/>
      <c r="Q952" s="103"/>
      <c r="R952" s="103"/>
      <c r="S952" s="103"/>
      <c r="T952" s="103"/>
      <c r="U952" s="103"/>
      <c r="V952" s="103"/>
      <c r="W952" s="103"/>
      <c r="X952" s="103"/>
      <c r="Y952" s="103"/>
      <c r="Z952" s="103"/>
    </row>
    <row r="953" spans="1:26" ht="14.25" customHeight="1">
      <c r="A953" s="103"/>
      <c r="B953" s="103"/>
      <c r="C953" s="103"/>
      <c r="D953" s="103"/>
      <c r="E953" s="103"/>
      <c r="F953" s="103"/>
      <c r="G953" s="103"/>
      <c r="H953" s="103"/>
      <c r="I953" s="103"/>
      <c r="J953" s="103"/>
      <c r="K953" s="103"/>
      <c r="L953" s="103"/>
      <c r="M953" s="103"/>
      <c r="N953" s="103"/>
      <c r="O953" s="103"/>
      <c r="P953" s="103"/>
      <c r="Q953" s="103"/>
      <c r="R953" s="103"/>
      <c r="S953" s="103"/>
      <c r="T953" s="103"/>
      <c r="U953" s="103"/>
      <c r="V953" s="103"/>
      <c r="W953" s="103"/>
      <c r="X953" s="103"/>
      <c r="Y953" s="103"/>
      <c r="Z953" s="103"/>
    </row>
    <row r="954" spans="1:26" ht="14.25" customHeight="1">
      <c r="A954" s="103"/>
      <c r="B954" s="103"/>
      <c r="C954" s="103"/>
      <c r="D954" s="103"/>
      <c r="E954" s="103"/>
      <c r="F954" s="103"/>
      <c r="G954" s="103"/>
      <c r="H954" s="103"/>
      <c r="I954" s="103"/>
      <c r="J954" s="103"/>
      <c r="K954" s="103"/>
      <c r="L954" s="103"/>
      <c r="M954" s="103"/>
      <c r="N954" s="103"/>
      <c r="O954" s="103"/>
      <c r="P954" s="103"/>
      <c r="Q954" s="103"/>
      <c r="R954" s="103"/>
      <c r="S954" s="103"/>
      <c r="T954" s="103"/>
      <c r="U954" s="103"/>
      <c r="V954" s="103"/>
      <c r="W954" s="103"/>
      <c r="X954" s="103"/>
      <c r="Y954" s="103"/>
      <c r="Z954" s="103"/>
    </row>
    <row r="955" spans="1:26" ht="14.25" customHeight="1">
      <c r="A955" s="103"/>
      <c r="B955" s="103"/>
      <c r="C955" s="103"/>
      <c r="D955" s="103"/>
      <c r="E955" s="103"/>
      <c r="F955" s="103"/>
      <c r="G955" s="103"/>
      <c r="H955" s="103"/>
      <c r="I955" s="103"/>
      <c r="J955" s="103"/>
      <c r="K955" s="103"/>
      <c r="L955" s="103"/>
      <c r="M955" s="103"/>
      <c r="N955" s="103"/>
      <c r="O955" s="103"/>
      <c r="P955" s="103"/>
      <c r="Q955" s="103"/>
      <c r="R955" s="103"/>
      <c r="S955" s="103"/>
      <c r="T955" s="103"/>
      <c r="U955" s="103"/>
      <c r="V955" s="103"/>
      <c r="W955" s="103"/>
      <c r="X955" s="103"/>
      <c r="Y955" s="103"/>
      <c r="Z955" s="103"/>
    </row>
    <row r="956" spans="1:26" ht="14.25" customHeight="1">
      <c r="A956" s="103"/>
      <c r="B956" s="103"/>
      <c r="C956" s="103"/>
      <c r="D956" s="103"/>
      <c r="E956" s="103"/>
      <c r="F956" s="103"/>
      <c r="G956" s="103"/>
      <c r="H956" s="103"/>
      <c r="I956" s="103"/>
      <c r="J956" s="103"/>
      <c r="K956" s="103"/>
      <c r="L956" s="103"/>
      <c r="M956" s="103"/>
      <c r="N956" s="103"/>
      <c r="O956" s="103"/>
      <c r="P956" s="103"/>
      <c r="Q956" s="103"/>
      <c r="R956" s="103"/>
      <c r="S956" s="103"/>
      <c r="T956" s="103"/>
      <c r="U956" s="103"/>
      <c r="V956" s="103"/>
      <c r="W956" s="103"/>
      <c r="X956" s="103"/>
      <c r="Y956" s="103"/>
      <c r="Z956" s="103"/>
    </row>
    <row r="957" spans="1:26" ht="14.25" customHeight="1">
      <c r="A957" s="103"/>
      <c r="B957" s="103"/>
      <c r="C957" s="103"/>
      <c r="D957" s="103"/>
      <c r="E957" s="103"/>
      <c r="F957" s="103"/>
      <c r="G957" s="103"/>
      <c r="H957" s="103"/>
      <c r="I957" s="103"/>
      <c r="J957" s="103"/>
      <c r="K957" s="103"/>
      <c r="L957" s="103"/>
      <c r="M957" s="103"/>
      <c r="N957" s="103"/>
      <c r="O957" s="103"/>
      <c r="P957" s="103"/>
      <c r="Q957" s="103"/>
      <c r="R957" s="103"/>
      <c r="S957" s="103"/>
      <c r="T957" s="103"/>
      <c r="U957" s="103"/>
      <c r="V957" s="103"/>
      <c r="W957" s="103"/>
      <c r="X957" s="103"/>
      <c r="Y957" s="103"/>
      <c r="Z957" s="103"/>
    </row>
    <row r="958" spans="1:26" ht="14.25" customHeight="1">
      <c r="A958" s="103"/>
      <c r="B958" s="103"/>
      <c r="C958" s="103"/>
      <c r="D958" s="103"/>
      <c r="E958" s="103"/>
      <c r="F958" s="103"/>
      <c r="G958" s="103"/>
      <c r="H958" s="103"/>
      <c r="I958" s="103"/>
      <c r="J958" s="103"/>
      <c r="K958" s="103"/>
      <c r="L958" s="103"/>
      <c r="M958" s="103"/>
      <c r="N958" s="103"/>
      <c r="O958" s="103"/>
      <c r="P958" s="103"/>
      <c r="Q958" s="103"/>
      <c r="R958" s="103"/>
      <c r="S958" s="103"/>
      <c r="T958" s="103"/>
      <c r="U958" s="103"/>
      <c r="V958" s="103"/>
      <c r="W958" s="103"/>
      <c r="X958" s="103"/>
      <c r="Y958" s="103"/>
      <c r="Z958" s="103"/>
    </row>
    <row r="959" spans="1:26" ht="14.25" customHeight="1">
      <c r="A959" s="103"/>
      <c r="B959" s="103"/>
      <c r="C959" s="103"/>
      <c r="D959" s="103"/>
      <c r="E959" s="103"/>
      <c r="F959" s="103"/>
      <c r="G959" s="103"/>
      <c r="H959" s="103"/>
      <c r="I959" s="103"/>
      <c r="J959" s="103"/>
      <c r="K959" s="103"/>
      <c r="L959" s="103"/>
      <c r="M959" s="103"/>
      <c r="N959" s="103"/>
      <c r="O959" s="103"/>
      <c r="P959" s="103"/>
      <c r="Q959" s="103"/>
      <c r="R959" s="103"/>
      <c r="S959" s="103"/>
      <c r="T959" s="103"/>
      <c r="U959" s="103"/>
      <c r="V959" s="103"/>
      <c r="W959" s="103"/>
      <c r="X959" s="103"/>
      <c r="Y959" s="103"/>
      <c r="Z959" s="103"/>
    </row>
    <row r="960" spans="1:26" ht="14.25" customHeight="1">
      <c r="A960" s="103"/>
      <c r="B960" s="103"/>
      <c r="C960" s="103"/>
      <c r="D960" s="103"/>
      <c r="E960" s="103"/>
      <c r="F960" s="103"/>
      <c r="G960" s="103"/>
      <c r="H960" s="103"/>
      <c r="I960" s="103"/>
      <c r="J960" s="103"/>
      <c r="K960" s="103"/>
      <c r="L960" s="103"/>
      <c r="M960" s="103"/>
      <c r="N960" s="103"/>
      <c r="O960" s="103"/>
      <c r="P960" s="103"/>
      <c r="Q960" s="103"/>
      <c r="R960" s="103"/>
      <c r="S960" s="103"/>
      <c r="T960" s="103"/>
      <c r="U960" s="103"/>
      <c r="V960" s="103"/>
      <c r="W960" s="103"/>
      <c r="X960" s="103"/>
      <c r="Y960" s="103"/>
      <c r="Z960" s="103"/>
    </row>
    <row r="961" spans="1:26" ht="14.25" customHeight="1">
      <c r="A961" s="103"/>
      <c r="B961" s="103"/>
      <c r="C961" s="103"/>
      <c r="D961" s="103"/>
      <c r="E961" s="103"/>
      <c r="F961" s="103"/>
      <c r="G961" s="103"/>
      <c r="H961" s="103"/>
      <c r="I961" s="103"/>
      <c r="J961" s="103"/>
      <c r="K961" s="103"/>
      <c r="L961" s="103"/>
      <c r="M961" s="103"/>
      <c r="N961" s="103"/>
      <c r="O961" s="103"/>
      <c r="P961" s="103"/>
      <c r="Q961" s="103"/>
      <c r="R961" s="103"/>
      <c r="S961" s="103"/>
      <c r="T961" s="103"/>
      <c r="U961" s="103"/>
      <c r="V961" s="103"/>
      <c r="W961" s="103"/>
      <c r="X961" s="103"/>
      <c r="Y961" s="103"/>
      <c r="Z961" s="103"/>
    </row>
    <row r="962" spans="1:26" ht="14.25" customHeight="1">
      <c r="A962" s="103"/>
      <c r="B962" s="103"/>
      <c r="C962" s="103"/>
      <c r="D962" s="103"/>
      <c r="E962" s="103"/>
      <c r="F962" s="103"/>
      <c r="G962" s="103"/>
      <c r="H962" s="103"/>
      <c r="I962" s="103"/>
      <c r="J962" s="103"/>
      <c r="K962" s="103"/>
      <c r="L962" s="103"/>
      <c r="M962" s="103"/>
      <c r="N962" s="103"/>
      <c r="O962" s="103"/>
      <c r="P962" s="103"/>
      <c r="Q962" s="103"/>
      <c r="R962" s="103"/>
      <c r="S962" s="103"/>
      <c r="T962" s="103"/>
      <c r="U962" s="103"/>
      <c r="V962" s="103"/>
      <c r="W962" s="103"/>
      <c r="X962" s="103"/>
      <c r="Y962" s="103"/>
      <c r="Z962" s="103"/>
    </row>
    <row r="963" spans="1:26" ht="14.25" customHeight="1">
      <c r="A963" s="103"/>
      <c r="B963" s="103"/>
      <c r="C963" s="103"/>
      <c r="D963" s="103"/>
      <c r="E963" s="103"/>
      <c r="F963" s="103"/>
      <c r="G963" s="103"/>
      <c r="H963" s="103"/>
      <c r="I963" s="103"/>
      <c r="J963" s="103"/>
      <c r="K963" s="103"/>
      <c r="L963" s="103"/>
      <c r="M963" s="103"/>
      <c r="N963" s="103"/>
      <c r="O963" s="103"/>
      <c r="P963" s="103"/>
      <c r="Q963" s="103"/>
      <c r="R963" s="103"/>
      <c r="S963" s="103"/>
      <c r="T963" s="103"/>
      <c r="U963" s="103"/>
      <c r="V963" s="103"/>
      <c r="W963" s="103"/>
      <c r="X963" s="103"/>
      <c r="Y963" s="103"/>
      <c r="Z963" s="103"/>
    </row>
    <row r="964" spans="1:26" ht="14.25" customHeight="1">
      <c r="A964" s="103"/>
      <c r="B964" s="103"/>
      <c r="C964" s="103"/>
      <c r="D964" s="103"/>
      <c r="E964" s="103"/>
      <c r="F964" s="103"/>
      <c r="G964" s="103"/>
      <c r="H964" s="103"/>
      <c r="I964" s="103"/>
      <c r="J964" s="103"/>
      <c r="K964" s="103"/>
      <c r="L964" s="103"/>
      <c r="M964" s="103"/>
      <c r="N964" s="103"/>
      <c r="O964" s="103"/>
      <c r="P964" s="103"/>
      <c r="Q964" s="103"/>
      <c r="R964" s="103"/>
      <c r="S964" s="103"/>
      <c r="T964" s="103"/>
      <c r="U964" s="103"/>
      <c r="V964" s="103"/>
      <c r="W964" s="103"/>
      <c r="X964" s="103"/>
      <c r="Y964" s="103"/>
      <c r="Z964" s="103"/>
    </row>
    <row r="965" spans="1:26" ht="14.25" customHeight="1">
      <c r="A965" s="103"/>
      <c r="B965" s="103"/>
      <c r="C965" s="103"/>
      <c r="D965" s="103"/>
      <c r="E965" s="103"/>
      <c r="F965" s="103"/>
      <c r="G965" s="103"/>
      <c r="H965" s="103"/>
      <c r="I965" s="103"/>
      <c r="J965" s="103"/>
      <c r="K965" s="103"/>
      <c r="L965" s="103"/>
      <c r="M965" s="103"/>
      <c r="N965" s="103"/>
      <c r="O965" s="103"/>
      <c r="P965" s="103"/>
      <c r="Q965" s="103"/>
      <c r="R965" s="103"/>
      <c r="S965" s="103"/>
      <c r="T965" s="103"/>
      <c r="U965" s="103"/>
      <c r="V965" s="103"/>
      <c r="W965" s="103"/>
      <c r="X965" s="103"/>
      <c r="Y965" s="103"/>
      <c r="Z965" s="103"/>
    </row>
    <row r="966" spans="1:26" ht="14.25" customHeight="1">
      <c r="A966" s="103"/>
      <c r="B966" s="103"/>
      <c r="C966" s="103"/>
      <c r="D966" s="103"/>
      <c r="E966" s="103"/>
      <c r="F966" s="103"/>
      <c r="G966" s="103"/>
      <c r="H966" s="103"/>
      <c r="I966" s="103"/>
      <c r="J966" s="103"/>
      <c r="K966" s="103"/>
      <c r="L966" s="103"/>
      <c r="M966" s="103"/>
      <c r="N966" s="103"/>
      <c r="O966" s="103"/>
      <c r="P966" s="103"/>
      <c r="Q966" s="103"/>
      <c r="R966" s="103"/>
      <c r="S966" s="103"/>
      <c r="T966" s="103"/>
      <c r="U966" s="103"/>
      <c r="V966" s="103"/>
      <c r="W966" s="103"/>
      <c r="X966" s="103"/>
      <c r="Y966" s="103"/>
      <c r="Z966" s="103"/>
    </row>
    <row r="967" spans="1:26" ht="14.25" customHeight="1">
      <c r="A967" s="103"/>
      <c r="B967" s="103"/>
      <c r="C967" s="103"/>
      <c r="D967" s="103"/>
      <c r="E967" s="103"/>
      <c r="F967" s="103"/>
      <c r="G967" s="103"/>
      <c r="H967" s="103"/>
      <c r="I967" s="103"/>
      <c r="J967" s="103"/>
      <c r="K967" s="103"/>
      <c r="L967" s="103"/>
      <c r="M967" s="103"/>
      <c r="N967" s="103"/>
      <c r="O967" s="103"/>
      <c r="P967" s="103"/>
      <c r="Q967" s="103"/>
      <c r="R967" s="103"/>
      <c r="S967" s="103"/>
      <c r="T967" s="103"/>
      <c r="U967" s="103"/>
      <c r="V967" s="103"/>
      <c r="W967" s="103"/>
      <c r="X967" s="103"/>
      <c r="Y967" s="103"/>
      <c r="Z967" s="103"/>
    </row>
    <row r="968" spans="1:26" ht="14.25" customHeight="1">
      <c r="A968" s="103"/>
      <c r="B968" s="103"/>
      <c r="C968" s="103"/>
      <c r="D968" s="103"/>
      <c r="E968" s="103"/>
      <c r="F968" s="103"/>
      <c r="G968" s="103"/>
      <c r="H968" s="103"/>
      <c r="I968" s="103"/>
      <c r="J968" s="103"/>
      <c r="K968" s="103"/>
      <c r="L968" s="103"/>
      <c r="M968" s="103"/>
      <c r="N968" s="103"/>
      <c r="O968" s="103"/>
      <c r="P968" s="103"/>
      <c r="Q968" s="103"/>
      <c r="R968" s="103"/>
      <c r="S968" s="103"/>
      <c r="T968" s="103"/>
      <c r="U968" s="103"/>
      <c r="V968" s="103"/>
      <c r="W968" s="103"/>
      <c r="X968" s="103"/>
      <c r="Y968" s="103"/>
      <c r="Z968" s="103"/>
    </row>
    <row r="969" spans="1:26" ht="14.25" customHeight="1">
      <c r="A969" s="103"/>
      <c r="B969" s="103"/>
      <c r="C969" s="103"/>
      <c r="D969" s="103"/>
      <c r="E969" s="103"/>
      <c r="F969" s="103"/>
      <c r="G969" s="103"/>
      <c r="H969" s="103"/>
      <c r="I969" s="103"/>
      <c r="J969" s="103"/>
      <c r="K969" s="103"/>
      <c r="L969" s="103"/>
      <c r="M969" s="103"/>
      <c r="N969" s="103"/>
      <c r="O969" s="103"/>
      <c r="P969" s="103"/>
      <c r="Q969" s="103"/>
      <c r="R969" s="103"/>
      <c r="S969" s="103"/>
      <c r="T969" s="103"/>
      <c r="U969" s="103"/>
      <c r="V969" s="103"/>
      <c r="W969" s="103"/>
      <c r="X969" s="103"/>
      <c r="Y969" s="103"/>
      <c r="Z969" s="103"/>
    </row>
    <row r="970" spans="1:26" ht="14.25" customHeight="1">
      <c r="A970" s="103"/>
      <c r="B970" s="103"/>
      <c r="C970" s="103"/>
      <c r="D970" s="103"/>
      <c r="E970" s="103"/>
      <c r="F970" s="103"/>
      <c r="G970" s="103"/>
      <c r="H970" s="103"/>
      <c r="I970" s="103"/>
      <c r="J970" s="103"/>
      <c r="K970" s="103"/>
      <c r="L970" s="103"/>
      <c r="M970" s="103"/>
      <c r="N970" s="103"/>
      <c r="O970" s="103"/>
      <c r="P970" s="103"/>
      <c r="Q970" s="103"/>
      <c r="R970" s="103"/>
      <c r="S970" s="103"/>
      <c r="T970" s="103"/>
      <c r="U970" s="103"/>
      <c r="V970" s="103"/>
      <c r="W970" s="103"/>
      <c r="X970" s="103"/>
      <c r="Y970" s="103"/>
      <c r="Z970" s="103"/>
    </row>
    <row r="971" spans="1:26" ht="14.25" customHeight="1">
      <c r="A971" s="103"/>
      <c r="B971" s="103"/>
      <c r="C971" s="103"/>
      <c r="D971" s="103"/>
      <c r="E971" s="103"/>
      <c r="F971" s="103"/>
      <c r="G971" s="103"/>
      <c r="H971" s="103"/>
      <c r="I971" s="103"/>
      <c r="J971" s="103"/>
      <c r="K971" s="103"/>
      <c r="L971" s="103"/>
      <c r="M971" s="103"/>
      <c r="N971" s="103"/>
      <c r="O971" s="103"/>
      <c r="P971" s="103"/>
      <c r="Q971" s="103"/>
      <c r="R971" s="103"/>
      <c r="S971" s="103"/>
      <c r="T971" s="103"/>
      <c r="U971" s="103"/>
      <c r="V971" s="103"/>
      <c r="W971" s="103"/>
      <c r="X971" s="103"/>
      <c r="Y971" s="103"/>
      <c r="Z971" s="103"/>
    </row>
    <row r="972" spans="1:26" ht="14.25" customHeight="1">
      <c r="A972" s="103"/>
      <c r="B972" s="103"/>
      <c r="C972" s="103"/>
      <c r="D972" s="103"/>
      <c r="E972" s="103"/>
      <c r="F972" s="103"/>
      <c r="G972" s="103"/>
      <c r="H972" s="103"/>
      <c r="I972" s="103"/>
      <c r="J972" s="103"/>
      <c r="K972" s="103"/>
      <c r="L972" s="103"/>
      <c r="M972" s="103"/>
      <c r="N972" s="103"/>
      <c r="O972" s="103"/>
      <c r="P972" s="103"/>
      <c r="Q972" s="103"/>
      <c r="R972" s="103"/>
      <c r="S972" s="103"/>
      <c r="T972" s="103"/>
      <c r="U972" s="103"/>
      <c r="V972" s="103"/>
      <c r="W972" s="103"/>
      <c r="X972" s="103"/>
      <c r="Y972" s="103"/>
      <c r="Z972" s="103"/>
    </row>
    <row r="973" spans="1:26" ht="14.25" customHeight="1">
      <c r="A973" s="103"/>
      <c r="B973" s="103"/>
      <c r="C973" s="103"/>
      <c r="D973" s="103"/>
      <c r="E973" s="103"/>
      <c r="F973" s="103"/>
      <c r="G973" s="103"/>
      <c r="H973" s="103"/>
      <c r="I973" s="103"/>
      <c r="J973" s="103"/>
      <c r="K973" s="103"/>
      <c r="L973" s="103"/>
      <c r="M973" s="103"/>
      <c r="N973" s="103"/>
      <c r="O973" s="103"/>
      <c r="P973" s="103"/>
      <c r="Q973" s="103"/>
      <c r="R973" s="103"/>
      <c r="S973" s="103"/>
      <c r="T973" s="103"/>
      <c r="U973" s="103"/>
      <c r="V973" s="103"/>
      <c r="W973" s="103"/>
      <c r="X973" s="103"/>
      <c r="Y973" s="103"/>
      <c r="Z973" s="103"/>
    </row>
    <row r="974" spans="1:26" ht="14.25" customHeight="1">
      <c r="A974" s="103"/>
      <c r="B974" s="103"/>
      <c r="C974" s="103"/>
      <c r="D974" s="103"/>
      <c r="E974" s="103"/>
      <c r="F974" s="103"/>
      <c r="G974" s="103"/>
      <c r="H974" s="103"/>
      <c r="I974" s="103"/>
      <c r="J974" s="103"/>
      <c r="K974" s="103"/>
      <c r="L974" s="103"/>
      <c r="M974" s="103"/>
      <c r="N974" s="103"/>
      <c r="O974" s="103"/>
      <c r="P974" s="103"/>
      <c r="Q974" s="103"/>
      <c r="R974" s="103"/>
      <c r="S974" s="103"/>
      <c r="T974" s="103"/>
      <c r="U974" s="103"/>
      <c r="V974" s="103"/>
      <c r="W974" s="103"/>
      <c r="X974" s="103"/>
      <c r="Y974" s="103"/>
      <c r="Z974" s="103"/>
    </row>
    <row r="975" spans="1:26" ht="14.25" customHeight="1">
      <c r="A975" s="103"/>
      <c r="B975" s="103"/>
      <c r="C975" s="103"/>
      <c r="D975" s="103"/>
      <c r="E975" s="103"/>
      <c r="F975" s="103"/>
      <c r="G975" s="103"/>
      <c r="H975" s="103"/>
      <c r="I975" s="103"/>
      <c r="J975" s="103"/>
      <c r="K975" s="103"/>
      <c r="L975" s="103"/>
      <c r="M975" s="103"/>
      <c r="N975" s="103"/>
      <c r="O975" s="103"/>
      <c r="P975" s="103"/>
      <c r="Q975" s="103"/>
      <c r="R975" s="103"/>
      <c r="S975" s="103"/>
      <c r="T975" s="103"/>
      <c r="U975" s="103"/>
      <c r="V975" s="103"/>
      <c r="W975" s="103"/>
      <c r="X975" s="103"/>
      <c r="Y975" s="103"/>
      <c r="Z975" s="103"/>
    </row>
    <row r="976" spans="1:26" ht="14.25" customHeight="1">
      <c r="A976" s="103"/>
      <c r="B976" s="103"/>
      <c r="C976" s="103"/>
      <c r="D976" s="103"/>
      <c r="E976" s="103"/>
      <c r="F976" s="103"/>
      <c r="G976" s="103"/>
      <c r="H976" s="103"/>
      <c r="I976" s="103"/>
      <c r="J976" s="103"/>
      <c r="K976" s="103"/>
      <c r="L976" s="103"/>
      <c r="M976" s="103"/>
      <c r="N976" s="103"/>
      <c r="O976" s="103"/>
      <c r="P976" s="103"/>
      <c r="Q976" s="103"/>
      <c r="R976" s="103"/>
      <c r="S976" s="103"/>
      <c r="T976" s="103"/>
      <c r="U976" s="103"/>
      <c r="V976" s="103"/>
      <c r="W976" s="103"/>
      <c r="X976" s="103"/>
      <c r="Y976" s="103"/>
      <c r="Z976" s="103"/>
    </row>
    <row r="977" spans="1:26" ht="14.25" customHeight="1">
      <c r="A977" s="103"/>
      <c r="B977" s="103"/>
      <c r="C977" s="103"/>
      <c r="D977" s="103"/>
      <c r="E977" s="103"/>
      <c r="F977" s="103"/>
      <c r="G977" s="103"/>
      <c r="H977" s="103"/>
      <c r="I977" s="103"/>
      <c r="J977" s="103"/>
      <c r="K977" s="103"/>
      <c r="L977" s="103"/>
      <c r="M977" s="103"/>
      <c r="N977" s="103"/>
      <c r="O977" s="103"/>
      <c r="P977" s="103"/>
      <c r="Q977" s="103"/>
      <c r="R977" s="103"/>
      <c r="S977" s="103"/>
      <c r="T977" s="103"/>
      <c r="U977" s="103"/>
      <c r="V977" s="103"/>
      <c r="W977" s="103"/>
      <c r="X977" s="103"/>
      <c r="Y977" s="103"/>
      <c r="Z977" s="103"/>
    </row>
    <row r="978" spans="1:26" ht="14.25" customHeight="1">
      <c r="A978" s="103"/>
      <c r="B978" s="103"/>
      <c r="C978" s="103"/>
      <c r="D978" s="103"/>
      <c r="E978" s="103"/>
      <c r="F978" s="103"/>
      <c r="G978" s="103"/>
      <c r="H978" s="103"/>
      <c r="I978" s="103"/>
      <c r="J978" s="103"/>
      <c r="K978" s="103"/>
      <c r="L978" s="103"/>
      <c r="M978" s="103"/>
      <c r="N978" s="103"/>
      <c r="O978" s="103"/>
      <c r="P978" s="103"/>
      <c r="Q978" s="103"/>
      <c r="R978" s="103"/>
      <c r="S978" s="103"/>
      <c r="T978" s="103"/>
      <c r="U978" s="103"/>
      <c r="V978" s="103"/>
      <c r="W978" s="103"/>
      <c r="X978" s="103"/>
      <c r="Y978" s="103"/>
      <c r="Z978" s="103"/>
    </row>
    <row r="979" spans="1:26" ht="14.25" customHeight="1">
      <c r="A979" s="103"/>
      <c r="B979" s="103"/>
      <c r="C979" s="103"/>
      <c r="D979" s="103"/>
      <c r="E979" s="103"/>
      <c r="F979" s="103"/>
      <c r="G979" s="103"/>
      <c r="H979" s="103"/>
      <c r="I979" s="103"/>
      <c r="J979" s="103"/>
      <c r="K979" s="103"/>
      <c r="L979" s="103"/>
      <c r="M979" s="103"/>
      <c r="N979" s="103"/>
      <c r="O979" s="103"/>
      <c r="P979" s="103"/>
      <c r="Q979" s="103"/>
      <c r="R979" s="103"/>
      <c r="S979" s="103"/>
      <c r="T979" s="103"/>
      <c r="U979" s="103"/>
      <c r="V979" s="103"/>
      <c r="W979" s="103"/>
      <c r="X979" s="103"/>
      <c r="Y979" s="103"/>
      <c r="Z979" s="103"/>
    </row>
    <row r="980" spans="1:26" ht="14.25" customHeight="1">
      <c r="A980" s="103"/>
      <c r="B980" s="103"/>
      <c r="C980" s="103"/>
      <c r="D980" s="103"/>
      <c r="E980" s="103"/>
      <c r="F980" s="103"/>
      <c r="G980" s="103"/>
      <c r="H980" s="103"/>
      <c r="I980" s="103"/>
      <c r="J980" s="103"/>
      <c r="K980" s="103"/>
      <c r="L980" s="103"/>
      <c r="M980" s="103"/>
      <c r="N980" s="103"/>
      <c r="O980" s="103"/>
      <c r="P980" s="103"/>
      <c r="Q980" s="103"/>
      <c r="R980" s="103"/>
      <c r="S980" s="103"/>
      <c r="T980" s="103"/>
      <c r="U980" s="103"/>
      <c r="V980" s="103"/>
      <c r="W980" s="103"/>
      <c r="X980" s="103"/>
      <c r="Y980" s="103"/>
      <c r="Z980" s="103"/>
    </row>
    <row r="981" spans="1:26" ht="14.25" customHeight="1">
      <c r="A981" s="103"/>
      <c r="B981" s="103"/>
      <c r="C981" s="103"/>
      <c r="D981" s="103"/>
      <c r="E981" s="103"/>
      <c r="F981" s="103"/>
      <c r="G981" s="103"/>
      <c r="H981" s="103"/>
      <c r="I981" s="103"/>
      <c r="J981" s="103"/>
      <c r="K981" s="103"/>
      <c r="L981" s="103"/>
      <c r="M981" s="103"/>
      <c r="N981" s="103"/>
      <c r="O981" s="103"/>
      <c r="P981" s="103"/>
      <c r="Q981" s="103"/>
      <c r="R981" s="103"/>
      <c r="S981" s="103"/>
      <c r="T981" s="103"/>
      <c r="U981" s="103"/>
      <c r="V981" s="103"/>
      <c r="W981" s="103"/>
      <c r="X981" s="103"/>
      <c r="Y981" s="103"/>
      <c r="Z981" s="103"/>
    </row>
    <row r="982" spans="1:26" ht="14.25" customHeight="1">
      <c r="A982" s="103"/>
      <c r="B982" s="103"/>
      <c r="C982" s="103"/>
      <c r="D982" s="103"/>
      <c r="E982" s="103"/>
      <c r="F982" s="103"/>
      <c r="G982" s="103"/>
      <c r="H982" s="103"/>
      <c r="I982" s="103"/>
      <c r="J982" s="103"/>
      <c r="K982" s="103"/>
      <c r="L982" s="103"/>
      <c r="M982" s="103"/>
      <c r="N982" s="103"/>
      <c r="O982" s="103"/>
      <c r="P982" s="103"/>
      <c r="Q982" s="103"/>
      <c r="R982" s="103"/>
      <c r="S982" s="103"/>
      <c r="T982" s="103"/>
      <c r="U982" s="103"/>
      <c r="V982" s="103"/>
      <c r="W982" s="103"/>
      <c r="X982" s="103"/>
      <c r="Y982" s="103"/>
      <c r="Z982" s="103"/>
    </row>
    <row r="983" spans="1:26" ht="14.25" customHeight="1">
      <c r="A983" s="103"/>
      <c r="B983" s="103"/>
      <c r="C983" s="103"/>
      <c r="D983" s="103"/>
      <c r="E983" s="103"/>
      <c r="F983" s="103"/>
      <c r="G983" s="103"/>
      <c r="H983" s="103"/>
      <c r="I983" s="103"/>
      <c r="J983" s="103"/>
      <c r="K983" s="103"/>
      <c r="L983" s="103"/>
      <c r="M983" s="103"/>
      <c r="N983" s="103"/>
      <c r="O983" s="103"/>
      <c r="P983" s="103"/>
      <c r="Q983" s="103"/>
      <c r="R983" s="103"/>
      <c r="S983" s="103"/>
      <c r="T983" s="103"/>
      <c r="U983" s="103"/>
      <c r="V983" s="103"/>
      <c r="W983" s="103"/>
      <c r="X983" s="103"/>
      <c r="Y983" s="103"/>
      <c r="Z983" s="103"/>
    </row>
    <row r="984" spans="1:26" ht="14.25" customHeight="1">
      <c r="A984" s="103"/>
      <c r="B984" s="103"/>
      <c r="C984" s="103"/>
      <c r="D984" s="103"/>
      <c r="E984" s="103"/>
      <c r="F984" s="103"/>
      <c r="G984" s="103"/>
      <c r="H984" s="103"/>
      <c r="I984" s="103"/>
      <c r="J984" s="103"/>
      <c r="K984" s="103"/>
      <c r="L984" s="103"/>
      <c r="M984" s="103"/>
      <c r="N984" s="103"/>
      <c r="O984" s="103"/>
      <c r="P984" s="103"/>
      <c r="Q984" s="103"/>
      <c r="R984" s="103"/>
      <c r="S984" s="103"/>
      <c r="T984" s="103"/>
      <c r="U984" s="103"/>
      <c r="V984" s="103"/>
      <c r="W984" s="103"/>
      <c r="X984" s="103"/>
      <c r="Y984" s="103"/>
      <c r="Z984" s="103"/>
    </row>
    <row r="985" spans="1:26" ht="14.25" customHeight="1">
      <c r="A985" s="103"/>
      <c r="B985" s="103"/>
      <c r="C985" s="103"/>
      <c r="D985" s="103"/>
      <c r="E985" s="103"/>
      <c r="F985" s="103"/>
      <c r="G985" s="103"/>
      <c r="H985" s="103"/>
      <c r="I985" s="103"/>
      <c r="J985" s="103"/>
      <c r="K985" s="103"/>
      <c r="L985" s="103"/>
      <c r="M985" s="103"/>
      <c r="N985" s="103"/>
      <c r="O985" s="103"/>
      <c r="P985" s="103"/>
      <c r="Q985" s="103"/>
      <c r="R985" s="103"/>
      <c r="S985" s="103"/>
      <c r="T985" s="103"/>
      <c r="U985" s="103"/>
      <c r="V985" s="103"/>
      <c r="W985" s="103"/>
      <c r="X985" s="103"/>
      <c r="Y985" s="103"/>
      <c r="Z985" s="103"/>
    </row>
    <row r="986" spans="1:26" ht="14.25" customHeight="1">
      <c r="A986" s="103"/>
      <c r="B986" s="103"/>
      <c r="C986" s="103"/>
      <c r="D986" s="103"/>
      <c r="E986" s="103"/>
      <c r="F986" s="103"/>
      <c r="G986" s="103"/>
      <c r="H986" s="103"/>
      <c r="I986" s="103"/>
      <c r="J986" s="103"/>
      <c r="K986" s="103"/>
      <c r="L986" s="103"/>
      <c r="M986" s="103"/>
      <c r="N986" s="103"/>
      <c r="O986" s="103"/>
      <c r="P986" s="103"/>
      <c r="Q986" s="103"/>
      <c r="R986" s="103"/>
      <c r="S986" s="103"/>
      <c r="T986" s="103"/>
      <c r="U986" s="103"/>
      <c r="V986" s="103"/>
      <c r="W986" s="103"/>
      <c r="X986" s="103"/>
      <c r="Y986" s="103"/>
      <c r="Z986" s="103"/>
    </row>
    <row r="987" spans="1:26" ht="14.25" customHeight="1">
      <c r="A987" s="103"/>
      <c r="B987" s="103"/>
      <c r="C987" s="103"/>
      <c r="D987" s="103"/>
      <c r="E987" s="103"/>
      <c r="F987" s="103"/>
      <c r="G987" s="103"/>
      <c r="H987" s="103"/>
      <c r="I987" s="103"/>
      <c r="J987" s="103"/>
      <c r="K987" s="103"/>
      <c r="L987" s="103"/>
      <c r="M987" s="103"/>
      <c r="N987" s="103"/>
      <c r="O987" s="103"/>
      <c r="P987" s="103"/>
      <c r="Q987" s="103"/>
      <c r="R987" s="103"/>
      <c r="S987" s="103"/>
      <c r="T987" s="103"/>
      <c r="U987" s="103"/>
      <c r="V987" s="103"/>
      <c r="W987" s="103"/>
      <c r="X987" s="103"/>
      <c r="Y987" s="103"/>
      <c r="Z987" s="103"/>
    </row>
    <row r="988" spans="1:26" ht="14.25" customHeight="1">
      <c r="A988" s="103"/>
      <c r="B988" s="103"/>
      <c r="C988" s="103"/>
      <c r="D988" s="103"/>
      <c r="E988" s="103"/>
      <c r="F988" s="103"/>
      <c r="G988" s="103"/>
      <c r="H988" s="103"/>
      <c r="I988" s="103"/>
      <c r="J988" s="103"/>
      <c r="K988" s="103"/>
      <c r="L988" s="103"/>
      <c r="M988" s="103"/>
      <c r="N988" s="103"/>
      <c r="O988" s="103"/>
      <c r="P988" s="103"/>
      <c r="Q988" s="103"/>
      <c r="R988" s="103"/>
      <c r="S988" s="103"/>
      <c r="T988" s="103"/>
      <c r="U988" s="103"/>
      <c r="V988" s="103"/>
      <c r="W988" s="103"/>
      <c r="X988" s="103"/>
      <c r="Y988" s="103"/>
      <c r="Z988" s="103"/>
    </row>
    <row r="989" spans="1:26" ht="14.25" customHeight="1">
      <c r="A989" s="103"/>
      <c r="B989" s="103"/>
      <c r="C989" s="103"/>
      <c r="D989" s="103"/>
      <c r="E989" s="103"/>
      <c r="F989" s="103"/>
      <c r="G989" s="103"/>
      <c r="H989" s="103"/>
      <c r="I989" s="103"/>
      <c r="J989" s="103"/>
      <c r="K989" s="103"/>
      <c r="L989" s="103"/>
      <c r="M989" s="103"/>
      <c r="N989" s="103"/>
      <c r="O989" s="103"/>
      <c r="P989" s="103"/>
      <c r="Q989" s="103"/>
      <c r="R989" s="103"/>
      <c r="S989" s="103"/>
      <c r="T989" s="103"/>
      <c r="U989" s="103"/>
      <c r="V989" s="103"/>
      <c r="W989" s="103"/>
      <c r="X989" s="103"/>
      <c r="Y989" s="103"/>
      <c r="Z989" s="103"/>
    </row>
    <row r="990" spans="1:26" ht="14.25" customHeight="1">
      <c r="A990" s="103"/>
      <c r="B990" s="103"/>
      <c r="C990" s="103"/>
      <c r="D990" s="103"/>
      <c r="E990" s="103"/>
      <c r="F990" s="103"/>
      <c r="G990" s="103"/>
      <c r="H990" s="103"/>
      <c r="I990" s="103"/>
      <c r="J990" s="103"/>
      <c r="K990" s="103"/>
      <c r="L990" s="103"/>
      <c r="M990" s="103"/>
      <c r="N990" s="103"/>
      <c r="O990" s="103"/>
      <c r="P990" s="103"/>
      <c r="Q990" s="103"/>
      <c r="R990" s="103"/>
      <c r="S990" s="103"/>
      <c r="T990" s="103"/>
      <c r="U990" s="103"/>
      <c r="V990" s="103"/>
      <c r="W990" s="103"/>
      <c r="X990" s="103"/>
      <c r="Y990" s="103"/>
      <c r="Z990" s="103"/>
    </row>
    <row r="991" spans="1:26" ht="14.25" customHeight="1">
      <c r="A991" s="103"/>
      <c r="B991" s="103"/>
      <c r="C991" s="103"/>
      <c r="D991" s="103"/>
      <c r="E991" s="103"/>
      <c r="F991" s="103"/>
      <c r="G991" s="103"/>
      <c r="H991" s="103"/>
      <c r="I991" s="103"/>
      <c r="J991" s="103"/>
      <c r="K991" s="103"/>
      <c r="L991" s="103"/>
      <c r="M991" s="103"/>
      <c r="N991" s="103"/>
      <c r="O991" s="103"/>
      <c r="P991" s="103"/>
      <c r="Q991" s="103"/>
      <c r="R991" s="103"/>
      <c r="S991" s="103"/>
      <c r="T991" s="103"/>
      <c r="U991" s="103"/>
      <c r="V991" s="103"/>
      <c r="W991" s="103"/>
      <c r="X991" s="103"/>
      <c r="Y991" s="103"/>
      <c r="Z991" s="103"/>
    </row>
    <row r="992" spans="1:26" ht="14.25" customHeight="1">
      <c r="A992" s="103"/>
      <c r="B992" s="103"/>
      <c r="C992" s="103"/>
      <c r="D992" s="103"/>
      <c r="E992" s="103"/>
      <c r="F992" s="103"/>
      <c r="G992" s="103"/>
      <c r="H992" s="103"/>
      <c r="I992" s="103"/>
      <c r="J992" s="103"/>
      <c r="K992" s="103"/>
      <c r="L992" s="103"/>
      <c r="M992" s="103"/>
      <c r="N992" s="103"/>
      <c r="O992" s="103"/>
      <c r="P992" s="103"/>
      <c r="Q992" s="103"/>
      <c r="R992" s="103"/>
      <c r="S992" s="103"/>
      <c r="T992" s="103"/>
      <c r="U992" s="103"/>
      <c r="V992" s="103"/>
      <c r="W992" s="103"/>
      <c r="X992" s="103"/>
      <c r="Y992" s="103"/>
      <c r="Z992" s="103"/>
    </row>
    <row r="993" spans="1:26" ht="14.25" customHeight="1">
      <c r="A993" s="103"/>
      <c r="B993" s="103"/>
      <c r="C993" s="103"/>
      <c r="D993" s="103"/>
      <c r="E993" s="103"/>
      <c r="F993" s="103"/>
      <c r="G993" s="103"/>
      <c r="H993" s="103"/>
      <c r="I993" s="103"/>
      <c r="J993" s="103"/>
      <c r="K993" s="103"/>
      <c r="L993" s="103"/>
      <c r="M993" s="103"/>
      <c r="N993" s="103"/>
      <c r="O993" s="103"/>
      <c r="P993" s="103"/>
      <c r="Q993" s="103"/>
      <c r="R993" s="103"/>
      <c r="S993" s="103"/>
      <c r="T993" s="103"/>
      <c r="U993" s="103"/>
      <c r="V993" s="103"/>
      <c r="W993" s="103"/>
      <c r="X993" s="103"/>
      <c r="Y993" s="103"/>
      <c r="Z993" s="103"/>
    </row>
    <row r="994" spans="1:26" ht="14.25" customHeight="1">
      <c r="A994" s="103"/>
      <c r="B994" s="103"/>
      <c r="C994" s="103"/>
      <c r="D994" s="103"/>
      <c r="E994" s="103"/>
      <c r="F994" s="103"/>
      <c r="G994" s="103"/>
      <c r="H994" s="103"/>
      <c r="I994" s="103"/>
      <c r="J994" s="103"/>
      <c r="K994" s="103"/>
      <c r="L994" s="103"/>
      <c r="M994" s="103"/>
      <c r="N994" s="103"/>
      <c r="O994" s="103"/>
      <c r="P994" s="103"/>
      <c r="Q994" s="103"/>
      <c r="R994" s="103"/>
      <c r="S994" s="103"/>
      <c r="T994" s="103"/>
      <c r="U994" s="103"/>
      <c r="V994" s="103"/>
      <c r="W994" s="103"/>
      <c r="X994" s="103"/>
      <c r="Y994" s="103"/>
      <c r="Z994" s="103"/>
    </row>
    <row r="995" spans="1:26" ht="14.25" customHeight="1">
      <c r="A995" s="103"/>
      <c r="B995" s="103"/>
      <c r="C995" s="103"/>
      <c r="D995" s="103"/>
      <c r="E995" s="103"/>
      <c r="F995" s="103"/>
      <c r="G995" s="103"/>
      <c r="H995" s="103"/>
      <c r="I995" s="103"/>
      <c r="J995" s="103"/>
      <c r="K995" s="103"/>
      <c r="L995" s="103"/>
      <c r="M995" s="103"/>
      <c r="N995" s="103"/>
      <c r="O995" s="103"/>
      <c r="P995" s="103"/>
      <c r="Q995" s="103"/>
      <c r="R995" s="103"/>
      <c r="S995" s="103"/>
      <c r="T995" s="103"/>
      <c r="U995" s="103"/>
      <c r="V995" s="103"/>
      <c r="W995" s="103"/>
      <c r="X995" s="103"/>
      <c r="Y995" s="103"/>
      <c r="Z995" s="103"/>
    </row>
    <row r="996" spans="1:26" ht="14.25" customHeight="1">
      <c r="A996" s="103"/>
      <c r="B996" s="103"/>
      <c r="C996" s="103"/>
      <c r="D996" s="103"/>
      <c r="E996" s="103"/>
      <c r="F996" s="103"/>
      <c r="G996" s="103"/>
      <c r="H996" s="103"/>
      <c r="I996" s="103"/>
      <c r="J996" s="103"/>
      <c r="K996" s="103"/>
      <c r="L996" s="103"/>
      <c r="M996" s="103"/>
      <c r="N996" s="103"/>
      <c r="O996" s="103"/>
      <c r="P996" s="103"/>
      <c r="Q996" s="103"/>
      <c r="R996" s="103"/>
      <c r="S996" s="103"/>
      <c r="T996" s="103"/>
      <c r="U996" s="103"/>
      <c r="V996" s="103"/>
      <c r="W996" s="103"/>
      <c r="X996" s="103"/>
      <c r="Y996" s="103"/>
      <c r="Z996" s="103"/>
    </row>
    <row r="997" spans="1:26" ht="14.25" customHeight="1">
      <c r="A997" s="103"/>
      <c r="B997" s="103"/>
      <c r="C997" s="103"/>
      <c r="D997" s="103"/>
      <c r="E997" s="103"/>
      <c r="F997" s="103"/>
      <c r="G997" s="103"/>
      <c r="H997" s="103"/>
      <c r="I997" s="103"/>
      <c r="J997" s="103"/>
      <c r="K997" s="103"/>
      <c r="L997" s="103"/>
      <c r="M997" s="103"/>
      <c r="N997" s="103"/>
      <c r="O997" s="103"/>
      <c r="P997" s="103"/>
      <c r="Q997" s="103"/>
      <c r="R997" s="103"/>
      <c r="S997" s="103"/>
      <c r="T997" s="103"/>
      <c r="U997" s="103"/>
      <c r="V997" s="103"/>
      <c r="W997" s="103"/>
      <c r="X997" s="103"/>
      <c r="Y997" s="103"/>
      <c r="Z997" s="103"/>
    </row>
    <row r="998" spans="1:26" ht="14.25" customHeight="1">
      <c r="A998" s="103"/>
      <c r="B998" s="103"/>
      <c r="C998" s="103"/>
      <c r="D998" s="103"/>
      <c r="E998" s="103"/>
      <c r="F998" s="103"/>
      <c r="G998" s="103"/>
      <c r="H998" s="103"/>
      <c r="I998" s="103"/>
      <c r="J998" s="103"/>
      <c r="K998" s="103"/>
      <c r="L998" s="103"/>
      <c r="M998" s="103"/>
      <c r="N998" s="103"/>
      <c r="O998" s="103"/>
      <c r="P998" s="103"/>
      <c r="Q998" s="103"/>
      <c r="R998" s="103"/>
      <c r="S998" s="103"/>
      <c r="T998" s="103"/>
      <c r="U998" s="103"/>
      <c r="V998" s="103"/>
      <c r="W998" s="103"/>
      <c r="X998" s="103"/>
      <c r="Y998" s="103"/>
      <c r="Z998" s="103"/>
    </row>
    <row r="999" spans="1:26" ht="14.25" customHeight="1">
      <c r="A999" s="103"/>
      <c r="B999" s="103"/>
      <c r="C999" s="103"/>
      <c r="D999" s="103"/>
      <c r="E999" s="103"/>
      <c r="F999" s="103"/>
      <c r="G999" s="103"/>
      <c r="H999" s="103"/>
      <c r="I999" s="103"/>
      <c r="J999" s="103"/>
      <c r="K999" s="103"/>
      <c r="L999" s="103"/>
      <c r="M999" s="103"/>
      <c r="N999" s="103"/>
      <c r="O999" s="103"/>
      <c r="P999" s="103"/>
      <c r="Q999" s="103"/>
      <c r="R999" s="103"/>
      <c r="S999" s="103"/>
      <c r="T999" s="103"/>
      <c r="U999" s="103"/>
      <c r="V999" s="103"/>
      <c r="W999" s="103"/>
      <c r="X999" s="103"/>
      <c r="Y999" s="103"/>
      <c r="Z999" s="103"/>
    </row>
    <row r="1000" spans="1:26" ht="14.25" customHeight="1">
      <c r="A1000" s="103"/>
      <c r="B1000" s="103"/>
      <c r="C1000" s="103"/>
      <c r="D1000" s="103"/>
      <c r="E1000" s="103"/>
      <c r="F1000" s="103"/>
      <c r="G1000" s="103"/>
      <c r="H1000" s="103"/>
      <c r="I1000" s="103"/>
      <c r="J1000" s="103"/>
      <c r="K1000" s="103"/>
      <c r="L1000" s="103"/>
      <c r="M1000" s="103"/>
      <c r="N1000" s="103"/>
      <c r="O1000" s="103"/>
      <c r="P1000" s="103"/>
      <c r="Q1000" s="103"/>
      <c r="R1000" s="103"/>
      <c r="S1000" s="103"/>
      <c r="T1000" s="103"/>
      <c r="U1000" s="103"/>
      <c r="V1000" s="103"/>
      <c r="W1000" s="103"/>
      <c r="X1000" s="103"/>
      <c r="Y1000" s="103"/>
      <c r="Z1000" s="103"/>
    </row>
  </sheetData>
  <autoFilter ref="A1:B54" xr:uid="{00000000-0009-0000-0000-000005000000}"/>
  <pageMargins left="0.7" right="0.7" top="0.75" bottom="0.75" header="0" footer="0"/>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7ED24-A6D0-4C27-A2C5-396A6EDDEB95}">
  <sheetPr codeName="Sheet4"/>
  <dimension ref="A1:F41"/>
  <sheetViews>
    <sheetView workbookViewId="0">
      <selection activeCell="E11" sqref="E11"/>
    </sheetView>
  </sheetViews>
  <sheetFormatPr defaultRowHeight="14.25"/>
  <cols>
    <col min="1" max="1" width="16.75" customWidth="1"/>
    <col min="2" max="2" width="26.75" bestFit="1" customWidth="1"/>
    <col min="3" max="4" width="16.75" customWidth="1"/>
    <col min="5" max="5" width="78.5" customWidth="1"/>
    <col min="6" max="6" width="38.875" customWidth="1"/>
  </cols>
  <sheetData>
    <row r="1" spans="1:6">
      <c r="A1" t="s">
        <v>667</v>
      </c>
      <c r="B1" t="s">
        <v>0</v>
      </c>
      <c r="C1" t="s">
        <v>795</v>
      </c>
      <c r="D1" t="s">
        <v>795</v>
      </c>
      <c r="E1" t="s">
        <v>350</v>
      </c>
      <c r="F1" t="s">
        <v>1063</v>
      </c>
    </row>
    <row r="2" spans="1:6">
      <c r="A2" t="s">
        <v>651</v>
      </c>
      <c r="B2" t="s">
        <v>627</v>
      </c>
      <c r="C2" t="s">
        <v>777</v>
      </c>
      <c r="D2" t="s">
        <v>796</v>
      </c>
      <c r="E2" s="13" t="s">
        <v>1319</v>
      </c>
      <c r="F2" s="13" t="s">
        <v>1274</v>
      </c>
    </row>
    <row r="3" spans="1:6" ht="15">
      <c r="A3" s="27" t="s">
        <v>463</v>
      </c>
      <c r="B3" s="29" t="s">
        <v>658</v>
      </c>
      <c r="C3" s="27" t="s">
        <v>786</v>
      </c>
      <c r="D3" s="27" t="s">
        <v>786</v>
      </c>
      <c r="E3" s="28" t="s">
        <v>1312</v>
      </c>
      <c r="F3" s="28" t="s">
        <v>1305</v>
      </c>
    </row>
    <row r="4" spans="1:6">
      <c r="A4" s="27" t="s">
        <v>651</v>
      </c>
      <c r="B4" s="27" t="s">
        <v>629</v>
      </c>
      <c r="C4" s="27" t="s">
        <v>779</v>
      </c>
      <c r="D4" s="27" t="s">
        <v>779</v>
      </c>
      <c r="E4" s="28" t="s">
        <v>1320</v>
      </c>
      <c r="F4" s="28" t="s">
        <v>1275</v>
      </c>
    </row>
    <row r="5" spans="1:6" ht="15">
      <c r="A5" t="s">
        <v>463</v>
      </c>
      <c r="B5" s="12" t="s">
        <v>629</v>
      </c>
      <c r="C5" t="s">
        <v>779</v>
      </c>
      <c r="D5" t="s">
        <v>779</v>
      </c>
      <c r="E5" s="13" t="s">
        <v>1350</v>
      </c>
      <c r="F5" s="13" t="s">
        <v>1354</v>
      </c>
    </row>
    <row r="6" spans="1:6">
      <c r="A6" s="27" t="s">
        <v>651</v>
      </c>
      <c r="B6" s="27" t="s">
        <v>628</v>
      </c>
      <c r="C6" s="27" t="s">
        <v>778</v>
      </c>
      <c r="D6" s="27" t="s">
        <v>778</v>
      </c>
      <c r="E6" s="28" t="s">
        <v>1321</v>
      </c>
      <c r="F6" s="28" t="s">
        <v>1276</v>
      </c>
    </row>
    <row r="7" spans="1:6" ht="15">
      <c r="A7" t="s">
        <v>463</v>
      </c>
      <c r="B7" s="12" t="s">
        <v>659</v>
      </c>
      <c r="C7" t="s">
        <v>1247</v>
      </c>
      <c r="D7" t="e">
        <v>#N/A</v>
      </c>
      <c r="E7" s="13" t="s">
        <v>1313</v>
      </c>
      <c r="F7" s="13" t="s">
        <v>1306</v>
      </c>
    </row>
    <row r="8" spans="1:6">
      <c r="A8" t="s">
        <v>651</v>
      </c>
      <c r="B8" t="s">
        <v>225</v>
      </c>
      <c r="C8" t="s">
        <v>802</v>
      </c>
      <c r="D8" t="s">
        <v>224</v>
      </c>
      <c r="E8" s="13" t="s">
        <v>1322</v>
      </c>
      <c r="F8" s="13" t="s">
        <v>1277</v>
      </c>
    </row>
    <row r="9" spans="1:6" ht="15">
      <c r="A9" t="s">
        <v>463</v>
      </c>
      <c r="B9" s="12" t="s">
        <v>660</v>
      </c>
      <c r="C9" t="s">
        <v>812</v>
      </c>
      <c r="D9" t="s">
        <v>812</v>
      </c>
      <c r="E9" s="13" t="s">
        <v>1351</v>
      </c>
      <c r="F9" s="13" t="s">
        <v>1355</v>
      </c>
    </row>
    <row r="10" spans="1:6">
      <c r="A10" s="27" t="s">
        <v>651</v>
      </c>
      <c r="B10" s="27" t="s">
        <v>630</v>
      </c>
      <c r="C10" s="27" t="s">
        <v>780</v>
      </c>
      <c r="D10" s="27" t="s">
        <v>780</v>
      </c>
      <c r="E10" s="28" t="s">
        <v>1323</v>
      </c>
      <c r="F10" s="28" t="s">
        <v>1278</v>
      </c>
    </row>
    <row r="11" spans="1:6">
      <c r="A11" t="s">
        <v>651</v>
      </c>
      <c r="B11" t="s">
        <v>631</v>
      </c>
      <c r="C11" t="s">
        <v>799</v>
      </c>
      <c r="D11" t="s">
        <v>781</v>
      </c>
      <c r="E11" s="13" t="s">
        <v>1324</v>
      </c>
      <c r="F11" s="13" t="s">
        <v>1279</v>
      </c>
    </row>
    <row r="12" spans="1:6">
      <c r="A12" t="s">
        <v>651</v>
      </c>
      <c r="B12" t="s">
        <v>527</v>
      </c>
      <c r="C12" t="s">
        <v>518</v>
      </c>
      <c r="D12" t="s">
        <v>518</v>
      </c>
      <c r="E12" s="13" t="s">
        <v>1325</v>
      </c>
      <c r="F12" s="13" t="s">
        <v>1280</v>
      </c>
    </row>
    <row r="13" spans="1:6">
      <c r="A13" t="s">
        <v>651</v>
      </c>
      <c r="B13" t="s">
        <v>217</v>
      </c>
      <c r="C13" t="s">
        <v>216</v>
      </c>
      <c r="D13" t="s">
        <v>216</v>
      </c>
      <c r="E13" s="13" t="s">
        <v>1326</v>
      </c>
      <c r="F13" s="13" t="s">
        <v>1281</v>
      </c>
    </row>
    <row r="14" spans="1:6">
      <c r="A14" t="s">
        <v>651</v>
      </c>
      <c r="B14" t="s">
        <v>632</v>
      </c>
      <c r="C14" t="s">
        <v>782</v>
      </c>
      <c r="D14" t="s">
        <v>782</v>
      </c>
      <c r="E14" s="13" t="s">
        <v>1327</v>
      </c>
      <c r="F14" s="13" t="s">
        <v>1282</v>
      </c>
    </row>
    <row r="15" spans="1:6" ht="15">
      <c r="A15" t="s">
        <v>463</v>
      </c>
      <c r="B15" s="12" t="s">
        <v>531</v>
      </c>
      <c r="C15" t="s">
        <v>203</v>
      </c>
      <c r="D15" t="e">
        <v>#N/A</v>
      </c>
      <c r="E15" s="13" t="s">
        <v>1314</v>
      </c>
      <c r="F15" s="13" t="s">
        <v>1307</v>
      </c>
    </row>
    <row r="16" spans="1:6">
      <c r="A16" t="s">
        <v>651</v>
      </c>
      <c r="B16" t="s">
        <v>202</v>
      </c>
      <c r="C16" t="s">
        <v>200</v>
      </c>
      <c r="D16" t="s">
        <v>200</v>
      </c>
      <c r="E16" s="13" t="s">
        <v>1328</v>
      </c>
      <c r="F16" s="13" t="s">
        <v>1283</v>
      </c>
    </row>
    <row r="17" spans="1:6">
      <c r="A17" t="s">
        <v>651</v>
      </c>
      <c r="B17" t="s">
        <v>633</v>
      </c>
      <c r="C17" t="s">
        <v>804</v>
      </c>
      <c r="D17" t="s">
        <v>804</v>
      </c>
      <c r="E17" s="13" t="s">
        <v>1329</v>
      </c>
      <c r="F17" s="13" t="s">
        <v>1284</v>
      </c>
    </row>
    <row r="18" spans="1:6">
      <c r="A18" t="s">
        <v>651</v>
      </c>
      <c r="B18" t="s">
        <v>634</v>
      </c>
      <c r="C18" t="s">
        <v>805</v>
      </c>
      <c r="D18" t="s">
        <v>805</v>
      </c>
      <c r="E18" s="13" t="s">
        <v>1330</v>
      </c>
      <c r="F18" s="13" t="s">
        <v>1285</v>
      </c>
    </row>
    <row r="19" spans="1:6">
      <c r="A19" t="s">
        <v>651</v>
      </c>
      <c r="B19" t="s">
        <v>192</v>
      </c>
      <c r="C19" t="s">
        <v>190</v>
      </c>
      <c r="D19" t="s">
        <v>190</v>
      </c>
      <c r="E19" t="s">
        <v>1331</v>
      </c>
      <c r="F19" t="s">
        <v>1286</v>
      </c>
    </row>
    <row r="20" spans="1:6">
      <c r="A20" t="s">
        <v>651</v>
      </c>
      <c r="B20" s="17" t="s">
        <v>639</v>
      </c>
      <c r="C20" t="s">
        <v>797</v>
      </c>
      <c r="D20" t="e">
        <v>#N/A</v>
      </c>
      <c r="E20" s="13" t="s">
        <v>1332</v>
      </c>
      <c r="F20" s="13" t="s">
        <v>1287</v>
      </c>
    </row>
    <row r="21" spans="1:6">
      <c r="A21" t="s">
        <v>651</v>
      </c>
      <c r="B21" t="s">
        <v>635</v>
      </c>
      <c r="C21" t="s">
        <v>188</v>
      </c>
      <c r="D21" t="e">
        <v>#N/A</v>
      </c>
      <c r="E21" s="13" t="s">
        <v>1333</v>
      </c>
      <c r="F21" s="13" t="s">
        <v>1288</v>
      </c>
    </row>
    <row r="22" spans="1:6">
      <c r="A22" t="s">
        <v>651</v>
      </c>
      <c r="B22" t="s">
        <v>636</v>
      </c>
      <c r="C22" t="s">
        <v>783</v>
      </c>
      <c r="D22" t="s">
        <v>783</v>
      </c>
      <c r="E22" s="13" t="s">
        <v>1334</v>
      </c>
      <c r="F22" s="13" t="s">
        <v>1289</v>
      </c>
    </row>
    <row r="23" spans="1:6">
      <c r="A23" t="s">
        <v>651</v>
      </c>
      <c r="B23" t="s">
        <v>637</v>
      </c>
      <c r="C23" t="s">
        <v>806</v>
      </c>
      <c r="D23" t="s">
        <v>806</v>
      </c>
      <c r="E23" s="13" t="s">
        <v>1335</v>
      </c>
      <c r="F23" s="13" t="s">
        <v>1290</v>
      </c>
    </row>
    <row r="24" spans="1:6">
      <c r="A24" t="s">
        <v>651</v>
      </c>
      <c r="B24" t="s">
        <v>638</v>
      </c>
      <c r="C24" t="s">
        <v>807</v>
      </c>
      <c r="D24" t="e">
        <v>#N/A</v>
      </c>
      <c r="E24" s="13" t="s">
        <v>1336</v>
      </c>
      <c r="F24" s="13" t="s">
        <v>1291</v>
      </c>
    </row>
    <row r="25" spans="1:6">
      <c r="A25" t="s">
        <v>651</v>
      </c>
      <c r="B25" t="s">
        <v>46</v>
      </c>
      <c r="C25" t="s">
        <v>149</v>
      </c>
      <c r="D25" t="s">
        <v>793</v>
      </c>
      <c r="E25" s="13" t="s">
        <v>1337</v>
      </c>
      <c r="F25" s="13" t="s">
        <v>1292</v>
      </c>
    </row>
    <row r="26" spans="1:6">
      <c r="A26" t="s">
        <v>651</v>
      </c>
      <c r="B26" s="17" t="s">
        <v>640</v>
      </c>
      <c r="C26" t="s">
        <v>808</v>
      </c>
      <c r="D26" t="e">
        <v>#N/A</v>
      </c>
      <c r="E26" s="13" t="s">
        <v>1338</v>
      </c>
      <c r="F26" s="13" t="s">
        <v>1293</v>
      </c>
    </row>
    <row r="27" spans="1:6">
      <c r="A27" t="s">
        <v>651</v>
      </c>
      <c r="B27" t="s">
        <v>641</v>
      </c>
      <c r="C27" t="s">
        <v>784</v>
      </c>
      <c r="D27" t="s">
        <v>784</v>
      </c>
      <c r="E27" s="13" t="s">
        <v>1339</v>
      </c>
      <c r="F27" s="13" t="s">
        <v>1294</v>
      </c>
    </row>
    <row r="28" spans="1:6" ht="15">
      <c r="A28" t="s">
        <v>463</v>
      </c>
      <c r="B28" s="12" t="s">
        <v>661</v>
      </c>
      <c r="C28" t="s">
        <v>787</v>
      </c>
      <c r="D28" t="s">
        <v>787</v>
      </c>
      <c r="E28" s="13" t="s">
        <v>1315</v>
      </c>
      <c r="F28" s="13" t="s">
        <v>1308</v>
      </c>
    </row>
    <row r="29" spans="1:6" ht="15">
      <c r="A29" s="27" t="s">
        <v>463</v>
      </c>
      <c r="B29" s="29" t="s">
        <v>662</v>
      </c>
      <c r="C29" s="27" t="s">
        <v>788</v>
      </c>
      <c r="D29" s="27" t="s">
        <v>788</v>
      </c>
      <c r="E29" s="28" t="s">
        <v>1352</v>
      </c>
      <c r="F29" s="28" t="s">
        <v>1353</v>
      </c>
    </row>
    <row r="30" spans="1:6">
      <c r="A30" t="s">
        <v>651</v>
      </c>
      <c r="B30" t="s">
        <v>642</v>
      </c>
      <c r="C30" t="s">
        <v>801</v>
      </c>
      <c r="D30" t="s">
        <v>794</v>
      </c>
      <c r="E30" s="13" t="s">
        <v>1340</v>
      </c>
      <c r="F30" s="13" t="s">
        <v>1295</v>
      </c>
    </row>
    <row r="31" spans="1:6">
      <c r="A31" t="s">
        <v>651</v>
      </c>
      <c r="B31" t="s">
        <v>643</v>
      </c>
      <c r="C31" t="s">
        <v>785</v>
      </c>
      <c r="D31" t="s">
        <v>785</v>
      </c>
      <c r="E31" s="13" t="s">
        <v>1341</v>
      </c>
      <c r="F31" s="13" t="s">
        <v>1296</v>
      </c>
    </row>
    <row r="32" spans="1:6" ht="15">
      <c r="A32" t="s">
        <v>463</v>
      </c>
      <c r="B32" s="12" t="s">
        <v>663</v>
      </c>
      <c r="C32" t="s">
        <v>789</v>
      </c>
      <c r="D32" t="s">
        <v>789</v>
      </c>
      <c r="E32" s="13" t="s">
        <v>1316</v>
      </c>
      <c r="F32" s="13" t="s">
        <v>1309</v>
      </c>
    </row>
    <row r="33" spans="1:6">
      <c r="A33" t="s">
        <v>651</v>
      </c>
      <c r="B33" s="2" t="s">
        <v>644</v>
      </c>
      <c r="C33" t="s">
        <v>253</v>
      </c>
      <c r="D33" t="s">
        <v>253</v>
      </c>
      <c r="E33" s="24" t="s">
        <v>1343</v>
      </c>
      <c r="F33" s="24" t="s">
        <v>1298</v>
      </c>
    </row>
    <row r="34" spans="1:6">
      <c r="A34" t="s">
        <v>651</v>
      </c>
      <c r="B34" t="s">
        <v>645</v>
      </c>
      <c r="C34" t="s">
        <v>809</v>
      </c>
      <c r="D34" t="s">
        <v>809</v>
      </c>
      <c r="E34" s="13" t="s">
        <v>1344</v>
      </c>
      <c r="F34" s="13" t="s">
        <v>1299</v>
      </c>
    </row>
    <row r="35" spans="1:6">
      <c r="A35" t="s">
        <v>651</v>
      </c>
      <c r="B35" t="s">
        <v>442</v>
      </c>
      <c r="C35" t="s">
        <v>800</v>
      </c>
      <c r="D35" t="s">
        <v>451</v>
      </c>
      <c r="E35" s="13" t="s">
        <v>1345</v>
      </c>
      <c r="F35" s="13" t="s">
        <v>1300</v>
      </c>
    </row>
    <row r="36" spans="1:6">
      <c r="A36" t="s">
        <v>651</v>
      </c>
      <c r="B36" t="s">
        <v>101</v>
      </c>
      <c r="C36" t="s">
        <v>803</v>
      </c>
      <c r="D36" t="s">
        <v>99</v>
      </c>
      <c r="E36" s="13" t="s">
        <v>1346</v>
      </c>
      <c r="F36" s="13" t="s">
        <v>1301</v>
      </c>
    </row>
    <row r="37" spans="1:6">
      <c r="A37" t="s">
        <v>651</v>
      </c>
      <c r="B37" t="s">
        <v>647</v>
      </c>
      <c r="C37" t="s">
        <v>810</v>
      </c>
      <c r="D37" t="e">
        <v>#N/A</v>
      </c>
      <c r="E37" s="13" t="s">
        <v>1347</v>
      </c>
      <c r="F37" s="13" t="s">
        <v>1302</v>
      </c>
    </row>
    <row r="38" spans="1:6">
      <c r="A38" t="s">
        <v>651</v>
      </c>
      <c r="B38" t="s">
        <v>74</v>
      </c>
      <c r="C38" t="s">
        <v>73</v>
      </c>
      <c r="D38" t="s">
        <v>73</v>
      </c>
      <c r="E38" s="13" t="s">
        <v>1348</v>
      </c>
      <c r="F38" s="13" t="s">
        <v>1303</v>
      </c>
    </row>
    <row r="39" spans="1:6" ht="15">
      <c r="A39" s="27" t="s">
        <v>463</v>
      </c>
      <c r="B39" s="29" t="s">
        <v>664</v>
      </c>
      <c r="C39" s="27" t="s">
        <v>790</v>
      </c>
      <c r="D39" s="27" t="s">
        <v>790</v>
      </c>
      <c r="E39" s="28" t="s">
        <v>1317</v>
      </c>
      <c r="F39" s="28" t="s">
        <v>1310</v>
      </c>
    </row>
    <row r="40" spans="1:6" ht="15">
      <c r="A40" t="s">
        <v>463</v>
      </c>
      <c r="B40" s="12" t="s">
        <v>68</v>
      </c>
      <c r="C40" t="s">
        <v>791</v>
      </c>
      <c r="D40" t="s">
        <v>66</v>
      </c>
      <c r="E40" s="13" t="s">
        <v>1318</v>
      </c>
      <c r="F40" s="13" t="s">
        <v>1311</v>
      </c>
    </row>
    <row r="41" spans="1:6">
      <c r="A41" t="s">
        <v>651</v>
      </c>
      <c r="B41" t="s">
        <v>648</v>
      </c>
      <c r="C41" t="s">
        <v>811</v>
      </c>
      <c r="D41" t="e">
        <v>#N/A</v>
      </c>
      <c r="E41" s="13" t="s">
        <v>1349</v>
      </c>
      <c r="F41" s="13" t="s">
        <v>1304</v>
      </c>
    </row>
  </sheetData>
  <autoFilter ref="A1:F41" xr:uid="{4DB7ED24-A6D0-4C27-A2C5-396A6EDDEB95}">
    <sortState xmlns:xlrd2="http://schemas.microsoft.com/office/spreadsheetml/2017/richdata2" ref="A2:F41">
      <sortCondition ref="B1:B41"/>
    </sortState>
  </autoFilter>
  <conditionalFormatting sqref="B1:B1048576">
    <cfRule type="duplicateValues" dxfId="1" priority="2"/>
  </conditionalFormatting>
  <conditionalFormatting sqref="C1:C1048576">
    <cfRule type="duplicateValues" dxfId="0" priority="1"/>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127</vt:i4>
      </vt:variant>
    </vt:vector>
  </HeadingPairs>
  <TitlesOfParts>
    <vt:vector size="146" baseType="lpstr">
      <vt:lpstr>FIX</vt:lpstr>
      <vt:lpstr>ADD</vt:lpstr>
      <vt:lpstr>ISSUES</vt:lpstr>
      <vt:lpstr>glossary</vt:lpstr>
      <vt:lpstr>LINKED_TOOL</vt:lpstr>
      <vt:lpstr>add_extra_yaml</vt:lpstr>
      <vt:lpstr>q_sub_links</vt:lpstr>
      <vt:lpstr>q_lu_info_pages</vt:lpstr>
      <vt:lpstr>lu_question_option</vt:lpstr>
      <vt:lpstr>nametitle_modappl</vt:lpstr>
      <vt:lpstr>find_replace</vt:lpstr>
      <vt:lpstr>find_key</vt:lpstr>
      <vt:lpstr>find_replace_single</vt:lpstr>
      <vt:lpstr>references</vt:lpstr>
      <vt:lpstr>OTHER</vt:lpstr>
      <vt:lpstr>q_lu_prog_level_TOC</vt:lpstr>
      <vt:lpstr>q_approach</vt:lpstr>
      <vt:lpstr>q_notes</vt:lpstr>
      <vt:lpstr>kemp_et_al_2022</vt:lpstr>
      <vt:lpstr>glossary!age_class_adult</vt:lpstr>
      <vt:lpstr>glossary!age_class_juvenile</vt:lpstr>
      <vt:lpstr>glossary!age_class_subadult_yearling</vt:lpstr>
      <vt:lpstr>glossary!age_class_subadult_youngofyear</vt:lpstr>
      <vt:lpstr>glossary!analyst</vt:lpstr>
      <vt:lpstr>glossary!baitlure_audible_lure</vt:lpstr>
      <vt:lpstr>glossary!baitlure_bait_lure_type</vt:lpstr>
      <vt:lpstr>glossary!baitlure_scent_lure</vt:lpstr>
      <vt:lpstr>glossary!baitlure_visual_lure</vt:lpstr>
      <vt:lpstr>glossary!camera_angle</vt:lpstr>
      <vt:lpstr>glossary!camera_days_per_camera_location</vt:lpstr>
      <vt:lpstr>glossary!camera_height</vt:lpstr>
      <vt:lpstr>glossary!camera_id</vt:lpstr>
      <vt:lpstr>glossary!camera_location_name</vt:lpstr>
      <vt:lpstr>glossary!camera_make</vt:lpstr>
      <vt:lpstr>glossary!camera_model</vt:lpstr>
      <vt:lpstr>glossary!camera_serial_number</vt:lpstr>
      <vt:lpstr>glossary!camera_spacing</vt:lpstr>
      <vt:lpstr>glossary!crew</vt:lpstr>
      <vt:lpstr>glossary!cumulative_det_probability</vt:lpstr>
      <vt:lpstr>glossary!density</vt:lpstr>
      <vt:lpstr>glossary!deployment_crew</vt:lpstr>
      <vt:lpstr>glossary!deployment_end_date_time</vt:lpstr>
      <vt:lpstr>glossary!deployment_metadata</vt:lpstr>
      <vt:lpstr>glossary!deployment_name</vt:lpstr>
      <vt:lpstr>glossary!deployment_start_date_time</vt:lpstr>
      <vt:lpstr>glossary!deployment_visit</vt:lpstr>
      <vt:lpstr>glossary!detection_distance</vt:lpstr>
      <vt:lpstr>glossary!detection_event</vt:lpstr>
      <vt:lpstr>glossary!detection_probability</vt:lpstr>
      <vt:lpstr>glossary!detection_rate</vt:lpstr>
      <vt:lpstr>glossary!detection_zone</vt:lpstr>
      <vt:lpstr>glossary!easting_camera_location</vt:lpstr>
      <vt:lpstr>glossary!event_type</vt:lpstr>
      <vt:lpstr>glossary!event_type_tag</vt:lpstr>
      <vt:lpstr>glossary!fov_registration_area</vt:lpstr>
      <vt:lpstr>glossary!fov_viewshed</vt:lpstr>
      <vt:lpstr>glossary!fov_viewshed_density_estimators</vt:lpstr>
      <vt:lpstr>glossary!gps_unit_accuracy</vt:lpstr>
      <vt:lpstr>glossary!image_name</vt:lpstr>
      <vt:lpstr>glossary!image_sequence_date_time</vt:lpstr>
      <vt:lpstr>glossary!image_set_end_date_time</vt:lpstr>
      <vt:lpstr>glossary!image_set_start_date_time</vt:lpstr>
      <vt:lpstr>glossary!individual_count</vt:lpstr>
      <vt:lpstr>glossary!latitude_camera_location</vt:lpstr>
      <vt:lpstr>glossary!longitude_camera_location</vt:lpstr>
      <vt:lpstr>glossary!mods_2flankspim</vt:lpstr>
      <vt:lpstr>glossary!mods_catspim</vt:lpstr>
      <vt:lpstr>glossary!mods_cr_cmr</vt:lpstr>
      <vt:lpstr>glossary!mods_n_mixture</vt:lpstr>
      <vt:lpstr>glossary!mods_negative_binomial</vt:lpstr>
      <vt:lpstr>glossary!mods_occupancy</vt:lpstr>
      <vt:lpstr>glossary!mods_overdispersion</vt:lpstr>
      <vt:lpstr>glossary!mods_poisson</vt:lpstr>
      <vt:lpstr>glossary!mods_relative_abundance</vt:lpstr>
      <vt:lpstr>glossary!mods_rem</vt:lpstr>
      <vt:lpstr>glossary!mods_rest</vt:lpstr>
      <vt:lpstr>glossary!mods_royle_nichols</vt:lpstr>
      <vt:lpstr>glossary!mods_sc</vt:lpstr>
      <vt:lpstr>glossary!mods_scr_secr</vt:lpstr>
      <vt:lpstr>glossary!mods_smr</vt:lpstr>
      <vt:lpstr>glossary!mods_ste</vt:lpstr>
      <vt:lpstr>glossary!mods_tifc</vt:lpstr>
      <vt:lpstr>glossary!mods_tte</vt:lpstr>
      <vt:lpstr>glossary!mods_zero_inflation</vt:lpstr>
      <vt:lpstr>glossary!mods_zinb</vt:lpstr>
      <vt:lpstr>glossary!mods_zip</vt:lpstr>
      <vt:lpstr>glossary!northing_camera_location</vt:lpstr>
      <vt:lpstr>glossary!ocupancy</vt:lpstr>
      <vt:lpstr>glossary!project_coordinator_email</vt:lpstr>
      <vt:lpstr>glossary!project_description</vt:lpstr>
      <vt:lpstr>glossary!project_name</vt:lpstr>
      <vt:lpstr>glossary!pseudoreplication</vt:lpstr>
      <vt:lpstr>glossary!purpose_of_visit</vt:lpstr>
      <vt:lpstr>glossary!recovery_time</vt:lpstr>
      <vt:lpstr>references!resource12_ref_id</vt:lpstr>
      <vt:lpstr>references!resource5_note</vt:lpstr>
      <vt:lpstr>references!resource5_ref_id</vt:lpstr>
      <vt:lpstr>glossary!sample_station_name</vt:lpstr>
      <vt:lpstr>glossary!sampledesign_clustered</vt:lpstr>
      <vt:lpstr>glossary!sampledesign_convenience</vt:lpstr>
      <vt:lpstr>glossary!sampledesign_paired</vt:lpstr>
      <vt:lpstr>glossary!sampledesign_random</vt:lpstr>
      <vt:lpstr>glossary!sampledesign_stratified</vt:lpstr>
      <vt:lpstr>glossary!sampledesign_stratified_random</vt:lpstr>
      <vt:lpstr>glossary!sampledesign_systematic_random</vt:lpstr>
      <vt:lpstr>glossary!sampledesign_targeted</vt:lpstr>
      <vt:lpstr>glossary!sd_card_status</vt:lpstr>
      <vt:lpstr>glossary!security</vt:lpstr>
      <vt:lpstr>glossary!sequence_name</vt:lpstr>
      <vt:lpstr>glossary!service_retrieval_comments</vt:lpstr>
      <vt:lpstr>glossary!service_retrieval_crew</vt:lpstr>
      <vt:lpstr>glossary!service_retrieval_metadata</vt:lpstr>
      <vt:lpstr>glossary!service_retrieval_visit</vt:lpstr>
      <vt:lpstr>glossary!settings_motion_image_interval</vt:lpstr>
      <vt:lpstr>glossary!settings_photos_per_trigger</vt:lpstr>
      <vt:lpstr>glossary!settings_quiet_period</vt:lpstr>
      <vt:lpstr>glossary!settings_trigger_modes</vt:lpstr>
      <vt:lpstr>glossary!settings_trigger_sensitivity</vt:lpstr>
      <vt:lpstr>glossary!settings_userlabel</vt:lpstr>
      <vt:lpstr>glossary!settings_video_length</vt:lpstr>
      <vt:lpstr>glossary!spatial_autocorrelation</vt:lpstr>
      <vt:lpstr>glossary!species</vt:lpstr>
      <vt:lpstr>glossary!stake_distance</vt:lpstr>
      <vt:lpstr>glossary!state_variable</vt:lpstr>
      <vt:lpstr>glossary!study_area_description</vt:lpstr>
      <vt:lpstr>glossary!study_area_name</vt:lpstr>
      <vt:lpstr>glossary!survey_design_description</vt:lpstr>
      <vt:lpstr>glossary!survey_name</vt:lpstr>
      <vt:lpstr>glossary!survey_objectives</vt:lpstr>
      <vt:lpstr>glossary!tags_age_class</vt:lpstr>
      <vt:lpstr>glossary!tags_sex_class</vt:lpstr>
      <vt:lpstr>glossary!target_species</vt:lpstr>
      <vt:lpstr>glossary!test_image_taken</vt:lpstr>
      <vt:lpstr>glossary!timelapse_image</vt:lpstr>
      <vt:lpstr>glossary!total_number_of_camera_days</vt:lpstr>
      <vt:lpstr>glossary!trigger_event</vt:lpstr>
      <vt:lpstr>glossary!trigger_speed</vt:lpstr>
      <vt:lpstr>glossary!typeid_partially_marked</vt:lpstr>
      <vt:lpstr>glossary!typeid_unmarked</vt:lpstr>
      <vt:lpstr>glossary!utm_zone_camera_location</vt:lpstr>
      <vt:lpstr>references!vid1_url</vt:lpstr>
      <vt:lpstr>glossary!visit_comments</vt:lpstr>
      <vt:lpstr>glossary!visit_metadata</vt:lpstr>
      <vt:lpstr>glossary!walktest_complete</vt:lpstr>
      <vt:lpstr>glossary!walktest_distance</vt:lpstr>
      <vt:lpstr>glossary!walktest_height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keywords/>
  <cp:lastModifiedBy/>
  <dcterms:created xsi:type="dcterms:W3CDTF">2024-08-20T21:59:15Z</dcterms:created>
  <dcterms:modified xsi:type="dcterms:W3CDTF">2025-02-07T21:37:15Z</dcterms:modified>
</cp:coreProperties>
</file>